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ORTOPEDIA GEMINIS\CPRAS VTAS 2024\05-2024\"/>
    </mc:Choice>
  </mc:AlternateContent>
  <bookViews>
    <workbookView xWindow="-120" yWindow="-120" windowWidth="29040" windowHeight="15840" tabRatio="500"/>
  </bookViews>
  <sheets>
    <sheet name="Sheet1" sheetId="1" r:id="rId1"/>
    <sheet name="Hoja1" sheetId="2" r:id="rId2"/>
  </sheets>
  <definedNames>
    <definedName name="_xlnm._FilterDatabase" localSheetId="0" hidden="1">Sheet1!$A$2:$M$146</definedName>
  </definedNames>
  <calcPr calcId="162913"/>
</workbook>
</file>

<file path=xl/calcChain.xml><?xml version="1.0" encoding="utf-8"?>
<calcChain xmlns="http://schemas.openxmlformats.org/spreadsheetml/2006/main">
  <c r="J113" i="1" l="1"/>
  <c r="K113" i="1"/>
  <c r="L113" i="1"/>
  <c r="M113" i="1"/>
  <c r="I113" i="1"/>
  <c r="B12" i="2"/>
  <c r="D12" i="2"/>
  <c r="C12" i="2"/>
  <c r="C5" i="2"/>
  <c r="C6" i="2"/>
  <c r="C7" i="2"/>
  <c r="C8" i="2"/>
  <c r="C9" i="2"/>
  <c r="C10" i="2"/>
  <c r="C11" i="2"/>
  <c r="C4" i="2"/>
  <c r="M55" i="1" l="1"/>
  <c r="L55" i="1"/>
  <c r="I55" i="1"/>
</calcChain>
</file>

<file path=xl/sharedStrings.xml><?xml version="1.0" encoding="utf-8"?>
<sst xmlns="http://schemas.openxmlformats.org/spreadsheetml/2006/main" count="580" uniqueCount="137">
  <si>
    <t>Comprobantes de Compras - CUIT 30710473168</t>
  </si>
  <si>
    <t>Fecha</t>
  </si>
  <si>
    <t>Tipo</t>
  </si>
  <si>
    <t>Punto de Venta</t>
  </si>
  <si>
    <t>Número Desde</t>
  </si>
  <si>
    <t>Nro. Doc. Vendedor</t>
  </si>
  <si>
    <t>Denominación Vendedor</t>
  </si>
  <si>
    <t>Tipo Cambio</t>
  </si>
  <si>
    <t>Moneda</t>
  </si>
  <si>
    <t>Neto Gravado</t>
  </si>
  <si>
    <t>No Gravado</t>
  </si>
  <si>
    <t>Exento</t>
  </si>
  <si>
    <t>IVA</t>
  </si>
  <si>
    <t>Total</t>
  </si>
  <si>
    <t>01/05/2024</t>
  </si>
  <si>
    <t>1 - Factura A</t>
  </si>
  <si>
    <t>CONSORCIO BARTOLOME MITRE 2466</t>
  </si>
  <si>
    <t>$</t>
  </si>
  <si>
    <t>AMX ARGENTINA SOCIEDAD ANONIMA</t>
  </si>
  <si>
    <t>11 - Factura C</t>
  </si>
  <si>
    <t>TARANTINO NADIA RAQUEL</t>
  </si>
  <si>
    <t>02/05/2024</t>
  </si>
  <si>
    <t>SOLUCIONES MULTIMEDIA S A</t>
  </si>
  <si>
    <t>AUTOPISTAS URBANAS S A</t>
  </si>
  <si>
    <t>DI FEO MARTIN EZEQUIEL</t>
  </si>
  <si>
    <t>BOTINDARI JUAN CARLOS</t>
  </si>
  <si>
    <t>81 - Tique Factura A Controladores Fiscales</t>
  </si>
  <si>
    <t>IACONO JUAN</t>
  </si>
  <si>
    <t>03/05/2024</t>
  </si>
  <si>
    <t>AUTOPISTAS DEL SOL S A</t>
  </si>
  <si>
    <t>RAKE S.A.</t>
  </si>
  <si>
    <t>ORTOPEDIA CASA ESCALADA S.R.L.</t>
  </si>
  <si>
    <t>SUCESION DE GONZALEZ ALFREDO HUGO</t>
  </si>
  <si>
    <t>CONTERI EDGARDO MARCELO</t>
  </si>
  <si>
    <t>DDV SRL</t>
  </si>
  <si>
    <t>GRUPO CONCESIONARIO DEL OESTE SA</t>
  </si>
  <si>
    <t>06/05/2024</t>
  </si>
  <si>
    <t>NARDOMARINO EZEQUIEL EDUARDO</t>
  </si>
  <si>
    <t>ALVAGON S.R.L</t>
  </si>
  <si>
    <t>REHAB S.R.L.</t>
  </si>
  <si>
    <t>BLASCO MARIA GUADALUPE</t>
  </si>
  <si>
    <t>DEL GESSO FRANCO JESUS</t>
  </si>
  <si>
    <t>07/05/2024</t>
  </si>
  <si>
    <t>PIETRUSZKA ALBERTO DANIEL</t>
  </si>
  <si>
    <t>SALAZAR CALLE VICTOR HUGO</t>
  </si>
  <si>
    <t>5 - Nota de Venta al Contado A</t>
  </si>
  <si>
    <t>VIALGA SOCIEDAD ANONIMA</t>
  </si>
  <si>
    <t>GARCIA LETTIERI EDUARDO ALBERTO</t>
  </si>
  <si>
    <t>ARCE RAQUEL INES</t>
  </si>
  <si>
    <t>08/05/2024</t>
  </si>
  <si>
    <t>HZ ELECTRICIDAD SRL</t>
  </si>
  <si>
    <t>ASIAL S.R.L.</t>
  </si>
  <si>
    <t>MIGOYA MORIONDO SOFIA</t>
  </si>
  <si>
    <t>MIRABAL ARIEL ADRIAN</t>
  </si>
  <si>
    <t>09/05/2024</t>
  </si>
  <si>
    <t>CURBA INTEGRAL S. R. L.</t>
  </si>
  <si>
    <t>TELEFONICA MOVILES ARGENTINA SOCIEDAD ANONIMA</t>
  </si>
  <si>
    <t>PROSEGUR ACTIVA ARGENTINA SA</t>
  </si>
  <si>
    <t>SOMOS ENERGIA S.A.</t>
  </si>
  <si>
    <t>10/05/2024</t>
  </si>
  <si>
    <t>DISEÑOS JERY S R L</t>
  </si>
  <si>
    <t>ACQUISTI GLADYS NOEMI</t>
  </si>
  <si>
    <t>3 - Nota de Crédito A</t>
  </si>
  <si>
    <t>11/05/2024</t>
  </si>
  <si>
    <t>CENTRAL BAZAR S.A.</t>
  </si>
  <si>
    <t>13/05/2024</t>
  </si>
  <si>
    <t>MELGAREJO NICOLAS EMILIO</t>
  </si>
  <si>
    <t>CANCINO PAMELA RITA</t>
  </si>
  <si>
    <t>14/05/2024</t>
  </si>
  <si>
    <t>D A C DISTRIBUIDORA ARGENTINA DE CHAPAS S A C I</t>
  </si>
  <si>
    <t>15/05/2024</t>
  </si>
  <si>
    <t>S-MART HARDWARE CREATIVE SOLUTIONS S.R.L.</t>
  </si>
  <si>
    <t>MANGGINI PABLO Y MANGGINI ULISES SOC. DE HECHO.</t>
  </si>
  <si>
    <t>LUBRICANTES RUTA DE PASCUET E HIJOS S.R.L</t>
  </si>
  <si>
    <t>PAPELERA GEOPEL S.R.L.</t>
  </si>
  <si>
    <t>16/05/2024</t>
  </si>
  <si>
    <t>ESPASA S A</t>
  </si>
  <si>
    <t>TARGET MEDICAL S.A.</t>
  </si>
  <si>
    <t>SILVESTRIN FABRIS SOC RESP LTDA</t>
  </si>
  <si>
    <t>DRUETTA ANDREA MARIEL</t>
  </si>
  <si>
    <t>LANDRO FERNANDO GABRIEL</t>
  </si>
  <si>
    <t>15 - Recibo C</t>
  </si>
  <si>
    <t>SAMPEDRO SILVIA HERMINIA</t>
  </si>
  <si>
    <t>17/05/2024</t>
  </si>
  <si>
    <t>ABOUD PABLO DANIEL</t>
  </si>
  <si>
    <t>RIVERA MARCELO RAUL</t>
  </si>
  <si>
    <t>SICANIA SA</t>
  </si>
  <si>
    <t>PANATEL SOCIEDAD ANONIMA</t>
  </si>
  <si>
    <t>TAPITEL S A</t>
  </si>
  <si>
    <t>SAPUNA MIRIAN KARINA</t>
  </si>
  <si>
    <t>18/05/2024</t>
  </si>
  <si>
    <t>COORDINACION ECOLOGICA AREA METROPOLITANA SOCIEDAD DEL ESTADO</t>
  </si>
  <si>
    <t>19/05/2024</t>
  </si>
  <si>
    <t>UZUMAKI S.A.S.</t>
  </si>
  <si>
    <t>USD</t>
  </si>
  <si>
    <t>GIMENEZ WALTER DANIEL</t>
  </si>
  <si>
    <t>20/05/2024</t>
  </si>
  <si>
    <t>SALUDTEX SA</t>
  </si>
  <si>
    <t>REHAVITA S.A.</t>
  </si>
  <si>
    <t>21/05/2024</t>
  </si>
  <si>
    <t>SCHULZE RODOLFO ESTEBAN</t>
  </si>
  <si>
    <t>MA JUN</t>
  </si>
  <si>
    <t>CATYCAN S.A.</t>
  </si>
  <si>
    <t>TELECOM ARGENTINA SOCIEDAD ANONIMA</t>
  </si>
  <si>
    <t>22/05/2024</t>
  </si>
  <si>
    <t>CORREDORES VIALES SOCIEDAD ANONIMA</t>
  </si>
  <si>
    <t>NSS SA</t>
  </si>
  <si>
    <t>MIGOYA MORIONDO MARIA INES</t>
  </si>
  <si>
    <t>23/05/2024</t>
  </si>
  <si>
    <t>ARMORAUT SA</t>
  </si>
  <si>
    <t>24/05/2024</t>
  </si>
  <si>
    <t>IALLONARDO SERGIO ALEJANDRO</t>
  </si>
  <si>
    <t>27/05/2024</t>
  </si>
  <si>
    <t>NOLAZCO EDUARDO ARTURO</t>
  </si>
  <si>
    <t>FERREIRA LILIANA INES</t>
  </si>
  <si>
    <t>13 - Nota de Crédito C</t>
  </si>
  <si>
    <t>28/05/2024</t>
  </si>
  <si>
    <t>EXPRESO MAR DEL PLATA SOCIEDAD ANONIMA</t>
  </si>
  <si>
    <t>BIODINAMICA ASISTENCIA S.R.L.</t>
  </si>
  <si>
    <t>29/05/2024</t>
  </si>
  <si>
    <t>PRINTEMPS S.R.L.</t>
  </si>
  <si>
    <t>MERCADOLIBRE S.R.L.</t>
  </si>
  <si>
    <t>CASA MAKAROVSKY S A C I I F</t>
  </si>
  <si>
    <t>OVIEDO JIMENEZ TIZIANO LIONEL</t>
  </si>
  <si>
    <t>30/05/2024</t>
  </si>
  <si>
    <t>OPERADORA DE ESTACIONES DE SERVICIOS SA</t>
  </si>
  <si>
    <t>RELIEF CENTER S.R.L.</t>
  </si>
  <si>
    <t>31/05/2024</t>
  </si>
  <si>
    <t>MURUA POU PABLO ROBERTO</t>
  </si>
  <si>
    <t>C.P.S.  COMUNICACIONES S.A.</t>
  </si>
  <si>
    <t>RUBRICOM SOCIEDAD ANONIMA</t>
  </si>
  <si>
    <t>POSNET SOCIEDAD DE RESPONSABILIDAD LIMITADA</t>
  </si>
  <si>
    <t>99 - Otro Comprobante que No Cumple con la RG 1415 y sus Modif.</t>
  </si>
  <si>
    <t>BANCO CREDICOOP COOPERATIVO LTDO</t>
  </si>
  <si>
    <t>TOTAL</t>
  </si>
  <si>
    <t>FACTURAS QUE NO FUERON TOMADAS DE AFIP</t>
  </si>
  <si>
    <t>BANCO PATAGONIA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</si>
</sst>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/>
    <xf numFmtId="43" fontId="1" fillId="0" borderId="0" xfId="1" applyFont="1"/>
    <xf numFmtId="43" fontId="0" fillId="0" borderId="0" xfId="1" applyFont="1"/>
    <xf numFmtId="14" fontId="0" fillId="0" borderId="0" xfId="0" applyNumberFormat="1"/>
    <xf numFmtId="0" fontId="0" fillId="0" borderId="0" xfId="0" applyFill="1"/>
    <xf numFmtId="1" fontId="0" fillId="0" borderId="0" xfId="0" applyNumberFormat="1" applyFill="1"/>
    <xf numFmtId="43" fontId="0" fillId="0" borderId="0" xfId="1" applyFont="1" applyFill="1"/>
    <xf numFmtId="0" fontId="0" fillId="2" borderId="0" xfId="0" applyFill="1"/>
    <xf numFmtId="1" fontId="0" fillId="2" borderId="0" xfId="0" applyNumberFormat="1" applyFill="1"/>
    <xf numFmtId="43" fontId="0" fillId="2" borderId="0" xfId="1" applyFont="1" applyFill="1"/>
    <xf numFmtId="43" fontId="3" fillId="0" borderId="0" xfId="1" applyFont="1" applyFill="1"/>
    <xf numFmtId="16" fontId="0" fillId="0" borderId="0" xfId="0" applyNumberFormat="1" applyFill="1"/>
    <xf numFmtId="0" fontId="0" fillId="0" borderId="0" xfId="0" applyAlignment="1">
      <alignment horizontal="center"/>
    </xf>
    <xf numFmtId="0" fontId="0" fillId="0" borderId="0" xfId="0"/>
    <xf numFmtId="1" fontId="3" fillId="0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6"/>
  <sheetViews>
    <sheetView tabSelected="1" zoomScale="85" zoomScaleNormal="85" workbookViewId="0">
      <selection activeCell="O27" sqref="O27"/>
    </sheetView>
  </sheetViews>
  <sheetFormatPr baseColWidth="10" defaultRowHeight="15" x14ac:dyDescent="0.25"/>
  <cols>
    <col min="1" max="1" width="10.7109375" bestFit="1" customWidth="1"/>
    <col min="2" max="2" width="25.5703125" customWidth="1"/>
    <col min="3" max="3" width="14.7109375" bestFit="1" customWidth="1"/>
    <col min="4" max="4" width="14.28515625" bestFit="1" customWidth="1"/>
    <col min="5" max="5" width="15" customWidth="1"/>
    <col min="6" max="6" width="35.42578125" customWidth="1"/>
    <col min="7" max="7" width="12" bestFit="1" customWidth="1"/>
    <col min="8" max="8" width="8.42578125" bestFit="1" customWidth="1"/>
    <col min="9" max="9" width="23" style="5" bestFit="1" customWidth="1"/>
    <col min="10" max="10" width="12.85546875" style="5" bestFit="1" customWidth="1"/>
    <col min="11" max="11" width="15.28515625" style="5" bestFit="1" customWidth="1"/>
    <col min="12" max="12" width="19.5703125" style="5" bestFit="1" customWidth="1"/>
    <col min="13" max="13" width="14.85546875" style="5" bestFit="1" customWidth="1"/>
  </cols>
  <sheetData>
    <row r="1" spans="1:17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7" s="7" customFormat="1" x14ac:dyDescent="0.25">
      <c r="A3" s="7" t="s">
        <v>14</v>
      </c>
      <c r="B3" s="7" t="s">
        <v>15</v>
      </c>
      <c r="C3" s="8">
        <v>2</v>
      </c>
      <c r="D3" s="8">
        <v>208</v>
      </c>
      <c r="E3" s="8">
        <v>30605344352</v>
      </c>
      <c r="F3" s="7" t="s">
        <v>16</v>
      </c>
      <c r="G3" s="8">
        <v>1</v>
      </c>
      <c r="H3" s="7" t="s">
        <v>17</v>
      </c>
      <c r="I3" s="9">
        <v>575000</v>
      </c>
      <c r="J3" s="9">
        <v>0</v>
      </c>
      <c r="K3" s="9">
        <v>0</v>
      </c>
      <c r="L3" s="9">
        <v>120750</v>
      </c>
      <c r="M3" s="9">
        <v>695750</v>
      </c>
      <c r="O3" s="18" t="s">
        <v>135</v>
      </c>
      <c r="P3" s="19"/>
      <c r="Q3" s="19"/>
    </row>
    <row r="4" spans="1:17" s="7" customFormat="1" x14ac:dyDescent="0.25">
      <c r="A4" s="7" t="s">
        <v>14</v>
      </c>
      <c r="B4" s="7" t="s">
        <v>15</v>
      </c>
      <c r="C4" s="8">
        <v>1326</v>
      </c>
      <c r="D4" s="8">
        <v>842422</v>
      </c>
      <c r="E4" s="8">
        <v>30663288497</v>
      </c>
      <c r="F4" s="7" t="s">
        <v>18</v>
      </c>
      <c r="G4" s="8">
        <v>1</v>
      </c>
      <c r="H4" s="7" t="s">
        <v>17</v>
      </c>
      <c r="I4" s="9">
        <v>32490</v>
      </c>
      <c r="J4" s="9">
        <v>0</v>
      </c>
      <c r="K4" s="9">
        <v>0</v>
      </c>
      <c r="L4" s="9">
        <v>8013.6</v>
      </c>
      <c r="M4" s="9">
        <v>43822.37</v>
      </c>
      <c r="O4" s="19"/>
      <c r="P4" s="19"/>
      <c r="Q4" s="19"/>
    </row>
    <row r="5" spans="1:17" s="7" customFormat="1" x14ac:dyDescent="0.25">
      <c r="A5" s="7" t="s">
        <v>21</v>
      </c>
      <c r="B5" s="7" t="s">
        <v>15</v>
      </c>
      <c r="C5" s="8">
        <v>500</v>
      </c>
      <c r="D5" s="8">
        <v>1553466</v>
      </c>
      <c r="E5" s="8">
        <v>30654118767</v>
      </c>
      <c r="F5" s="7" t="s">
        <v>22</v>
      </c>
      <c r="G5" s="8">
        <v>1</v>
      </c>
      <c r="H5" s="7" t="s">
        <v>17</v>
      </c>
      <c r="I5" s="9">
        <v>59165.599999999999</v>
      </c>
      <c r="J5" s="9">
        <v>0</v>
      </c>
      <c r="K5" s="9">
        <v>0</v>
      </c>
      <c r="L5" s="9">
        <v>12424.78</v>
      </c>
      <c r="M5" s="9">
        <v>73957</v>
      </c>
    </row>
    <row r="6" spans="1:17" s="7" customFormat="1" x14ac:dyDescent="0.25">
      <c r="A6" s="7" t="s">
        <v>21</v>
      </c>
      <c r="B6" s="7" t="s">
        <v>15</v>
      </c>
      <c r="C6" s="8">
        <v>5015</v>
      </c>
      <c r="D6" s="8">
        <v>607270</v>
      </c>
      <c r="E6" s="8">
        <v>30574876474</v>
      </c>
      <c r="F6" s="7" t="s">
        <v>23</v>
      </c>
      <c r="G6" s="8">
        <v>1</v>
      </c>
      <c r="H6" s="7" t="s">
        <v>17</v>
      </c>
      <c r="I6" s="9">
        <v>26653.360000000001</v>
      </c>
      <c r="J6" s="9">
        <v>0</v>
      </c>
      <c r="K6" s="9">
        <v>0</v>
      </c>
      <c r="L6" s="9">
        <v>5597.15</v>
      </c>
      <c r="M6" s="9">
        <v>35715.43</v>
      </c>
    </row>
    <row r="7" spans="1:17" s="7" customFormat="1" x14ac:dyDescent="0.25">
      <c r="A7" s="7" t="s">
        <v>21</v>
      </c>
      <c r="B7" s="7" t="s">
        <v>15</v>
      </c>
      <c r="C7" s="8">
        <v>2</v>
      </c>
      <c r="D7" s="8">
        <v>486</v>
      </c>
      <c r="E7" s="8">
        <v>20272865869</v>
      </c>
      <c r="F7" s="7" t="s">
        <v>24</v>
      </c>
      <c r="G7" s="8">
        <v>1</v>
      </c>
      <c r="H7" s="7" t="s">
        <v>17</v>
      </c>
      <c r="I7" s="9">
        <v>78377.11</v>
      </c>
      <c r="J7" s="9">
        <v>0</v>
      </c>
      <c r="K7" s="9">
        <v>0</v>
      </c>
      <c r="L7" s="9">
        <v>16459.189999999999</v>
      </c>
      <c r="M7" s="9">
        <v>94836.3</v>
      </c>
    </row>
    <row r="8" spans="1:17" s="7" customFormat="1" x14ac:dyDescent="0.25">
      <c r="A8" s="7" t="s">
        <v>28</v>
      </c>
      <c r="B8" s="7" t="s">
        <v>15</v>
      </c>
      <c r="C8" s="8">
        <v>711</v>
      </c>
      <c r="D8" s="8">
        <v>5635394</v>
      </c>
      <c r="E8" s="8">
        <v>30677237119</v>
      </c>
      <c r="F8" s="7" t="s">
        <v>29</v>
      </c>
      <c r="G8" s="8">
        <v>1</v>
      </c>
      <c r="H8" s="7" t="s">
        <v>17</v>
      </c>
      <c r="I8" s="9">
        <v>4813.99</v>
      </c>
      <c r="J8" s="9">
        <v>0</v>
      </c>
      <c r="K8" s="9">
        <v>144.41999999999999</v>
      </c>
      <c r="L8" s="9">
        <v>1011.01</v>
      </c>
      <c r="M8" s="9">
        <v>6161.98</v>
      </c>
    </row>
    <row r="9" spans="1:17" s="7" customFormat="1" x14ac:dyDescent="0.25">
      <c r="A9" s="7" t="s">
        <v>28</v>
      </c>
      <c r="B9" s="7" t="s">
        <v>15</v>
      </c>
      <c r="C9" s="8">
        <v>1001</v>
      </c>
      <c r="D9" s="8">
        <v>413</v>
      </c>
      <c r="E9" s="8">
        <v>30707370552</v>
      </c>
      <c r="F9" s="7" t="s">
        <v>30</v>
      </c>
      <c r="G9" s="8">
        <v>1</v>
      </c>
      <c r="H9" s="7" t="s">
        <v>17</v>
      </c>
      <c r="I9" s="9">
        <v>732768.6</v>
      </c>
      <c r="J9" s="9">
        <v>0</v>
      </c>
      <c r="K9" s="9">
        <v>0</v>
      </c>
      <c r="L9" s="9">
        <v>153881.4</v>
      </c>
      <c r="M9" s="9">
        <v>886650</v>
      </c>
    </row>
    <row r="10" spans="1:17" x14ac:dyDescent="0.25">
      <c r="A10" s="10" t="s">
        <v>28</v>
      </c>
      <c r="B10" s="10" t="s">
        <v>15</v>
      </c>
      <c r="C10" s="11">
        <v>2</v>
      </c>
      <c r="D10" s="11">
        <v>9828</v>
      </c>
      <c r="E10" s="11">
        <v>30714331082</v>
      </c>
      <c r="F10" s="10" t="s">
        <v>31</v>
      </c>
      <c r="G10" s="11">
        <v>1</v>
      </c>
      <c r="H10" s="10" t="s">
        <v>17</v>
      </c>
      <c r="I10" s="12">
        <v>1169243.6399999999</v>
      </c>
      <c r="J10" s="12">
        <v>0</v>
      </c>
      <c r="K10" s="12">
        <v>0</v>
      </c>
      <c r="L10" s="12">
        <v>245541.16</v>
      </c>
      <c r="M10" s="12">
        <v>1414784.8</v>
      </c>
    </row>
    <row r="11" spans="1:17" s="7" customFormat="1" x14ac:dyDescent="0.25">
      <c r="A11" s="7" t="s">
        <v>28</v>
      </c>
      <c r="B11" s="7" t="s">
        <v>15</v>
      </c>
      <c r="C11" s="8">
        <v>2</v>
      </c>
      <c r="D11" s="8">
        <v>1107</v>
      </c>
      <c r="E11" s="8">
        <v>20168707534</v>
      </c>
      <c r="F11" s="7" t="s">
        <v>32</v>
      </c>
      <c r="G11" s="8">
        <v>1</v>
      </c>
      <c r="H11" s="7" t="s">
        <v>17</v>
      </c>
      <c r="I11" s="9">
        <v>20662</v>
      </c>
      <c r="J11" s="9">
        <v>0</v>
      </c>
      <c r="K11" s="9">
        <v>0</v>
      </c>
      <c r="L11" s="9">
        <v>4339.0200000000004</v>
      </c>
      <c r="M11" s="9">
        <v>25001.02</v>
      </c>
    </row>
    <row r="12" spans="1:17" s="7" customFormat="1" x14ac:dyDescent="0.25">
      <c r="A12" s="7" t="s">
        <v>28</v>
      </c>
      <c r="B12" s="7" t="s">
        <v>15</v>
      </c>
      <c r="C12" s="8">
        <v>2</v>
      </c>
      <c r="D12" s="8">
        <v>491</v>
      </c>
      <c r="E12" s="8">
        <v>20272865869</v>
      </c>
      <c r="F12" s="7" t="s">
        <v>24</v>
      </c>
      <c r="G12" s="8">
        <v>1</v>
      </c>
      <c r="H12" s="7" t="s">
        <v>17</v>
      </c>
      <c r="I12" s="9">
        <v>10950</v>
      </c>
      <c r="J12" s="9">
        <v>0</v>
      </c>
      <c r="K12" s="9">
        <v>0</v>
      </c>
      <c r="L12" s="9">
        <v>2299.5</v>
      </c>
      <c r="M12" s="9">
        <v>13249.5</v>
      </c>
    </row>
    <row r="13" spans="1:17" s="7" customFormat="1" x14ac:dyDescent="0.25">
      <c r="A13" s="7" t="s">
        <v>28</v>
      </c>
      <c r="B13" s="7" t="s">
        <v>15</v>
      </c>
      <c r="C13" s="8">
        <v>3</v>
      </c>
      <c r="D13" s="8">
        <v>2189</v>
      </c>
      <c r="E13" s="8">
        <v>20134281783</v>
      </c>
      <c r="F13" s="7" t="s">
        <v>33</v>
      </c>
      <c r="G13" s="8">
        <v>1</v>
      </c>
      <c r="H13" s="7" t="s">
        <v>17</v>
      </c>
      <c r="I13" s="9">
        <v>805800</v>
      </c>
      <c r="J13" s="9">
        <v>0</v>
      </c>
      <c r="K13" s="9">
        <v>0</v>
      </c>
      <c r="L13" s="9">
        <v>169218</v>
      </c>
      <c r="M13" s="9">
        <v>975018</v>
      </c>
    </row>
    <row r="14" spans="1:17" s="7" customFormat="1" x14ac:dyDescent="0.25">
      <c r="A14" s="7" t="s">
        <v>28</v>
      </c>
      <c r="B14" s="7" t="s">
        <v>15</v>
      </c>
      <c r="C14" s="8">
        <v>1001</v>
      </c>
      <c r="D14" s="8">
        <v>412</v>
      </c>
      <c r="E14" s="8">
        <v>30707370552</v>
      </c>
      <c r="F14" s="7" t="s">
        <v>30</v>
      </c>
      <c r="G14" s="8">
        <v>1</v>
      </c>
      <c r="H14" s="7" t="s">
        <v>17</v>
      </c>
      <c r="I14" s="9">
        <v>380702.48</v>
      </c>
      <c r="J14" s="9">
        <v>0</v>
      </c>
      <c r="K14" s="9">
        <v>0</v>
      </c>
      <c r="L14" s="9">
        <v>79947.520000000004</v>
      </c>
      <c r="M14" s="9">
        <v>460650</v>
      </c>
    </row>
    <row r="15" spans="1:17" s="7" customFormat="1" x14ac:dyDescent="0.25">
      <c r="A15" s="7" t="s">
        <v>28</v>
      </c>
      <c r="B15" s="7" t="s">
        <v>15</v>
      </c>
      <c r="C15" s="8">
        <v>5</v>
      </c>
      <c r="D15" s="8">
        <v>32883</v>
      </c>
      <c r="E15" s="8">
        <v>30711549206</v>
      </c>
      <c r="F15" s="7" t="s">
        <v>34</v>
      </c>
      <c r="G15" s="8">
        <v>1</v>
      </c>
      <c r="H15" s="7" t="s">
        <v>17</v>
      </c>
      <c r="I15" s="9">
        <v>13772.34</v>
      </c>
      <c r="J15" s="9">
        <v>0</v>
      </c>
      <c r="K15" s="9">
        <v>6543.99</v>
      </c>
      <c r="L15" s="9">
        <v>2892.19</v>
      </c>
      <c r="M15" s="9">
        <v>23208.52</v>
      </c>
    </row>
    <row r="16" spans="1:17" s="7" customFormat="1" x14ac:dyDescent="0.25">
      <c r="A16" s="7" t="s">
        <v>28</v>
      </c>
      <c r="B16" s="7" t="s">
        <v>15</v>
      </c>
      <c r="C16" s="8">
        <v>629</v>
      </c>
      <c r="D16" s="8">
        <v>5088960</v>
      </c>
      <c r="E16" s="8">
        <v>30663498513</v>
      </c>
      <c r="F16" s="7" t="s">
        <v>35</v>
      </c>
      <c r="G16" s="8">
        <v>1</v>
      </c>
      <c r="H16" s="7" t="s">
        <v>17</v>
      </c>
      <c r="I16" s="9">
        <v>454.54</v>
      </c>
      <c r="J16" s="9">
        <v>0</v>
      </c>
      <c r="K16" s="9">
        <v>0</v>
      </c>
      <c r="L16" s="9">
        <v>95.46</v>
      </c>
      <c r="M16" s="9">
        <v>550</v>
      </c>
    </row>
    <row r="17" spans="1:13" s="7" customFormat="1" x14ac:dyDescent="0.25">
      <c r="A17" s="7" t="s">
        <v>36</v>
      </c>
      <c r="B17" s="7" t="s">
        <v>15</v>
      </c>
      <c r="C17" s="8">
        <v>3</v>
      </c>
      <c r="D17" s="8">
        <v>153</v>
      </c>
      <c r="E17" s="8">
        <v>20334976433</v>
      </c>
      <c r="F17" s="7" t="s">
        <v>37</v>
      </c>
      <c r="G17" s="8">
        <v>1</v>
      </c>
      <c r="H17" s="7" t="s">
        <v>17</v>
      </c>
      <c r="I17" s="9">
        <v>84000</v>
      </c>
      <c r="J17" s="9">
        <v>0</v>
      </c>
      <c r="K17" s="9">
        <v>0</v>
      </c>
      <c r="L17" s="9">
        <v>17640</v>
      </c>
      <c r="M17" s="9">
        <v>101640</v>
      </c>
    </row>
    <row r="18" spans="1:13" s="7" customFormat="1" x14ac:dyDescent="0.25">
      <c r="A18" s="7" t="s">
        <v>36</v>
      </c>
      <c r="B18" s="7" t="s">
        <v>15</v>
      </c>
      <c r="C18" s="8">
        <v>3</v>
      </c>
      <c r="D18" s="8">
        <v>3358</v>
      </c>
      <c r="E18" s="8">
        <v>30717726126</v>
      </c>
      <c r="F18" s="7" t="s">
        <v>38</v>
      </c>
      <c r="G18" s="8">
        <v>1</v>
      </c>
      <c r="H18" s="7" t="s">
        <v>17</v>
      </c>
      <c r="I18" s="9">
        <v>14214.88</v>
      </c>
      <c r="J18" s="9">
        <v>0</v>
      </c>
      <c r="K18" s="9">
        <v>0</v>
      </c>
      <c r="L18" s="9">
        <v>2985.12</v>
      </c>
      <c r="M18" s="9">
        <v>17200</v>
      </c>
    </row>
    <row r="19" spans="1:13" s="7" customFormat="1" x14ac:dyDescent="0.25">
      <c r="A19" s="7" t="s">
        <v>36</v>
      </c>
      <c r="B19" s="7" t="s">
        <v>15</v>
      </c>
      <c r="C19" s="8">
        <v>2</v>
      </c>
      <c r="D19" s="8">
        <v>9835</v>
      </c>
      <c r="E19" s="8">
        <v>30714331082</v>
      </c>
      <c r="F19" s="7" t="s">
        <v>31</v>
      </c>
      <c r="G19" s="8">
        <v>1</v>
      </c>
      <c r="H19" s="7" t="s">
        <v>17</v>
      </c>
      <c r="I19" s="9">
        <v>1169243.6399999999</v>
      </c>
      <c r="J19" s="9">
        <v>0</v>
      </c>
      <c r="K19" s="9">
        <v>0</v>
      </c>
      <c r="L19" s="9">
        <v>245541.16</v>
      </c>
      <c r="M19" s="9">
        <v>1414784.8</v>
      </c>
    </row>
    <row r="20" spans="1:13" s="7" customFormat="1" x14ac:dyDescent="0.25">
      <c r="A20" s="7" t="s">
        <v>36</v>
      </c>
      <c r="B20" s="7" t="s">
        <v>15</v>
      </c>
      <c r="C20" s="8">
        <v>1</v>
      </c>
      <c r="D20" s="8">
        <v>3252</v>
      </c>
      <c r="E20" s="8">
        <v>30715141201</v>
      </c>
      <c r="F20" s="7" t="s">
        <v>39</v>
      </c>
      <c r="G20" s="8">
        <v>1</v>
      </c>
      <c r="H20" s="7" t="s">
        <v>17</v>
      </c>
      <c r="I20" s="9">
        <v>251790</v>
      </c>
      <c r="J20" s="9">
        <v>0</v>
      </c>
      <c r="K20" s="9">
        <v>0</v>
      </c>
      <c r="L20" s="9">
        <v>52875.9</v>
      </c>
      <c r="M20" s="9">
        <v>304665.90000000002</v>
      </c>
    </row>
    <row r="21" spans="1:13" s="7" customFormat="1" x14ac:dyDescent="0.25">
      <c r="A21" s="7" t="s">
        <v>36</v>
      </c>
      <c r="B21" s="7" t="s">
        <v>15</v>
      </c>
      <c r="C21" s="8">
        <v>1</v>
      </c>
      <c r="D21" s="8">
        <v>3251</v>
      </c>
      <c r="E21" s="8">
        <v>30715141201</v>
      </c>
      <c r="F21" s="7" t="s">
        <v>39</v>
      </c>
      <c r="G21" s="8">
        <v>1</v>
      </c>
      <c r="H21" s="7" t="s">
        <v>17</v>
      </c>
      <c r="I21" s="9">
        <v>388725</v>
      </c>
      <c r="J21" s="9">
        <v>0</v>
      </c>
      <c r="K21" s="9">
        <v>0</v>
      </c>
      <c r="L21" s="9">
        <v>81632.25</v>
      </c>
      <c r="M21" s="9">
        <v>470357.25</v>
      </c>
    </row>
    <row r="22" spans="1:13" s="7" customFormat="1" x14ac:dyDescent="0.25">
      <c r="A22" s="7" t="s">
        <v>42</v>
      </c>
      <c r="B22" s="7" t="s">
        <v>15</v>
      </c>
      <c r="C22" s="8">
        <v>4</v>
      </c>
      <c r="D22" s="8">
        <v>4664</v>
      </c>
      <c r="E22" s="8">
        <v>20113613646</v>
      </c>
      <c r="F22" s="7" t="s">
        <v>43</v>
      </c>
      <c r="G22" s="8">
        <v>1</v>
      </c>
      <c r="H22" s="7" t="s">
        <v>17</v>
      </c>
      <c r="I22" s="9">
        <v>1652.89</v>
      </c>
      <c r="J22" s="9">
        <v>0</v>
      </c>
      <c r="K22" s="9">
        <v>0</v>
      </c>
      <c r="L22" s="9">
        <v>347.11</v>
      </c>
      <c r="M22" s="9">
        <v>2000</v>
      </c>
    </row>
    <row r="23" spans="1:13" s="7" customFormat="1" x14ac:dyDescent="0.25">
      <c r="A23" s="7" t="s">
        <v>42</v>
      </c>
      <c r="B23" s="7" t="s">
        <v>15</v>
      </c>
      <c r="C23" s="8">
        <v>2</v>
      </c>
      <c r="D23" s="8">
        <v>190</v>
      </c>
      <c r="E23" s="8">
        <v>20394693864</v>
      </c>
      <c r="F23" s="7" t="s">
        <v>44</v>
      </c>
      <c r="G23" s="8">
        <v>1</v>
      </c>
      <c r="H23" s="7" t="s">
        <v>17</v>
      </c>
      <c r="I23" s="9">
        <v>25438</v>
      </c>
      <c r="J23" s="9">
        <v>0</v>
      </c>
      <c r="K23" s="9">
        <v>0</v>
      </c>
      <c r="L23" s="9">
        <v>5341.98</v>
      </c>
      <c r="M23" s="9">
        <v>30780</v>
      </c>
    </row>
    <row r="24" spans="1:13" s="7" customFormat="1" x14ac:dyDescent="0.25">
      <c r="A24" s="7" t="s">
        <v>49</v>
      </c>
      <c r="B24" s="7" t="s">
        <v>15</v>
      </c>
      <c r="C24" s="8">
        <v>3</v>
      </c>
      <c r="D24" s="8">
        <v>10221</v>
      </c>
      <c r="E24" s="8">
        <v>30710552726</v>
      </c>
      <c r="F24" s="7" t="s">
        <v>50</v>
      </c>
      <c r="G24" s="8">
        <v>1</v>
      </c>
      <c r="H24" s="7" t="s">
        <v>17</v>
      </c>
      <c r="I24" s="9">
        <v>16721.669999999998</v>
      </c>
      <c r="J24" s="9">
        <v>0</v>
      </c>
      <c r="K24" s="9">
        <v>0</v>
      </c>
      <c r="L24" s="9">
        <v>2598.38</v>
      </c>
      <c r="M24" s="9">
        <v>19320.02</v>
      </c>
    </row>
    <row r="25" spans="1:13" s="7" customFormat="1" x14ac:dyDescent="0.25">
      <c r="A25" s="7" t="s">
        <v>49</v>
      </c>
      <c r="B25" s="7" t="s">
        <v>15</v>
      </c>
      <c r="C25" s="8">
        <v>8</v>
      </c>
      <c r="D25" s="8">
        <v>1635</v>
      </c>
      <c r="E25" s="8">
        <v>30708973501</v>
      </c>
      <c r="F25" s="7" t="s">
        <v>51</v>
      </c>
      <c r="G25" s="8">
        <v>1</v>
      </c>
      <c r="H25" s="7" t="s">
        <v>17</v>
      </c>
      <c r="I25" s="9">
        <v>455530</v>
      </c>
      <c r="J25" s="9">
        <v>0</v>
      </c>
      <c r="K25" s="9">
        <v>0</v>
      </c>
      <c r="L25" s="9">
        <v>95661.3</v>
      </c>
      <c r="M25" s="9">
        <v>551191.30000000005</v>
      </c>
    </row>
    <row r="26" spans="1:13" s="7" customFormat="1" x14ac:dyDescent="0.25">
      <c r="A26" s="7" t="s">
        <v>54</v>
      </c>
      <c r="B26" s="7" t="s">
        <v>15</v>
      </c>
      <c r="C26" s="8">
        <v>4</v>
      </c>
      <c r="D26" s="8">
        <v>1744</v>
      </c>
      <c r="E26" s="8">
        <v>30717244202</v>
      </c>
      <c r="F26" s="7" t="s">
        <v>55</v>
      </c>
      <c r="G26" s="8">
        <v>1</v>
      </c>
      <c r="H26" s="7" t="s">
        <v>17</v>
      </c>
      <c r="I26" s="9">
        <v>23140.5</v>
      </c>
      <c r="J26" s="9">
        <v>0</v>
      </c>
      <c r="K26" s="9">
        <v>0</v>
      </c>
      <c r="L26" s="9">
        <v>4859.5</v>
      </c>
      <c r="M26" s="9">
        <v>28000</v>
      </c>
    </row>
    <row r="27" spans="1:13" s="7" customFormat="1" x14ac:dyDescent="0.25">
      <c r="A27" s="7" t="s">
        <v>54</v>
      </c>
      <c r="B27" s="7" t="s">
        <v>15</v>
      </c>
      <c r="C27" s="8">
        <v>3101</v>
      </c>
      <c r="D27" s="8">
        <v>83407</v>
      </c>
      <c r="E27" s="8">
        <v>30678814357</v>
      </c>
      <c r="F27" s="7" t="s">
        <v>56</v>
      </c>
      <c r="G27" s="8">
        <v>1</v>
      </c>
      <c r="H27" s="7" t="s">
        <v>17</v>
      </c>
      <c r="I27" s="9">
        <v>50244.06</v>
      </c>
      <c r="J27" s="9">
        <v>0</v>
      </c>
      <c r="K27" s="9">
        <v>0</v>
      </c>
      <c r="L27" s="9">
        <v>13565.9</v>
      </c>
      <c r="M27" s="9">
        <v>67327.039999999994</v>
      </c>
    </row>
    <row r="28" spans="1:13" s="7" customFormat="1" x14ac:dyDescent="0.25">
      <c r="A28" s="7" t="s">
        <v>54</v>
      </c>
      <c r="B28" s="7" t="s">
        <v>15</v>
      </c>
      <c r="C28" s="8">
        <v>12</v>
      </c>
      <c r="D28" s="8">
        <v>1729333</v>
      </c>
      <c r="E28" s="8">
        <v>30709776564</v>
      </c>
      <c r="F28" s="7" t="s">
        <v>57</v>
      </c>
      <c r="G28" s="8">
        <v>1</v>
      </c>
      <c r="H28" s="7" t="s">
        <v>17</v>
      </c>
      <c r="I28" s="9">
        <v>96636.52</v>
      </c>
      <c r="J28" s="9">
        <v>0</v>
      </c>
      <c r="K28" s="9">
        <v>0</v>
      </c>
      <c r="L28" s="9">
        <v>20293.669999999998</v>
      </c>
      <c r="M28" s="9">
        <v>120795.66</v>
      </c>
    </row>
    <row r="29" spans="1:13" s="7" customFormat="1" x14ac:dyDescent="0.25">
      <c r="A29" s="7" t="s">
        <v>54</v>
      </c>
      <c r="B29" s="7" t="s">
        <v>15</v>
      </c>
      <c r="C29" s="8">
        <v>2</v>
      </c>
      <c r="D29" s="8">
        <v>501</v>
      </c>
      <c r="E29" s="8">
        <v>20272865869</v>
      </c>
      <c r="F29" s="7" t="s">
        <v>24</v>
      </c>
      <c r="G29" s="8">
        <v>1</v>
      </c>
      <c r="H29" s="7" t="s">
        <v>17</v>
      </c>
      <c r="I29" s="9">
        <v>41420</v>
      </c>
      <c r="J29" s="9">
        <v>0</v>
      </c>
      <c r="K29" s="9">
        <v>0</v>
      </c>
      <c r="L29" s="9">
        <v>8698.2000000000007</v>
      </c>
      <c r="M29" s="9">
        <v>50118.2</v>
      </c>
    </row>
    <row r="30" spans="1:13" s="7" customFormat="1" x14ac:dyDescent="0.25">
      <c r="A30" s="7" t="s">
        <v>59</v>
      </c>
      <c r="B30" s="7" t="s">
        <v>15</v>
      </c>
      <c r="C30" s="8">
        <v>3</v>
      </c>
      <c r="D30" s="8">
        <v>10230</v>
      </c>
      <c r="E30" s="8">
        <v>30710552726</v>
      </c>
      <c r="F30" s="7" t="s">
        <v>50</v>
      </c>
      <c r="G30" s="8">
        <v>1</v>
      </c>
      <c r="H30" s="7" t="s">
        <v>17</v>
      </c>
      <c r="I30" s="9">
        <v>16768.62</v>
      </c>
      <c r="J30" s="9">
        <v>0</v>
      </c>
      <c r="K30" s="9">
        <v>0</v>
      </c>
      <c r="L30" s="9">
        <v>3521.41</v>
      </c>
      <c r="M30" s="9">
        <v>20290</v>
      </c>
    </row>
    <row r="31" spans="1:13" s="7" customFormat="1" x14ac:dyDescent="0.25">
      <c r="A31" s="7" t="s">
        <v>59</v>
      </c>
      <c r="B31" s="7" t="s">
        <v>15</v>
      </c>
      <c r="C31" s="8">
        <v>2</v>
      </c>
      <c r="D31" s="8">
        <v>9860</v>
      </c>
      <c r="E31" s="8">
        <v>30714331082</v>
      </c>
      <c r="F31" s="7" t="s">
        <v>31</v>
      </c>
      <c r="G31" s="8">
        <v>1</v>
      </c>
      <c r="H31" s="7" t="s">
        <v>17</v>
      </c>
      <c r="I31" s="9">
        <v>1501054.02</v>
      </c>
      <c r="J31" s="9">
        <v>0</v>
      </c>
      <c r="K31" s="9">
        <v>0</v>
      </c>
      <c r="L31" s="9">
        <v>315221.34000000003</v>
      </c>
      <c r="M31" s="9">
        <v>1816275.36</v>
      </c>
    </row>
    <row r="32" spans="1:13" s="7" customFormat="1" x14ac:dyDescent="0.25">
      <c r="A32" s="7" t="s">
        <v>59</v>
      </c>
      <c r="B32" s="7" t="s">
        <v>15</v>
      </c>
      <c r="C32" s="8">
        <v>2</v>
      </c>
      <c r="D32" s="8">
        <v>7586</v>
      </c>
      <c r="E32" s="8">
        <v>30694549817</v>
      </c>
      <c r="F32" s="7" t="s">
        <v>60</v>
      </c>
      <c r="G32" s="8">
        <v>1</v>
      </c>
      <c r="H32" s="7" t="s">
        <v>17</v>
      </c>
      <c r="I32" s="9">
        <v>480141.99</v>
      </c>
      <c r="J32" s="9">
        <v>0</v>
      </c>
      <c r="K32" s="9">
        <v>0</v>
      </c>
      <c r="L32" s="9">
        <v>100829.82</v>
      </c>
      <c r="M32" s="9">
        <v>580971.81000000006</v>
      </c>
    </row>
    <row r="33" spans="1:13" s="7" customFormat="1" x14ac:dyDescent="0.25">
      <c r="A33" s="7" t="s">
        <v>59</v>
      </c>
      <c r="B33" s="7" t="s">
        <v>15</v>
      </c>
      <c r="C33" s="8">
        <v>4</v>
      </c>
      <c r="D33" s="8">
        <v>2183</v>
      </c>
      <c r="E33" s="8">
        <v>27293200349</v>
      </c>
      <c r="F33" s="7" t="s">
        <v>61</v>
      </c>
      <c r="G33" s="8">
        <v>1</v>
      </c>
      <c r="H33" s="7" t="s">
        <v>17</v>
      </c>
      <c r="I33" s="9">
        <v>29755.98</v>
      </c>
      <c r="J33" s="9">
        <v>0</v>
      </c>
      <c r="K33" s="9">
        <v>0</v>
      </c>
      <c r="L33" s="9">
        <v>6248.76</v>
      </c>
      <c r="M33" s="9">
        <v>36004.74</v>
      </c>
    </row>
    <row r="34" spans="1:13" x14ac:dyDescent="0.25">
      <c r="A34" s="10" t="s">
        <v>63</v>
      </c>
      <c r="B34" s="10" t="s">
        <v>15</v>
      </c>
      <c r="C34" s="11">
        <v>7</v>
      </c>
      <c r="D34" s="11">
        <v>5275</v>
      </c>
      <c r="E34" s="11">
        <v>30711255989</v>
      </c>
      <c r="F34" s="10" t="s">
        <v>64</v>
      </c>
      <c r="G34" s="11">
        <v>1</v>
      </c>
      <c r="H34" s="10" t="s">
        <v>17</v>
      </c>
      <c r="I34" s="12">
        <v>77859.5</v>
      </c>
      <c r="J34" s="12">
        <v>0</v>
      </c>
      <c r="K34" s="12">
        <v>0</v>
      </c>
      <c r="L34" s="12">
        <v>16350.5</v>
      </c>
      <c r="M34" s="12">
        <v>94210</v>
      </c>
    </row>
    <row r="35" spans="1:13" x14ac:dyDescent="0.25">
      <c r="A35" s="10" t="s">
        <v>68</v>
      </c>
      <c r="B35" s="10" t="s">
        <v>15</v>
      </c>
      <c r="C35" s="11">
        <v>25</v>
      </c>
      <c r="D35" s="11">
        <v>19242</v>
      </c>
      <c r="E35" s="11">
        <v>30535803710</v>
      </c>
      <c r="F35" s="10" t="s">
        <v>69</v>
      </c>
      <c r="G35" s="11">
        <v>1</v>
      </c>
      <c r="H35" s="10" t="s">
        <v>17</v>
      </c>
      <c r="I35" s="12">
        <v>442890</v>
      </c>
      <c r="J35" s="12">
        <v>0</v>
      </c>
      <c r="K35" s="12">
        <v>0</v>
      </c>
      <c r="L35" s="12">
        <v>93006.9</v>
      </c>
      <c r="M35" s="12">
        <v>553612.5</v>
      </c>
    </row>
    <row r="36" spans="1:13" x14ac:dyDescent="0.25">
      <c r="A36" s="10" t="s">
        <v>70</v>
      </c>
      <c r="B36" s="10" t="s">
        <v>15</v>
      </c>
      <c r="C36" s="11">
        <v>1</v>
      </c>
      <c r="D36" s="11">
        <v>11082</v>
      </c>
      <c r="E36" s="11">
        <v>30716240203</v>
      </c>
      <c r="F36" s="10" t="s">
        <v>71</v>
      </c>
      <c r="G36" s="11">
        <v>1</v>
      </c>
      <c r="H36" s="10" t="s">
        <v>17</v>
      </c>
      <c r="I36" s="12">
        <v>20813.52</v>
      </c>
      <c r="J36" s="12">
        <v>0</v>
      </c>
      <c r="K36" s="12">
        <v>0</v>
      </c>
      <c r="L36" s="12">
        <v>2185.42</v>
      </c>
      <c r="M36" s="12">
        <v>22998.99</v>
      </c>
    </row>
    <row r="37" spans="1:13" s="7" customFormat="1" x14ac:dyDescent="0.25">
      <c r="A37" s="7" t="s">
        <v>70</v>
      </c>
      <c r="B37" s="7" t="s">
        <v>15</v>
      </c>
      <c r="C37" s="8">
        <v>3</v>
      </c>
      <c r="D37" s="8">
        <v>7060</v>
      </c>
      <c r="E37" s="8">
        <v>33708218699</v>
      </c>
      <c r="F37" s="7" t="s">
        <v>72</v>
      </c>
      <c r="G37" s="8">
        <v>1</v>
      </c>
      <c r="H37" s="7" t="s">
        <v>17</v>
      </c>
      <c r="I37" s="9">
        <v>9500</v>
      </c>
      <c r="J37" s="9">
        <v>0</v>
      </c>
      <c r="K37" s="9">
        <v>0</v>
      </c>
      <c r="L37" s="9">
        <v>1995</v>
      </c>
      <c r="M37" s="9">
        <v>11495</v>
      </c>
    </row>
    <row r="38" spans="1:13" s="7" customFormat="1" x14ac:dyDescent="0.25">
      <c r="A38" s="7" t="s">
        <v>70</v>
      </c>
      <c r="B38" s="7" t="s">
        <v>15</v>
      </c>
      <c r="C38" s="8">
        <v>10</v>
      </c>
      <c r="D38" s="8">
        <v>1421</v>
      </c>
      <c r="E38" s="8">
        <v>30716229552</v>
      </c>
      <c r="F38" s="7" t="s">
        <v>73</v>
      </c>
      <c r="G38" s="8">
        <v>1</v>
      </c>
      <c r="H38" s="7" t="s">
        <v>17</v>
      </c>
      <c r="I38" s="9">
        <v>4958.68</v>
      </c>
      <c r="J38" s="9">
        <v>0</v>
      </c>
      <c r="K38" s="9">
        <v>0</v>
      </c>
      <c r="L38" s="9">
        <v>1041.32</v>
      </c>
      <c r="M38" s="9">
        <v>6000</v>
      </c>
    </row>
    <row r="39" spans="1:13" s="7" customFormat="1" x14ac:dyDescent="0.25">
      <c r="A39" s="7" t="s">
        <v>75</v>
      </c>
      <c r="B39" s="7" t="s">
        <v>15</v>
      </c>
      <c r="C39" s="8">
        <v>104</v>
      </c>
      <c r="D39" s="8">
        <v>4793</v>
      </c>
      <c r="E39" s="8">
        <v>30659276964</v>
      </c>
      <c r="F39" s="7" t="s">
        <v>76</v>
      </c>
      <c r="G39" s="8">
        <v>1</v>
      </c>
      <c r="H39" s="7" t="s">
        <v>17</v>
      </c>
      <c r="I39" s="9">
        <v>483107.44</v>
      </c>
      <c r="J39" s="9">
        <v>0</v>
      </c>
      <c r="K39" s="9">
        <v>0</v>
      </c>
      <c r="L39" s="9">
        <v>101452.56</v>
      </c>
      <c r="M39" s="9">
        <v>584560</v>
      </c>
    </row>
    <row r="40" spans="1:13" s="7" customFormat="1" x14ac:dyDescent="0.25">
      <c r="A40" s="7" t="s">
        <v>75</v>
      </c>
      <c r="B40" s="7" t="s">
        <v>15</v>
      </c>
      <c r="C40" s="8">
        <v>6</v>
      </c>
      <c r="D40" s="8">
        <v>52636</v>
      </c>
      <c r="E40" s="8">
        <v>30710177658</v>
      </c>
      <c r="F40" s="7" t="s">
        <v>77</v>
      </c>
      <c r="G40" s="8">
        <v>1</v>
      </c>
      <c r="H40" s="7" t="s">
        <v>17</v>
      </c>
      <c r="I40" s="9">
        <v>515781.06</v>
      </c>
      <c r="J40" s="9">
        <v>0</v>
      </c>
      <c r="K40" s="9">
        <v>0</v>
      </c>
      <c r="L40" s="9">
        <v>108314.02</v>
      </c>
      <c r="M40" s="9">
        <v>624095.07999999996</v>
      </c>
    </row>
    <row r="41" spans="1:13" s="7" customFormat="1" x14ac:dyDescent="0.25">
      <c r="A41" s="7" t="s">
        <v>75</v>
      </c>
      <c r="B41" s="7" t="s">
        <v>15</v>
      </c>
      <c r="C41" s="8">
        <v>104</v>
      </c>
      <c r="D41" s="8">
        <v>4792</v>
      </c>
      <c r="E41" s="8">
        <v>30659276964</v>
      </c>
      <c r="F41" s="7" t="s">
        <v>76</v>
      </c>
      <c r="G41" s="8">
        <v>1</v>
      </c>
      <c r="H41" s="7" t="s">
        <v>17</v>
      </c>
      <c r="I41" s="9">
        <v>214234.66</v>
      </c>
      <c r="J41" s="9">
        <v>0</v>
      </c>
      <c r="K41" s="9">
        <v>0</v>
      </c>
      <c r="L41" s="9">
        <v>44989.279999999999</v>
      </c>
      <c r="M41" s="9">
        <v>259223.94</v>
      </c>
    </row>
    <row r="42" spans="1:13" s="7" customFormat="1" x14ac:dyDescent="0.25">
      <c r="A42" s="7" t="s">
        <v>75</v>
      </c>
      <c r="B42" s="7" t="s">
        <v>15</v>
      </c>
      <c r="C42" s="8">
        <v>5</v>
      </c>
      <c r="D42" s="8">
        <v>154407</v>
      </c>
      <c r="E42" s="8">
        <v>30598960093</v>
      </c>
      <c r="F42" s="7" t="s">
        <v>78</v>
      </c>
      <c r="G42" s="8">
        <v>1</v>
      </c>
      <c r="H42" s="7" t="s">
        <v>17</v>
      </c>
      <c r="I42" s="9">
        <v>129150.1</v>
      </c>
      <c r="J42" s="9">
        <v>0</v>
      </c>
      <c r="K42" s="9">
        <v>0</v>
      </c>
      <c r="L42" s="9">
        <v>27121.52</v>
      </c>
      <c r="M42" s="9">
        <v>161437.62</v>
      </c>
    </row>
    <row r="43" spans="1:13" s="7" customFormat="1" x14ac:dyDescent="0.25">
      <c r="A43" s="7" t="s">
        <v>75</v>
      </c>
      <c r="B43" s="7" t="s">
        <v>15</v>
      </c>
      <c r="C43" s="8">
        <v>2</v>
      </c>
      <c r="D43" s="8">
        <v>511</v>
      </c>
      <c r="E43" s="8">
        <v>20272865869</v>
      </c>
      <c r="F43" s="7" t="s">
        <v>24</v>
      </c>
      <c r="G43" s="8">
        <v>1</v>
      </c>
      <c r="H43" s="7" t="s">
        <v>17</v>
      </c>
      <c r="I43" s="9">
        <v>100352.07</v>
      </c>
      <c r="J43" s="9">
        <v>0</v>
      </c>
      <c r="K43" s="9">
        <v>0</v>
      </c>
      <c r="L43" s="9">
        <v>21073.93</v>
      </c>
      <c r="M43" s="9">
        <v>121426</v>
      </c>
    </row>
    <row r="44" spans="1:13" s="7" customFormat="1" x14ac:dyDescent="0.25">
      <c r="A44" s="7" t="s">
        <v>83</v>
      </c>
      <c r="B44" s="7" t="s">
        <v>15</v>
      </c>
      <c r="C44" s="8">
        <v>2</v>
      </c>
      <c r="D44" s="8">
        <v>514</v>
      </c>
      <c r="E44" s="8">
        <v>20272865869</v>
      </c>
      <c r="F44" s="7" t="s">
        <v>24</v>
      </c>
      <c r="G44" s="8">
        <v>1</v>
      </c>
      <c r="H44" s="7" t="s">
        <v>17</v>
      </c>
      <c r="I44" s="9">
        <v>11540</v>
      </c>
      <c r="J44" s="9">
        <v>0</v>
      </c>
      <c r="K44" s="9">
        <v>0</v>
      </c>
      <c r="L44" s="9">
        <v>2423.4</v>
      </c>
      <c r="M44" s="9">
        <v>13963.4</v>
      </c>
    </row>
    <row r="45" spans="1:13" s="7" customFormat="1" x14ac:dyDescent="0.25">
      <c r="A45" s="7" t="s">
        <v>83</v>
      </c>
      <c r="B45" s="7" t="s">
        <v>15</v>
      </c>
      <c r="C45" s="8">
        <v>5015</v>
      </c>
      <c r="D45" s="8">
        <v>611070</v>
      </c>
      <c r="E45" s="8">
        <v>30574876474</v>
      </c>
      <c r="F45" s="7" t="s">
        <v>23</v>
      </c>
      <c r="G45" s="8">
        <v>1</v>
      </c>
      <c r="H45" s="7" t="s">
        <v>17</v>
      </c>
      <c r="I45" s="9">
        <v>29174.45</v>
      </c>
      <c r="J45" s="9">
        <v>0</v>
      </c>
      <c r="K45" s="9">
        <v>0</v>
      </c>
      <c r="L45" s="9">
        <v>6126.59</v>
      </c>
      <c r="M45" s="9">
        <v>39093.71</v>
      </c>
    </row>
    <row r="46" spans="1:13" s="7" customFormat="1" x14ac:dyDescent="0.25">
      <c r="A46" s="7" t="s">
        <v>83</v>
      </c>
      <c r="B46" s="7" t="s">
        <v>15</v>
      </c>
      <c r="C46" s="8">
        <v>3</v>
      </c>
      <c r="D46" s="8">
        <v>4099</v>
      </c>
      <c r="E46" s="8">
        <v>20184052858</v>
      </c>
      <c r="F46" s="7" t="s">
        <v>84</v>
      </c>
      <c r="G46" s="8">
        <v>1</v>
      </c>
      <c r="H46" s="7" t="s">
        <v>17</v>
      </c>
      <c r="I46" s="9">
        <v>72809.86</v>
      </c>
      <c r="J46" s="9">
        <v>0</v>
      </c>
      <c r="K46" s="9">
        <v>0</v>
      </c>
      <c r="L46" s="9">
        <v>15290.07</v>
      </c>
      <c r="M46" s="9">
        <v>88099.97</v>
      </c>
    </row>
    <row r="47" spans="1:13" s="7" customFormat="1" x14ac:dyDescent="0.25">
      <c r="A47" s="7" t="s">
        <v>83</v>
      </c>
      <c r="B47" s="7" t="s">
        <v>15</v>
      </c>
      <c r="C47" s="8">
        <v>3</v>
      </c>
      <c r="D47" s="8">
        <v>286</v>
      </c>
      <c r="E47" s="8">
        <v>20239207325</v>
      </c>
      <c r="F47" s="7" t="s">
        <v>85</v>
      </c>
      <c r="G47" s="8">
        <v>1</v>
      </c>
      <c r="H47" s="7" t="s">
        <v>17</v>
      </c>
      <c r="I47" s="9">
        <v>487181.9</v>
      </c>
      <c r="J47" s="9">
        <v>0</v>
      </c>
      <c r="K47" s="9">
        <v>0</v>
      </c>
      <c r="L47" s="9">
        <v>102308.2</v>
      </c>
      <c r="M47" s="9">
        <v>589490.15</v>
      </c>
    </row>
    <row r="48" spans="1:13" s="7" customFormat="1" x14ac:dyDescent="0.25">
      <c r="A48" s="7" t="s">
        <v>83</v>
      </c>
      <c r="B48" s="7" t="s">
        <v>15</v>
      </c>
      <c r="C48" s="8">
        <v>9</v>
      </c>
      <c r="D48" s="8">
        <v>2482</v>
      </c>
      <c r="E48" s="8">
        <v>30610666430</v>
      </c>
      <c r="F48" s="7" t="s">
        <v>86</v>
      </c>
      <c r="G48" s="8">
        <v>1</v>
      </c>
      <c r="H48" s="7" t="s">
        <v>17</v>
      </c>
      <c r="I48" s="9">
        <v>14545.45</v>
      </c>
      <c r="J48" s="9">
        <v>0</v>
      </c>
      <c r="K48" s="9">
        <v>0</v>
      </c>
      <c r="L48" s="9">
        <v>3054.55</v>
      </c>
      <c r="M48" s="9">
        <v>17600</v>
      </c>
    </row>
    <row r="49" spans="1:13" s="7" customFormat="1" x14ac:dyDescent="0.25">
      <c r="A49" s="7" t="s">
        <v>83</v>
      </c>
      <c r="B49" s="7" t="s">
        <v>15</v>
      </c>
      <c r="C49" s="8">
        <v>120</v>
      </c>
      <c r="D49" s="8">
        <v>4393</v>
      </c>
      <c r="E49" s="8">
        <v>30587197215</v>
      </c>
      <c r="F49" s="7" t="s">
        <v>87</v>
      </c>
      <c r="G49" s="8">
        <v>1</v>
      </c>
      <c r="H49" s="7" t="s">
        <v>17</v>
      </c>
      <c r="I49" s="9">
        <v>56198.35</v>
      </c>
      <c r="J49" s="9">
        <v>0</v>
      </c>
      <c r="K49" s="9">
        <v>0</v>
      </c>
      <c r="L49" s="9">
        <v>11801.65</v>
      </c>
      <c r="M49" s="9">
        <v>70247.929999999993</v>
      </c>
    </row>
    <row r="50" spans="1:13" s="7" customFormat="1" x14ac:dyDescent="0.25">
      <c r="A50" s="7" t="s">
        <v>83</v>
      </c>
      <c r="B50" s="7" t="s">
        <v>15</v>
      </c>
      <c r="C50" s="8">
        <v>711</v>
      </c>
      <c r="D50" s="8">
        <v>5691979</v>
      </c>
      <c r="E50" s="8">
        <v>30677237119</v>
      </c>
      <c r="F50" s="7" t="s">
        <v>29</v>
      </c>
      <c r="G50" s="8">
        <v>1</v>
      </c>
      <c r="H50" s="7" t="s">
        <v>17</v>
      </c>
      <c r="I50" s="9">
        <v>4173.51</v>
      </c>
      <c r="J50" s="9">
        <v>0</v>
      </c>
      <c r="K50" s="9">
        <v>125.21</v>
      </c>
      <c r="L50" s="9">
        <v>876.49</v>
      </c>
      <c r="M50" s="9">
        <v>5342.15</v>
      </c>
    </row>
    <row r="51" spans="1:13" s="7" customFormat="1" x14ac:dyDescent="0.25">
      <c r="A51" s="7" t="s">
        <v>83</v>
      </c>
      <c r="B51" s="7" t="s">
        <v>15</v>
      </c>
      <c r="C51" s="8">
        <v>4</v>
      </c>
      <c r="D51" s="8">
        <v>9453</v>
      </c>
      <c r="E51" s="8">
        <v>30700939797</v>
      </c>
      <c r="F51" s="7" t="s">
        <v>88</v>
      </c>
      <c r="G51" s="8">
        <v>1</v>
      </c>
      <c r="H51" s="7" t="s">
        <v>17</v>
      </c>
      <c r="I51" s="9">
        <v>238016.53</v>
      </c>
      <c r="J51" s="9">
        <v>0</v>
      </c>
      <c r="K51" s="9">
        <v>0</v>
      </c>
      <c r="L51" s="9">
        <v>49983.47</v>
      </c>
      <c r="M51" s="9">
        <v>288000</v>
      </c>
    </row>
    <row r="52" spans="1:13" s="7" customFormat="1" x14ac:dyDescent="0.25">
      <c r="A52" s="7" t="s">
        <v>83</v>
      </c>
      <c r="B52" s="7" t="s">
        <v>15</v>
      </c>
      <c r="C52" s="8">
        <v>6</v>
      </c>
      <c r="D52" s="8">
        <v>52649</v>
      </c>
      <c r="E52" s="8">
        <v>30710177658</v>
      </c>
      <c r="F52" s="7" t="s">
        <v>77</v>
      </c>
      <c r="G52" s="8">
        <v>1</v>
      </c>
      <c r="H52" s="7" t="s">
        <v>17</v>
      </c>
      <c r="I52" s="9">
        <v>414830</v>
      </c>
      <c r="J52" s="9">
        <v>0</v>
      </c>
      <c r="K52" s="9">
        <v>0</v>
      </c>
      <c r="L52" s="9">
        <v>87114.3</v>
      </c>
      <c r="M52" s="9">
        <v>501944.3</v>
      </c>
    </row>
    <row r="53" spans="1:13" s="7" customFormat="1" x14ac:dyDescent="0.25">
      <c r="A53" s="7" t="s">
        <v>83</v>
      </c>
      <c r="B53" s="7" t="s">
        <v>15</v>
      </c>
      <c r="C53" s="8">
        <v>629</v>
      </c>
      <c r="D53" s="8">
        <v>5127599</v>
      </c>
      <c r="E53" s="8">
        <v>30663498513</v>
      </c>
      <c r="F53" s="7" t="s">
        <v>35</v>
      </c>
      <c r="G53" s="8">
        <v>1</v>
      </c>
      <c r="H53" s="7" t="s">
        <v>17</v>
      </c>
      <c r="I53" s="9">
        <v>1239.6600000000001</v>
      </c>
      <c r="J53" s="9">
        <v>0</v>
      </c>
      <c r="K53" s="9">
        <v>0</v>
      </c>
      <c r="L53" s="9">
        <v>260.33999999999997</v>
      </c>
      <c r="M53" s="9">
        <v>1549.59</v>
      </c>
    </row>
    <row r="54" spans="1:13" x14ac:dyDescent="0.25">
      <c r="A54" s="10" t="s">
        <v>90</v>
      </c>
      <c r="B54" s="10" t="s">
        <v>15</v>
      </c>
      <c r="C54" s="11">
        <v>113</v>
      </c>
      <c r="D54" s="11">
        <v>3587603</v>
      </c>
      <c r="E54" s="11">
        <v>30577207190</v>
      </c>
      <c r="F54" s="10" t="s">
        <v>91</v>
      </c>
      <c r="G54" s="11">
        <v>1</v>
      </c>
      <c r="H54" s="10" t="s">
        <v>17</v>
      </c>
      <c r="I54" s="12">
        <v>5795.04</v>
      </c>
      <c r="J54" s="12">
        <v>0</v>
      </c>
      <c r="K54" s="12">
        <v>0</v>
      </c>
      <c r="L54" s="12">
        <v>1216.96</v>
      </c>
      <c r="M54" s="12">
        <v>7185.85</v>
      </c>
    </row>
    <row r="55" spans="1:13" s="7" customFormat="1" x14ac:dyDescent="0.25">
      <c r="A55" s="7" t="s">
        <v>92</v>
      </c>
      <c r="B55" s="7" t="s">
        <v>15</v>
      </c>
      <c r="C55" s="8">
        <v>401</v>
      </c>
      <c r="D55" s="8">
        <v>18</v>
      </c>
      <c r="E55" s="8">
        <v>30716234114</v>
      </c>
      <c r="F55" s="7" t="s">
        <v>93</v>
      </c>
      <c r="G55" s="8">
        <v>897</v>
      </c>
      <c r="H55" s="7" t="s">
        <v>94</v>
      </c>
      <c r="I55" s="9">
        <f>897*200</f>
        <v>179400</v>
      </c>
      <c r="J55" s="9">
        <v>0</v>
      </c>
      <c r="K55" s="9">
        <v>0</v>
      </c>
      <c r="L55" s="9">
        <f>897*42</f>
        <v>37674</v>
      </c>
      <c r="M55" s="9">
        <f>897*242</f>
        <v>217074</v>
      </c>
    </row>
    <row r="56" spans="1:13" s="7" customFormat="1" x14ac:dyDescent="0.25">
      <c r="A56" s="7" t="s">
        <v>96</v>
      </c>
      <c r="B56" s="7" t="s">
        <v>15</v>
      </c>
      <c r="C56" s="8">
        <v>3</v>
      </c>
      <c r="D56" s="8">
        <v>154</v>
      </c>
      <c r="E56" s="8">
        <v>20334976433</v>
      </c>
      <c r="F56" s="7" t="s">
        <v>37</v>
      </c>
      <c r="G56" s="8">
        <v>1</v>
      </c>
      <c r="H56" s="7" t="s">
        <v>17</v>
      </c>
      <c r="I56" s="9">
        <v>143326.43</v>
      </c>
      <c r="J56" s="9">
        <v>0</v>
      </c>
      <c r="K56" s="9">
        <v>0</v>
      </c>
      <c r="L56" s="9">
        <v>30098.55</v>
      </c>
      <c r="M56" s="9">
        <v>173425</v>
      </c>
    </row>
    <row r="57" spans="1:13" s="7" customFormat="1" x14ac:dyDescent="0.25">
      <c r="A57" s="7" t="s">
        <v>96</v>
      </c>
      <c r="B57" s="7" t="s">
        <v>15</v>
      </c>
      <c r="C57" s="8">
        <v>6</v>
      </c>
      <c r="D57" s="8">
        <v>82077</v>
      </c>
      <c r="E57" s="8">
        <v>30711553564</v>
      </c>
      <c r="F57" s="7" t="s">
        <v>97</v>
      </c>
      <c r="G57" s="8">
        <v>1</v>
      </c>
      <c r="H57" s="7" t="s">
        <v>17</v>
      </c>
      <c r="I57" s="9">
        <v>231434.05</v>
      </c>
      <c r="J57" s="9">
        <v>0</v>
      </c>
      <c r="K57" s="9">
        <v>0</v>
      </c>
      <c r="L57" s="9">
        <v>48601.15</v>
      </c>
      <c r="M57" s="9">
        <v>280035.20000000001</v>
      </c>
    </row>
    <row r="58" spans="1:13" s="7" customFormat="1" x14ac:dyDescent="0.25">
      <c r="A58" s="7" t="s">
        <v>96</v>
      </c>
      <c r="B58" s="7" t="s">
        <v>15</v>
      </c>
      <c r="C58" s="8">
        <v>7</v>
      </c>
      <c r="D58" s="8">
        <v>18120</v>
      </c>
      <c r="E58" s="8">
        <v>30709214078</v>
      </c>
      <c r="F58" s="7" t="s">
        <v>98</v>
      </c>
      <c r="G58" s="8">
        <v>1</v>
      </c>
      <c r="H58" s="7" t="s">
        <v>17</v>
      </c>
      <c r="I58" s="9">
        <v>333500</v>
      </c>
      <c r="J58" s="9">
        <v>0</v>
      </c>
      <c r="K58" s="9">
        <v>0</v>
      </c>
      <c r="L58" s="9">
        <v>70035</v>
      </c>
      <c r="M58" s="9">
        <v>403535</v>
      </c>
    </row>
    <row r="59" spans="1:13" s="7" customFormat="1" x14ac:dyDescent="0.25">
      <c r="A59" s="7" t="s">
        <v>96</v>
      </c>
      <c r="B59" s="7" t="s">
        <v>15</v>
      </c>
      <c r="C59" s="8">
        <v>2</v>
      </c>
      <c r="D59" s="8">
        <v>9907</v>
      </c>
      <c r="E59" s="8">
        <v>30714331082</v>
      </c>
      <c r="F59" s="7" t="s">
        <v>31</v>
      </c>
      <c r="G59" s="8">
        <v>1</v>
      </c>
      <c r="H59" s="7" t="s">
        <v>17</v>
      </c>
      <c r="I59" s="9">
        <v>841289.58</v>
      </c>
      <c r="J59" s="9">
        <v>0</v>
      </c>
      <c r="K59" s="9">
        <v>0</v>
      </c>
      <c r="L59" s="9">
        <v>176670.81</v>
      </c>
      <c r="M59" s="9">
        <v>1017960.39</v>
      </c>
    </row>
    <row r="60" spans="1:13" s="7" customFormat="1" x14ac:dyDescent="0.25">
      <c r="A60" s="7" t="s">
        <v>96</v>
      </c>
      <c r="B60" s="7" t="s">
        <v>15</v>
      </c>
      <c r="C60" s="8">
        <v>1</v>
      </c>
      <c r="D60" s="8">
        <v>3337</v>
      </c>
      <c r="E60" s="8">
        <v>30715141201</v>
      </c>
      <c r="F60" s="7" t="s">
        <v>39</v>
      </c>
      <c r="G60" s="8">
        <v>1</v>
      </c>
      <c r="H60" s="7" t="s">
        <v>17</v>
      </c>
      <c r="I60" s="9">
        <v>1831508.46</v>
      </c>
      <c r="J60" s="9">
        <v>0</v>
      </c>
      <c r="K60" s="9">
        <v>0</v>
      </c>
      <c r="L60" s="9">
        <v>384616.78</v>
      </c>
      <c r="M60" s="9">
        <v>2216125.2400000002</v>
      </c>
    </row>
    <row r="61" spans="1:13" s="7" customFormat="1" x14ac:dyDescent="0.25">
      <c r="A61" s="7" t="s">
        <v>99</v>
      </c>
      <c r="B61" s="7" t="s">
        <v>15</v>
      </c>
      <c r="C61" s="8">
        <v>2</v>
      </c>
      <c r="D61" s="8">
        <v>24428</v>
      </c>
      <c r="E61" s="8">
        <v>23233422029</v>
      </c>
      <c r="F61" s="7" t="s">
        <v>100</v>
      </c>
      <c r="G61" s="8">
        <v>1</v>
      </c>
      <c r="H61" s="7" t="s">
        <v>17</v>
      </c>
      <c r="I61" s="9">
        <v>721522.5</v>
      </c>
      <c r="J61" s="9">
        <v>0</v>
      </c>
      <c r="K61" s="9">
        <v>0</v>
      </c>
      <c r="L61" s="9">
        <v>151519.73000000001</v>
      </c>
      <c r="M61" s="9">
        <v>873042.23</v>
      </c>
    </row>
    <row r="62" spans="1:13" s="7" customFormat="1" x14ac:dyDescent="0.25">
      <c r="A62" s="7" t="s">
        <v>99</v>
      </c>
      <c r="B62" s="7" t="s">
        <v>15</v>
      </c>
      <c r="C62" s="8">
        <v>5</v>
      </c>
      <c r="D62" s="8">
        <v>28</v>
      </c>
      <c r="E62" s="8">
        <v>20929183143</v>
      </c>
      <c r="F62" s="7" t="s">
        <v>101</v>
      </c>
      <c r="G62" s="8">
        <v>1</v>
      </c>
      <c r="H62" s="7" t="s">
        <v>17</v>
      </c>
      <c r="I62" s="9">
        <v>40000</v>
      </c>
      <c r="J62" s="9">
        <v>0</v>
      </c>
      <c r="K62" s="9">
        <v>0</v>
      </c>
      <c r="L62" s="9">
        <v>8400</v>
      </c>
      <c r="M62" s="9">
        <v>48400</v>
      </c>
    </row>
    <row r="63" spans="1:13" s="7" customFormat="1" x14ac:dyDescent="0.25">
      <c r="A63" s="7" t="s">
        <v>99</v>
      </c>
      <c r="B63" s="7" t="s">
        <v>15</v>
      </c>
      <c r="C63" s="8">
        <v>300</v>
      </c>
      <c r="D63" s="8">
        <v>9122</v>
      </c>
      <c r="E63" s="8">
        <v>33715236449</v>
      </c>
      <c r="F63" s="7" t="s">
        <v>102</v>
      </c>
      <c r="G63" s="8">
        <v>1</v>
      </c>
      <c r="H63" s="7" t="s">
        <v>17</v>
      </c>
      <c r="I63" s="9">
        <v>47671.9</v>
      </c>
      <c r="J63" s="9">
        <v>0</v>
      </c>
      <c r="K63" s="9">
        <v>0</v>
      </c>
      <c r="L63" s="9">
        <v>10011.1</v>
      </c>
      <c r="M63" s="9">
        <v>57683</v>
      </c>
    </row>
    <row r="64" spans="1:13" x14ac:dyDescent="0.25">
      <c r="A64" s="10" t="s">
        <v>99</v>
      </c>
      <c r="B64" s="10" t="s">
        <v>15</v>
      </c>
      <c r="C64" s="11">
        <v>4264</v>
      </c>
      <c r="D64" s="11">
        <v>3850650</v>
      </c>
      <c r="E64" s="11">
        <v>30639453738</v>
      </c>
      <c r="F64" s="10" t="s">
        <v>103</v>
      </c>
      <c r="G64" s="11">
        <v>1</v>
      </c>
      <c r="H64" s="10" t="s">
        <v>17</v>
      </c>
      <c r="I64" s="12">
        <v>58983.47</v>
      </c>
      <c r="J64" s="12">
        <v>0</v>
      </c>
      <c r="K64" s="12">
        <v>0</v>
      </c>
      <c r="L64" s="12">
        <v>12386.53</v>
      </c>
      <c r="M64" s="12">
        <v>75498.84</v>
      </c>
    </row>
    <row r="65" spans="1:13" s="7" customFormat="1" x14ac:dyDescent="0.25">
      <c r="A65" s="7" t="s">
        <v>104</v>
      </c>
      <c r="B65" s="7" t="s">
        <v>15</v>
      </c>
      <c r="C65" s="8">
        <v>700</v>
      </c>
      <c r="D65" s="8">
        <v>1673461</v>
      </c>
      <c r="E65" s="8">
        <v>30715804812</v>
      </c>
      <c r="F65" s="7" t="s">
        <v>105</v>
      </c>
      <c r="G65" s="8">
        <v>1</v>
      </c>
      <c r="H65" s="7" t="s">
        <v>17</v>
      </c>
      <c r="I65" s="9">
        <v>9090.91</v>
      </c>
      <c r="J65" s="9">
        <v>0</v>
      </c>
      <c r="K65" s="9">
        <v>0</v>
      </c>
      <c r="L65" s="9">
        <v>1909.09</v>
      </c>
      <c r="M65" s="9">
        <v>11363.64</v>
      </c>
    </row>
    <row r="66" spans="1:13" s="7" customFormat="1" x14ac:dyDescent="0.25">
      <c r="A66" s="7" t="s">
        <v>104</v>
      </c>
      <c r="B66" s="7" t="s">
        <v>15</v>
      </c>
      <c r="C66" s="8">
        <v>6</v>
      </c>
      <c r="D66" s="8">
        <v>82164</v>
      </c>
      <c r="E66" s="8">
        <v>30711553564</v>
      </c>
      <c r="F66" s="7" t="s">
        <v>97</v>
      </c>
      <c r="G66" s="8">
        <v>1</v>
      </c>
      <c r="H66" s="7" t="s">
        <v>17</v>
      </c>
      <c r="I66" s="9">
        <v>167740</v>
      </c>
      <c r="J66" s="9">
        <v>0</v>
      </c>
      <c r="K66" s="9">
        <v>0</v>
      </c>
      <c r="L66" s="9">
        <v>35225.4</v>
      </c>
      <c r="M66" s="9">
        <v>202965.4</v>
      </c>
    </row>
    <row r="67" spans="1:13" s="7" customFormat="1" x14ac:dyDescent="0.25">
      <c r="A67" s="7" t="s">
        <v>104</v>
      </c>
      <c r="B67" s="7" t="s">
        <v>15</v>
      </c>
      <c r="C67" s="8">
        <v>5</v>
      </c>
      <c r="D67" s="8">
        <v>3041379</v>
      </c>
      <c r="E67" s="8">
        <v>30702652975</v>
      </c>
      <c r="F67" s="7" t="s">
        <v>106</v>
      </c>
      <c r="G67" s="8">
        <v>1</v>
      </c>
      <c r="H67" s="7" t="s">
        <v>17</v>
      </c>
      <c r="I67" s="9">
        <v>27693.23</v>
      </c>
      <c r="J67" s="9">
        <v>0</v>
      </c>
      <c r="K67" s="9">
        <v>0</v>
      </c>
      <c r="L67" s="9">
        <v>5815.58</v>
      </c>
      <c r="M67" s="9">
        <v>34616.53</v>
      </c>
    </row>
    <row r="68" spans="1:13" s="7" customFormat="1" x14ac:dyDescent="0.25">
      <c r="A68" s="7" t="s">
        <v>108</v>
      </c>
      <c r="B68" s="7" t="s">
        <v>15</v>
      </c>
      <c r="C68" s="8">
        <v>2</v>
      </c>
      <c r="D68" s="8">
        <v>524</v>
      </c>
      <c r="E68" s="8">
        <v>20272865869</v>
      </c>
      <c r="F68" s="7" t="s">
        <v>24</v>
      </c>
      <c r="G68" s="8">
        <v>1</v>
      </c>
      <c r="H68" s="7" t="s">
        <v>17</v>
      </c>
      <c r="I68" s="9">
        <v>70031.320000000007</v>
      </c>
      <c r="J68" s="9">
        <v>0</v>
      </c>
      <c r="K68" s="9">
        <v>0</v>
      </c>
      <c r="L68" s="9">
        <v>14706.58</v>
      </c>
      <c r="M68" s="9">
        <v>84737.9</v>
      </c>
    </row>
    <row r="69" spans="1:13" s="7" customFormat="1" x14ac:dyDescent="0.25">
      <c r="A69" s="7" t="s">
        <v>108</v>
      </c>
      <c r="B69" s="7" t="s">
        <v>15</v>
      </c>
      <c r="C69" s="8">
        <v>1</v>
      </c>
      <c r="D69" s="8">
        <v>3369</v>
      </c>
      <c r="E69" s="8">
        <v>30715141201</v>
      </c>
      <c r="F69" s="7" t="s">
        <v>39</v>
      </c>
      <c r="G69" s="8">
        <v>1</v>
      </c>
      <c r="H69" s="7" t="s">
        <v>17</v>
      </c>
      <c r="I69" s="9">
        <v>645772.30000000005</v>
      </c>
      <c r="J69" s="9">
        <v>0</v>
      </c>
      <c r="K69" s="9">
        <v>0</v>
      </c>
      <c r="L69" s="9">
        <v>135612.18</v>
      </c>
      <c r="M69" s="9">
        <v>781384.48</v>
      </c>
    </row>
    <row r="70" spans="1:13" s="7" customFormat="1" x14ac:dyDescent="0.25">
      <c r="A70" s="7" t="s">
        <v>108</v>
      </c>
      <c r="B70" s="7" t="s">
        <v>15</v>
      </c>
      <c r="C70" s="8">
        <v>7</v>
      </c>
      <c r="D70" s="8">
        <v>18165</v>
      </c>
      <c r="E70" s="8">
        <v>30709214078</v>
      </c>
      <c r="F70" s="7" t="s">
        <v>98</v>
      </c>
      <c r="G70" s="8">
        <v>1</v>
      </c>
      <c r="H70" s="7" t="s">
        <v>17</v>
      </c>
      <c r="I70" s="9">
        <v>652740</v>
      </c>
      <c r="J70" s="9">
        <v>0</v>
      </c>
      <c r="K70" s="9">
        <v>0</v>
      </c>
      <c r="L70" s="9">
        <v>73319.399999999994</v>
      </c>
      <c r="M70" s="9">
        <v>726059.4</v>
      </c>
    </row>
    <row r="71" spans="1:13" s="7" customFormat="1" x14ac:dyDescent="0.25">
      <c r="A71" s="7" t="s">
        <v>108</v>
      </c>
      <c r="B71" s="7" t="s">
        <v>15</v>
      </c>
      <c r="C71" s="8">
        <v>32</v>
      </c>
      <c r="D71" s="8">
        <v>12772</v>
      </c>
      <c r="E71" s="8">
        <v>30707304886</v>
      </c>
      <c r="F71" s="7" t="s">
        <v>109</v>
      </c>
      <c r="G71" s="8">
        <v>1</v>
      </c>
      <c r="H71" s="7" t="s">
        <v>17</v>
      </c>
      <c r="I71" s="9">
        <v>312047.92</v>
      </c>
      <c r="J71" s="9">
        <v>0</v>
      </c>
      <c r="K71" s="9">
        <v>0</v>
      </c>
      <c r="L71" s="9">
        <v>65530.06</v>
      </c>
      <c r="M71" s="9">
        <v>390059.9</v>
      </c>
    </row>
    <row r="72" spans="1:13" s="7" customFormat="1" x14ac:dyDescent="0.25">
      <c r="A72" s="7" t="s">
        <v>110</v>
      </c>
      <c r="B72" s="7" t="s">
        <v>15</v>
      </c>
      <c r="C72" s="8">
        <v>5</v>
      </c>
      <c r="D72" s="8">
        <v>1503</v>
      </c>
      <c r="E72" s="8">
        <v>20242126158</v>
      </c>
      <c r="F72" s="7" t="s">
        <v>111</v>
      </c>
      <c r="G72" s="8">
        <v>1</v>
      </c>
      <c r="H72" s="7" t="s">
        <v>17</v>
      </c>
      <c r="I72" s="9">
        <v>115029</v>
      </c>
      <c r="J72" s="9">
        <v>0</v>
      </c>
      <c r="K72" s="9">
        <v>0</v>
      </c>
      <c r="L72" s="9">
        <v>24156.09</v>
      </c>
      <c r="M72" s="9">
        <v>139185.09</v>
      </c>
    </row>
    <row r="73" spans="1:13" s="7" customFormat="1" x14ac:dyDescent="0.25">
      <c r="A73" s="7" t="s">
        <v>112</v>
      </c>
      <c r="B73" s="7" t="s">
        <v>15</v>
      </c>
      <c r="C73" s="8">
        <v>3</v>
      </c>
      <c r="D73" s="8">
        <v>155</v>
      </c>
      <c r="E73" s="8">
        <v>20334976433</v>
      </c>
      <c r="F73" s="7" t="s">
        <v>37</v>
      </c>
      <c r="G73" s="8">
        <v>1</v>
      </c>
      <c r="H73" s="7" t="s">
        <v>17</v>
      </c>
      <c r="I73" s="9">
        <v>150000</v>
      </c>
      <c r="J73" s="9">
        <v>0</v>
      </c>
      <c r="K73" s="9">
        <v>0</v>
      </c>
      <c r="L73" s="9">
        <v>31500</v>
      </c>
      <c r="M73" s="9">
        <v>181500</v>
      </c>
    </row>
    <row r="74" spans="1:13" s="7" customFormat="1" x14ac:dyDescent="0.25">
      <c r="A74" s="7" t="s">
        <v>112</v>
      </c>
      <c r="B74" s="7" t="s">
        <v>15</v>
      </c>
      <c r="C74" s="8">
        <v>5</v>
      </c>
      <c r="D74" s="8">
        <v>1508</v>
      </c>
      <c r="E74" s="8">
        <v>20242126158</v>
      </c>
      <c r="F74" s="7" t="s">
        <v>111</v>
      </c>
      <c r="G74" s="8">
        <v>1</v>
      </c>
      <c r="H74" s="7" t="s">
        <v>17</v>
      </c>
      <c r="I74" s="9">
        <v>187845</v>
      </c>
      <c r="J74" s="9">
        <v>0</v>
      </c>
      <c r="K74" s="9">
        <v>0</v>
      </c>
      <c r="L74" s="9">
        <v>39447.449999999997</v>
      </c>
      <c r="M74" s="9">
        <v>227292.45</v>
      </c>
    </row>
    <row r="75" spans="1:13" s="7" customFormat="1" x14ac:dyDescent="0.25">
      <c r="A75" s="7" t="s">
        <v>112</v>
      </c>
      <c r="B75" s="7" t="s">
        <v>15</v>
      </c>
      <c r="C75" s="8">
        <v>2</v>
      </c>
      <c r="D75" s="8">
        <v>752</v>
      </c>
      <c r="E75" s="8">
        <v>20171082464</v>
      </c>
      <c r="F75" s="7" t="s">
        <v>113</v>
      </c>
      <c r="G75" s="8">
        <v>1</v>
      </c>
      <c r="H75" s="7" t="s">
        <v>17</v>
      </c>
      <c r="I75" s="9">
        <v>385947.52</v>
      </c>
      <c r="J75" s="9">
        <v>0</v>
      </c>
      <c r="K75" s="9">
        <v>0</v>
      </c>
      <c r="L75" s="9">
        <v>81048.98</v>
      </c>
      <c r="M75" s="9">
        <v>466996.47999999998</v>
      </c>
    </row>
    <row r="76" spans="1:13" s="7" customFormat="1" x14ac:dyDescent="0.25">
      <c r="A76" s="7" t="s">
        <v>112</v>
      </c>
      <c r="B76" s="7" t="s">
        <v>15</v>
      </c>
      <c r="C76" s="8">
        <v>2</v>
      </c>
      <c r="D76" s="8">
        <v>9932</v>
      </c>
      <c r="E76" s="8">
        <v>30714331082</v>
      </c>
      <c r="F76" s="7" t="s">
        <v>31</v>
      </c>
      <c r="G76" s="8">
        <v>1</v>
      </c>
      <c r="H76" s="7" t="s">
        <v>17</v>
      </c>
      <c r="I76" s="9">
        <v>856390.41</v>
      </c>
      <c r="J76" s="9">
        <v>0</v>
      </c>
      <c r="K76" s="9">
        <v>0</v>
      </c>
      <c r="L76" s="9">
        <v>89920.99</v>
      </c>
      <c r="M76" s="9">
        <v>946311.4</v>
      </c>
    </row>
    <row r="77" spans="1:13" s="7" customFormat="1" x14ac:dyDescent="0.25">
      <c r="A77" s="7" t="s">
        <v>116</v>
      </c>
      <c r="B77" s="7" t="s">
        <v>15</v>
      </c>
      <c r="C77" s="8">
        <v>12</v>
      </c>
      <c r="D77" s="8">
        <v>39026</v>
      </c>
      <c r="E77" s="8">
        <v>30526582884</v>
      </c>
      <c r="F77" s="7" t="s">
        <v>117</v>
      </c>
      <c r="G77" s="8">
        <v>1</v>
      </c>
      <c r="H77" s="7" t="s">
        <v>17</v>
      </c>
      <c r="I77" s="9">
        <v>32793.39</v>
      </c>
      <c r="J77" s="9">
        <v>0</v>
      </c>
      <c r="K77" s="9">
        <v>0</v>
      </c>
      <c r="L77" s="9">
        <v>6886.61</v>
      </c>
      <c r="M77" s="9">
        <v>39680</v>
      </c>
    </row>
    <row r="78" spans="1:13" s="7" customFormat="1" x14ac:dyDescent="0.25">
      <c r="A78" s="7" t="s">
        <v>116</v>
      </c>
      <c r="B78" s="7" t="s">
        <v>15</v>
      </c>
      <c r="C78" s="8">
        <v>5</v>
      </c>
      <c r="D78" s="8">
        <v>154868</v>
      </c>
      <c r="E78" s="8">
        <v>30598960093</v>
      </c>
      <c r="F78" s="7" t="s">
        <v>78</v>
      </c>
      <c r="G78" s="8">
        <v>1</v>
      </c>
      <c r="H78" s="7" t="s">
        <v>17</v>
      </c>
      <c r="I78" s="9">
        <v>1006521.44</v>
      </c>
      <c r="J78" s="9">
        <v>0</v>
      </c>
      <c r="K78" s="9">
        <v>0</v>
      </c>
      <c r="L78" s="9">
        <v>211369.5</v>
      </c>
      <c r="M78" s="9">
        <v>1258151.8</v>
      </c>
    </row>
    <row r="79" spans="1:13" s="7" customFormat="1" x14ac:dyDescent="0.25">
      <c r="A79" s="7" t="s">
        <v>116</v>
      </c>
      <c r="B79" s="7" t="s">
        <v>15</v>
      </c>
      <c r="C79" s="8">
        <v>6</v>
      </c>
      <c r="D79" s="8">
        <v>52779</v>
      </c>
      <c r="E79" s="8">
        <v>30710177658</v>
      </c>
      <c r="F79" s="7" t="s">
        <v>77</v>
      </c>
      <c r="G79" s="8">
        <v>1</v>
      </c>
      <c r="H79" s="7" t="s">
        <v>17</v>
      </c>
      <c r="I79" s="9">
        <v>2365425</v>
      </c>
      <c r="J79" s="9">
        <v>0</v>
      </c>
      <c r="K79" s="9">
        <v>0</v>
      </c>
      <c r="L79" s="9">
        <v>496739.25</v>
      </c>
      <c r="M79" s="9">
        <v>2862164.25</v>
      </c>
    </row>
    <row r="80" spans="1:13" s="7" customFormat="1" x14ac:dyDescent="0.25">
      <c r="A80" s="7" t="s">
        <v>116</v>
      </c>
      <c r="B80" s="7" t="s">
        <v>15</v>
      </c>
      <c r="C80" s="8">
        <v>5</v>
      </c>
      <c r="D80" s="8">
        <v>5045</v>
      </c>
      <c r="E80" s="8">
        <v>30715833243</v>
      </c>
      <c r="F80" s="7" t="s">
        <v>118</v>
      </c>
      <c r="G80" s="8">
        <v>1</v>
      </c>
      <c r="H80" s="7" t="s">
        <v>17</v>
      </c>
      <c r="I80" s="9">
        <v>414379</v>
      </c>
      <c r="J80" s="9">
        <v>0</v>
      </c>
      <c r="K80" s="9">
        <v>0</v>
      </c>
      <c r="L80" s="9">
        <v>87019.59</v>
      </c>
      <c r="M80" s="9">
        <v>501398.59</v>
      </c>
    </row>
    <row r="81" spans="1:13" x14ac:dyDescent="0.25">
      <c r="A81" s="10" t="s">
        <v>116</v>
      </c>
      <c r="B81" s="10" t="s">
        <v>15</v>
      </c>
      <c r="C81" s="11">
        <v>5</v>
      </c>
      <c r="D81" s="11">
        <v>5044</v>
      </c>
      <c r="E81" s="11">
        <v>30715833243</v>
      </c>
      <c r="F81" s="10" t="s">
        <v>118</v>
      </c>
      <c r="G81" s="11">
        <v>1</v>
      </c>
      <c r="H81" s="10" t="s">
        <v>17</v>
      </c>
      <c r="I81" s="12">
        <v>414105</v>
      </c>
      <c r="J81" s="12">
        <v>0</v>
      </c>
      <c r="K81" s="12">
        <v>0</v>
      </c>
      <c r="L81" s="12">
        <v>86962.05</v>
      </c>
      <c r="M81" s="12">
        <v>501067.05</v>
      </c>
    </row>
    <row r="82" spans="1:13" s="7" customFormat="1" x14ac:dyDescent="0.25">
      <c r="A82" s="7" t="s">
        <v>119</v>
      </c>
      <c r="B82" s="7" t="s">
        <v>15</v>
      </c>
      <c r="C82" s="8">
        <v>7</v>
      </c>
      <c r="D82" s="8">
        <v>112545</v>
      </c>
      <c r="E82" s="8">
        <v>30708724269</v>
      </c>
      <c r="F82" s="7" t="s">
        <v>120</v>
      </c>
      <c r="G82" s="8">
        <v>1</v>
      </c>
      <c r="H82" s="7" t="s">
        <v>17</v>
      </c>
      <c r="I82" s="9">
        <v>14674.37</v>
      </c>
      <c r="J82" s="9">
        <v>0</v>
      </c>
      <c r="K82" s="9">
        <v>0</v>
      </c>
      <c r="L82" s="9">
        <v>3081.62</v>
      </c>
      <c r="M82" s="9">
        <v>17755.990000000002</v>
      </c>
    </row>
    <row r="83" spans="1:13" s="7" customFormat="1" x14ac:dyDescent="0.25">
      <c r="A83" s="7" t="s">
        <v>119</v>
      </c>
      <c r="B83" s="7" t="s">
        <v>15</v>
      </c>
      <c r="C83" s="8">
        <v>1</v>
      </c>
      <c r="D83" s="8">
        <v>3424</v>
      </c>
      <c r="E83" s="8">
        <v>30715141201</v>
      </c>
      <c r="F83" s="7" t="s">
        <v>39</v>
      </c>
      <c r="G83" s="8">
        <v>1</v>
      </c>
      <c r="H83" s="7" t="s">
        <v>17</v>
      </c>
      <c r="I83" s="9">
        <v>9780990.3699999992</v>
      </c>
      <c r="J83" s="9">
        <v>0</v>
      </c>
      <c r="K83" s="9">
        <v>0</v>
      </c>
      <c r="L83" s="9">
        <v>2054007.98</v>
      </c>
      <c r="M83" s="9">
        <v>11834998.35</v>
      </c>
    </row>
    <row r="84" spans="1:13" s="7" customFormat="1" x14ac:dyDescent="0.25">
      <c r="A84" s="7" t="s">
        <v>119</v>
      </c>
      <c r="B84" s="7" t="s">
        <v>15</v>
      </c>
      <c r="C84" s="8">
        <v>23</v>
      </c>
      <c r="D84" s="8">
        <v>2443428</v>
      </c>
      <c r="E84" s="8">
        <v>30703088534</v>
      </c>
      <c r="F84" s="7" t="s">
        <v>121</v>
      </c>
      <c r="G84" s="8">
        <v>1</v>
      </c>
      <c r="H84" s="7" t="s">
        <v>17</v>
      </c>
      <c r="I84" s="9">
        <v>28938.02</v>
      </c>
      <c r="J84" s="9">
        <v>0</v>
      </c>
      <c r="K84" s="9">
        <v>0</v>
      </c>
      <c r="L84" s="9">
        <v>6076.99</v>
      </c>
      <c r="M84" s="9">
        <v>37040.67</v>
      </c>
    </row>
    <row r="85" spans="1:13" s="7" customFormat="1" x14ac:dyDescent="0.25">
      <c r="A85" s="7" t="s">
        <v>119</v>
      </c>
      <c r="B85" s="7" t="s">
        <v>15</v>
      </c>
      <c r="C85" s="8">
        <v>3</v>
      </c>
      <c r="D85" s="8">
        <v>7601</v>
      </c>
      <c r="E85" s="8">
        <v>30526492281</v>
      </c>
      <c r="F85" s="7" t="s">
        <v>122</v>
      </c>
      <c r="G85" s="8">
        <v>1</v>
      </c>
      <c r="H85" s="7" t="s">
        <v>17</v>
      </c>
      <c r="I85" s="9">
        <v>778000</v>
      </c>
      <c r="J85" s="9">
        <v>0</v>
      </c>
      <c r="K85" s="9">
        <v>0</v>
      </c>
      <c r="L85" s="9">
        <v>163380</v>
      </c>
      <c r="M85" s="9">
        <v>941380</v>
      </c>
    </row>
    <row r="86" spans="1:13" s="7" customFormat="1" x14ac:dyDescent="0.25">
      <c r="A86" s="7" t="s">
        <v>124</v>
      </c>
      <c r="B86" s="7" t="s">
        <v>15</v>
      </c>
      <c r="C86" s="8">
        <v>9038</v>
      </c>
      <c r="D86" s="8">
        <v>22969</v>
      </c>
      <c r="E86" s="8">
        <v>30678774495</v>
      </c>
      <c r="F86" s="7" t="s">
        <v>125</v>
      </c>
      <c r="G86" s="8">
        <v>1</v>
      </c>
      <c r="H86" s="7" t="s">
        <v>17</v>
      </c>
      <c r="I86" s="9">
        <v>57849.97</v>
      </c>
      <c r="J86" s="9">
        <v>0</v>
      </c>
      <c r="K86" s="9">
        <v>0</v>
      </c>
      <c r="L86" s="9">
        <v>12148.49</v>
      </c>
      <c r="M86" s="9">
        <v>75603</v>
      </c>
    </row>
    <row r="87" spans="1:13" s="7" customFormat="1" x14ac:dyDescent="0.25">
      <c r="A87" s="7" t="s">
        <v>124</v>
      </c>
      <c r="B87" s="7" t="s">
        <v>15</v>
      </c>
      <c r="C87" s="8">
        <v>17</v>
      </c>
      <c r="D87" s="8">
        <v>1937</v>
      </c>
      <c r="E87" s="8">
        <v>30711764921</v>
      </c>
      <c r="F87" s="7" t="s">
        <v>126</v>
      </c>
      <c r="G87" s="8">
        <v>1</v>
      </c>
      <c r="H87" s="7" t="s">
        <v>17</v>
      </c>
      <c r="I87" s="9">
        <v>52484</v>
      </c>
      <c r="J87" s="9">
        <v>0</v>
      </c>
      <c r="K87" s="9">
        <v>0</v>
      </c>
      <c r="L87" s="9">
        <v>11021.64</v>
      </c>
      <c r="M87" s="9">
        <v>63505.64</v>
      </c>
    </row>
    <row r="88" spans="1:13" s="7" customFormat="1" x14ac:dyDescent="0.25">
      <c r="A88" s="7" t="s">
        <v>124</v>
      </c>
      <c r="B88" s="7" t="s">
        <v>15</v>
      </c>
      <c r="C88" s="8">
        <v>2</v>
      </c>
      <c r="D88" s="8">
        <v>548</v>
      </c>
      <c r="E88" s="8">
        <v>20272865869</v>
      </c>
      <c r="F88" s="7" t="s">
        <v>24</v>
      </c>
      <c r="G88" s="8">
        <v>1</v>
      </c>
      <c r="H88" s="7" t="s">
        <v>17</v>
      </c>
      <c r="I88" s="9">
        <v>141706.78</v>
      </c>
      <c r="J88" s="9">
        <v>0</v>
      </c>
      <c r="K88" s="9">
        <v>0</v>
      </c>
      <c r="L88" s="9">
        <v>29758.42</v>
      </c>
      <c r="M88" s="9">
        <v>171465.2</v>
      </c>
    </row>
    <row r="89" spans="1:13" x14ac:dyDescent="0.25">
      <c r="A89" s="10" t="s">
        <v>127</v>
      </c>
      <c r="B89" s="10" t="s">
        <v>15</v>
      </c>
      <c r="C89" s="11">
        <v>20</v>
      </c>
      <c r="D89" s="11">
        <v>186459</v>
      </c>
      <c r="E89" s="11">
        <v>30696850972</v>
      </c>
      <c r="F89" s="10" t="s">
        <v>129</v>
      </c>
      <c r="G89" s="11">
        <v>1</v>
      </c>
      <c r="H89" s="10" t="s">
        <v>17</v>
      </c>
      <c r="I89" s="12">
        <v>15659.39</v>
      </c>
      <c r="J89" s="12">
        <v>0</v>
      </c>
      <c r="K89" s="12">
        <v>0</v>
      </c>
      <c r="L89" s="12">
        <v>4228.04</v>
      </c>
      <c r="M89" s="12">
        <v>20513.810000000001</v>
      </c>
    </row>
    <row r="90" spans="1:13" x14ac:dyDescent="0.25">
      <c r="A90" s="10" t="s">
        <v>127</v>
      </c>
      <c r="B90" s="10" t="s">
        <v>15</v>
      </c>
      <c r="C90" s="11">
        <v>113</v>
      </c>
      <c r="D90" s="11">
        <v>3620568</v>
      </c>
      <c r="E90" s="11">
        <v>30577207190</v>
      </c>
      <c r="F90" s="10" t="s">
        <v>91</v>
      </c>
      <c r="G90" s="11">
        <v>1</v>
      </c>
      <c r="H90" s="10" t="s">
        <v>17</v>
      </c>
      <c r="I90" s="12">
        <v>2479.34</v>
      </c>
      <c r="J90" s="12">
        <v>0</v>
      </c>
      <c r="K90" s="12">
        <v>0</v>
      </c>
      <c r="L90" s="12">
        <v>520.66</v>
      </c>
      <c r="M90" s="12">
        <v>3074.38</v>
      </c>
    </row>
    <row r="91" spans="1:13" s="7" customFormat="1" x14ac:dyDescent="0.25">
      <c r="A91" s="7" t="s">
        <v>127</v>
      </c>
      <c r="B91" s="7" t="s">
        <v>15</v>
      </c>
      <c r="C91" s="8">
        <v>1</v>
      </c>
      <c r="D91" s="8">
        <v>3443</v>
      </c>
      <c r="E91" s="8">
        <v>30715141201</v>
      </c>
      <c r="F91" s="7" t="s">
        <v>39</v>
      </c>
      <c r="G91" s="8">
        <v>1</v>
      </c>
      <c r="H91" s="7" t="s">
        <v>17</v>
      </c>
      <c r="I91" s="9">
        <v>5749161</v>
      </c>
      <c r="J91" s="9">
        <v>0</v>
      </c>
      <c r="K91" s="9">
        <v>0</v>
      </c>
      <c r="L91" s="9">
        <v>1207323.81</v>
      </c>
      <c r="M91" s="9">
        <v>6956484.8099999996</v>
      </c>
    </row>
    <row r="92" spans="1:13" x14ac:dyDescent="0.25">
      <c r="A92" s="10" t="s">
        <v>127</v>
      </c>
      <c r="B92" s="10" t="s">
        <v>15</v>
      </c>
      <c r="C92" s="11">
        <v>2</v>
      </c>
      <c r="D92" s="11">
        <v>49657</v>
      </c>
      <c r="E92" s="11">
        <v>30595553535</v>
      </c>
      <c r="F92" s="10" t="s">
        <v>130</v>
      </c>
      <c r="G92" s="11">
        <v>1</v>
      </c>
      <c r="H92" s="10" t="s">
        <v>17</v>
      </c>
      <c r="I92" s="12">
        <v>3305.79</v>
      </c>
      <c r="J92" s="12">
        <v>0</v>
      </c>
      <c r="K92" s="12">
        <v>0</v>
      </c>
      <c r="L92" s="12">
        <v>694.22</v>
      </c>
      <c r="M92" s="12">
        <v>4000.01</v>
      </c>
    </row>
    <row r="93" spans="1:13" s="7" customFormat="1" x14ac:dyDescent="0.25">
      <c r="A93" s="7" t="s">
        <v>127</v>
      </c>
      <c r="B93" s="7" t="s">
        <v>15</v>
      </c>
      <c r="C93" s="8">
        <v>1</v>
      </c>
      <c r="D93" s="8">
        <v>3452</v>
      </c>
      <c r="E93" s="8">
        <v>30715141201</v>
      </c>
      <c r="F93" s="7" t="s">
        <v>39</v>
      </c>
      <c r="G93" s="8">
        <v>1</v>
      </c>
      <c r="H93" s="7" t="s">
        <v>17</v>
      </c>
      <c r="I93" s="9">
        <v>2360333.25</v>
      </c>
      <c r="J93" s="9">
        <v>0</v>
      </c>
      <c r="K93" s="9">
        <v>0</v>
      </c>
      <c r="L93" s="9">
        <v>495669.98</v>
      </c>
      <c r="M93" s="9">
        <v>2856003.23</v>
      </c>
    </row>
    <row r="94" spans="1:13" s="7" customFormat="1" x14ac:dyDescent="0.25">
      <c r="A94" s="7" t="s">
        <v>127</v>
      </c>
      <c r="B94" s="7" t="s">
        <v>15</v>
      </c>
      <c r="C94" s="8">
        <v>1</v>
      </c>
      <c r="D94" s="8">
        <v>3435</v>
      </c>
      <c r="E94" s="8">
        <v>30715141201</v>
      </c>
      <c r="F94" s="7" t="s">
        <v>39</v>
      </c>
      <c r="G94" s="8">
        <v>1</v>
      </c>
      <c r="H94" s="7" t="s">
        <v>17</v>
      </c>
      <c r="I94" s="9">
        <v>4932.76</v>
      </c>
      <c r="J94" s="9">
        <v>0</v>
      </c>
      <c r="K94" s="9">
        <v>0</v>
      </c>
      <c r="L94" s="9">
        <v>1035.8800000000001</v>
      </c>
      <c r="M94" s="9">
        <v>5968.64</v>
      </c>
    </row>
    <row r="95" spans="1:13" x14ac:dyDescent="0.25">
      <c r="A95" s="10" t="s">
        <v>127</v>
      </c>
      <c r="B95" s="10" t="s">
        <v>15</v>
      </c>
      <c r="C95" s="11">
        <v>6</v>
      </c>
      <c r="D95" s="11">
        <v>16583380</v>
      </c>
      <c r="E95" s="11">
        <v>30620177497</v>
      </c>
      <c r="F95" s="10" t="s">
        <v>131</v>
      </c>
      <c r="G95" s="11">
        <v>1</v>
      </c>
      <c r="H95" s="10" t="s">
        <v>17</v>
      </c>
      <c r="I95" s="12">
        <v>21215.08</v>
      </c>
      <c r="J95" s="12">
        <v>0</v>
      </c>
      <c r="K95" s="12">
        <v>0</v>
      </c>
      <c r="L95" s="12">
        <v>4455.17</v>
      </c>
      <c r="M95" s="12">
        <v>27155.3</v>
      </c>
    </row>
    <row r="96" spans="1:13" s="7" customFormat="1" x14ac:dyDescent="0.25">
      <c r="A96" s="7" t="s">
        <v>127</v>
      </c>
      <c r="B96" s="7" t="s">
        <v>15</v>
      </c>
      <c r="C96" s="8">
        <v>1</v>
      </c>
      <c r="D96" s="8">
        <v>3445</v>
      </c>
      <c r="E96" s="8">
        <v>30715141201</v>
      </c>
      <c r="F96" s="7" t="s">
        <v>39</v>
      </c>
      <c r="G96" s="8">
        <v>1</v>
      </c>
      <c r="H96" s="7" t="s">
        <v>17</v>
      </c>
      <c r="I96" s="9">
        <v>7178234.25</v>
      </c>
      <c r="J96" s="9">
        <v>0</v>
      </c>
      <c r="K96" s="9">
        <v>0</v>
      </c>
      <c r="L96" s="9">
        <v>1507429.19</v>
      </c>
      <c r="M96" s="9">
        <v>8685663.4399999995</v>
      </c>
    </row>
    <row r="97" spans="1:13" s="7" customFormat="1" x14ac:dyDescent="0.25">
      <c r="A97" s="7" t="s">
        <v>21</v>
      </c>
      <c r="B97" s="7" t="s">
        <v>26</v>
      </c>
      <c r="C97" s="8">
        <v>24</v>
      </c>
      <c r="D97" s="8">
        <v>16844</v>
      </c>
      <c r="E97" s="8">
        <v>20139793170</v>
      </c>
      <c r="F97" s="7" t="s">
        <v>27</v>
      </c>
      <c r="G97" s="8">
        <v>1</v>
      </c>
      <c r="H97" s="7" t="s">
        <v>17</v>
      </c>
      <c r="I97" s="9">
        <v>73686.05</v>
      </c>
      <c r="J97" s="9">
        <v>0</v>
      </c>
      <c r="K97" s="9">
        <v>0</v>
      </c>
      <c r="L97" s="9">
        <v>15474.07</v>
      </c>
      <c r="M97" s="9">
        <v>95001.97</v>
      </c>
    </row>
    <row r="98" spans="1:13" s="7" customFormat="1" x14ac:dyDescent="0.25">
      <c r="A98" s="7" t="s">
        <v>49</v>
      </c>
      <c r="B98" s="7" t="s">
        <v>26</v>
      </c>
      <c r="C98" s="8">
        <v>24</v>
      </c>
      <c r="D98" s="8">
        <v>16988</v>
      </c>
      <c r="E98" s="8">
        <v>20139793170</v>
      </c>
      <c r="F98" s="7" t="s">
        <v>27</v>
      </c>
      <c r="G98" s="8">
        <v>1</v>
      </c>
      <c r="H98" s="7" t="s">
        <v>17</v>
      </c>
      <c r="I98" s="9">
        <v>63347</v>
      </c>
      <c r="J98" s="9">
        <v>0</v>
      </c>
      <c r="K98" s="9">
        <v>0</v>
      </c>
      <c r="L98" s="9">
        <v>13302.87</v>
      </c>
      <c r="M98" s="9">
        <v>81672</v>
      </c>
    </row>
    <row r="99" spans="1:13" s="7" customFormat="1" x14ac:dyDescent="0.25">
      <c r="A99" s="7" t="s">
        <v>54</v>
      </c>
      <c r="B99" s="7" t="s">
        <v>26</v>
      </c>
      <c r="C99" s="8">
        <v>8</v>
      </c>
      <c r="D99" s="8">
        <v>11138</v>
      </c>
      <c r="E99" s="8">
        <v>33715594949</v>
      </c>
      <c r="F99" s="7" t="s">
        <v>58</v>
      </c>
      <c r="G99" s="8">
        <v>1</v>
      </c>
      <c r="H99" s="7" t="s">
        <v>17</v>
      </c>
      <c r="I99" s="9">
        <v>20405.86</v>
      </c>
      <c r="J99" s="9">
        <v>0</v>
      </c>
      <c r="K99" s="9">
        <v>0</v>
      </c>
      <c r="L99" s="9">
        <v>4285.2299999999996</v>
      </c>
      <c r="M99" s="9">
        <v>28021.99</v>
      </c>
    </row>
    <row r="100" spans="1:13" s="7" customFormat="1" x14ac:dyDescent="0.25">
      <c r="A100" s="7" t="s">
        <v>70</v>
      </c>
      <c r="B100" s="7" t="s">
        <v>26</v>
      </c>
      <c r="C100" s="8">
        <v>6</v>
      </c>
      <c r="D100" s="8">
        <v>1467</v>
      </c>
      <c r="E100" s="8">
        <v>30716815710</v>
      </c>
      <c r="F100" s="7" t="s">
        <v>74</v>
      </c>
      <c r="G100" s="8">
        <v>1</v>
      </c>
      <c r="H100" s="7" t="s">
        <v>17</v>
      </c>
      <c r="I100" s="9">
        <v>50250</v>
      </c>
      <c r="J100" s="9">
        <v>0</v>
      </c>
      <c r="K100" s="9">
        <v>0</v>
      </c>
      <c r="L100" s="9">
        <v>10552.5</v>
      </c>
      <c r="M100" s="9">
        <v>60802.5</v>
      </c>
    </row>
    <row r="101" spans="1:13" s="7" customFormat="1" x14ac:dyDescent="0.25">
      <c r="A101" s="7" t="s">
        <v>70</v>
      </c>
      <c r="B101" s="7" t="s">
        <v>26</v>
      </c>
      <c r="C101" s="8">
        <v>6</v>
      </c>
      <c r="D101" s="8">
        <v>17944</v>
      </c>
      <c r="E101" s="8">
        <v>33715594949</v>
      </c>
      <c r="F101" s="7" t="s">
        <v>58</v>
      </c>
      <c r="G101" s="8">
        <v>1</v>
      </c>
      <c r="H101" s="7" t="s">
        <v>17</v>
      </c>
      <c r="I101" s="9">
        <v>80713.100000000006</v>
      </c>
      <c r="J101" s="9">
        <v>0</v>
      </c>
      <c r="K101" s="9">
        <v>0</v>
      </c>
      <c r="L101" s="9">
        <v>16949.75</v>
      </c>
      <c r="M101" s="9">
        <v>110837.96</v>
      </c>
    </row>
    <row r="102" spans="1:13" s="7" customFormat="1" x14ac:dyDescent="0.25">
      <c r="A102" s="7" t="s">
        <v>99</v>
      </c>
      <c r="B102" s="7" t="s">
        <v>26</v>
      </c>
      <c r="C102" s="8">
        <v>24</v>
      </c>
      <c r="D102" s="8">
        <v>17305</v>
      </c>
      <c r="E102" s="8">
        <v>20139793170</v>
      </c>
      <c r="F102" s="7" t="s">
        <v>27</v>
      </c>
      <c r="G102" s="8">
        <v>1</v>
      </c>
      <c r="H102" s="7" t="s">
        <v>17</v>
      </c>
      <c r="I102" s="9">
        <v>31020.52</v>
      </c>
      <c r="J102" s="9">
        <v>0</v>
      </c>
      <c r="K102" s="9">
        <v>0</v>
      </c>
      <c r="L102" s="9">
        <v>6514.31</v>
      </c>
      <c r="M102" s="9">
        <v>39999.980000000003</v>
      </c>
    </row>
    <row r="103" spans="1:13" s="7" customFormat="1" x14ac:dyDescent="0.25">
      <c r="A103" s="7" t="s">
        <v>108</v>
      </c>
      <c r="B103" s="7" t="s">
        <v>26</v>
      </c>
      <c r="C103" s="8">
        <v>8</v>
      </c>
      <c r="D103" s="8">
        <v>11315</v>
      </c>
      <c r="E103" s="8">
        <v>33715594949</v>
      </c>
      <c r="F103" s="7" t="s">
        <v>58</v>
      </c>
      <c r="G103" s="8">
        <v>1</v>
      </c>
      <c r="H103" s="7" t="s">
        <v>17</v>
      </c>
      <c r="I103" s="9">
        <v>25486.57</v>
      </c>
      <c r="J103" s="9">
        <v>0</v>
      </c>
      <c r="K103" s="9">
        <v>0</v>
      </c>
      <c r="L103" s="9">
        <v>5352.18</v>
      </c>
      <c r="M103" s="9">
        <v>34999.019999999997</v>
      </c>
    </row>
    <row r="104" spans="1:13" s="7" customFormat="1" x14ac:dyDescent="0.25">
      <c r="A104" s="7" t="s">
        <v>112</v>
      </c>
      <c r="B104" s="7" t="s">
        <v>26</v>
      </c>
      <c r="C104" s="8">
        <v>23</v>
      </c>
      <c r="D104" s="8">
        <v>23943</v>
      </c>
      <c r="E104" s="8">
        <v>20139793170</v>
      </c>
      <c r="F104" s="7" t="s">
        <v>27</v>
      </c>
      <c r="G104" s="8">
        <v>1</v>
      </c>
      <c r="H104" s="7" t="s">
        <v>17</v>
      </c>
      <c r="I104" s="9">
        <v>61312.24</v>
      </c>
      <c r="J104" s="9">
        <v>0</v>
      </c>
      <c r="K104" s="9">
        <v>0</v>
      </c>
      <c r="L104" s="9">
        <v>12875.57</v>
      </c>
      <c r="M104" s="9">
        <v>79065.97</v>
      </c>
    </row>
    <row r="105" spans="1:13" s="7" customFormat="1" x14ac:dyDescent="0.25">
      <c r="A105" s="7" t="s">
        <v>119</v>
      </c>
      <c r="B105" s="7" t="s">
        <v>26</v>
      </c>
      <c r="C105" s="8">
        <v>6</v>
      </c>
      <c r="D105" s="8">
        <v>1483</v>
      </c>
      <c r="E105" s="8">
        <v>30716815710</v>
      </c>
      <c r="F105" s="7" t="s">
        <v>74</v>
      </c>
      <c r="G105" s="8">
        <v>1</v>
      </c>
      <c r="H105" s="7" t="s">
        <v>17</v>
      </c>
      <c r="I105" s="9">
        <v>7500</v>
      </c>
      <c r="J105" s="9">
        <v>0</v>
      </c>
      <c r="K105" s="9">
        <v>0</v>
      </c>
      <c r="L105" s="9">
        <v>1575</v>
      </c>
      <c r="M105" s="9">
        <v>9075</v>
      </c>
    </row>
    <row r="106" spans="1:13" x14ac:dyDescent="0.25">
      <c r="A106" t="s">
        <v>127</v>
      </c>
      <c r="B106" t="s">
        <v>132</v>
      </c>
      <c r="C106" s="2">
        <v>1</v>
      </c>
      <c r="D106" s="2">
        <v>31052021</v>
      </c>
      <c r="E106" s="2">
        <v>30571421352</v>
      </c>
      <c r="F106" s="20" t="s">
        <v>133</v>
      </c>
      <c r="G106" s="2">
        <v>1</v>
      </c>
      <c r="H106" t="s">
        <v>17</v>
      </c>
      <c r="I106" s="5">
        <v>12429</v>
      </c>
      <c r="J106" s="5">
        <v>0</v>
      </c>
      <c r="K106" s="5">
        <v>0</v>
      </c>
      <c r="L106" s="5">
        <v>2610.09</v>
      </c>
      <c r="M106" s="5">
        <v>15704.09</v>
      </c>
    </row>
    <row r="107" spans="1:13" x14ac:dyDescent="0.25">
      <c r="A107" s="10" t="s">
        <v>59</v>
      </c>
      <c r="B107" s="10" t="s">
        <v>62</v>
      </c>
      <c r="C107" s="11">
        <v>2</v>
      </c>
      <c r="D107" s="11">
        <v>386</v>
      </c>
      <c r="E107" s="11">
        <v>30714331082</v>
      </c>
      <c r="F107" s="10" t="s">
        <v>31</v>
      </c>
      <c r="G107" s="11">
        <v>1</v>
      </c>
      <c r="H107" s="10" t="s">
        <v>17</v>
      </c>
      <c r="I107" s="12">
        <v>-1169243.6399999999</v>
      </c>
      <c r="J107" s="12">
        <v>0</v>
      </c>
      <c r="K107" s="12">
        <v>0</v>
      </c>
      <c r="L107" s="12">
        <v>-245541.16</v>
      </c>
      <c r="M107" s="12">
        <v>1414784.8</v>
      </c>
    </row>
    <row r="108" spans="1:13" x14ac:dyDescent="0.25">
      <c r="A108" s="10" t="s">
        <v>116</v>
      </c>
      <c r="B108" s="10" t="s">
        <v>62</v>
      </c>
      <c r="C108" s="11">
        <v>5</v>
      </c>
      <c r="D108" s="11">
        <v>746</v>
      </c>
      <c r="E108" s="11">
        <v>30715833243</v>
      </c>
      <c r="F108" s="10" t="s">
        <v>118</v>
      </c>
      <c r="G108" s="11">
        <v>1</v>
      </c>
      <c r="H108" s="10" t="s">
        <v>17</v>
      </c>
      <c r="I108" s="12">
        <v>-414105</v>
      </c>
      <c r="J108" s="12">
        <v>0</v>
      </c>
      <c r="K108" s="12">
        <v>0</v>
      </c>
      <c r="L108" s="12">
        <v>-86962.05</v>
      </c>
      <c r="M108" s="12">
        <v>501067.05</v>
      </c>
    </row>
    <row r="109" spans="1:13" s="7" customFormat="1" x14ac:dyDescent="0.25">
      <c r="A109" s="7" t="s">
        <v>127</v>
      </c>
      <c r="B109" s="7" t="s">
        <v>62</v>
      </c>
      <c r="C109" s="8">
        <v>1</v>
      </c>
      <c r="D109" s="8">
        <v>116</v>
      </c>
      <c r="E109" s="8">
        <v>30715141201</v>
      </c>
      <c r="F109" s="7" t="s">
        <v>39</v>
      </c>
      <c r="G109" s="8">
        <v>1</v>
      </c>
      <c r="H109" s="7" t="s">
        <v>17</v>
      </c>
      <c r="I109" s="9">
        <v>-2521472.33</v>
      </c>
      <c r="J109" s="9">
        <v>0</v>
      </c>
      <c r="K109" s="9">
        <v>0</v>
      </c>
      <c r="L109" s="9">
        <v>-529509.18999999994</v>
      </c>
      <c r="M109" s="9">
        <v>3050981.52</v>
      </c>
    </row>
    <row r="110" spans="1:13" s="7" customFormat="1" x14ac:dyDescent="0.25">
      <c r="A110" s="7" t="s">
        <v>42</v>
      </c>
      <c r="B110" s="7" t="s">
        <v>45</v>
      </c>
      <c r="C110" s="8">
        <v>4</v>
      </c>
      <c r="D110" s="8">
        <v>4367</v>
      </c>
      <c r="E110" s="8">
        <v>30561769644</v>
      </c>
      <c r="F110" s="7" t="s">
        <v>46</v>
      </c>
      <c r="G110" s="8">
        <v>1</v>
      </c>
      <c r="H110" s="7" t="s">
        <v>17</v>
      </c>
      <c r="I110" s="9">
        <v>44291.16</v>
      </c>
      <c r="J110" s="9">
        <v>0</v>
      </c>
      <c r="K110" s="9">
        <v>0</v>
      </c>
      <c r="L110" s="9">
        <v>6958.84</v>
      </c>
      <c r="M110" s="9">
        <v>51250</v>
      </c>
    </row>
    <row r="111" spans="1:13" s="7" customFormat="1" x14ac:dyDescent="0.25">
      <c r="A111" s="7" t="s">
        <v>54</v>
      </c>
      <c r="B111" s="7" t="s">
        <v>45</v>
      </c>
      <c r="C111" s="8">
        <v>4</v>
      </c>
      <c r="D111" s="8">
        <v>4370</v>
      </c>
      <c r="E111" s="8">
        <v>30561769644</v>
      </c>
      <c r="F111" s="7" t="s">
        <v>46</v>
      </c>
      <c r="G111" s="8">
        <v>1</v>
      </c>
      <c r="H111" s="7" t="s">
        <v>17</v>
      </c>
      <c r="I111" s="9">
        <v>27064.799999999999</v>
      </c>
      <c r="J111" s="9">
        <v>0</v>
      </c>
      <c r="K111" s="9">
        <v>0</v>
      </c>
      <c r="L111" s="9">
        <v>3585.21</v>
      </c>
      <c r="M111" s="9">
        <v>30650</v>
      </c>
    </row>
    <row r="112" spans="1:13" s="7" customFormat="1" x14ac:dyDescent="0.25">
      <c r="A112" s="14">
        <v>45443</v>
      </c>
      <c r="B112" s="7">
        <v>99</v>
      </c>
      <c r="C112" s="8"/>
      <c r="D112" s="8">
        <v>3152024</v>
      </c>
      <c r="E112" s="8">
        <v>30500006613</v>
      </c>
      <c r="F112" s="7" t="s">
        <v>136</v>
      </c>
      <c r="G112" s="8"/>
      <c r="I112" s="9">
        <v>20125</v>
      </c>
      <c r="J112" s="9"/>
      <c r="K112" s="9"/>
      <c r="L112" s="9">
        <v>4226.25</v>
      </c>
      <c r="M112" s="9">
        <v>34351.25</v>
      </c>
    </row>
    <row r="113" spans="1:13" s="7" customFormat="1" x14ac:dyDescent="0.25">
      <c r="C113" s="8"/>
      <c r="D113" s="8"/>
      <c r="E113" s="8"/>
      <c r="G113" s="17" t="s">
        <v>134</v>
      </c>
      <c r="H113" s="17"/>
      <c r="I113" s="13">
        <f>SUM(I3:I112)</f>
        <v>46736445.740000002</v>
      </c>
      <c r="J113" s="13">
        <f t="shared" ref="J113:M113" si="0">SUM(J3:J112)</f>
        <v>0</v>
      </c>
      <c r="K113" s="13">
        <f t="shared" si="0"/>
        <v>6813.62</v>
      </c>
      <c r="L113" s="13">
        <f t="shared" si="0"/>
        <v>9658582.2600000016</v>
      </c>
      <c r="M113" s="13">
        <f t="shared" si="0"/>
        <v>66499244.009999998</v>
      </c>
    </row>
    <row r="114" spans="1:13" s="7" customFormat="1" x14ac:dyDescent="0.25">
      <c r="C114" s="8"/>
      <c r="D114" s="8"/>
      <c r="E114" s="8"/>
      <c r="G114" s="8"/>
      <c r="I114" s="9"/>
      <c r="J114" s="9"/>
      <c r="K114" s="9"/>
      <c r="L114" s="9"/>
      <c r="M114" s="9"/>
    </row>
    <row r="115" spans="1:13" x14ac:dyDescent="0.25">
      <c r="A115" s="6">
        <v>45413</v>
      </c>
      <c r="B115" t="s">
        <v>19</v>
      </c>
      <c r="C115" s="2">
        <v>3</v>
      </c>
      <c r="D115" s="2">
        <v>317</v>
      </c>
      <c r="E115" s="2">
        <v>23306035444</v>
      </c>
      <c r="F115" t="s">
        <v>20</v>
      </c>
      <c r="G115" s="2">
        <v>1</v>
      </c>
      <c r="H115" t="s">
        <v>17</v>
      </c>
      <c r="I115" s="5">
        <v>0</v>
      </c>
      <c r="J115" s="5">
        <v>0</v>
      </c>
      <c r="K115" s="5">
        <v>0</v>
      </c>
      <c r="L115" s="5">
        <v>0</v>
      </c>
      <c r="M115" s="5">
        <v>52000</v>
      </c>
    </row>
    <row r="116" spans="1:13" x14ac:dyDescent="0.25">
      <c r="A116" t="s">
        <v>21</v>
      </c>
      <c r="B116" t="s">
        <v>19</v>
      </c>
      <c r="C116" s="2">
        <v>3</v>
      </c>
      <c r="D116" s="2">
        <v>842</v>
      </c>
      <c r="E116" s="2">
        <v>20086277523</v>
      </c>
      <c r="F116" t="s">
        <v>25</v>
      </c>
      <c r="G116" s="2">
        <v>1</v>
      </c>
      <c r="H116" t="s">
        <v>17</v>
      </c>
      <c r="I116" s="5">
        <v>0</v>
      </c>
      <c r="J116" s="5">
        <v>0</v>
      </c>
      <c r="K116" s="5">
        <v>0</v>
      </c>
      <c r="L116" s="5">
        <v>0</v>
      </c>
      <c r="M116" s="5">
        <v>262500</v>
      </c>
    </row>
    <row r="117" spans="1:13" x14ac:dyDescent="0.25">
      <c r="A117" t="s">
        <v>36</v>
      </c>
      <c r="B117" t="s">
        <v>19</v>
      </c>
      <c r="C117" s="2">
        <v>2</v>
      </c>
      <c r="D117" s="2">
        <v>273</v>
      </c>
      <c r="E117" s="2">
        <v>27265832178</v>
      </c>
      <c r="F117" t="s">
        <v>40</v>
      </c>
      <c r="G117" s="2">
        <v>1</v>
      </c>
      <c r="H117" t="s">
        <v>17</v>
      </c>
      <c r="I117" s="5">
        <v>0</v>
      </c>
      <c r="J117" s="5">
        <v>0</v>
      </c>
      <c r="K117" s="5">
        <v>0</v>
      </c>
      <c r="L117" s="5">
        <v>0</v>
      </c>
      <c r="M117" s="5">
        <v>150000</v>
      </c>
    </row>
    <row r="118" spans="1:13" x14ac:dyDescent="0.25">
      <c r="A118" t="s">
        <v>36</v>
      </c>
      <c r="B118" t="s">
        <v>19</v>
      </c>
      <c r="C118" s="2">
        <v>1</v>
      </c>
      <c r="D118" s="2">
        <v>63</v>
      </c>
      <c r="E118" s="2">
        <v>20403969886</v>
      </c>
      <c r="F118" t="s">
        <v>41</v>
      </c>
      <c r="G118" s="2">
        <v>1</v>
      </c>
      <c r="H118" t="s">
        <v>17</v>
      </c>
      <c r="I118" s="5">
        <v>0</v>
      </c>
      <c r="J118" s="5">
        <v>0</v>
      </c>
      <c r="K118" s="5">
        <v>0</v>
      </c>
      <c r="L118" s="5">
        <v>0</v>
      </c>
      <c r="M118" s="5">
        <v>427160</v>
      </c>
    </row>
    <row r="119" spans="1:13" x14ac:dyDescent="0.25">
      <c r="A119" t="s">
        <v>42</v>
      </c>
      <c r="B119" t="s">
        <v>19</v>
      </c>
      <c r="C119" s="2">
        <v>1</v>
      </c>
      <c r="D119" s="2">
        <v>1</v>
      </c>
      <c r="E119" s="2">
        <v>20047064946</v>
      </c>
      <c r="F119" t="s">
        <v>47</v>
      </c>
      <c r="G119" s="2">
        <v>1</v>
      </c>
      <c r="H119" t="s">
        <v>17</v>
      </c>
      <c r="I119" s="5">
        <v>0</v>
      </c>
      <c r="J119" s="5">
        <v>0</v>
      </c>
      <c r="K119" s="5">
        <v>0</v>
      </c>
      <c r="L119" s="5">
        <v>0</v>
      </c>
      <c r="M119" s="5">
        <v>4764700</v>
      </c>
    </row>
    <row r="120" spans="1:13" x14ac:dyDescent="0.25">
      <c r="A120" t="s">
        <v>42</v>
      </c>
      <c r="B120" t="s">
        <v>19</v>
      </c>
      <c r="C120" s="2">
        <v>1</v>
      </c>
      <c r="D120" s="2">
        <v>2</v>
      </c>
      <c r="E120" s="2">
        <v>27122903201</v>
      </c>
      <c r="F120" t="s">
        <v>48</v>
      </c>
      <c r="G120" s="2">
        <v>1</v>
      </c>
      <c r="H120" t="s">
        <v>17</v>
      </c>
      <c r="I120" s="5">
        <v>0</v>
      </c>
      <c r="J120" s="5">
        <v>0</v>
      </c>
      <c r="K120" s="5">
        <v>0</v>
      </c>
      <c r="L120" s="5">
        <v>0</v>
      </c>
      <c r="M120" s="5">
        <v>4764700</v>
      </c>
    </row>
    <row r="121" spans="1:13" x14ac:dyDescent="0.25">
      <c r="A121" t="s">
        <v>49</v>
      </c>
      <c r="B121" t="s">
        <v>19</v>
      </c>
      <c r="C121" s="2">
        <v>1</v>
      </c>
      <c r="D121" s="2">
        <v>4</v>
      </c>
      <c r="E121" s="2">
        <v>27443612713</v>
      </c>
      <c r="F121" t="s">
        <v>52</v>
      </c>
      <c r="G121" s="2">
        <v>1</v>
      </c>
      <c r="H121" t="s">
        <v>17</v>
      </c>
      <c r="I121" s="5">
        <v>0</v>
      </c>
      <c r="J121" s="5">
        <v>0</v>
      </c>
      <c r="K121" s="5">
        <v>0</v>
      </c>
      <c r="L121" s="5">
        <v>0</v>
      </c>
      <c r="M121" s="5">
        <v>450000</v>
      </c>
    </row>
    <row r="122" spans="1:13" x14ac:dyDescent="0.25">
      <c r="A122" t="s">
        <v>49</v>
      </c>
      <c r="B122" t="s">
        <v>19</v>
      </c>
      <c r="C122" s="2">
        <v>2</v>
      </c>
      <c r="D122" s="2">
        <v>147</v>
      </c>
      <c r="E122" s="2">
        <v>20258225563</v>
      </c>
      <c r="F122" t="s">
        <v>53</v>
      </c>
      <c r="G122" s="2">
        <v>1</v>
      </c>
      <c r="H122" t="s">
        <v>17</v>
      </c>
      <c r="I122" s="5">
        <v>0</v>
      </c>
      <c r="J122" s="5">
        <v>0</v>
      </c>
      <c r="K122" s="5">
        <v>0</v>
      </c>
      <c r="L122" s="5">
        <v>0</v>
      </c>
      <c r="M122" s="5">
        <v>25000</v>
      </c>
    </row>
    <row r="123" spans="1:13" x14ac:dyDescent="0.25">
      <c r="A123" t="s">
        <v>65</v>
      </c>
      <c r="B123" t="s">
        <v>19</v>
      </c>
      <c r="C123" s="2">
        <v>2</v>
      </c>
      <c r="D123" s="2">
        <v>3</v>
      </c>
      <c r="E123" s="2">
        <v>20299835260</v>
      </c>
      <c r="F123" t="s">
        <v>66</v>
      </c>
      <c r="G123" s="2">
        <v>1</v>
      </c>
      <c r="H123" t="s">
        <v>17</v>
      </c>
      <c r="I123" s="5">
        <v>0</v>
      </c>
      <c r="J123" s="5">
        <v>0</v>
      </c>
      <c r="K123" s="5">
        <v>0</v>
      </c>
      <c r="L123" s="5">
        <v>0</v>
      </c>
      <c r="M123" s="5">
        <v>300000</v>
      </c>
    </row>
    <row r="124" spans="1:13" x14ac:dyDescent="0.25">
      <c r="A124" t="s">
        <v>65</v>
      </c>
      <c r="B124" t="s">
        <v>19</v>
      </c>
      <c r="C124" s="2">
        <v>2</v>
      </c>
      <c r="D124" s="2">
        <v>2</v>
      </c>
      <c r="E124" s="2">
        <v>20299835260</v>
      </c>
      <c r="F124" t="s">
        <v>66</v>
      </c>
      <c r="G124" s="2">
        <v>1</v>
      </c>
      <c r="H124" t="s">
        <v>17</v>
      </c>
      <c r="I124" s="5">
        <v>0</v>
      </c>
      <c r="J124" s="5">
        <v>0</v>
      </c>
      <c r="K124" s="5">
        <v>0</v>
      </c>
      <c r="L124" s="5">
        <v>0</v>
      </c>
      <c r="M124" s="5">
        <v>370000</v>
      </c>
    </row>
    <row r="125" spans="1:13" x14ac:dyDescent="0.25">
      <c r="A125" t="s">
        <v>65</v>
      </c>
      <c r="B125" t="s">
        <v>19</v>
      </c>
      <c r="C125" s="2">
        <v>1</v>
      </c>
      <c r="D125" s="2">
        <v>135</v>
      </c>
      <c r="E125" s="2">
        <v>27338342840</v>
      </c>
      <c r="F125" t="s">
        <v>67</v>
      </c>
      <c r="G125" s="2">
        <v>1</v>
      </c>
      <c r="H125" t="s">
        <v>17</v>
      </c>
      <c r="I125" s="5">
        <v>0</v>
      </c>
      <c r="J125" s="5">
        <v>0</v>
      </c>
      <c r="K125" s="5">
        <v>0</v>
      </c>
      <c r="L125" s="5">
        <v>0</v>
      </c>
      <c r="M125" s="5">
        <v>105000</v>
      </c>
    </row>
    <row r="126" spans="1:13" x14ac:dyDescent="0.25">
      <c r="A126" t="s">
        <v>75</v>
      </c>
      <c r="B126" t="s">
        <v>19</v>
      </c>
      <c r="C126" s="2">
        <v>1</v>
      </c>
      <c r="D126" s="2">
        <v>66</v>
      </c>
      <c r="E126" s="2">
        <v>23281233084</v>
      </c>
      <c r="F126" t="s">
        <v>79</v>
      </c>
      <c r="G126" s="2">
        <v>1</v>
      </c>
      <c r="H126" t="s">
        <v>17</v>
      </c>
      <c r="I126" s="5">
        <v>0</v>
      </c>
      <c r="J126" s="5">
        <v>0</v>
      </c>
      <c r="K126" s="5">
        <v>0</v>
      </c>
      <c r="L126" s="5">
        <v>0</v>
      </c>
      <c r="M126" s="5">
        <v>107900</v>
      </c>
    </row>
    <row r="127" spans="1:13" x14ac:dyDescent="0.25">
      <c r="A127" t="s">
        <v>75</v>
      </c>
      <c r="B127" t="s">
        <v>19</v>
      </c>
      <c r="C127" s="2">
        <v>2</v>
      </c>
      <c r="D127" s="2">
        <v>119</v>
      </c>
      <c r="E127" s="2">
        <v>20220423655</v>
      </c>
      <c r="F127" t="s">
        <v>80</v>
      </c>
      <c r="G127" s="2">
        <v>1</v>
      </c>
      <c r="H127" t="s">
        <v>17</v>
      </c>
      <c r="I127" s="5">
        <v>0</v>
      </c>
      <c r="J127" s="5">
        <v>0</v>
      </c>
      <c r="K127" s="5">
        <v>0</v>
      </c>
      <c r="L127" s="5">
        <v>0</v>
      </c>
      <c r="M127" s="5">
        <v>500060</v>
      </c>
    </row>
    <row r="128" spans="1:13" x14ac:dyDescent="0.25">
      <c r="A128" t="s">
        <v>75</v>
      </c>
      <c r="B128" t="s">
        <v>19</v>
      </c>
      <c r="C128" s="2">
        <v>2</v>
      </c>
      <c r="D128" s="2">
        <v>118</v>
      </c>
      <c r="E128" s="2">
        <v>20220423655</v>
      </c>
      <c r="F128" t="s">
        <v>80</v>
      </c>
      <c r="G128" s="2">
        <v>1</v>
      </c>
      <c r="H128" t="s">
        <v>17</v>
      </c>
      <c r="I128" s="5">
        <v>0</v>
      </c>
      <c r="J128" s="5">
        <v>0</v>
      </c>
      <c r="K128" s="5">
        <v>0</v>
      </c>
      <c r="L128" s="5">
        <v>0</v>
      </c>
      <c r="M128" s="5">
        <v>457720</v>
      </c>
    </row>
    <row r="129" spans="1:13" x14ac:dyDescent="0.25">
      <c r="A129" t="s">
        <v>83</v>
      </c>
      <c r="B129" t="s">
        <v>19</v>
      </c>
      <c r="C129" s="2">
        <v>1</v>
      </c>
      <c r="D129" s="2">
        <v>218</v>
      </c>
      <c r="E129" s="2">
        <v>27217606255</v>
      </c>
      <c r="F129" t="s">
        <v>89</v>
      </c>
      <c r="G129" s="2">
        <v>1</v>
      </c>
      <c r="H129" t="s">
        <v>17</v>
      </c>
      <c r="I129" s="5">
        <v>0</v>
      </c>
      <c r="J129" s="5">
        <v>0</v>
      </c>
      <c r="K129" s="5">
        <v>0</v>
      </c>
      <c r="L129" s="5">
        <v>0</v>
      </c>
      <c r="M129" s="5">
        <v>43105.39</v>
      </c>
    </row>
    <row r="130" spans="1:13" x14ac:dyDescent="0.25">
      <c r="A130" t="s">
        <v>83</v>
      </c>
      <c r="B130" t="s">
        <v>19</v>
      </c>
      <c r="C130" s="2">
        <v>1</v>
      </c>
      <c r="D130" s="2">
        <v>217</v>
      </c>
      <c r="E130" s="2">
        <v>27217606255</v>
      </c>
      <c r="F130" t="s">
        <v>89</v>
      </c>
      <c r="G130" s="2">
        <v>1</v>
      </c>
      <c r="H130" t="s">
        <v>17</v>
      </c>
      <c r="I130" s="5">
        <v>0</v>
      </c>
      <c r="J130" s="5">
        <v>0</v>
      </c>
      <c r="K130" s="5">
        <v>0</v>
      </c>
      <c r="L130" s="5">
        <v>0</v>
      </c>
      <c r="M130" s="5">
        <v>49423.78</v>
      </c>
    </row>
    <row r="131" spans="1:13" x14ac:dyDescent="0.25">
      <c r="A131" t="s">
        <v>90</v>
      </c>
      <c r="B131" t="s">
        <v>19</v>
      </c>
      <c r="C131" s="2">
        <v>1</v>
      </c>
      <c r="D131" s="2">
        <v>219</v>
      </c>
      <c r="E131" s="2">
        <v>27217606255</v>
      </c>
      <c r="F131" t="s">
        <v>89</v>
      </c>
      <c r="G131" s="2">
        <v>1</v>
      </c>
      <c r="H131" t="s">
        <v>17</v>
      </c>
      <c r="I131" s="5">
        <v>0</v>
      </c>
      <c r="J131" s="5">
        <v>0</v>
      </c>
      <c r="K131" s="5">
        <v>0</v>
      </c>
      <c r="L131" s="5">
        <v>0</v>
      </c>
      <c r="M131" s="5">
        <v>47879.29</v>
      </c>
    </row>
    <row r="132" spans="1:13" x14ac:dyDescent="0.25">
      <c r="A132" t="s">
        <v>92</v>
      </c>
      <c r="B132" t="s">
        <v>19</v>
      </c>
      <c r="C132" s="2">
        <v>2</v>
      </c>
      <c r="D132" s="2">
        <v>58</v>
      </c>
      <c r="E132" s="2">
        <v>20219413867</v>
      </c>
      <c r="F132" t="s">
        <v>95</v>
      </c>
      <c r="G132" s="2">
        <v>1</v>
      </c>
      <c r="H132" t="s">
        <v>17</v>
      </c>
      <c r="I132" s="5">
        <v>0</v>
      </c>
      <c r="J132" s="5">
        <v>0</v>
      </c>
      <c r="K132" s="5">
        <v>0</v>
      </c>
      <c r="L132" s="5">
        <v>0</v>
      </c>
      <c r="M132" s="5">
        <v>210000</v>
      </c>
    </row>
    <row r="133" spans="1:13" x14ac:dyDescent="0.25">
      <c r="A133" t="s">
        <v>92</v>
      </c>
      <c r="B133" t="s">
        <v>19</v>
      </c>
      <c r="C133" s="2">
        <v>1</v>
      </c>
      <c r="D133" s="2">
        <v>220</v>
      </c>
      <c r="E133" s="2">
        <v>27217606255</v>
      </c>
      <c r="F133" t="s">
        <v>89</v>
      </c>
      <c r="G133" s="2">
        <v>1</v>
      </c>
      <c r="H133" t="s">
        <v>17</v>
      </c>
      <c r="I133" s="5">
        <v>0</v>
      </c>
      <c r="J133" s="5">
        <v>0</v>
      </c>
      <c r="K133" s="5">
        <v>0</v>
      </c>
      <c r="L133" s="5">
        <v>0</v>
      </c>
      <c r="M133" s="5">
        <v>130590.9</v>
      </c>
    </row>
    <row r="134" spans="1:13" x14ac:dyDescent="0.25">
      <c r="A134" t="s">
        <v>96</v>
      </c>
      <c r="B134" t="s">
        <v>19</v>
      </c>
      <c r="C134" s="2">
        <v>2</v>
      </c>
      <c r="D134" s="2">
        <v>276</v>
      </c>
      <c r="E134" s="2">
        <v>27265832178</v>
      </c>
      <c r="F134" t="s">
        <v>40</v>
      </c>
      <c r="G134" s="2">
        <v>1</v>
      </c>
      <c r="H134" t="s">
        <v>17</v>
      </c>
      <c r="I134" s="5">
        <v>0</v>
      </c>
      <c r="J134" s="5">
        <v>0</v>
      </c>
      <c r="K134" s="5">
        <v>0</v>
      </c>
      <c r="L134" s="5">
        <v>0</v>
      </c>
      <c r="M134" s="5">
        <v>150000</v>
      </c>
    </row>
    <row r="135" spans="1:13" x14ac:dyDescent="0.25">
      <c r="A135" t="s">
        <v>96</v>
      </c>
      <c r="B135" t="s">
        <v>19</v>
      </c>
      <c r="C135" s="2">
        <v>1</v>
      </c>
      <c r="D135" s="2">
        <v>221</v>
      </c>
      <c r="E135" s="2">
        <v>27217606255</v>
      </c>
      <c r="F135" t="s">
        <v>89</v>
      </c>
      <c r="G135" s="2">
        <v>1</v>
      </c>
      <c r="H135" t="s">
        <v>17</v>
      </c>
      <c r="I135" s="5">
        <v>0</v>
      </c>
      <c r="J135" s="5">
        <v>0</v>
      </c>
      <c r="K135" s="5">
        <v>0</v>
      </c>
      <c r="L135" s="5">
        <v>0</v>
      </c>
      <c r="M135" s="5">
        <v>82372.73</v>
      </c>
    </row>
    <row r="136" spans="1:13" x14ac:dyDescent="0.25">
      <c r="A136" t="s">
        <v>99</v>
      </c>
      <c r="B136" t="s">
        <v>19</v>
      </c>
      <c r="C136" s="2">
        <v>1</v>
      </c>
      <c r="D136" s="2">
        <v>222</v>
      </c>
      <c r="E136" s="2">
        <v>27217606255</v>
      </c>
      <c r="F136" t="s">
        <v>89</v>
      </c>
      <c r="G136" s="2">
        <v>1</v>
      </c>
      <c r="H136" t="s">
        <v>17</v>
      </c>
      <c r="I136" s="5">
        <v>0</v>
      </c>
      <c r="J136" s="5">
        <v>0</v>
      </c>
      <c r="K136" s="5">
        <v>0</v>
      </c>
      <c r="L136" s="5">
        <v>0</v>
      </c>
      <c r="M136" s="5">
        <v>92938.18</v>
      </c>
    </row>
    <row r="137" spans="1:13" x14ac:dyDescent="0.25">
      <c r="A137" t="s">
        <v>104</v>
      </c>
      <c r="B137" t="s">
        <v>19</v>
      </c>
      <c r="C137" s="2">
        <v>1</v>
      </c>
      <c r="D137" s="2">
        <v>9</v>
      </c>
      <c r="E137" s="2">
        <v>27443612705</v>
      </c>
      <c r="F137" t="s">
        <v>107</v>
      </c>
      <c r="G137" s="2">
        <v>1</v>
      </c>
      <c r="H137" t="s">
        <v>17</v>
      </c>
      <c r="I137" s="5">
        <v>0</v>
      </c>
      <c r="J137" s="5">
        <v>0</v>
      </c>
      <c r="K137" s="5">
        <v>0</v>
      </c>
      <c r="L137" s="5">
        <v>0</v>
      </c>
      <c r="M137" s="5">
        <v>600000</v>
      </c>
    </row>
    <row r="138" spans="1:13" x14ac:dyDescent="0.25">
      <c r="A138" t="s">
        <v>104</v>
      </c>
      <c r="B138" t="s">
        <v>19</v>
      </c>
      <c r="C138" s="2">
        <v>1</v>
      </c>
      <c r="D138" s="2">
        <v>223</v>
      </c>
      <c r="E138" s="2">
        <v>27217606255</v>
      </c>
      <c r="F138" t="s">
        <v>89</v>
      </c>
      <c r="G138" s="2">
        <v>1</v>
      </c>
      <c r="H138" t="s">
        <v>17</v>
      </c>
      <c r="I138" s="5">
        <v>0</v>
      </c>
      <c r="J138" s="5">
        <v>0</v>
      </c>
      <c r="K138" s="5">
        <v>0</v>
      </c>
      <c r="L138" s="5">
        <v>0</v>
      </c>
      <c r="M138" s="5">
        <v>73689.73</v>
      </c>
    </row>
    <row r="139" spans="1:13" x14ac:dyDescent="0.25">
      <c r="A139" t="s">
        <v>104</v>
      </c>
      <c r="B139" t="s">
        <v>19</v>
      </c>
      <c r="C139" s="2">
        <v>1</v>
      </c>
      <c r="D139" s="2">
        <v>10</v>
      </c>
      <c r="E139" s="2">
        <v>27443612705</v>
      </c>
      <c r="F139" t="s">
        <v>107</v>
      </c>
      <c r="G139" s="2">
        <v>1</v>
      </c>
      <c r="H139" t="s">
        <v>17</v>
      </c>
      <c r="I139" s="5">
        <v>0</v>
      </c>
      <c r="J139" s="5">
        <v>0</v>
      </c>
      <c r="K139" s="5">
        <v>0</v>
      </c>
      <c r="L139" s="5">
        <v>0</v>
      </c>
      <c r="M139" s="5">
        <v>600000</v>
      </c>
    </row>
    <row r="140" spans="1:13" x14ac:dyDescent="0.25">
      <c r="A140" t="s">
        <v>112</v>
      </c>
      <c r="B140" t="s">
        <v>19</v>
      </c>
      <c r="C140" s="2">
        <v>5</v>
      </c>
      <c r="D140" s="2">
        <v>163</v>
      </c>
      <c r="E140" s="2">
        <v>27062343449</v>
      </c>
      <c r="F140" t="s">
        <v>114</v>
      </c>
      <c r="G140" s="2">
        <v>1</v>
      </c>
      <c r="H140" t="s">
        <v>17</v>
      </c>
      <c r="I140" s="5">
        <v>0</v>
      </c>
      <c r="J140" s="5">
        <v>0</v>
      </c>
      <c r="K140" s="5">
        <v>0</v>
      </c>
      <c r="L140" s="5">
        <v>0</v>
      </c>
      <c r="M140" s="5">
        <v>365000</v>
      </c>
    </row>
    <row r="141" spans="1:13" x14ac:dyDescent="0.25">
      <c r="A141" t="s">
        <v>112</v>
      </c>
      <c r="B141" t="s">
        <v>19</v>
      </c>
      <c r="C141" s="2">
        <v>5</v>
      </c>
      <c r="D141" s="2">
        <v>164</v>
      </c>
      <c r="E141" s="2">
        <v>27062343449</v>
      </c>
      <c r="F141" t="s">
        <v>114</v>
      </c>
      <c r="G141" s="2">
        <v>1</v>
      </c>
      <c r="H141" t="s">
        <v>17</v>
      </c>
      <c r="I141" s="5">
        <v>0</v>
      </c>
      <c r="J141" s="5">
        <v>0</v>
      </c>
      <c r="K141" s="5">
        <v>0</v>
      </c>
      <c r="L141" s="5">
        <v>0</v>
      </c>
      <c r="M141" s="5">
        <v>100000</v>
      </c>
    </row>
    <row r="142" spans="1:13" x14ac:dyDescent="0.25">
      <c r="A142" t="s">
        <v>116</v>
      </c>
      <c r="B142" t="s">
        <v>19</v>
      </c>
      <c r="C142" s="2">
        <v>2</v>
      </c>
      <c r="D142" s="2">
        <v>4</v>
      </c>
      <c r="E142" s="2">
        <v>20299835260</v>
      </c>
      <c r="F142" t="s">
        <v>66</v>
      </c>
      <c r="G142" s="2">
        <v>1</v>
      </c>
      <c r="H142" t="s">
        <v>17</v>
      </c>
      <c r="I142" s="5">
        <v>0</v>
      </c>
      <c r="J142" s="5">
        <v>0</v>
      </c>
      <c r="K142" s="5">
        <v>0</v>
      </c>
      <c r="L142" s="5">
        <v>0</v>
      </c>
      <c r="M142" s="5">
        <v>270000</v>
      </c>
    </row>
    <row r="143" spans="1:13" x14ac:dyDescent="0.25">
      <c r="A143" t="s">
        <v>119</v>
      </c>
      <c r="B143" t="s">
        <v>19</v>
      </c>
      <c r="C143" s="2">
        <v>1</v>
      </c>
      <c r="D143" s="2">
        <v>5</v>
      </c>
      <c r="E143" s="2">
        <v>20464199633</v>
      </c>
      <c r="F143" t="s">
        <v>123</v>
      </c>
      <c r="G143" s="2">
        <v>1</v>
      </c>
      <c r="H143" t="s">
        <v>17</v>
      </c>
      <c r="I143" s="5">
        <v>0</v>
      </c>
      <c r="J143" s="5">
        <v>0</v>
      </c>
      <c r="K143" s="5">
        <v>0</v>
      </c>
      <c r="L143" s="5">
        <v>0</v>
      </c>
      <c r="M143" s="5">
        <v>257600</v>
      </c>
    </row>
    <row r="144" spans="1:13" x14ac:dyDescent="0.25">
      <c r="A144" t="s">
        <v>127</v>
      </c>
      <c r="B144" t="s">
        <v>19</v>
      </c>
      <c r="C144" s="2">
        <v>2019</v>
      </c>
      <c r="D144" s="2">
        <v>4120</v>
      </c>
      <c r="E144" s="2">
        <v>20277164192</v>
      </c>
      <c r="F144" t="s">
        <v>128</v>
      </c>
      <c r="G144" s="2">
        <v>1</v>
      </c>
      <c r="H144" t="s">
        <v>17</v>
      </c>
      <c r="I144" s="5">
        <v>0</v>
      </c>
      <c r="J144" s="5">
        <v>0</v>
      </c>
      <c r="K144" s="5">
        <v>0</v>
      </c>
      <c r="L144" s="5">
        <v>0</v>
      </c>
      <c r="M144" s="5">
        <v>7250</v>
      </c>
    </row>
    <row r="145" spans="1:13" x14ac:dyDescent="0.25">
      <c r="A145" t="s">
        <v>112</v>
      </c>
      <c r="B145" t="s">
        <v>115</v>
      </c>
      <c r="C145" s="2">
        <v>1</v>
      </c>
      <c r="D145" s="2">
        <v>1</v>
      </c>
      <c r="E145" s="2">
        <v>27443612705</v>
      </c>
      <c r="F145" t="s">
        <v>107</v>
      </c>
      <c r="G145" s="2">
        <v>1</v>
      </c>
      <c r="H145" t="s">
        <v>17</v>
      </c>
      <c r="I145" s="5">
        <v>0</v>
      </c>
      <c r="J145" s="5">
        <v>0</v>
      </c>
      <c r="K145" s="5">
        <v>0</v>
      </c>
      <c r="L145" s="5">
        <v>0</v>
      </c>
      <c r="M145" s="5">
        <v>-600000</v>
      </c>
    </row>
    <row r="146" spans="1:13" x14ac:dyDescent="0.25">
      <c r="A146" t="s">
        <v>75</v>
      </c>
      <c r="B146" t="s">
        <v>81</v>
      </c>
      <c r="C146" s="2">
        <v>2</v>
      </c>
      <c r="D146" s="2">
        <v>494</v>
      </c>
      <c r="E146" s="2">
        <v>27178792178</v>
      </c>
      <c r="F146" t="s">
        <v>82</v>
      </c>
      <c r="G146" s="2">
        <v>1</v>
      </c>
      <c r="H146" t="s">
        <v>17</v>
      </c>
      <c r="I146" s="5">
        <v>0</v>
      </c>
      <c r="J146" s="5">
        <v>0</v>
      </c>
      <c r="K146" s="5">
        <v>0</v>
      </c>
      <c r="L146" s="5">
        <v>0</v>
      </c>
      <c r="M146" s="5">
        <v>45000</v>
      </c>
    </row>
  </sheetData>
  <autoFilter ref="A2:M146"/>
  <sortState ref="A3:M146">
    <sortCondition ref="B3:B146"/>
  </sortState>
  <mergeCells count="3">
    <mergeCell ref="A1:M1"/>
    <mergeCell ref="G113:H113"/>
    <mergeCell ref="O3:Q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6"/>
  <sheetViews>
    <sheetView workbookViewId="0">
      <selection activeCell="D12" sqref="D12"/>
    </sheetView>
  </sheetViews>
  <sheetFormatPr baseColWidth="10" defaultRowHeight="15" x14ac:dyDescent="0.25"/>
  <sheetData>
    <row r="4" spans="2:4" x14ac:dyDescent="0.25">
      <c r="B4">
        <v>500</v>
      </c>
      <c r="C4">
        <f>B4*0.21</f>
        <v>105</v>
      </c>
      <c r="D4">
        <v>10000</v>
      </c>
    </row>
    <row r="5" spans="2:4" x14ac:dyDescent="0.25">
      <c r="B5">
        <v>500</v>
      </c>
      <c r="C5" s="3">
        <f t="shared" ref="C5:C11" si="0">B5*0.21</f>
        <v>105</v>
      </c>
    </row>
    <row r="6" spans="2:4" x14ac:dyDescent="0.25">
      <c r="B6">
        <v>500</v>
      </c>
      <c r="C6" s="3">
        <f t="shared" si="0"/>
        <v>105</v>
      </c>
    </row>
    <row r="7" spans="2:4" x14ac:dyDescent="0.25">
      <c r="B7">
        <v>50</v>
      </c>
      <c r="C7" s="3">
        <f t="shared" si="0"/>
        <v>10.5</v>
      </c>
    </row>
    <row r="8" spans="2:4" x14ac:dyDescent="0.25">
      <c r="B8">
        <v>50</v>
      </c>
      <c r="C8" s="3">
        <f t="shared" si="0"/>
        <v>10.5</v>
      </c>
    </row>
    <row r="9" spans="2:4" x14ac:dyDescent="0.25">
      <c r="B9">
        <v>25</v>
      </c>
      <c r="C9" s="3">
        <f t="shared" si="0"/>
        <v>5.25</v>
      </c>
    </row>
    <row r="10" spans="2:4" x14ac:dyDescent="0.25">
      <c r="B10">
        <v>500</v>
      </c>
      <c r="C10" s="3">
        <f t="shared" si="0"/>
        <v>105</v>
      </c>
    </row>
    <row r="11" spans="2:4" x14ac:dyDescent="0.25">
      <c r="B11">
        <v>18000</v>
      </c>
      <c r="C11" s="3">
        <f t="shared" si="0"/>
        <v>3780</v>
      </c>
    </row>
    <row r="12" spans="2:4" x14ac:dyDescent="0.25">
      <c r="B12" s="5">
        <f>SUM(B4:B11)</f>
        <v>20125</v>
      </c>
      <c r="C12" s="5">
        <f>SUM(C4:C11)</f>
        <v>4226.25</v>
      </c>
      <c r="D12" s="5">
        <f>SUM(D4:D11)</f>
        <v>10000</v>
      </c>
    </row>
    <row r="13" spans="2:4" x14ac:dyDescent="0.25">
      <c r="C13" s="3"/>
    </row>
    <row r="14" spans="2:4" x14ac:dyDescent="0.25">
      <c r="C14" s="3"/>
    </row>
    <row r="15" spans="2:4" x14ac:dyDescent="0.25">
      <c r="C15" s="3"/>
    </row>
    <row r="16" spans="2:4" x14ac:dyDescent="0.25">
      <c r="C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Hogar</cp:lastModifiedBy>
  <dcterms:created xsi:type="dcterms:W3CDTF">2024-06-19T19:00:26Z</dcterms:created>
  <dcterms:modified xsi:type="dcterms:W3CDTF">2024-06-26T20:15:49Z</dcterms:modified>
</cp:coreProperties>
</file>