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160" activeTab="1"/>
  </bookViews>
  <sheets>
    <sheet name="Configuracion" sheetId="23" r:id="rId1"/>
    <sheet name="Oct 24" sheetId="22" r:id="rId2"/>
    <sheet name="Calculo IVA" sheetId="24" r:id="rId3"/>
    <sheet name="Compras 10" sheetId="25" r:id="rId4"/>
    <sheet name="afip" sheetId="27" state="hidden" r:id="rId5"/>
    <sheet name="Hoja3" sheetId="29" state="hidden" r:id="rId6"/>
    <sheet name="Ventas 10" sheetId="30" r:id="rId7"/>
    <sheet name="Resumen Ventas 10" sheetId="31" r:id="rId8"/>
  </sheets>
  <definedNames>
    <definedName name="_xlnm._FilterDatabase" localSheetId="4" hidden="1">afip!$A$1:$Q$124</definedName>
    <definedName name="_xlnm._FilterDatabase" localSheetId="3" hidden="1">'Compras 10'!$A$4:$N$6</definedName>
    <definedName name="_xlnm._FilterDatabase" localSheetId="0" hidden="1">Configuracion!$A$3:$C$540</definedName>
    <definedName name="_xlnm._FilterDatabase" localSheetId="5" hidden="1">Hoja3!$A$4:$G$240</definedName>
    <definedName name="_xlnm._FilterDatabase" localSheetId="1" hidden="1">'Oct 24'!$A$7:$P$139</definedName>
    <definedName name="_xlnm._FilterDatabase" localSheetId="6" hidden="1">'Ventas 10'!$A$6:$Q$508</definedName>
    <definedName name="_xlnm.Print_Area" localSheetId="1">'Oct 24'!$A$1:$N$119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D57" i="25" l="1"/>
  <c r="C18" i="24" s="1"/>
  <c r="K89" i="22"/>
  <c r="J89" i="22"/>
  <c r="K88" i="22"/>
  <c r="J88" i="22"/>
  <c r="F88" i="22"/>
  <c r="J86" i="22"/>
  <c r="K86" i="22"/>
  <c r="L40" i="25"/>
  <c r="M40" i="25"/>
  <c r="N40" i="25"/>
  <c r="O40" i="25"/>
  <c r="P40" i="25"/>
  <c r="Q40" i="25"/>
  <c r="B9" i="31"/>
  <c r="P468" i="30"/>
  <c r="Q468" i="30" s="1"/>
  <c r="P443" i="30"/>
  <c r="Q443" i="30" s="1"/>
  <c r="P442" i="30"/>
  <c r="Q442" i="30" s="1"/>
  <c r="P412" i="30"/>
  <c r="Q412" i="30" s="1"/>
  <c r="P345" i="30"/>
  <c r="Q345" i="30" s="1"/>
  <c r="P289" i="30"/>
  <c r="Q289" i="30" s="1"/>
  <c r="P288" i="30"/>
  <c r="Q288" i="30" s="1"/>
  <c r="P168" i="30"/>
  <c r="Q168" i="30" s="1"/>
  <c r="P136" i="30"/>
  <c r="Q136" i="30" s="1"/>
  <c r="P135" i="30"/>
  <c r="Q135" i="30" s="1"/>
  <c r="P134" i="30"/>
  <c r="Q134" i="30" s="1"/>
  <c r="P133" i="30"/>
  <c r="Q133" i="30" s="1"/>
  <c r="P132" i="30"/>
  <c r="Q132" i="30" s="1"/>
  <c r="P131" i="30"/>
  <c r="Q131" i="30" s="1"/>
  <c r="P119" i="30"/>
  <c r="Q119" i="30" s="1"/>
  <c r="P51" i="30"/>
  <c r="Q51" i="30" s="1"/>
  <c r="E5" i="31"/>
  <c r="C4" i="31"/>
  <c r="E4" i="31" s="1"/>
  <c r="C5" i="31"/>
  <c r="C6" i="31"/>
  <c r="E6" i="31" s="1"/>
  <c r="C7" i="31"/>
  <c r="E7" i="31" s="1"/>
  <c r="C8" i="31"/>
  <c r="E8" i="31" s="1"/>
  <c r="C3" i="31"/>
  <c r="E3" i="31" s="1"/>
  <c r="L2" i="30"/>
  <c r="E9" i="31" l="1"/>
  <c r="Q508" i="30"/>
  <c r="P508" i="30"/>
  <c r="C9" i="31"/>
  <c r="L508" i="30" l="1"/>
  <c r="G134" i="22"/>
  <c r="E134" i="22"/>
  <c r="G133" i="22"/>
  <c r="E133" i="22"/>
  <c r="G132" i="22"/>
  <c r="E132" i="22"/>
  <c r="G131" i="22"/>
  <c r="E131" i="22"/>
  <c r="G130" i="22"/>
  <c r="E130" i="22"/>
  <c r="G129" i="22"/>
  <c r="E129" i="22"/>
  <c r="G128" i="22"/>
  <c r="E128" i="22"/>
  <c r="G127" i="22"/>
  <c r="E127" i="22"/>
  <c r="G126" i="22"/>
  <c r="E126" i="22"/>
  <c r="G125" i="22"/>
  <c r="E125" i="22"/>
  <c r="G124" i="22"/>
  <c r="E124" i="22"/>
  <c r="F115" i="22"/>
  <c r="B15" i="24" s="1"/>
  <c r="I80" i="22"/>
  <c r="O80" i="22" s="1"/>
  <c r="I79" i="22"/>
  <c r="O79" i="22" s="1"/>
  <c r="N78" i="22"/>
  <c r="N77" i="22"/>
  <c r="N76" i="22"/>
  <c r="I66" i="22"/>
  <c r="O66" i="22" s="1"/>
  <c r="K55" i="22"/>
  <c r="K53" i="22"/>
  <c r="K49" i="22"/>
  <c r="J49" i="22"/>
  <c r="H49" i="22"/>
  <c r="H48" i="22"/>
  <c r="E46" i="22"/>
  <c r="I32" i="22"/>
  <c r="P96" i="22"/>
  <c r="G96" i="22"/>
  <c r="O96" i="22" s="1"/>
  <c r="E96" i="22"/>
  <c r="P95" i="22"/>
  <c r="G95" i="22"/>
  <c r="O95" i="22" s="1"/>
  <c r="E95" i="22"/>
  <c r="P94" i="22"/>
  <c r="G94" i="22"/>
  <c r="O94" i="22" s="1"/>
  <c r="E94" i="22"/>
  <c r="P93" i="22"/>
  <c r="G93" i="22"/>
  <c r="O93" i="22" s="1"/>
  <c r="E93" i="22"/>
  <c r="P92" i="22"/>
  <c r="G92" i="22"/>
  <c r="O92" i="22" s="1"/>
  <c r="E92" i="22"/>
  <c r="P91" i="22"/>
  <c r="G91" i="22"/>
  <c r="O91" i="22" s="1"/>
  <c r="E91" i="22"/>
  <c r="P90" i="22"/>
  <c r="G90" i="22"/>
  <c r="O90" i="22" s="1"/>
  <c r="E90" i="22"/>
  <c r="P89" i="22"/>
  <c r="G89" i="22"/>
  <c r="O89" i="22" s="1"/>
  <c r="E89" i="22"/>
  <c r="P88" i="22"/>
  <c r="G88" i="22"/>
  <c r="O88" i="22" s="1"/>
  <c r="E88" i="22"/>
  <c r="P87" i="22"/>
  <c r="G87" i="22"/>
  <c r="O87" i="22" s="1"/>
  <c r="E87" i="22"/>
  <c r="P86" i="22"/>
  <c r="G86" i="22"/>
  <c r="O86" i="22" s="1"/>
  <c r="E86" i="22"/>
  <c r="P85" i="22"/>
  <c r="G85" i="22"/>
  <c r="O85" i="22" s="1"/>
  <c r="E85" i="22"/>
  <c r="P84" i="22"/>
  <c r="G84" i="22"/>
  <c r="O84" i="22" s="1"/>
  <c r="E84" i="22"/>
  <c r="P83" i="22"/>
  <c r="G83" i="22"/>
  <c r="O83" i="22" s="1"/>
  <c r="E83" i="22"/>
  <c r="P82" i="22"/>
  <c r="G82" i="22"/>
  <c r="O82" i="22" s="1"/>
  <c r="E82" i="22"/>
  <c r="P81" i="22"/>
  <c r="G81" i="22"/>
  <c r="O81" i="22" s="1"/>
  <c r="E81" i="22"/>
  <c r="P80" i="22"/>
  <c r="E80" i="22"/>
  <c r="P79" i="22"/>
  <c r="E79" i="22"/>
  <c r="P78" i="22"/>
  <c r="G78" i="22"/>
  <c r="E78" i="22"/>
  <c r="P77" i="22"/>
  <c r="G77" i="22"/>
  <c r="E77" i="22"/>
  <c r="P76" i="22"/>
  <c r="G76" i="22"/>
  <c r="E76" i="22"/>
  <c r="P75" i="22"/>
  <c r="G75" i="22"/>
  <c r="O75" i="22" s="1"/>
  <c r="E75" i="22"/>
  <c r="P74" i="22"/>
  <c r="G74" i="22"/>
  <c r="O74" i="22" s="1"/>
  <c r="E74" i="22"/>
  <c r="P73" i="22"/>
  <c r="G73" i="22"/>
  <c r="O73" i="22" s="1"/>
  <c r="E73" i="22"/>
  <c r="P72" i="22"/>
  <c r="G72" i="22"/>
  <c r="O72" i="22" s="1"/>
  <c r="E72" i="22"/>
  <c r="P71" i="22"/>
  <c r="G71" i="22"/>
  <c r="O71" i="22" s="1"/>
  <c r="E71" i="22"/>
  <c r="P70" i="22"/>
  <c r="G70" i="22"/>
  <c r="O70" i="22" s="1"/>
  <c r="E70" i="22"/>
  <c r="P69" i="22"/>
  <c r="G69" i="22"/>
  <c r="O69" i="22" s="1"/>
  <c r="E69" i="22"/>
  <c r="P68" i="22"/>
  <c r="G68" i="22"/>
  <c r="O68" i="22" s="1"/>
  <c r="E68" i="22"/>
  <c r="P67" i="22"/>
  <c r="G67" i="22"/>
  <c r="O67" i="22" s="1"/>
  <c r="E67" i="22"/>
  <c r="P66" i="22"/>
  <c r="E66" i="22"/>
  <c r="P65" i="22"/>
  <c r="G65" i="22"/>
  <c r="O65" i="22" s="1"/>
  <c r="E65" i="22"/>
  <c r="P64" i="22"/>
  <c r="G64" i="22"/>
  <c r="O64" i="22" s="1"/>
  <c r="E64" i="22"/>
  <c r="P63" i="22"/>
  <c r="G63" i="22"/>
  <c r="O63" i="22" s="1"/>
  <c r="E63" i="22"/>
  <c r="P62" i="22"/>
  <c r="G62" i="22"/>
  <c r="O62" i="22" s="1"/>
  <c r="E62" i="22"/>
  <c r="P61" i="22"/>
  <c r="G61" i="22"/>
  <c r="O61" i="22" s="1"/>
  <c r="E61" i="22"/>
  <c r="P60" i="22"/>
  <c r="G60" i="22"/>
  <c r="O60" i="22" s="1"/>
  <c r="E60" i="22"/>
  <c r="P59" i="22"/>
  <c r="G59" i="22"/>
  <c r="O59" i="22" s="1"/>
  <c r="E59" i="22"/>
  <c r="P58" i="22"/>
  <c r="G58" i="22"/>
  <c r="O58" i="22" s="1"/>
  <c r="E58" i="22"/>
  <c r="P57" i="22"/>
  <c r="G57" i="22"/>
  <c r="O57" i="22" s="1"/>
  <c r="E57" i="22"/>
  <c r="P56" i="22"/>
  <c r="G56" i="22"/>
  <c r="O56" i="22" s="1"/>
  <c r="E56" i="22"/>
  <c r="P55" i="22"/>
  <c r="G55" i="22"/>
  <c r="O55" i="22" s="1"/>
  <c r="E55" i="22"/>
  <c r="P54" i="22"/>
  <c r="G54" i="22"/>
  <c r="O54" i="22" s="1"/>
  <c r="E54" i="22"/>
  <c r="P53" i="22"/>
  <c r="G53" i="22"/>
  <c r="O53" i="22" s="1"/>
  <c r="E53" i="22"/>
  <c r="P52" i="22"/>
  <c r="G52" i="22"/>
  <c r="O52" i="22" s="1"/>
  <c r="E52" i="22"/>
  <c r="P51" i="22"/>
  <c r="G51" i="22"/>
  <c r="O51" i="22" s="1"/>
  <c r="E51" i="22"/>
  <c r="P50" i="22"/>
  <c r="G50" i="22"/>
  <c r="O50" i="22" s="1"/>
  <c r="E50" i="22"/>
  <c r="P49" i="22"/>
  <c r="E49" i="22"/>
  <c r="P48" i="22"/>
  <c r="E48" i="22"/>
  <c r="P47" i="22"/>
  <c r="G47" i="22"/>
  <c r="O47" i="22" s="1"/>
  <c r="E47" i="22"/>
  <c r="P46" i="22"/>
  <c r="G46" i="22"/>
  <c r="O46" i="22" s="1"/>
  <c r="P45" i="22"/>
  <c r="G45" i="22"/>
  <c r="O45" i="22" s="1"/>
  <c r="E45" i="22"/>
  <c r="P44" i="22"/>
  <c r="G44" i="22"/>
  <c r="O44" i="22" s="1"/>
  <c r="E44" i="22"/>
  <c r="P43" i="22"/>
  <c r="G43" i="22"/>
  <c r="O43" i="22" s="1"/>
  <c r="E43" i="22"/>
  <c r="P42" i="22"/>
  <c r="G42" i="22"/>
  <c r="O42" i="22" s="1"/>
  <c r="E42" i="22"/>
  <c r="P41" i="22"/>
  <c r="G41" i="22"/>
  <c r="O41" i="22" s="1"/>
  <c r="E41" i="22"/>
  <c r="P40" i="22"/>
  <c r="G40" i="22"/>
  <c r="O40" i="22" s="1"/>
  <c r="E40" i="22"/>
  <c r="P39" i="22"/>
  <c r="G39" i="22"/>
  <c r="O39" i="22" s="1"/>
  <c r="E39" i="22"/>
  <c r="P38" i="22"/>
  <c r="G38" i="22"/>
  <c r="O38" i="22" s="1"/>
  <c r="E38" i="22"/>
  <c r="P37" i="22"/>
  <c r="G37" i="22"/>
  <c r="O37" i="22" s="1"/>
  <c r="E37" i="22"/>
  <c r="P36" i="22"/>
  <c r="G36" i="22"/>
  <c r="O36" i="22" s="1"/>
  <c r="E36" i="22"/>
  <c r="P35" i="22"/>
  <c r="G35" i="22"/>
  <c r="O35" i="22" s="1"/>
  <c r="E35" i="22"/>
  <c r="P34" i="22"/>
  <c r="G34" i="22"/>
  <c r="O34" i="22" s="1"/>
  <c r="E34" i="22"/>
  <c r="P33" i="22"/>
  <c r="G33" i="22"/>
  <c r="O33" i="22" s="1"/>
  <c r="E33" i="22"/>
  <c r="P32" i="22"/>
  <c r="O32" i="22"/>
  <c r="E32" i="22"/>
  <c r="P31" i="22"/>
  <c r="G31" i="22"/>
  <c r="O31" i="22" s="1"/>
  <c r="E31" i="22"/>
  <c r="P30" i="22"/>
  <c r="G30" i="22"/>
  <c r="O30" i="22" s="1"/>
  <c r="E30" i="22"/>
  <c r="P29" i="22"/>
  <c r="G29" i="22"/>
  <c r="O29" i="22" s="1"/>
  <c r="E29" i="22"/>
  <c r="P28" i="22"/>
  <c r="G28" i="22"/>
  <c r="O28" i="22" s="1"/>
  <c r="E28" i="22"/>
  <c r="P27" i="22"/>
  <c r="G27" i="22"/>
  <c r="O27" i="22" s="1"/>
  <c r="E27" i="22"/>
  <c r="P26" i="22"/>
  <c r="G26" i="22"/>
  <c r="O26" i="22" s="1"/>
  <c r="E26" i="22"/>
  <c r="P25" i="22"/>
  <c r="G25" i="22"/>
  <c r="O25" i="22" s="1"/>
  <c r="E25" i="22"/>
  <c r="P24" i="22"/>
  <c r="G24" i="22"/>
  <c r="O24" i="22" s="1"/>
  <c r="E24" i="22"/>
  <c r="P23" i="22"/>
  <c r="G23" i="22"/>
  <c r="O23" i="22" s="1"/>
  <c r="E23" i="22"/>
  <c r="P22" i="22"/>
  <c r="G22" i="22"/>
  <c r="O22" i="22" s="1"/>
  <c r="E22" i="22"/>
  <c r="P21" i="22"/>
  <c r="G21" i="22"/>
  <c r="O21" i="22" s="1"/>
  <c r="E21" i="22"/>
  <c r="P112" i="22"/>
  <c r="G112" i="22"/>
  <c r="O112" i="22" s="1"/>
  <c r="E112" i="22"/>
  <c r="P111" i="22"/>
  <c r="G111" i="22"/>
  <c r="O111" i="22" s="1"/>
  <c r="E111" i="22"/>
  <c r="P110" i="22"/>
  <c r="G110" i="22"/>
  <c r="O110" i="22" s="1"/>
  <c r="E110" i="22"/>
  <c r="P109" i="22"/>
  <c r="G109" i="22"/>
  <c r="O109" i="22" s="1"/>
  <c r="E109" i="22"/>
  <c r="P108" i="22"/>
  <c r="G108" i="22"/>
  <c r="O108" i="22" s="1"/>
  <c r="E108" i="22"/>
  <c r="P107" i="22"/>
  <c r="G107" i="22"/>
  <c r="O107" i="22" s="1"/>
  <c r="E107" i="22"/>
  <c r="P106" i="22"/>
  <c r="G106" i="22"/>
  <c r="O106" i="22" s="1"/>
  <c r="E106" i="22"/>
  <c r="P105" i="22"/>
  <c r="G105" i="22"/>
  <c r="O105" i="22" s="1"/>
  <c r="E105" i="22"/>
  <c r="P104" i="22"/>
  <c r="G104" i="22"/>
  <c r="O104" i="22" s="1"/>
  <c r="E104" i="22"/>
  <c r="P103" i="22"/>
  <c r="G103" i="22"/>
  <c r="O103" i="22" s="1"/>
  <c r="E103" i="22"/>
  <c r="P102" i="22"/>
  <c r="G102" i="22"/>
  <c r="O102" i="22" s="1"/>
  <c r="E102" i="22"/>
  <c r="P101" i="22"/>
  <c r="G101" i="22"/>
  <c r="O101" i="22" s="1"/>
  <c r="E101" i="22"/>
  <c r="P100" i="22"/>
  <c r="G100" i="22"/>
  <c r="O100" i="22" s="1"/>
  <c r="E100" i="22"/>
  <c r="P99" i="22"/>
  <c r="G99" i="22"/>
  <c r="O99" i="22" s="1"/>
  <c r="E99" i="22"/>
  <c r="P98" i="22"/>
  <c r="G98" i="22"/>
  <c r="O98" i="22" s="1"/>
  <c r="E98" i="22"/>
  <c r="P97" i="22"/>
  <c r="G97" i="22"/>
  <c r="O97" i="22" s="1"/>
  <c r="E97" i="22"/>
  <c r="P20" i="22"/>
  <c r="G20" i="22"/>
  <c r="O20" i="22" s="1"/>
  <c r="E20" i="22"/>
  <c r="P19" i="22"/>
  <c r="G19" i="22"/>
  <c r="O19" i="22" s="1"/>
  <c r="E19" i="22"/>
  <c r="P18" i="22"/>
  <c r="G18" i="22"/>
  <c r="O18" i="22" s="1"/>
  <c r="E18" i="22"/>
  <c r="P17" i="22"/>
  <c r="G17" i="22"/>
  <c r="O17" i="22" s="1"/>
  <c r="E17" i="22"/>
  <c r="P16" i="22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91" i="22"/>
  <c r="G191" i="22"/>
  <c r="I191" i="22" s="1"/>
  <c r="E192" i="22"/>
  <c r="G192" i="22"/>
  <c r="I192" i="22" s="1"/>
  <c r="E193" i="22"/>
  <c r="G193" i="22"/>
  <c r="I193" i="22"/>
  <c r="E194" i="22"/>
  <c r="G194" i="22"/>
  <c r="I194" i="22" s="1"/>
  <c r="I183" i="22"/>
  <c r="H183" i="22"/>
  <c r="G183" i="22"/>
  <c r="F183" i="22"/>
  <c r="F6" i="25"/>
  <c r="H115" i="22" l="1"/>
  <c r="I115" i="22"/>
  <c r="O77" i="22"/>
  <c r="O78" i="22"/>
  <c r="O76" i="22"/>
  <c r="O49" i="22"/>
  <c r="O48" i="22"/>
  <c r="N6" i="25"/>
  <c r="M6" i="25"/>
  <c r="L6" i="25"/>
  <c r="K6" i="25"/>
  <c r="J6" i="25"/>
  <c r="I6" i="25"/>
  <c r="H6" i="25"/>
  <c r="G6" i="25"/>
  <c r="H7" i="25" l="1"/>
  <c r="C9" i="24"/>
  <c r="E172" i="22" l="1"/>
  <c r="E171" i="22"/>
  <c r="E170" i="22"/>
  <c r="E169" i="22"/>
  <c r="E180" i="22" l="1"/>
  <c r="E179" i="22"/>
  <c r="E178" i="22"/>
  <c r="E177" i="22"/>
  <c r="E176" i="22"/>
  <c r="E175" i="22"/>
  <c r="E174" i="22"/>
  <c r="E173" i="22"/>
  <c r="F200" i="22"/>
  <c r="G113" i="22" l="1"/>
  <c r="O113" i="22" s="1"/>
  <c r="E113" i="22"/>
  <c r="G9" i="22"/>
  <c r="O9" i="22" s="1"/>
  <c r="E9" i="22"/>
  <c r="G8" i="22"/>
  <c r="E8" i="22"/>
  <c r="G195" i="22"/>
  <c r="I195" i="22" s="1"/>
  <c r="G196" i="22"/>
  <c r="I196" i="22" s="1"/>
  <c r="G197" i="22"/>
  <c r="I197" i="22" s="1"/>
  <c r="G198" i="22"/>
  <c r="I198" i="22" s="1"/>
  <c r="G199" i="22"/>
  <c r="E195" i="22"/>
  <c r="E196" i="22"/>
  <c r="E197" i="22"/>
  <c r="E198" i="22"/>
  <c r="O8" i="22" l="1"/>
  <c r="E182" i="22"/>
  <c r="E181" i="22"/>
  <c r="P114" i="22" l="1"/>
  <c r="G114" i="22"/>
  <c r="E114" i="22"/>
  <c r="P113" i="22"/>
  <c r="P9" i="22"/>
  <c r="P8" i="22"/>
  <c r="G120" i="22"/>
  <c r="E120" i="22"/>
  <c r="O114" i="22" l="1"/>
  <c r="G115" i="22"/>
  <c r="C15" i="24" s="1"/>
  <c r="C19" i="24" s="1"/>
  <c r="F139" i="22"/>
  <c r="G121" i="22" l="1"/>
  <c r="E121" i="22"/>
  <c r="G122" i="22" l="1"/>
  <c r="E122" i="22"/>
  <c r="E123" i="22" l="1"/>
  <c r="G123" i="22"/>
  <c r="E135" i="22"/>
  <c r="G135" i="22"/>
  <c r="E136" i="22"/>
  <c r="G136" i="22"/>
  <c r="E137" i="22"/>
  <c r="G137" i="22"/>
  <c r="E138" i="22"/>
  <c r="G138" i="22"/>
  <c r="N115" i="22" l="1"/>
  <c r="M115" i="22"/>
  <c r="L115" i="22"/>
  <c r="K115" i="22"/>
  <c r="J115" i="22"/>
  <c r="B8" i="24" l="1"/>
  <c r="E206" i="22" l="1"/>
  <c r="E205" i="22"/>
  <c r="B6" i="24" l="1"/>
  <c r="C8" i="24" l="1"/>
  <c r="D8" i="24" s="1"/>
  <c r="B9" i="24" l="1"/>
  <c r="C38" i="24" l="1"/>
  <c r="G116" i="22" l="1"/>
  <c r="O115" i="22" l="1"/>
  <c r="D15" i="24" s="1"/>
  <c r="B19" i="24" l="1"/>
  <c r="D9" i="24" l="1"/>
  <c r="E207" i="22" l="1"/>
  <c r="C44" i="24" l="1"/>
  <c r="C58" i="24" s="1"/>
  <c r="C62" i="24" s="1"/>
  <c r="C46" i="24" l="1"/>
  <c r="E208" i="22" l="1"/>
  <c r="E209" i="22"/>
  <c r="E199" i="22"/>
  <c r="C6" i="24" l="1"/>
  <c r="I199" i="22"/>
  <c r="I200" i="22" s="1"/>
  <c r="G200" i="22"/>
  <c r="D6" i="24" l="1"/>
  <c r="D19" i="24" l="1"/>
  <c r="F205" i="22" l="1"/>
  <c r="G205" i="22" l="1"/>
  <c r="H210" i="22"/>
  <c r="F209" i="22"/>
  <c r="G209" i="22" s="1"/>
  <c r="F207" i="22"/>
  <c r="G207" i="22" s="1"/>
  <c r="F208" i="22"/>
  <c r="G208" i="22" s="1"/>
  <c r="F206" i="22"/>
  <c r="F210" i="22" l="1"/>
  <c r="G206" i="22"/>
  <c r="G210" i="22" s="1"/>
  <c r="B7" i="24" l="1"/>
  <c r="C7" i="24" s="1"/>
  <c r="C10" i="24" s="1"/>
  <c r="B10" i="24" l="1"/>
  <c r="C50" i="24"/>
  <c r="D7" i="24"/>
  <c r="D10" i="24" s="1"/>
  <c r="C54" i="24" l="1"/>
  <c r="C65" i="24" s="1"/>
</calcChain>
</file>

<file path=xl/sharedStrings.xml><?xml version="1.0" encoding="utf-8"?>
<sst xmlns="http://schemas.openxmlformats.org/spreadsheetml/2006/main" count="4626" uniqueCount="1073">
  <si>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</si>
  <si>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</si>
  <si>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</si>
  <si>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</si>
  <si>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</si>
  <si>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</si>
  <si>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</si>
  <si>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</si>
  <si>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</si>
  <si>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</si>
  <si>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</si>
  <si>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</si>
  <si>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</si>
  <si>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</si>
  <si>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</si>
  <si>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</si>
  <si>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</si>
  <si>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</si>
  <si>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</si>
  <si>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</si>
  <si>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</si>
  <si>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</si>
  <si>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</si>
  <si>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</si>
  <si>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</si>
  <si>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</si>
  <si>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</si>
  <si>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</si>
  <si>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</si>
  <si>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</si>
  <si>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</si>
  <si>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</si>
  <si>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</si>
  <si>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</si>
  <si>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</si>
  <si>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</si>
  <si>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</si>
  <si>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</si>
  <si>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</si>
  <si>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</si>
  <si>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</si>
  <si>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</si>
  <si>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</si>
  <si>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</si>
  <si>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</si>
  <si>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</si>
  <si>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</si>
  <si>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</si>
  <si>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</si>
  <si>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</si>
  <si>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</si>
  <si>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</si>
  <si>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</si>
  <si>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</si>
  <si>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</si>
  <si>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</si>
  <si>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</si>
  <si>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</si>
  <si>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</si>
  <si>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</si>
  <si>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</si>
  <si>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</si>
  <si>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</si>
  <si>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</si>
  <si>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</si>
  <si>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</si>
  <si>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</si>
  <si>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</si>
  <si>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</si>
  <si>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</si>
  <si>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</si>
  <si>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</si>
  <si>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</si>
  <si>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</si>
  <si>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</si>
  <si>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</si>
  <si>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</si>
  <si>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</si>
  <si>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</si>
  <si>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</si>
  <si>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</si>
  <si>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</si>
  <si>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</si>
  <si>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</si>
  <si>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</si>
  <si>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</si>
  <si>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</si>
  <si>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</si>
  <si>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</si>
  <si>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</si>
  <si>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</si>
  <si>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</si>
  <si>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</si>
  <si>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</si>
  <si>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</si>
  <si>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</si>
  <si>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</si>
  <si>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</si>
  <si>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</si>
  <si>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</si>
  <si>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</si>
  <si>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</si>
  <si>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</si>
  <si>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</si>
  <si>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</si>
  <si>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</si>
  <si>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</si>
  <si>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</si>
  <si>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</si>
  <si>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</si>
  <si>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</si>
  <si>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</si>
  <si>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</si>
  <si>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</si>
  <si>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</si>
  <si>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</si>
  <si>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</si>
  <si>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</si>
  <si>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</si>
  <si>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</si>
  <si>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</si>
  <si>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</si>
  <si>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</si>
  <si>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</si>
  <si>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</si>
  <si>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</si>
  <si>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</si>
  <si>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</si>
  <si>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</si>
  <si>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</si>
  <si>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</si>
  <si>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</si>
  <si>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</si>
  <si>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</si>
  <si>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</si>
  <si>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</si>
  <si>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</si>
  <si>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</si>
  <si>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</si>
  <si>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</si>
  <si>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</si>
  <si>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</si>
  <si>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</si>
  <si>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</si>
  <si>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</si>
  <si>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</si>
  <si>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</si>
  <si>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</si>
  <si>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</si>
  <si>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</si>
  <si>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</si>
  <si>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</si>
  <si>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</si>
  <si>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</si>
  <si>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</si>
  <si>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</si>
  <si>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</si>
  <si>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</si>
  <si>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</si>
  <si>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</si>
  <si>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</si>
  <si>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</si>
  <si>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</si>
  <si>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</si>
  <si>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</si>
  <si>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</si>
  <si>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</si>
  <si>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</si>
  <si>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</si>
  <si>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</si>
  <si>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</si>
  <si>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</si>
  <si>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</si>
  <si>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</si>
  <si>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</si>
  <si>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</si>
  <si>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</si>
  <si>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</si>
  <si>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</si>
  <si>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</si>
  <si>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</si>
  <si>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</si>
  <si>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</si>
  <si>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</si>
  <si>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</si>
  <si>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</si>
  <si>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</si>
  <si>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</si>
  <si>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</si>
  <si>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</si>
  <si>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</si>
  <si>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</si>
  <si>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</si>
  <si>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</si>
  <si>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</si>
  <si>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</si>
  <si>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</si>
  <si>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</si>
  <si>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</si>
  <si>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</si>
  <si>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</si>
  <si>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</si>
  <si>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</si>
  <si>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</si>
  <si>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</si>
  <si>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</si>
  <si>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</si>
  <si>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</si>
  <si>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</si>
  <si>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</si>
  <si>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</si>
  <si>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</si>
  <si>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</si>
  <si>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</si>
  <si>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</si>
  <si>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</si>
  <si>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</si>
  <si>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</si>
  <si>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</si>
  <si>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</si>
  <si>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</si>
  <si>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</si>
  <si>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</si>
  <si>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</si>
  <si>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</si>
  <si>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</si>
  <si>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</si>
  <si>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</si>
  <si>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</si>
  <si>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</si>
  <si>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</si>
  <si>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</si>
  <si>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</si>
  <si>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</si>
  <si>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</si>
  <si>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</si>
  <si>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</si>
  <si>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</si>
  <si>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</si>
  <si>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</si>
  <si>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</si>
  <si>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</si>
  <si>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</si>
  <si>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</si>
  <si>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</si>
  <si>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</si>
  <si>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</si>
  <si>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</si>
  <si>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</si>
  <si>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</si>
  <si>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</si>
  <si>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</si>
  <si>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</si>
  <si>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</si>
  <si>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</si>
  <si>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</si>
  <si>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</si>
  <si>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</si>
  <si>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</si>
  <si>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</si>
  <si>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</si>
  <si>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</si>
  <si>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</si>
  <si>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</si>
  <si>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</si>
  <si>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</si>
  <si>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</si>
  <si>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</si>
  <si>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</si>
  <si>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</si>
  <si>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</si>
  <si>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</si>
  <si>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</si>
  <si>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</si>
  <si>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</si>
  <si>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</si>
  <si>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</si>
  <si>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</si>
  <si>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</si>
  <si>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</si>
  <si>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</si>
  <si>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</si>
  <si>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</si>
  <si>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</si>
  <si>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</si>
  <si>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</si>
  <si>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</si>
  <si>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</si>
  <si>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</si>
  <si>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</si>
  <si>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</si>
  <si>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</si>
  <si>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</si>
  <si>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</si>
  <si>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</si>
  <si>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</si>
  <si>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</si>
  <si>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</si>
  <si>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</si>
  <si>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</si>
  <si>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</si>
  <si>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</si>
  <si>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</si>
  <si>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</si>
  <si>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</si>
  <si>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</si>
  <si>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</si>
  <si>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</si>
  <si>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</si>
  <si>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</si>
  <si>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</si>
  <si>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</si>
  <si>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</si>
  <si>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</si>
  <si>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</si>
  <si>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</si>
  <si>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</si>
  <si>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</si>
  <si>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</si>
  <si>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</si>
  <si>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</si>
  <si>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</si>
  <si>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</si>
  <si>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</si>
  <si>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</si>
  <si>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</si>
  <si>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</si>
  <si>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</si>
  <si>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</si>
  <si>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</si>
  <si>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</si>
  <si>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</si>
  <si>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</si>
  <si>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</si>
  <si>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</si>
  <si>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</si>
  <si>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</si>
  <si>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</si>
  <si>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</si>
  <si>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</si>
  <si>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</si>
  <si>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</si>
  <si>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</si>
  <si>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</si>
  <si>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</si>
  <si>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</si>
  <si>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</si>
  <si>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</si>
  <si>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</si>
  <si>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</si>
  <si>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</si>
  <si>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</si>
  <si>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</si>
  <si>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</si>
  <si>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</si>
  <si>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</si>
  <si>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</si>
  <si>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</si>
  <si>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</si>
  <si>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</si>
  <si>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</si>
  <si>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</si>
  <si>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</si>
  <si>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</si>
  <si>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</si>
  <si>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</si>
  <si>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</si>
  <si>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</si>
  <si>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</si>
  <si>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</si>
  <si>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</si>
  <si>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</si>
  <si>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</si>
  <si>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</si>
  <si>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</si>
  <si>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</si>
  <si>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</si>
  <si>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</si>
  <si>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</si>
  <si>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</si>
  <si>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</si>
  <si>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</si>
  <si>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</si>
  <si>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</si>
  <si>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</si>
  <si>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</si>
  <si>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</si>
  <si>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</si>
  <si>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</si>
  <si>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</si>
  <si>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</si>
  <si>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</si>
  <si>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</si>
  <si>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</si>
  <si>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</si>
  <si>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</si>
  <si>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</si>
  <si>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</si>
  <si>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</si>
  <si>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</si>
  <si>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</si>
  <si>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</si>
  <si>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</si>
  <si>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</si>
  <si>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</si>
  <si>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</si>
  <si>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</si>
  <si>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</si>
  <si>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</si>
  <si>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</si>
  <si>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</si>
  <si>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</si>
  <si>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</si>
  <si>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</si>
  <si>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</si>
  <si>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</si>
  <si>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</si>
  <si>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</si>
  <si>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</si>
  <si>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</si>
  <si>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</si>
  <si>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</si>
  <si>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</si>
  <si>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</si>
  <si>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</si>
  <si>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</si>
  <si>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</si>
  <si>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</si>
  <si>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</si>
  <si>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</si>
  <si>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</si>
  <si>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</si>
  <si>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</si>
  <si>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</si>
  <si>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</si>
  <si>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</si>
  <si>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</si>
  <si>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</si>
  <si>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</si>
  <si>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</si>
  <si>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</si>
  <si>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</si>
  <si>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</si>
  <si>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</si>
  <si>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</si>
  <si>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</si>
  <si>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</si>
  <si>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</si>
  <si>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</si>
  <si>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</si>
  <si>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</si>
  <si>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</si>
  <si>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</si>
  <si>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</si>
  <si>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</si>
  <si>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</si>
  <si>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</si>
  <si>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</si>
  <si>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</si>
  <si>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</si>
  <si>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</si>
  <si>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</si>
  <si>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</si>
  <si>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</si>
  <si>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</si>
  <si>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</si>
  <si>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</si>
  <si>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</si>
  <si>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</si>
  <si>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</si>
  <si>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</si>
  <si>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</si>
  <si>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</si>
  <si>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</si>
  <si>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</si>
  <si>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</si>
  <si>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</si>
  <si>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</si>
  <si>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</si>
  <si>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</si>
  <si>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</si>
  <si>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</si>
  <si>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</si>
  <si>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</si>
  <si>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</si>
  <si>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</si>
  <si>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</si>
  <si>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</si>
  <si>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</si>
  <si>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</si>
  <si>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</si>
  <si>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</si>
  <si>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</si>
  <si>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</si>
  <si>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</si>
  <si>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</si>
  <si>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</si>
  <si>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</si>
  <si>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</si>
  <si>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</si>
  <si>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</si>
  <si>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</si>
  <si>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</si>
  <si>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</si>
  <si>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</si>
  <si>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</si>
  <si>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</si>
  <si>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</si>
  <si>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</si>
  <si>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</si>
  <si>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</si>
  <si>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</si>
  <si>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</si>
  <si>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</si>
  <si>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</si>
  <si>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</si>
  <si>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</si>
  <si>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</si>
  <si>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</si>
  <si>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</si>
  <si>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</si>
  <si>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</si>
  <si>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</si>
  <si>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</si>
  <si>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</si>
  <si>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</si>
  <si>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</si>
  <si>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</si>
  <si>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</si>
  <si>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</si>
  <si>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</si>
  <si>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</si>
  <si>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</si>
  <si>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</si>
  <si>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</si>
  <si>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</si>
  <si>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</si>
  <si>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</si>
  <si>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</si>
  <si>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</si>
  <si>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</si>
  <si>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</si>
  <si>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</si>
  <si>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</si>
  <si>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</si>
  <si>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</si>
  <si>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</si>
  <si>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</si>
  <si>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</si>
  <si>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</si>
  <si>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</si>
  <si>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</si>
  <si>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</si>
  <si>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</si>
  <si>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</si>
  <si>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</si>
  <si>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</si>
  <si>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</si>
  <si>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</si>
  <si>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</si>
  <si>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</si>
  <si>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</si>
  <si>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</si>
  <si>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</si>
  <si>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</si>
  <si>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</si>
  <si>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</si>
  <si>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</si>
  <si>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</si>
  <si>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</si>
  <si>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</si>
  <si>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</si>
  <si>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</si>
  <si>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</si>
  <si>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</si>
  <si>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</si>
  <si>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</si>
  <si>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</si>
  <si>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</si>
  <si>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</si>
  <si>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</si>
  <si>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</si>
  <si>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</si>
  <si>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</si>
  <si>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</si>
  <si>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</si>
  <si>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</si>
  <si>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</si>
  <si>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</si>
  <si>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</si>
  <si>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</si>
  <si>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</si>
  <si>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</si>
  <si>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</si>
  <si>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</si>
  <si>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</si>
  <si>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</si>
  <si>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</si>
  <si>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</si>
  <si>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</si>
  <si>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</si>
  <si>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</si>
  <si>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</si>
  <si>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</si>
  <si>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</si>
  <si>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</si>
  <si>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</si>
  <si>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</si>
  <si>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</si>
  <si>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</si>
  <si>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</si>
  <si>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</si>
  <si>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</si>
  <si>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</si>
  <si>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</si>
  <si>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</si>
  <si>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</si>
  <si>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</si>
  <si>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</si>
  <si>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</si>
  <si>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</si>
  <si>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</si>
  <si>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</si>
  <si>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</si>
  <si>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</si>
  <si>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</si>
  <si>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</si>
  <si>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</si>
  <si>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</si>
  <si>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</si>
  <si>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</si>
  <si>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</si>
  <si>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</si>
  <si>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</si>
  <si>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Compras s/ODOO</t>
  </si>
  <si>
    <t>Comprobantes AFIP - Saldo</t>
  </si>
  <si>
    <t>RSC SA</t>
  </si>
  <si>
    <t>IVA S/ EXTRACTOS BANCARIOS</t>
  </si>
  <si>
    <t>C.S.J. O.S. Poder Judicial</t>
  </si>
  <si>
    <t>Aca Salud Coop P.S. Medico A.L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</si>
  <si>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</si>
  <si>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</si>
  <si>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</si>
  <si>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</si>
  <si>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</si>
  <si>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</si>
  <si>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</si>
  <si>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</si>
  <si>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</si>
  <si>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</si>
  <si>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</si>
  <si>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</si>
  <si>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</si>
  <si>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</si>
  <si>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</si>
  <si>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</si>
  <si>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</si>
  <si>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</si>
  <si>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</si>
  <si>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</si>
  <si>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</si>
  <si>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</si>
  <si>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</si>
  <si>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</si>
  <si>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</si>
  <si>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</si>
  <si>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</si>
  <si>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</si>
  <si>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</si>
  <si>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</si>
  <si>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</si>
  <si>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</si>
  <si>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</si>
  <si>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</si>
  <si>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</si>
  <si>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</si>
  <si>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</si>
  <si>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</si>
  <si>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</si>
  <si>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</si>
  <si>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</si>
  <si>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</si>
  <si>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</si>
  <si>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</si>
  <si>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</si>
  <si>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</si>
  <si>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</si>
  <si>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</si>
  <si>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</si>
  <si>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</si>
  <si>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</si>
  <si>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</si>
  <si>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</si>
  <si>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</si>
  <si>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</si>
  <si>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</si>
  <si>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</si>
  <si>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</si>
  <si>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</si>
  <si>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</si>
  <si>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</si>
  <si>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</si>
  <si>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</si>
  <si>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</si>
  <si>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</si>
  <si>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</si>
  <si>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</si>
  <si>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</si>
  <si>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</si>
  <si>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</si>
  <si>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</si>
  <si>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</si>
  <si>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</si>
  <si>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</si>
  <si>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</si>
  <si>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</si>
  <si>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</si>
  <si>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</si>
  <si>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</si>
  <si>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</si>
  <si>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</si>
  <si>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</si>
  <si>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</si>
  <si>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</si>
  <si>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</si>
  <si>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</si>
  <si>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</si>
  <si>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</si>
  <si>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</si>
  <si>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</si>
  <si>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</si>
  <si>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</si>
  <si>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</si>
  <si>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</si>
  <si>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</si>
  <si>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</si>
  <si>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</si>
  <si>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</si>
  <si>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</si>
  <si>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</si>
  <si>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</si>
  <si>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</si>
  <si>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</si>
  <si>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</si>
  <si>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</si>
  <si>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</si>
  <si>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</si>
  <si>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</si>
  <si>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</si>
  <si>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</si>
  <si>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</si>
  <si>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</si>
  <si>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</si>
  <si>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</si>
  <si>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</si>
  <si>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</si>
  <si>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</si>
  <si>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</si>
  <si>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</si>
  <si>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</si>
  <si>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</si>
  <si>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</si>
  <si>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</si>
  <si>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</si>
  <si>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</si>
  <si>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</si>
  <si>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</si>
  <si>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</si>
  <si>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</si>
  <si>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</si>
  <si>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</si>
  <si>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</si>
  <si>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</si>
  <si>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</si>
  <si>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</si>
  <si>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</si>
  <si>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</si>
  <si>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</si>
  <si>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</si>
  <si>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</si>
  <si>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</si>
  <si>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</si>
  <si>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</si>
  <si>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</si>
  <si>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</si>
  <si>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</si>
  <si>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</si>
  <si>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</si>
  <si>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</si>
  <si>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</si>
  <si>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</si>
  <si>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</si>
  <si>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</si>
  <si>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</si>
  <si>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</si>
  <si>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</si>
  <si>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</si>
  <si>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</si>
  <si>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</si>
  <si>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</si>
  <si>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</si>
  <si>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</si>
  <si>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</si>
  <si>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</si>
  <si>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</si>
  <si>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</si>
  <si>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</si>
  <si>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</si>
  <si>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</si>
  <si>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</si>
  <si>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</si>
  <si>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</si>
  <si>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</si>
  <si>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</si>
  <si>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</si>
  <si>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</si>
  <si>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</si>
  <si>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</si>
  <si>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</si>
  <si>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</si>
  <si>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</si>
  <si>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</si>
  <si>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</si>
  <si>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</si>
  <si>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</si>
  <si>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</si>
  <si>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</si>
  <si>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</si>
  <si>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</si>
  <si>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</si>
  <si>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</si>
  <si>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</si>
  <si>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</si>
  <si>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</si>
  <si>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</si>
  <si>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</si>
  <si>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</si>
  <si>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</si>
  <si>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</si>
  <si>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</si>
  <si>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</si>
  <si>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</si>
  <si>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</si>
  <si>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</si>
  <si>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</si>
  <si>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</si>
  <si>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</si>
  <si>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</si>
  <si>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</si>
  <si>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</si>
  <si>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</si>
  <si>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</si>
  <si>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</si>
  <si>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</si>
  <si>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</si>
  <si>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</si>
  <si>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</si>
  <si>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</si>
  <si>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</si>
  <si>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</si>
  <si>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</si>
  <si>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</si>
  <si>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</si>
  <si>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</si>
  <si>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</si>
  <si>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</si>
  <si>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</si>
  <si>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</si>
  <si>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</si>
  <si>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</si>
  <si>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</si>
  <si>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</si>
  <si>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</si>
  <si>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</si>
  <si>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</si>
  <si>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</si>
  <si>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</si>
  <si>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</si>
  <si>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</si>
  <si>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</si>
  <si>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</si>
  <si>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</si>
  <si>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</si>
  <si>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</si>
  <si>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</si>
  <si>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</si>
  <si>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</si>
  <si>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</si>
  <si>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</si>
  <si>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</si>
  <si>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</si>
  <si>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</si>
  <si>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</si>
  <si>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</si>
  <si>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</si>
  <si>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</si>
  <si>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</si>
  <si>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</si>
  <si>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</si>
  <si>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</si>
  <si>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</si>
  <si>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</si>
  <si>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</si>
  <si>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</si>
  <si>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</si>
  <si>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</si>
  <si>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</si>
  <si>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</si>
  <si>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</si>
  <si>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</si>
  <si>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</si>
  <si>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</si>
  <si>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</si>
  <si>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</si>
  <si>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</si>
  <si>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</si>
  <si>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</si>
  <si>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</si>
  <si>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</si>
  <si>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</si>
  <si>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</si>
  <si>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</si>
  <si>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</si>
  <si>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</si>
  <si>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</si>
  <si>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</si>
  <si>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Comprobantes AFIP no recepcionados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</si>
  <si>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</si>
  <si>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</si>
  <si>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</si>
  <si>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</si>
  <si>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</si>
  <si>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</si>
  <si>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</si>
  <si>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</si>
  <si>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>O.S.P.R.E.R.A</t>
  </si>
  <si>
    <t>RSC S.A.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</si>
  <si>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</si>
  <si>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</si>
  <si>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</si>
  <si>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</si>
  <si>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</si>
  <si>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</si>
  <si>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</si>
  <si>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</si>
  <si>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</si>
  <si>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</si>
  <si>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</si>
  <si>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</si>
  <si>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</si>
  <si>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Emitidos - CUIT 30710473168</t>
  </si>
  <si>
    <t>Tipo Doc. Receptor</t>
  </si>
  <si>
    <t>Nro. Doc. Receptor</t>
  </si>
  <si>
    <t>Denominación Receptor</t>
  </si>
  <si>
    <t>01/10/2024</t>
  </si>
  <si>
    <t>GALENO ARGENTINA SOCIEDAD ANONIMA</t>
  </si>
  <si>
    <t>6 - Factura B</t>
  </si>
  <si>
    <t>DNI</t>
  </si>
  <si>
    <t>MONTI DARIO GERMAN</t>
  </si>
  <si>
    <t>TRUCCO NELLY TERESA DNI 0.901.666</t>
  </si>
  <si>
    <t>8 - Nota de Crédito B</t>
  </si>
  <si>
    <t>201 - Factura de Crédito electrónica MiPyMEs (FCE) A</t>
  </si>
  <si>
    <t>02/10/2024</t>
  </si>
  <si>
    <t>MEJAIL MARIA CRISTINA</t>
  </si>
  <si>
    <t>03/10/2024</t>
  </si>
  <si>
    <t>FUSETTI MARIA TERESA</t>
  </si>
  <si>
    <t>04/10/2024</t>
  </si>
  <si>
    <t>OBRA SOCIAL DEL SINDICATO DE MECANICOS Y AFINES DEL TRANSPORTE AUTOMOTOR</t>
  </si>
  <si>
    <t>AMPARO SALUD S.R.L.</t>
  </si>
  <si>
    <t>OBRA SOCIAL DE LA ACTIVIDAD DE SEGUROS, REASEGUROS, CAPITALIZACION Y AHORRO Y PRESTAMO  PARA LA VIVI</t>
  </si>
  <si>
    <t>HC HOMECARE INTERNACION DOMICILIARIA S.A.</t>
  </si>
  <si>
    <t>PANUNTO ELIDA YAMILA</t>
  </si>
  <si>
    <t>OBRA SOCIAL UNION PERSONAL DE LA UNION DEL PERSONAL CIVIL DE LA NACION</t>
  </si>
  <si>
    <t>07/10/2024</t>
  </si>
  <si>
    <t>OBRA SOCIAL DEL PERSONAL DE LAS TELECOMUNICACIONES DE LA REPUBLICA ARGENTINA</t>
  </si>
  <si>
    <t>MEDICUS SOCIEDAD ANONIMA DE ASISTENCIA MEDICA Y CIENTIFICA</t>
  </si>
  <si>
    <t>OBRA SOCIAL DE LOS TRABAJADORES DE LA INDUSTRIA DEL GAS</t>
  </si>
  <si>
    <t>08/10/2024</t>
  </si>
  <si>
    <t>MGR IMPLANTES S.A.</t>
  </si>
  <si>
    <t>09/10/2024</t>
  </si>
  <si>
    <t>ALIANZE INTERNACION DOMICILIARIA S.R.L.</t>
  </si>
  <si>
    <t>LOCOCO CARMEN CLAUDIA</t>
  </si>
  <si>
    <t>CUTILLO CINTIA YAMILA</t>
  </si>
  <si>
    <t>VILLALBA ROLANDO ANTONIO</t>
  </si>
  <si>
    <t>PEROTTI MARIA AGUSTINA</t>
  </si>
  <si>
    <t>BENEIT MORA YAZMIN</t>
  </si>
  <si>
    <t>ZUMBO MARIA LAURA</t>
  </si>
  <si>
    <t>RODRIGUEZ LAGARES MARIA SUSANA</t>
  </si>
  <si>
    <t>GONZALEZ DUARTE AURORA</t>
  </si>
  <si>
    <t>LUNA PATRICIA CLAUDIA ELIZABETH</t>
  </si>
  <si>
    <t>SEVARES BRIAN EZEQUIEL</t>
  </si>
  <si>
    <t>CERQUETTI CLAUDIA JULIA</t>
  </si>
  <si>
    <t>10/10/2024</t>
  </si>
  <si>
    <t>GALENO ASEGURADORA DE RIESGOS DEL TRABAJO SOCIEDAD ANONIMA</t>
  </si>
  <si>
    <t>BAUSO ALEJANDRO ADRIAN</t>
  </si>
  <si>
    <t>AGUERO EVANGELISTA DEL VALLE</t>
  </si>
  <si>
    <t>VETERE RICARDO GABRIEL</t>
  </si>
  <si>
    <t>LUQUE RAMIRO TOMAS</t>
  </si>
  <si>
    <t>UTRERA ADRIAN ALBERTO</t>
  </si>
  <si>
    <t>14/10/2024</t>
  </si>
  <si>
    <t>MARQUEZ ARAUJO BRAYAM EDUARDO</t>
  </si>
  <si>
    <t>MESSER ROSA CLAUDIA</t>
  </si>
  <si>
    <t>CUIL</t>
  </si>
  <si>
    <t>CANEPA JUAN CARLOS</t>
  </si>
  <si>
    <t>CANALS LENA</t>
  </si>
  <si>
    <t>15/10/2024</t>
  </si>
  <si>
    <t>OBRA SOCIAL DEL PERSONAL DE LA INDUSTRIA DEL PLASTICO</t>
  </si>
  <si>
    <t>POSE SEBASTIAN LEONARDO</t>
  </si>
  <si>
    <t>JORVATT ROBERT SOFIA</t>
  </si>
  <si>
    <t>CERVIÑO NORBERTO</t>
  </si>
  <si>
    <t>ZANCARINI LUIS JAVIER BERNARDO</t>
  </si>
  <si>
    <t>16/10/2024</t>
  </si>
  <si>
    <t>LOGIN DOOR S.A</t>
  </si>
  <si>
    <t>MED CLIN S.R.L.</t>
  </si>
  <si>
    <t>HERMAN PATRICIA ESTELA</t>
  </si>
  <si>
    <t>SILVA BLANCA EDITH</t>
  </si>
  <si>
    <t>MANTILLA SULLON MANUEL JESUS</t>
  </si>
  <si>
    <t>CHAMORRO RUBEN DARIO</t>
  </si>
  <si>
    <t>17/10/2024</t>
  </si>
  <si>
    <t>AVALIAN SALUD Y BIENESTAR COOPERATIVA LIMITADA</t>
  </si>
  <si>
    <t>18/10/2024</t>
  </si>
  <si>
    <t>ITALIA FILOMENA SRL</t>
  </si>
  <si>
    <t>VAJDA RAQUEL ESTER</t>
  </si>
  <si>
    <t>21/10/2024</t>
  </si>
  <si>
    <t>COSTARELLI JUAN MANUEL</t>
  </si>
  <si>
    <t>MAYOTTI EZEQUIEL AGUSTIN</t>
  </si>
  <si>
    <t>GUANTAY MARLENE CARLA</t>
  </si>
  <si>
    <t>DAGNINO VIVIANA BEATRIZ</t>
  </si>
  <si>
    <t>22/10/2024</t>
  </si>
  <si>
    <t>STENDLER SUSANA</t>
  </si>
  <si>
    <t>MILLAN LUCAS LEONEL</t>
  </si>
  <si>
    <t>GUZMAN ANA MARIA</t>
  </si>
  <si>
    <t>23/10/2024</t>
  </si>
  <si>
    <t>GOWLAND MAXIMO EDUARDO</t>
  </si>
  <si>
    <t>FRAGATI SALVADOR PABLO</t>
  </si>
  <si>
    <t>CHIRINO MARIA ANTONIA</t>
  </si>
  <si>
    <t>ALEGRIA MARIA TERESA</t>
  </si>
  <si>
    <t>FEHR THIESSEN JUAN</t>
  </si>
  <si>
    <t>24/10/2024</t>
  </si>
  <si>
    <t>MAIDA SILVINA ANALIA</t>
  </si>
  <si>
    <t>25/10/2024</t>
  </si>
  <si>
    <t>MOSTO TERESITA BEATRIZ</t>
  </si>
  <si>
    <t>VERGARA RICARDO NICANOR</t>
  </si>
  <si>
    <t>28/10/2024</t>
  </si>
  <si>
    <t>MPM GROUP S.A.</t>
  </si>
  <si>
    <t>TILLERIA AGUILAR MARIANA ELISA</t>
  </si>
  <si>
    <t>QUIROZ NESTOR EZEQUIEL</t>
  </si>
  <si>
    <t>CALDERER MARIA ISABEL</t>
  </si>
  <si>
    <t>MEDIAVILLA GLADYS RAFAELA</t>
  </si>
  <si>
    <t>CALDERER SILVIA NOEMI</t>
  </si>
  <si>
    <t>BEZI VICTORIA</t>
  </si>
  <si>
    <t>29/10/2024</t>
  </si>
  <si>
    <t>PICOLEMAR SA</t>
  </si>
  <si>
    <t>FEDERACION ARGENTINA DE EMPLEADOS DE COMERCIO Y SERVICIOS</t>
  </si>
  <si>
    <t>QUINTANA JOSE MARIA FACUNDO</t>
  </si>
  <si>
    <t>BENNARDIS ENRIQUE JESUS</t>
  </si>
  <si>
    <t>TATULLI MARIA ISABEL</t>
  </si>
  <si>
    <t>FERNANDEZ BEATRIZ SUSANA</t>
  </si>
  <si>
    <t>CLIMENT BORZANI ANA GABRIELA</t>
  </si>
  <si>
    <t>GOMEZ MANUEL EMILIANO</t>
  </si>
  <si>
    <t>30/10/2024</t>
  </si>
  <si>
    <t>31/10/2024</t>
  </si>
  <si>
    <t>CRUDELE ROBERTO</t>
  </si>
  <si>
    <t>Totales por Tipo de Comprobante - AFIP</t>
  </si>
  <si>
    <t xml:space="preserve">FAC. "A" - </t>
  </si>
  <si>
    <t>11/10/2024</t>
  </si>
  <si>
    <t>DADAGLIO HNOS S A I C F I A</t>
  </si>
  <si>
    <t>DESPEGAR COM AR SA</t>
  </si>
  <si>
    <t>19/10/2024</t>
  </si>
  <si>
    <t>ORTOPEDIA CASA ESCALADA S.R.L.</t>
  </si>
  <si>
    <t>BALANZE S.A.</t>
  </si>
  <si>
    <t>MIGOYA MORIONDO SOFIA</t>
  </si>
  <si>
    <t>AEROPUERTOS ARGENTINA 2000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</si>
</sst>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b/>
      <sz val="11"/>
      <color rgb="FF7030A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B050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7CE"/>
      </patternFill>
    </fill>
    <fill>
      <patternFill patternType="solid">
        <fgColor rgb="FF99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9" fillId="14" borderId="0" applyNumberFormat="0" applyBorder="0" applyAlignment="0" applyProtection="0"/>
    <xf numFmtId="0" fontId="60" fillId="15" borderId="0" applyNumberFormat="0" applyBorder="0" applyAlignment="0" applyProtection="0"/>
    <xf numFmtId="0" fontId="64" fillId="20" borderId="0" applyNumberFormat="0" applyBorder="0" applyAlignment="0" applyProtection="0"/>
  </cellStyleXfs>
  <cellXfs count="362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6" fillId="0" borderId="1" xfId="0" applyFont="1" applyBorder="1"/>
    <xf numFmtId="0" fontId="58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4" fontId="11" fillId="0" borderId="5" xfId="0" applyNumberFormat="1" applyFont="1" applyBorder="1"/>
    <xf numFmtId="4" fontId="60" fillId="0" borderId="0" xfId="12" applyNumberFormat="1" applyFill="1"/>
    <xf numFmtId="4" fontId="0" fillId="0" borderId="0" xfId="0" applyNumberFormat="1" applyFill="1"/>
    <xf numFmtId="4" fontId="61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4" fillId="0" borderId="39" xfId="0" applyNumberFormat="1" applyFont="1" applyBorder="1"/>
    <xf numFmtId="4" fontId="44" fillId="0" borderId="40" xfId="0" applyNumberFormat="1" applyFont="1" applyBorder="1"/>
    <xf numFmtId="4" fontId="44" fillId="0" borderId="41" xfId="0" applyNumberFormat="1" applyFont="1" applyBorder="1"/>
    <xf numFmtId="4" fontId="60" fillId="0" borderId="0" xfId="12" applyNumberFormat="1" applyFill="1" applyBorder="1" applyAlignment="1">
      <alignment horizontal="right" vertical="center"/>
    </xf>
    <xf numFmtId="0" fontId="62" fillId="16" borderId="1" xfId="0" applyFont="1" applyFill="1" applyBorder="1"/>
    <xf numFmtId="4" fontId="11" fillId="16" borderId="1" xfId="0" applyNumberFormat="1" applyFont="1" applyFill="1" applyBorder="1"/>
    <xf numFmtId="4" fontId="57" fillId="0" borderId="1" xfId="0" applyNumberFormat="1" applyFont="1" applyFill="1" applyBorder="1" applyAlignment="1">
      <alignment horizontal="center"/>
    </xf>
    <xf numFmtId="4" fontId="57" fillId="0" borderId="12" xfId="0" applyNumberFormat="1" applyFont="1" applyFill="1" applyBorder="1" applyAlignment="1">
      <alignment horizont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60" fillId="15" borderId="1" xfId="12" applyBorder="1"/>
    <xf numFmtId="1" fontId="0" fillId="17" borderId="1" xfId="0" applyNumberFormat="1" applyFont="1" applyFill="1" applyBorder="1"/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11" fillId="0" borderId="1" xfId="0" applyFont="1" applyBorder="1"/>
    <xf numFmtId="0" fontId="56" fillId="0" borderId="1" xfId="0" applyFont="1" applyBorder="1" applyAlignment="1">
      <alignment horizontal="left"/>
    </xf>
    <xf numFmtId="1" fontId="63" fillId="0" borderId="1" xfId="0" applyNumberFormat="1" applyFont="1" applyFill="1" applyBorder="1"/>
    <xf numFmtId="0" fontId="63" fillId="0" borderId="1" xfId="0" applyFont="1" applyFill="1" applyBorder="1"/>
    <xf numFmtId="0" fontId="56" fillId="0" borderId="1" xfId="0" applyFont="1" applyFill="1" applyBorder="1"/>
    <xf numFmtId="2" fontId="56" fillId="0" borderId="1" xfId="0" applyNumberFormat="1" applyFont="1" applyFill="1" applyBorder="1" applyAlignment="1">
      <alignment horizontal="right" vertical="center"/>
    </xf>
    <xf numFmtId="0" fontId="56" fillId="18" borderId="1" xfId="0" applyFont="1" applyFill="1" applyBorder="1"/>
    <xf numFmtId="0" fontId="63" fillId="18" borderId="1" xfId="0" applyFont="1" applyFill="1" applyBorder="1"/>
    <xf numFmtId="49" fontId="56" fillId="18" borderId="1" xfId="0" applyNumberFormat="1" applyFont="1" applyFill="1" applyBorder="1" applyAlignment="1">
      <alignment horizontal="left"/>
    </xf>
    <xf numFmtId="1" fontId="63" fillId="18" borderId="1" xfId="0" applyNumberFormat="1" applyFont="1" applyFill="1" applyBorder="1"/>
    <xf numFmtId="0" fontId="63" fillId="19" borderId="1" xfId="0" applyFont="1" applyFill="1" applyBorder="1"/>
    <xf numFmtId="1" fontId="63" fillId="19" borderId="1" xfId="0" applyNumberFormat="1" applyFont="1" applyFill="1" applyBorder="1"/>
    <xf numFmtId="0" fontId="0" fillId="19" borderId="0" xfId="0" applyFill="1"/>
    <xf numFmtId="0" fontId="63" fillId="19" borderId="0" xfId="0" applyFont="1" applyFill="1"/>
    <xf numFmtId="2" fontId="63" fillId="19" borderId="1" xfId="0" applyNumberFormat="1" applyFont="1" applyFill="1" applyBorder="1"/>
    <xf numFmtId="0" fontId="56" fillId="18" borderId="1" xfId="0" applyFont="1" applyFill="1" applyBorder="1" applyAlignment="1">
      <alignment horizontal="left"/>
    </xf>
    <xf numFmtId="2" fontId="56" fillId="18" borderId="1" xfId="0" applyNumberFormat="1" applyFont="1" applyFill="1" applyBorder="1" applyAlignment="1">
      <alignment horizontal="right" vertical="center"/>
    </xf>
    <xf numFmtId="2" fontId="63" fillId="18" borderId="1" xfId="0" applyNumberFormat="1" applyFont="1" applyFill="1" applyBorder="1"/>
    <xf numFmtId="0" fontId="56" fillId="18" borderId="0" xfId="0" applyFont="1" applyFill="1"/>
    <xf numFmtId="0" fontId="63" fillId="18" borderId="0" xfId="0" applyFont="1" applyFill="1"/>
    <xf numFmtId="0" fontId="56" fillId="0" borderId="0" xfId="0" applyFont="1" applyBorder="1" applyAlignment="1">
      <alignment horizontal="left"/>
    </xf>
    <xf numFmtId="0" fontId="56" fillId="0" borderId="0" xfId="0" applyFont="1" applyBorder="1"/>
    <xf numFmtId="4" fontId="60" fillId="15" borderId="1" xfId="12" applyNumberFormat="1" applyBorder="1" applyAlignment="1">
      <alignment horizontal="right" vertical="center"/>
    </xf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4" fontId="60" fillId="15" borderId="1" xfId="12" applyNumberFormat="1" applyBorder="1"/>
    <xf numFmtId="0" fontId="26" fillId="16" borderId="1" xfId="0" applyFont="1" applyFill="1" applyBorder="1"/>
    <xf numFmtId="0" fontId="56" fillId="21" borderId="1" xfId="0" applyFont="1" applyFill="1" applyBorder="1"/>
    <xf numFmtId="0" fontId="56" fillId="0" borderId="1" xfId="0" applyFont="1" applyFill="1" applyBorder="1" applyAlignment="1">
      <alignment horizontal="left"/>
    </xf>
    <xf numFmtId="49" fontId="56" fillId="0" borderId="1" xfId="0" applyNumberFormat="1" applyFont="1" applyFill="1" applyBorder="1" applyAlignment="1">
      <alignment horizontal="left"/>
    </xf>
    <xf numFmtId="4" fontId="66" fillId="15" borderId="1" xfId="12" applyNumberFormat="1" applyFont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8" fillId="0" borderId="1" xfId="0" applyFont="1" applyFill="1" applyBorder="1"/>
    <xf numFmtId="0" fontId="0" fillId="22" borderId="1" xfId="0" applyFont="1" applyFill="1" applyBorder="1"/>
    <xf numFmtId="1" fontId="0" fillId="22" borderId="1" xfId="0" applyNumberFormat="1" applyFont="1" applyFill="1" applyBorder="1"/>
    <xf numFmtId="2" fontId="0" fillId="22" borderId="1" xfId="0" applyNumberFormat="1" applyFont="1" applyFill="1" applyBorder="1"/>
    <xf numFmtId="4" fontId="26" fillId="23" borderId="1" xfId="0" applyNumberFormat="1" applyFont="1" applyFill="1" applyBorder="1"/>
    <xf numFmtId="0" fontId="70" fillId="24" borderId="1" xfId="0" applyFont="1" applyFill="1" applyBorder="1"/>
    <xf numFmtId="0" fontId="70" fillId="24" borderId="1" xfId="0" applyFont="1" applyFill="1" applyBorder="1" applyAlignment="1">
      <alignment horizontal="center"/>
    </xf>
    <xf numFmtId="4" fontId="67" fillId="24" borderId="0" xfId="0" applyNumberFormat="1" applyFont="1" applyFill="1"/>
    <xf numFmtId="0" fontId="71" fillId="0" borderId="1" xfId="0" applyFont="1" applyBorder="1"/>
    <xf numFmtId="4" fontId="70" fillId="24" borderId="1" xfId="0" applyNumberFormat="1" applyFont="1" applyFill="1" applyBorder="1" applyAlignment="1">
      <alignment horizontal="right" vertical="center"/>
    </xf>
    <xf numFmtId="4" fontId="56" fillId="0" borderId="1" xfId="0" applyNumberFormat="1" applyFont="1" applyBorder="1" applyAlignment="1">
      <alignment horizontal="right" vertical="center"/>
    </xf>
    <xf numFmtId="0" fontId="72" fillId="0" borderId="1" xfId="0" applyFont="1" applyFill="1" applyBorder="1"/>
    <xf numFmtId="1" fontId="72" fillId="0" borderId="1" xfId="0" applyNumberFormat="1" applyFont="1" applyFill="1" applyBorder="1"/>
    <xf numFmtId="4" fontId="72" fillId="25" borderId="1" xfId="0" applyNumberFormat="1" applyFont="1" applyFill="1" applyBorder="1"/>
    <xf numFmtId="4" fontId="72" fillId="0" borderId="1" xfId="0" applyNumberFormat="1" applyFont="1" applyFill="1" applyBorder="1"/>
    <xf numFmtId="0" fontId="57" fillId="0" borderId="1" xfId="0" applyFont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8" fillId="8" borderId="2" xfId="9" applyFont="1" applyFill="1" applyBorder="1" applyAlignment="1">
      <alignment horizontal="center" vertic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65" fillId="20" borderId="1" xfId="13" applyFont="1" applyBorder="1" applyAlignment="1">
      <alignment horizontal="center"/>
    </xf>
    <xf numFmtId="0" fontId="64" fillId="20" borderId="1" xfId="13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9" fillId="24" borderId="1" xfId="0" applyFont="1" applyFill="1" applyBorder="1" applyAlignment="1">
      <alignment horizontal="center"/>
    </xf>
    <xf numFmtId="167" fontId="9" fillId="26" borderId="4" xfId="9" applyNumberFormat="1" applyFont="1" applyFill="1" applyBorder="1" applyAlignment="1">
      <alignment horizontal="center"/>
    </xf>
    <xf numFmtId="168" fontId="9" fillId="26" borderId="5" xfId="9" applyNumberFormat="1" applyFont="1" applyFill="1" applyBorder="1" applyAlignment="1">
      <alignment horizontal="center"/>
    </xf>
    <xf numFmtId="169" fontId="9" fillId="26" borderId="5" xfId="9" applyNumberFormat="1" applyFont="1" applyFill="1" applyBorder="1" applyAlignment="1">
      <alignment horizontal="center"/>
    </xf>
    <xf numFmtId="171" fontId="27" fillId="26" borderId="1" xfId="9" applyNumberFormat="1" applyFont="1" applyFill="1" applyBorder="1" applyAlignment="1">
      <alignment horizontal="center"/>
    </xf>
    <xf numFmtId="0" fontId="9" fillId="26" borderId="9" xfId="9" applyFont="1" applyFill="1" applyBorder="1" applyAlignment="1">
      <alignment horizontal="left"/>
    </xf>
    <xf numFmtId="4" fontId="25" fillId="26" borderId="5" xfId="9" applyNumberFormat="1" applyFont="1" applyFill="1" applyBorder="1" applyAlignment="1">
      <alignment horizontal="center"/>
    </xf>
    <xf numFmtId="4" fontId="9" fillId="26" borderId="9" xfId="9" applyNumberFormat="1" applyFont="1" applyFill="1" applyBorder="1" applyAlignment="1">
      <alignment horizontal="center"/>
    </xf>
    <xf numFmtId="4" fontId="9" fillId="26" borderId="9" xfId="0" applyNumberFormat="1" applyFont="1" applyFill="1" applyBorder="1"/>
    <xf numFmtId="4" fontId="9" fillId="26" borderId="10" xfId="9" applyNumberFormat="1" applyFont="1" applyFill="1" applyBorder="1" applyAlignment="1">
      <alignment horizontal="right"/>
    </xf>
    <xf numFmtId="4" fontId="19" fillId="26" borderId="10" xfId="9" applyNumberFormat="1" applyFont="1" applyFill="1" applyBorder="1" applyAlignment="1">
      <alignment horizontal="right"/>
    </xf>
    <xf numFmtId="0" fontId="0" fillId="26" borderId="0" xfId="0" applyFill="1"/>
  </cellXfs>
  <cellStyles count="14">
    <cellStyle name="Buena" xfId="12" builtinId="26"/>
    <cellStyle name="Error" xfId="1"/>
    <cellStyle name="Error 2" xfId="2"/>
    <cellStyle name="Incorrecto" xfId="13" builtinId="27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9"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colors>
    <mruColors>
      <color rgb="FF00FF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opLeftCell="A549" zoomScale="150" zoomScaleNormal="150" workbookViewId="0">
      <selection activeCell="C568" sqref="C568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>
      <c r="A4" s="84">
        <v>30628205090</v>
      </c>
      <c r="B4" s="77" t="s">
        <v>144</v>
      </c>
      <c r="C4" s="78" t="s">
        <v>80</v>
      </c>
    </row>
    <row r="5" spans="1:7">
      <c r="A5" s="233">
        <v>30711678820</v>
      </c>
      <c r="B5" s="79" t="s">
        <v>383</v>
      </c>
      <c r="C5" s="80" t="s">
        <v>41</v>
      </c>
    </row>
    <row r="6" spans="1:7">
      <c r="A6" s="204">
        <v>33716367539</v>
      </c>
      <c r="B6" s="77" t="s">
        <v>344</v>
      </c>
      <c r="C6" s="80" t="s">
        <v>41</v>
      </c>
    </row>
    <row r="7" spans="1:7">
      <c r="A7" s="84">
        <v>30660373108</v>
      </c>
      <c r="B7" s="77" t="s">
        <v>304</v>
      </c>
      <c r="C7" s="80" t="s">
        <v>54</v>
      </c>
    </row>
    <row r="8" spans="1:7">
      <c r="A8" s="84">
        <v>20300210881</v>
      </c>
      <c r="B8" s="77" t="s">
        <v>353</v>
      </c>
      <c r="C8" s="80" t="s">
        <v>41</v>
      </c>
    </row>
    <row r="9" spans="1:7">
      <c r="A9" s="84">
        <v>27229910782</v>
      </c>
      <c r="B9" s="77" t="s">
        <v>557</v>
      </c>
      <c r="C9" s="80" t="s">
        <v>41</v>
      </c>
    </row>
    <row r="10" spans="1:7">
      <c r="A10" s="84">
        <v>20242709897</v>
      </c>
      <c r="B10" s="77" t="s">
        <v>561</v>
      </c>
      <c r="C10" s="80" t="s">
        <v>41</v>
      </c>
    </row>
    <row r="11" spans="1:7">
      <c r="A11" s="84">
        <v>20281669053</v>
      </c>
      <c r="B11" s="77" t="s">
        <v>194</v>
      </c>
      <c r="C11" s="80" t="s">
        <v>36</v>
      </c>
    </row>
    <row r="12" spans="1:7">
      <c r="A12" s="84">
        <v>20174240125</v>
      </c>
      <c r="B12" s="77" t="s">
        <v>214</v>
      </c>
      <c r="C12" s="80" t="s">
        <v>54</v>
      </c>
    </row>
    <row r="13" spans="1:7">
      <c r="A13" s="84">
        <v>30641659106</v>
      </c>
      <c r="B13" s="77" t="s">
        <v>310</v>
      </c>
      <c r="C13" s="80" t="s">
        <v>54</v>
      </c>
    </row>
    <row r="14" spans="1:7">
      <c r="A14" s="84">
        <v>33709914109</v>
      </c>
      <c r="B14" s="77" t="s">
        <v>320</v>
      </c>
      <c r="C14" s="80" t="s">
        <v>54</v>
      </c>
    </row>
    <row r="15" spans="1:7">
      <c r="A15" s="204">
        <v>20267161616</v>
      </c>
      <c r="B15" s="77" t="s">
        <v>420</v>
      </c>
      <c r="C15" s="80" t="s">
        <v>54</v>
      </c>
    </row>
    <row r="16" spans="1:7">
      <c r="A16" s="92">
        <v>20110352108</v>
      </c>
      <c r="B16" s="77" t="s">
        <v>575</v>
      </c>
      <c r="C16" s="80" t="s">
        <v>124</v>
      </c>
    </row>
    <row r="17" spans="1:4">
      <c r="A17" s="85">
        <v>30645337979</v>
      </c>
      <c r="B17" s="81" t="s">
        <v>164</v>
      </c>
      <c r="C17" s="80" t="s">
        <v>80</v>
      </c>
    </row>
    <row r="18" spans="1:4">
      <c r="A18" s="84">
        <v>30656038752</v>
      </c>
      <c r="B18" s="77" t="s">
        <v>244</v>
      </c>
      <c r="C18" s="80" t="s">
        <v>43</v>
      </c>
    </row>
    <row r="19" spans="1:4">
      <c r="A19" s="84">
        <v>30707014756</v>
      </c>
      <c r="B19" s="77" t="s">
        <v>482</v>
      </c>
      <c r="C19" s="80" t="s">
        <v>54</v>
      </c>
    </row>
    <row r="20" spans="1:4">
      <c r="A20" s="86">
        <v>30716375176</v>
      </c>
      <c r="B20" s="77" t="s">
        <v>57</v>
      </c>
      <c r="C20" s="80" t="s">
        <v>41</v>
      </c>
    </row>
    <row r="21" spans="1:4">
      <c r="A21" s="204">
        <v>30710406037</v>
      </c>
      <c r="B21" s="77" t="s">
        <v>457</v>
      </c>
      <c r="C21" s="80" t="s">
        <v>41</v>
      </c>
      <c r="D21" s="100"/>
    </row>
    <row r="22" spans="1:4">
      <c r="A22" s="204">
        <v>30715678310</v>
      </c>
      <c r="B22" s="77" t="s">
        <v>234</v>
      </c>
      <c r="C22" s="80" t="s">
        <v>54</v>
      </c>
      <c r="D22" s="100"/>
    </row>
    <row r="23" spans="1:4">
      <c r="A23" s="92">
        <v>27265533006</v>
      </c>
      <c r="B23" s="77" t="s">
        <v>516</v>
      </c>
      <c r="C23" s="80" t="s">
        <v>41</v>
      </c>
    </row>
    <row r="24" spans="1:4">
      <c r="A24" s="84">
        <v>27133963524</v>
      </c>
      <c r="B24" s="77" t="s">
        <v>398</v>
      </c>
      <c r="C24" s="80" t="s">
        <v>41</v>
      </c>
    </row>
    <row r="25" spans="1:4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>
      <c r="A27" s="84">
        <v>30710986416</v>
      </c>
      <c r="B27" s="77" t="s">
        <v>270</v>
      </c>
      <c r="C27" s="80" t="s">
        <v>43</v>
      </c>
    </row>
    <row r="28" spans="1:4">
      <c r="A28" s="84">
        <v>30683702060</v>
      </c>
      <c r="B28" s="77" t="s">
        <v>485</v>
      </c>
      <c r="C28" s="80" t="s">
        <v>41</v>
      </c>
    </row>
    <row r="29" spans="1:4">
      <c r="A29" s="84">
        <v>27252316057</v>
      </c>
      <c r="B29" s="77" t="s">
        <v>519</v>
      </c>
      <c r="C29" s="80" t="s">
        <v>38</v>
      </c>
    </row>
    <row r="30" spans="1:4">
      <c r="A30" s="84">
        <v>30711492409</v>
      </c>
      <c r="B30" s="77" t="s">
        <v>407</v>
      </c>
      <c r="C30" s="80" t="s">
        <v>41</v>
      </c>
    </row>
    <row r="31" spans="1:4">
      <c r="A31" s="84">
        <v>30600907553</v>
      </c>
      <c r="B31" s="77" t="s">
        <v>207</v>
      </c>
      <c r="C31" s="80" t="s">
        <v>54</v>
      </c>
    </row>
    <row r="32" spans="1:4">
      <c r="A32" s="204">
        <v>30715290835</v>
      </c>
      <c r="B32" s="79" t="s">
        <v>419</v>
      </c>
      <c r="C32" s="80" t="s">
        <v>54</v>
      </c>
    </row>
    <row r="33" spans="1:7">
      <c r="A33" s="84">
        <v>30708973501</v>
      </c>
      <c r="B33" s="79" t="s">
        <v>63</v>
      </c>
      <c r="C33" s="80" t="s">
        <v>43</v>
      </c>
    </row>
    <row r="34" spans="1:7">
      <c r="A34" s="85">
        <v>30590354798</v>
      </c>
      <c r="B34" s="81" t="s">
        <v>81</v>
      </c>
      <c r="C34" s="80" t="s">
        <v>80</v>
      </c>
    </row>
    <row r="35" spans="1:7">
      <c r="A35" s="39">
        <v>30690973517</v>
      </c>
      <c r="B35" s="79" t="s">
        <v>349</v>
      </c>
      <c r="C35" s="80" t="s">
        <v>80</v>
      </c>
    </row>
    <row r="36" spans="1:7">
      <c r="A36" s="84">
        <v>30714416622</v>
      </c>
      <c r="B36" s="79" t="s">
        <v>254</v>
      </c>
      <c r="C36" s="80" t="s">
        <v>54</v>
      </c>
    </row>
    <row r="37" spans="1:7">
      <c r="A37" s="84">
        <v>30708436506</v>
      </c>
      <c r="B37" s="79" t="s">
        <v>282</v>
      </c>
      <c r="C37" s="80" t="s">
        <v>80</v>
      </c>
    </row>
    <row r="38" spans="1:7">
      <c r="A38" s="238">
        <v>30677237119</v>
      </c>
      <c r="B38" s="239" t="s">
        <v>429</v>
      </c>
      <c r="C38" s="240" t="s">
        <v>371</v>
      </c>
    </row>
    <row r="39" spans="1:7">
      <c r="A39" s="204">
        <v>30574876474</v>
      </c>
      <c r="B39" s="79" t="s">
        <v>370</v>
      </c>
      <c r="C39" s="80" t="s">
        <v>371</v>
      </c>
    </row>
    <row r="40" spans="1:7">
      <c r="A40" s="84">
        <v>20379223185</v>
      </c>
      <c r="B40" s="79" t="s">
        <v>406</v>
      </c>
      <c r="C40" s="80" t="s">
        <v>41</v>
      </c>
    </row>
    <row r="41" spans="1:7">
      <c r="A41" s="84">
        <v>33714662819</v>
      </c>
      <c r="B41" s="79" t="s">
        <v>47</v>
      </c>
      <c r="C41" s="80" t="s">
        <v>41</v>
      </c>
    </row>
    <row r="42" spans="1:7">
      <c r="A42" s="86">
        <v>33716314869</v>
      </c>
      <c r="B42" s="79" t="s">
        <v>58</v>
      </c>
      <c r="C42" s="80" t="s">
        <v>41</v>
      </c>
    </row>
    <row r="43" spans="1:7">
      <c r="A43" s="84">
        <v>30715923374</v>
      </c>
      <c r="B43" s="79" t="s">
        <v>220</v>
      </c>
      <c r="C43" s="80" t="s">
        <v>41</v>
      </c>
    </row>
    <row r="44" spans="1:7">
      <c r="A44" s="84">
        <v>33714642079</v>
      </c>
      <c r="B44" s="77" t="s">
        <v>210</v>
      </c>
      <c r="C44" s="82" t="s">
        <v>54</v>
      </c>
    </row>
    <row r="45" spans="1:7">
      <c r="A45" s="84">
        <v>33711430879</v>
      </c>
      <c r="B45" s="77" t="s">
        <v>277</v>
      </c>
      <c r="C45" s="82" t="s">
        <v>41</v>
      </c>
    </row>
    <row r="46" spans="1:7">
      <c r="A46" s="84">
        <v>33716391049</v>
      </c>
      <c r="B46" s="77" t="s">
        <v>281</v>
      </c>
      <c r="C46" s="82" t="s">
        <v>54</v>
      </c>
    </row>
    <row r="47" spans="1:7">
      <c r="A47" s="84">
        <v>30707267077</v>
      </c>
      <c r="B47" s="77" t="s">
        <v>405</v>
      </c>
      <c r="C47" s="82" t="s">
        <v>41</v>
      </c>
      <c r="F47"/>
      <c r="G47"/>
    </row>
    <row r="48" spans="1:7">
      <c r="A48" s="84">
        <v>20109274268</v>
      </c>
      <c r="B48" s="77" t="s">
        <v>267</v>
      </c>
      <c r="C48" s="82" t="s">
        <v>36</v>
      </c>
      <c r="F48"/>
      <c r="G48"/>
    </row>
    <row r="49" spans="1:7">
      <c r="A49" s="84">
        <v>20172955763</v>
      </c>
      <c r="B49" s="77" t="s">
        <v>412</v>
      </c>
      <c r="C49" s="82" t="s">
        <v>41</v>
      </c>
      <c r="F49"/>
      <c r="G49"/>
    </row>
    <row r="50" spans="1:7">
      <c r="A50" s="84">
        <v>20119743959</v>
      </c>
      <c r="B50" s="77" t="s">
        <v>335</v>
      </c>
      <c r="C50" s="82" t="s">
        <v>41</v>
      </c>
      <c r="F50"/>
      <c r="G50"/>
    </row>
    <row r="51" spans="1:7">
      <c r="A51" s="84">
        <v>30711091552</v>
      </c>
      <c r="B51" s="77" t="s">
        <v>242</v>
      </c>
      <c r="C51" s="82" t="s">
        <v>54</v>
      </c>
      <c r="F51"/>
      <c r="G51"/>
    </row>
    <row r="52" spans="1:7">
      <c r="A52" s="85">
        <v>30715833243</v>
      </c>
      <c r="B52" s="77" t="s">
        <v>152</v>
      </c>
      <c r="C52" s="82" t="s">
        <v>41</v>
      </c>
      <c r="F52"/>
      <c r="G52"/>
    </row>
    <row r="53" spans="1:7">
      <c r="A53" s="86">
        <v>30712230459</v>
      </c>
      <c r="B53" s="77" t="s">
        <v>60</v>
      </c>
      <c r="C53" s="82" t="s">
        <v>41</v>
      </c>
      <c r="F53"/>
      <c r="G53"/>
    </row>
    <row r="54" spans="1:7">
      <c r="A54" s="84">
        <v>27265832178</v>
      </c>
      <c r="B54" s="77" t="s">
        <v>478</v>
      </c>
      <c r="C54" s="82" t="s">
        <v>41</v>
      </c>
      <c r="F54"/>
      <c r="G54"/>
    </row>
    <row r="55" spans="1:7">
      <c r="A55" s="84">
        <v>20043137817</v>
      </c>
      <c r="B55" s="77" t="s">
        <v>532</v>
      </c>
      <c r="C55" s="82" t="s">
        <v>54</v>
      </c>
      <c r="F55"/>
      <c r="G55"/>
    </row>
    <row r="56" spans="1:7">
      <c r="A56" s="84">
        <v>20400104094</v>
      </c>
      <c r="B56" s="77" t="s">
        <v>233</v>
      </c>
      <c r="C56" s="82" t="s">
        <v>38</v>
      </c>
      <c r="F56"/>
      <c r="G56"/>
    </row>
    <row r="57" spans="1:7">
      <c r="A57" s="85">
        <v>20086277523</v>
      </c>
      <c r="B57" s="77" t="s">
        <v>37</v>
      </c>
      <c r="C57" s="82" t="s">
        <v>38</v>
      </c>
      <c r="F57"/>
      <c r="G57"/>
    </row>
    <row r="58" spans="1:7">
      <c r="A58" s="84">
        <v>20389908569</v>
      </c>
      <c r="B58" s="77" t="s">
        <v>278</v>
      </c>
      <c r="C58" s="82" t="s">
        <v>38</v>
      </c>
      <c r="F58"/>
      <c r="G58"/>
    </row>
    <row r="59" spans="1:7">
      <c r="A59" s="92">
        <v>33714174539</v>
      </c>
      <c r="B59" s="77" t="s">
        <v>363</v>
      </c>
      <c r="C59" s="82" t="s">
        <v>41</v>
      </c>
      <c r="F59"/>
      <c r="G59"/>
    </row>
    <row r="60" spans="1:7">
      <c r="A60" s="92">
        <v>20291406212</v>
      </c>
      <c r="B60" s="77" t="s">
        <v>400</v>
      </c>
      <c r="C60" s="82" t="s">
        <v>41</v>
      </c>
      <c r="F60"/>
      <c r="G60"/>
    </row>
    <row r="61" spans="1:7">
      <c r="A61" s="92">
        <v>30716371812</v>
      </c>
      <c r="B61" s="77" t="s">
        <v>546</v>
      </c>
      <c r="C61" s="82" t="s">
        <v>41</v>
      </c>
      <c r="F61"/>
      <c r="G61"/>
    </row>
    <row r="62" spans="1:7">
      <c r="A62" s="84">
        <v>27211511023</v>
      </c>
      <c r="B62" s="77" t="s">
        <v>259</v>
      </c>
      <c r="C62" s="82" t="s">
        <v>41</v>
      </c>
      <c r="F62"/>
      <c r="G62"/>
    </row>
    <row r="63" spans="1:7">
      <c r="A63" s="84">
        <v>30714295957</v>
      </c>
      <c r="B63" s="77" t="s">
        <v>436</v>
      </c>
      <c r="C63" s="82" t="s">
        <v>54</v>
      </c>
      <c r="F63"/>
      <c r="G63"/>
    </row>
    <row r="64" spans="1:7">
      <c r="A64" s="84">
        <v>27289847141</v>
      </c>
      <c r="B64" s="77" t="s">
        <v>287</v>
      </c>
      <c r="C64" s="82" t="s">
        <v>54</v>
      </c>
    </row>
    <row r="65" spans="1:3">
      <c r="A65" s="84">
        <v>23255855204</v>
      </c>
      <c r="B65" s="77" t="s">
        <v>506</v>
      </c>
      <c r="C65" s="82" t="s">
        <v>36</v>
      </c>
    </row>
    <row r="66" spans="1:3">
      <c r="A66" s="238">
        <v>27338342840</v>
      </c>
      <c r="B66" s="228" t="s">
        <v>432</v>
      </c>
      <c r="C66" s="229" t="s">
        <v>41</v>
      </c>
    </row>
    <row r="67" spans="1:3">
      <c r="A67" s="84">
        <v>30709876135</v>
      </c>
      <c r="B67" s="77" t="s">
        <v>150</v>
      </c>
      <c r="C67" s="82" t="s">
        <v>41</v>
      </c>
    </row>
    <row r="68" spans="1:3">
      <c r="A68" s="84">
        <v>30571666037</v>
      </c>
      <c r="B68" s="77" t="s">
        <v>578</v>
      </c>
      <c r="C68" s="82" t="s">
        <v>54</v>
      </c>
    </row>
    <row r="69" spans="1:3">
      <c r="A69" s="84">
        <v>27364044319</v>
      </c>
      <c r="B69" s="77" t="s">
        <v>154</v>
      </c>
      <c r="C69" s="82" t="s">
        <v>41</v>
      </c>
    </row>
    <row r="70" spans="1:3">
      <c r="A70" s="84">
        <v>30715116274</v>
      </c>
      <c r="B70" s="81" t="s">
        <v>136</v>
      </c>
      <c r="C70" s="82" t="s">
        <v>41</v>
      </c>
    </row>
    <row r="71" spans="1:3">
      <c r="A71" s="84">
        <v>27326703384</v>
      </c>
      <c r="B71" s="77" t="s">
        <v>504</v>
      </c>
      <c r="C71" s="82" t="s">
        <v>124</v>
      </c>
    </row>
    <row r="72" spans="1:3">
      <c r="A72" s="84">
        <v>20129871947</v>
      </c>
      <c r="B72" s="77" t="s">
        <v>211</v>
      </c>
      <c r="C72" s="82" t="s">
        <v>41</v>
      </c>
    </row>
    <row r="73" spans="1:3">
      <c r="A73" s="91">
        <v>30648604021</v>
      </c>
      <c r="B73" s="77" t="s">
        <v>492</v>
      </c>
      <c r="C73" s="82" t="s">
        <v>41</v>
      </c>
    </row>
    <row r="74" spans="1:3">
      <c r="A74" s="91">
        <v>20372769808</v>
      </c>
      <c r="B74" s="77" t="s">
        <v>433</v>
      </c>
      <c r="C74" s="82" t="s">
        <v>54</v>
      </c>
    </row>
    <row r="75" spans="1:3">
      <c r="A75" s="92">
        <v>30575818826</v>
      </c>
      <c r="B75" s="77" t="s">
        <v>272</v>
      </c>
      <c r="C75" s="82" t="s">
        <v>54</v>
      </c>
    </row>
    <row r="76" spans="1:3">
      <c r="A76" s="92">
        <v>30575945232</v>
      </c>
      <c r="B76" s="77" t="s">
        <v>209</v>
      </c>
      <c r="C76" s="82" t="s">
        <v>54</v>
      </c>
    </row>
    <row r="77" spans="1:3">
      <c r="A77" s="234">
        <v>33712276539</v>
      </c>
      <c r="B77" s="77" t="s">
        <v>352</v>
      </c>
      <c r="C77" s="82" t="s">
        <v>54</v>
      </c>
    </row>
    <row r="78" spans="1:3">
      <c r="A78" s="92">
        <v>30716174766</v>
      </c>
      <c r="B78" s="77" t="s">
        <v>339</v>
      </c>
      <c r="C78" s="82" t="s">
        <v>41</v>
      </c>
    </row>
    <row r="79" spans="1:3">
      <c r="A79" s="92">
        <v>33715179119</v>
      </c>
      <c r="B79" s="77" t="s">
        <v>358</v>
      </c>
      <c r="C79" s="82" t="s">
        <v>54</v>
      </c>
    </row>
    <row r="80" spans="1:3">
      <c r="A80" s="234">
        <v>30590360763</v>
      </c>
      <c r="B80" s="77" t="s">
        <v>351</v>
      </c>
      <c r="C80" s="82" t="s">
        <v>54</v>
      </c>
    </row>
    <row r="81" spans="1:3">
      <c r="A81" s="92">
        <v>30707612971</v>
      </c>
      <c r="B81" s="77" t="s">
        <v>75</v>
      </c>
      <c r="C81" s="82" t="s">
        <v>80</v>
      </c>
    </row>
    <row r="82" spans="1:3">
      <c r="A82" s="92">
        <v>30714758116</v>
      </c>
      <c r="B82" s="77" t="s">
        <v>558</v>
      </c>
      <c r="C82" s="82" t="s">
        <v>41</v>
      </c>
    </row>
    <row r="83" spans="1:3">
      <c r="A83" s="92">
        <v>27318630157</v>
      </c>
      <c r="B83" s="77" t="s">
        <v>593</v>
      </c>
      <c r="C83" s="82" t="s">
        <v>54</v>
      </c>
    </row>
    <row r="84" spans="1:3">
      <c r="A84" s="235">
        <v>30707535934</v>
      </c>
      <c r="B84" s="77" t="s">
        <v>303</v>
      </c>
      <c r="C84" s="82" t="s">
        <v>54</v>
      </c>
    </row>
    <row r="85" spans="1:3">
      <c r="A85" s="92">
        <v>30696692951</v>
      </c>
      <c r="B85" s="77" t="s">
        <v>574</v>
      </c>
      <c r="C85" s="82" t="s">
        <v>54</v>
      </c>
    </row>
    <row r="86" spans="1:3">
      <c r="A86" s="234">
        <v>30594832783</v>
      </c>
      <c r="B86" s="77" t="s">
        <v>389</v>
      </c>
      <c r="C86" s="82" t="s">
        <v>54</v>
      </c>
    </row>
    <row r="87" spans="1:3">
      <c r="A87" s="92">
        <v>30707986189</v>
      </c>
      <c r="B87" s="81" t="s">
        <v>228</v>
      </c>
      <c r="C87" s="82" t="s">
        <v>41</v>
      </c>
    </row>
    <row r="88" spans="1:3">
      <c r="A88" s="93">
        <v>23334822869</v>
      </c>
      <c r="B88" s="77" t="s">
        <v>480</v>
      </c>
      <c r="C88" s="82" t="s">
        <v>54</v>
      </c>
    </row>
    <row r="89" spans="1:3">
      <c r="A89" s="204">
        <v>23258785479</v>
      </c>
      <c r="B89" s="77" t="s">
        <v>456</v>
      </c>
      <c r="C89" s="82" t="s">
        <v>54</v>
      </c>
    </row>
    <row r="90" spans="1:3">
      <c r="A90" s="84">
        <v>20274215632</v>
      </c>
      <c r="B90" s="77" t="s">
        <v>584</v>
      </c>
      <c r="C90" s="82" t="s">
        <v>54</v>
      </c>
    </row>
    <row r="91" spans="1:3">
      <c r="A91" s="84">
        <v>30688140923</v>
      </c>
      <c r="B91" s="77" t="s">
        <v>196</v>
      </c>
      <c r="C91" s="82" t="s">
        <v>41</v>
      </c>
    </row>
    <row r="92" spans="1:3">
      <c r="A92" s="204">
        <v>30708736186</v>
      </c>
      <c r="B92" s="77" t="s">
        <v>594</v>
      </c>
      <c r="C92" s="82" t="s">
        <v>54</v>
      </c>
    </row>
    <row r="93" spans="1:3">
      <c r="A93" s="84">
        <v>23359537069</v>
      </c>
      <c r="B93" s="77" t="s">
        <v>509</v>
      </c>
      <c r="C93" s="82" t="s">
        <v>41</v>
      </c>
    </row>
    <row r="94" spans="1:3">
      <c r="A94" s="92">
        <v>33710268059</v>
      </c>
      <c r="B94" s="77" t="s">
        <v>213</v>
      </c>
      <c r="C94" s="82" t="s">
        <v>43</v>
      </c>
    </row>
    <row r="95" spans="1:3">
      <c r="A95" s="88">
        <v>30605344352</v>
      </c>
      <c r="B95" s="77" t="s">
        <v>49</v>
      </c>
      <c r="C95" s="82" t="s">
        <v>48</v>
      </c>
    </row>
    <row r="96" spans="1:3">
      <c r="A96" s="92">
        <v>20134281783</v>
      </c>
      <c r="B96" s="77" t="s">
        <v>149</v>
      </c>
      <c r="C96" s="82" t="s">
        <v>41</v>
      </c>
    </row>
    <row r="97" spans="1:3">
      <c r="A97" s="237">
        <v>30682998330</v>
      </c>
      <c r="B97" s="77" t="s">
        <v>362</v>
      </c>
      <c r="C97" s="82" t="s">
        <v>54</v>
      </c>
    </row>
    <row r="98" spans="1:3">
      <c r="A98" s="84">
        <v>20200212143</v>
      </c>
      <c r="B98" s="77" t="s">
        <v>307</v>
      </c>
      <c r="C98" s="82" t="s">
        <v>54</v>
      </c>
    </row>
    <row r="99" spans="1:3">
      <c r="A99" s="234">
        <v>20233248283</v>
      </c>
      <c r="B99" s="77" t="s">
        <v>342</v>
      </c>
      <c r="C99" s="82" t="s">
        <v>41</v>
      </c>
    </row>
    <row r="100" spans="1:3">
      <c r="A100" s="84">
        <v>33699685459</v>
      </c>
      <c r="B100" s="77" t="s">
        <v>332</v>
      </c>
      <c r="C100" s="82" t="s">
        <v>54</v>
      </c>
    </row>
    <row r="101" spans="1:3">
      <c r="A101" s="86">
        <v>30708574836</v>
      </c>
      <c r="B101" s="77" t="s">
        <v>187</v>
      </c>
      <c r="C101" s="82" t="s">
        <v>186</v>
      </c>
    </row>
    <row r="102" spans="1:3">
      <c r="A102" s="84">
        <v>27065000216</v>
      </c>
      <c r="B102" s="77" t="s">
        <v>315</v>
      </c>
      <c r="C102" s="82" t="s">
        <v>41</v>
      </c>
    </row>
    <row r="103" spans="1:3">
      <c r="A103" s="87">
        <v>30548083156</v>
      </c>
      <c r="B103" s="81" t="s">
        <v>126</v>
      </c>
      <c r="C103" s="82" t="s">
        <v>124</v>
      </c>
    </row>
    <row r="104" spans="1:3">
      <c r="A104" s="84">
        <v>30696850972</v>
      </c>
      <c r="B104" s="77" t="s">
        <v>372</v>
      </c>
      <c r="C104" s="82" t="s">
        <v>39</v>
      </c>
    </row>
    <row r="105" spans="1:3">
      <c r="A105" s="84">
        <v>30709175897</v>
      </c>
      <c r="B105" s="77" t="s">
        <v>374</v>
      </c>
      <c r="C105" s="82" t="s">
        <v>54</v>
      </c>
    </row>
    <row r="106" spans="1:3">
      <c r="A106" s="84">
        <v>30707833293</v>
      </c>
      <c r="B106" s="77" t="s">
        <v>434</v>
      </c>
      <c r="C106" s="82" t="s">
        <v>41</v>
      </c>
    </row>
    <row r="107" spans="1:3">
      <c r="A107" s="84">
        <v>33708543409</v>
      </c>
      <c r="B107" s="77" t="s">
        <v>535</v>
      </c>
      <c r="C107" s="82" t="s">
        <v>54</v>
      </c>
    </row>
    <row r="108" spans="1:3">
      <c r="A108" s="84">
        <v>30715242903</v>
      </c>
      <c r="B108" s="81" t="s">
        <v>174</v>
      </c>
      <c r="C108" s="82" t="s">
        <v>41</v>
      </c>
    </row>
    <row r="109" spans="1:3">
      <c r="A109" s="84">
        <v>30711275106</v>
      </c>
      <c r="B109" s="77" t="s">
        <v>331</v>
      </c>
      <c r="C109" s="82" t="s">
        <v>54</v>
      </c>
    </row>
    <row r="110" spans="1:3">
      <c r="A110" s="85">
        <v>30516186670</v>
      </c>
      <c r="B110" s="81" t="s">
        <v>162</v>
      </c>
      <c r="C110" s="82" t="s">
        <v>54</v>
      </c>
    </row>
    <row r="111" spans="1:3">
      <c r="A111" s="204">
        <v>27340766445</v>
      </c>
      <c r="B111" s="77" t="s">
        <v>380</v>
      </c>
      <c r="C111" s="82" t="s">
        <v>54</v>
      </c>
    </row>
    <row r="112" spans="1:3">
      <c r="A112" s="198">
        <v>20403969886</v>
      </c>
      <c r="B112" s="77" t="s">
        <v>395</v>
      </c>
      <c r="C112" s="82" t="s">
        <v>41</v>
      </c>
    </row>
    <row r="113" spans="1:3">
      <c r="A113" s="84">
        <v>20253515512</v>
      </c>
      <c r="B113" s="77" t="s">
        <v>536</v>
      </c>
      <c r="C113" s="82" t="s">
        <v>41</v>
      </c>
    </row>
    <row r="114" spans="1:3">
      <c r="A114" s="84">
        <v>33716792299</v>
      </c>
      <c r="B114" s="77" t="s">
        <v>414</v>
      </c>
      <c r="C114" s="82" t="s">
        <v>54</v>
      </c>
    </row>
    <row r="115" spans="1:3">
      <c r="A115" s="84">
        <v>30708656018</v>
      </c>
      <c r="B115" s="77" t="s">
        <v>555</v>
      </c>
      <c r="C115" s="82" t="s">
        <v>54</v>
      </c>
    </row>
    <row r="116" spans="1:3">
      <c r="A116" s="84">
        <v>20167634436</v>
      </c>
      <c r="B116" s="77" t="s">
        <v>226</v>
      </c>
      <c r="C116" s="82" t="s">
        <v>54</v>
      </c>
    </row>
    <row r="117" spans="1:3">
      <c r="A117" s="92">
        <v>30701307115</v>
      </c>
      <c r="B117" s="77" t="s">
        <v>283</v>
      </c>
      <c r="C117" s="82" t="s">
        <v>36</v>
      </c>
    </row>
    <row r="118" spans="1:3">
      <c r="A118" s="92">
        <v>30708285818</v>
      </c>
      <c r="B118" s="77" t="s">
        <v>511</v>
      </c>
      <c r="C118" s="82" t="s">
        <v>41</v>
      </c>
    </row>
    <row r="119" spans="1:3">
      <c r="A119" s="235">
        <v>20325314983</v>
      </c>
      <c r="B119" s="77" t="s">
        <v>345</v>
      </c>
      <c r="C119" s="82" t="s">
        <v>41</v>
      </c>
    </row>
    <row r="120" spans="1:3">
      <c r="A120" s="94">
        <v>20107037021</v>
      </c>
      <c r="B120" s="77" t="s">
        <v>314</v>
      </c>
      <c r="C120" s="82" t="s">
        <v>41</v>
      </c>
    </row>
    <row r="121" spans="1:3">
      <c r="A121" s="94">
        <v>20045615473</v>
      </c>
      <c r="B121" s="77" t="s">
        <v>42</v>
      </c>
      <c r="C121" s="82" t="s">
        <v>43</v>
      </c>
    </row>
    <row r="122" spans="1:3">
      <c r="A122" s="84">
        <v>30685849751</v>
      </c>
      <c r="B122" s="77" t="s">
        <v>549</v>
      </c>
      <c r="C122" s="82" t="s">
        <v>54</v>
      </c>
    </row>
    <row r="123" spans="1:3">
      <c r="A123" s="92">
        <v>30708155795</v>
      </c>
      <c r="B123" s="77" t="s">
        <v>525</v>
      </c>
      <c r="C123" s="82" t="s">
        <v>41</v>
      </c>
    </row>
    <row r="124" spans="1:3">
      <c r="A124" s="92">
        <v>27948446168</v>
      </c>
      <c r="B124" s="77" t="s">
        <v>279</v>
      </c>
      <c r="C124" s="82" t="s">
        <v>41</v>
      </c>
    </row>
    <row r="125" spans="1:3">
      <c r="A125" s="92">
        <v>20219935464</v>
      </c>
      <c r="B125" s="77" t="s">
        <v>273</v>
      </c>
      <c r="C125" s="82" t="s">
        <v>36</v>
      </c>
    </row>
    <row r="126" spans="1:3">
      <c r="A126" s="86">
        <v>20271532483</v>
      </c>
      <c r="B126" s="77" t="s">
        <v>53</v>
      </c>
      <c r="C126" s="82" t="s">
        <v>41</v>
      </c>
    </row>
    <row r="127" spans="1:3">
      <c r="A127" s="84">
        <v>30541849307</v>
      </c>
      <c r="B127" s="77" t="s">
        <v>284</v>
      </c>
      <c r="C127" s="82" t="s">
        <v>54</v>
      </c>
    </row>
    <row r="128" spans="1:3">
      <c r="A128" s="92">
        <v>20243132852</v>
      </c>
      <c r="B128" s="77" t="s">
        <v>588</v>
      </c>
      <c r="C128" s="82" t="s">
        <v>589</v>
      </c>
    </row>
    <row r="129" spans="1:3">
      <c r="A129" s="234">
        <v>30711510822</v>
      </c>
      <c r="B129" s="77" t="s">
        <v>451</v>
      </c>
      <c r="C129" s="82" t="s">
        <v>54</v>
      </c>
    </row>
    <row r="130" spans="1:3">
      <c r="A130" s="92">
        <v>30694549817</v>
      </c>
      <c r="B130" s="77" t="s">
        <v>248</v>
      </c>
      <c r="C130" s="82" t="s">
        <v>41</v>
      </c>
    </row>
    <row r="131" spans="1:3">
      <c r="A131" s="92">
        <v>30715819461</v>
      </c>
      <c r="B131" s="77" t="s">
        <v>530</v>
      </c>
      <c r="C131" s="82" t="s">
        <v>51</v>
      </c>
    </row>
    <row r="132" spans="1:3" ht="15.75" thickBot="1">
      <c r="A132" s="92">
        <v>30710374801</v>
      </c>
      <c r="B132" s="81" t="s">
        <v>159</v>
      </c>
      <c r="C132" s="82" t="s">
        <v>51</v>
      </c>
    </row>
    <row r="133" spans="1:3">
      <c r="A133" s="92">
        <v>30716884631</v>
      </c>
      <c r="B133" s="77" t="s">
        <v>533</v>
      </c>
      <c r="C133" s="78" t="s">
        <v>54</v>
      </c>
    </row>
    <row r="134" spans="1:3">
      <c r="A134" s="92">
        <v>27206941419</v>
      </c>
      <c r="B134" s="77" t="s">
        <v>517</v>
      </c>
      <c r="C134" s="82" t="s">
        <v>38</v>
      </c>
    </row>
    <row r="135" spans="1:3">
      <c r="A135" s="92">
        <v>30702966066</v>
      </c>
      <c r="B135" s="77" t="s">
        <v>237</v>
      </c>
      <c r="C135" s="82" t="s">
        <v>41</v>
      </c>
    </row>
    <row r="136" spans="1:3">
      <c r="A136" s="88">
        <v>23281233084</v>
      </c>
      <c r="B136" s="77" t="s">
        <v>184</v>
      </c>
      <c r="C136" s="82" t="s">
        <v>185</v>
      </c>
    </row>
    <row r="137" spans="1:3">
      <c r="A137" s="92">
        <v>20211398060</v>
      </c>
      <c r="B137" s="77" t="s">
        <v>384</v>
      </c>
      <c r="C137" s="82" t="s">
        <v>41</v>
      </c>
    </row>
    <row r="138" spans="1:3">
      <c r="A138" s="234">
        <v>30711727236</v>
      </c>
      <c r="B138" s="77" t="s">
        <v>346</v>
      </c>
      <c r="C138" s="82" t="s">
        <v>54</v>
      </c>
    </row>
    <row r="139" spans="1:3">
      <c r="A139" s="92">
        <v>30714318221</v>
      </c>
      <c r="B139" s="77" t="s">
        <v>289</v>
      </c>
      <c r="C139" s="82" t="s">
        <v>54</v>
      </c>
    </row>
    <row r="140" spans="1:3">
      <c r="A140" s="92">
        <v>20083442612</v>
      </c>
      <c r="B140" s="77" t="s">
        <v>439</v>
      </c>
      <c r="C140" s="82" t="s">
        <v>54</v>
      </c>
    </row>
    <row r="141" spans="1:3">
      <c r="A141" s="89">
        <v>30537882871</v>
      </c>
      <c r="B141" s="81" t="s">
        <v>121</v>
      </c>
      <c r="C141" s="82" t="s">
        <v>43</v>
      </c>
    </row>
    <row r="142" spans="1:3">
      <c r="A142" s="92">
        <v>30593630338</v>
      </c>
      <c r="B142" s="77" t="s">
        <v>390</v>
      </c>
      <c r="C142" s="82" t="s">
        <v>54</v>
      </c>
    </row>
    <row r="143" spans="1:3">
      <c r="A143" s="92">
        <v>30696676026</v>
      </c>
      <c r="B143" s="77" t="s">
        <v>538</v>
      </c>
      <c r="C143" s="82" t="s">
        <v>41</v>
      </c>
    </row>
    <row r="144" spans="1:3">
      <c r="A144" s="92">
        <v>30686489325</v>
      </c>
      <c r="B144" s="77" t="s">
        <v>468</v>
      </c>
      <c r="C144" s="82" t="s">
        <v>54</v>
      </c>
    </row>
    <row r="145" spans="1:3">
      <c r="A145" s="92">
        <v>30709131865</v>
      </c>
      <c r="B145" s="77" t="s">
        <v>262</v>
      </c>
      <c r="C145" s="82" t="s">
        <v>54</v>
      </c>
    </row>
    <row r="146" spans="1:3">
      <c r="A146" s="90">
        <v>20259499632</v>
      </c>
      <c r="B146" s="77" t="s">
        <v>182</v>
      </c>
      <c r="C146" s="82" t="s">
        <v>183</v>
      </c>
    </row>
    <row r="147" spans="1:3">
      <c r="A147" s="92">
        <v>30588092468</v>
      </c>
      <c r="B147" s="77" t="s">
        <v>338</v>
      </c>
      <c r="C147" s="82" t="s">
        <v>54</v>
      </c>
    </row>
    <row r="148" spans="1:3">
      <c r="A148" s="92">
        <v>30707118454</v>
      </c>
      <c r="B148" s="77" t="s">
        <v>459</v>
      </c>
      <c r="C148" s="82" t="s">
        <v>80</v>
      </c>
    </row>
    <row r="149" spans="1:3">
      <c r="A149" s="92">
        <v>30709368067</v>
      </c>
      <c r="B149" s="81" t="s">
        <v>160</v>
      </c>
      <c r="C149" s="82" t="s">
        <v>51</v>
      </c>
    </row>
    <row r="150" spans="1:3">
      <c r="A150" s="92">
        <v>20140958213</v>
      </c>
      <c r="B150" s="77" t="s">
        <v>403</v>
      </c>
      <c r="C150" s="82" t="s">
        <v>41</v>
      </c>
    </row>
    <row r="151" spans="1:3">
      <c r="A151" s="92">
        <v>30659276964</v>
      </c>
      <c r="B151" s="77" t="s">
        <v>528</v>
      </c>
      <c r="C151" s="82" t="s">
        <v>529</v>
      </c>
    </row>
    <row r="152" spans="1:3">
      <c r="A152" s="92">
        <v>20145036101</v>
      </c>
      <c r="B152" s="77" t="s">
        <v>286</v>
      </c>
      <c r="C152" s="82" t="s">
        <v>36</v>
      </c>
    </row>
    <row r="153" spans="1:3">
      <c r="A153" s="92">
        <v>30711328498</v>
      </c>
      <c r="B153" s="77" t="s">
        <v>596</v>
      </c>
      <c r="C153" s="82" t="s">
        <v>589</v>
      </c>
    </row>
    <row r="154" spans="1:3">
      <c r="A154" s="92">
        <v>30715537512</v>
      </c>
      <c r="B154" s="77" t="s">
        <v>441</v>
      </c>
      <c r="C154" s="82" t="s">
        <v>54</v>
      </c>
    </row>
    <row r="155" spans="1:3">
      <c r="A155" s="92">
        <v>30537679855</v>
      </c>
      <c r="B155" s="77" t="s">
        <v>408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560</v>
      </c>
      <c r="C157" s="82" t="s">
        <v>36</v>
      </c>
    </row>
    <row r="158" spans="1:3">
      <c r="A158" s="234">
        <v>30526582884</v>
      </c>
      <c r="B158" s="77" t="s">
        <v>402</v>
      </c>
      <c r="C158" s="82" t="s">
        <v>36</v>
      </c>
    </row>
    <row r="159" spans="1:3">
      <c r="A159" s="92">
        <v>30577744579</v>
      </c>
      <c r="B159" s="77" t="s">
        <v>323</v>
      </c>
      <c r="C159" s="82" t="s">
        <v>36</v>
      </c>
    </row>
    <row r="160" spans="1:3">
      <c r="A160" s="92">
        <v>30715949292</v>
      </c>
      <c r="B160" s="77" t="s">
        <v>508</v>
      </c>
      <c r="C160" s="82" t="s">
        <v>124</v>
      </c>
    </row>
    <row r="161" spans="1:3">
      <c r="A161" s="90">
        <v>30715980807</v>
      </c>
      <c r="B161" s="77" t="s">
        <v>52</v>
      </c>
      <c r="C161" s="82" t="s">
        <v>41</v>
      </c>
    </row>
    <row r="162" spans="1:3">
      <c r="A162" s="84">
        <v>20359718765</v>
      </c>
      <c r="B162" s="77" t="s">
        <v>569</v>
      </c>
      <c r="C162" s="82" t="s">
        <v>54</v>
      </c>
    </row>
    <row r="163" spans="1:3">
      <c r="A163" s="92">
        <v>30643518364</v>
      </c>
      <c r="B163" s="77" t="s">
        <v>559</v>
      </c>
      <c r="C163" s="82" t="s">
        <v>41</v>
      </c>
    </row>
    <row r="164" spans="1:3">
      <c r="A164" s="92">
        <v>30692138747</v>
      </c>
      <c r="B164" s="77" t="s">
        <v>329</v>
      </c>
      <c r="C164" s="82" t="s">
        <v>54</v>
      </c>
    </row>
    <row r="165" spans="1:3">
      <c r="A165" s="234">
        <v>33712234429</v>
      </c>
      <c r="B165" s="77" t="s">
        <v>450</v>
      </c>
      <c r="C165" s="82" t="s">
        <v>54</v>
      </c>
    </row>
    <row r="166" spans="1:3">
      <c r="A166" s="92">
        <v>20353576012</v>
      </c>
      <c r="B166" s="77" t="s">
        <v>231</v>
      </c>
      <c r="C166" s="82" t="s">
        <v>54</v>
      </c>
    </row>
    <row r="167" spans="1:3">
      <c r="A167" s="92">
        <v>20343766441</v>
      </c>
      <c r="B167" s="77" t="s">
        <v>216</v>
      </c>
      <c r="C167" s="82" t="s">
        <v>177</v>
      </c>
    </row>
    <row r="168" spans="1:3">
      <c r="A168" s="89">
        <v>27062343449</v>
      </c>
      <c r="B168" s="81" t="s">
        <v>404</v>
      </c>
      <c r="C168" s="82" t="s">
        <v>36</v>
      </c>
    </row>
    <row r="169" spans="1:3">
      <c r="A169" s="92">
        <v>30676642230</v>
      </c>
      <c r="B169" s="77" t="s">
        <v>460</v>
      </c>
      <c r="C169" s="82" t="s">
        <v>54</v>
      </c>
    </row>
    <row r="170" spans="1:3">
      <c r="A170" s="92">
        <v>30709453293</v>
      </c>
      <c r="B170" s="77" t="s">
        <v>215</v>
      </c>
      <c r="C170" s="82" t="s">
        <v>54</v>
      </c>
    </row>
    <row r="171" spans="1:3">
      <c r="A171" s="234">
        <v>30714690554</v>
      </c>
      <c r="B171" s="77" t="s">
        <v>424</v>
      </c>
      <c r="C171" s="82" t="s">
        <v>54</v>
      </c>
    </row>
    <row r="172" spans="1:3">
      <c r="A172" s="92">
        <v>30716620634</v>
      </c>
      <c r="B172" s="77" t="s">
        <v>563</v>
      </c>
      <c r="C172" s="82" t="s">
        <v>54</v>
      </c>
    </row>
    <row r="173" spans="1:3">
      <c r="A173" s="234">
        <v>30705466021</v>
      </c>
      <c r="B173" s="77" t="s">
        <v>425</v>
      </c>
      <c r="C173" s="82" t="s">
        <v>41</v>
      </c>
    </row>
    <row r="174" spans="1:3">
      <c r="A174" s="92">
        <v>27301358852</v>
      </c>
      <c r="B174" s="77" t="s">
        <v>458</v>
      </c>
      <c r="C174" s="82" t="s">
        <v>36</v>
      </c>
    </row>
    <row r="175" spans="1:3">
      <c r="A175" s="92">
        <v>20314536852</v>
      </c>
      <c r="B175" s="77" t="s">
        <v>543</v>
      </c>
      <c r="C175" s="82" t="s">
        <v>36</v>
      </c>
    </row>
    <row r="176" spans="1:3">
      <c r="A176" s="92">
        <v>30710657250</v>
      </c>
      <c r="B176" s="77" t="s">
        <v>463</v>
      </c>
      <c r="C176" s="82" t="s">
        <v>54</v>
      </c>
    </row>
    <row r="177" spans="1:3">
      <c r="A177" s="89">
        <v>30657418877</v>
      </c>
      <c r="B177" s="81" t="s">
        <v>82</v>
      </c>
      <c r="C177" s="82" t="s">
        <v>80</v>
      </c>
    </row>
    <row r="178" spans="1:3">
      <c r="A178" s="92">
        <v>30708049928</v>
      </c>
      <c r="B178" s="77" t="s">
        <v>446</v>
      </c>
      <c r="C178" s="82" t="s">
        <v>80</v>
      </c>
    </row>
    <row r="179" spans="1:3">
      <c r="A179" s="92">
        <v>20284183534</v>
      </c>
      <c r="B179" s="77" t="s">
        <v>448</v>
      </c>
      <c r="C179" s="82" t="s">
        <v>54</v>
      </c>
    </row>
    <row r="180" spans="1:3">
      <c r="A180" s="90">
        <v>20115545397</v>
      </c>
      <c r="B180" s="81" t="s">
        <v>125</v>
      </c>
      <c r="C180" s="82" t="s">
        <v>51</v>
      </c>
    </row>
    <row r="181" spans="1:3">
      <c r="A181" s="92">
        <v>20211408511</v>
      </c>
      <c r="B181" s="77" t="s">
        <v>484</v>
      </c>
      <c r="C181" s="82" t="s">
        <v>54</v>
      </c>
    </row>
    <row r="182" spans="1:3">
      <c r="A182" s="90">
        <v>27242941301</v>
      </c>
      <c r="B182" s="77" t="s">
        <v>199</v>
      </c>
      <c r="C182" s="82" t="s">
        <v>38</v>
      </c>
    </row>
    <row r="183" spans="1:3">
      <c r="A183" s="92">
        <v>20344800473</v>
      </c>
      <c r="B183" s="77" t="s">
        <v>361</v>
      </c>
      <c r="C183" s="82" t="s">
        <v>41</v>
      </c>
    </row>
    <row r="184" spans="1:3">
      <c r="A184" s="88">
        <v>27204269527</v>
      </c>
      <c r="B184" s="77" t="s">
        <v>50</v>
      </c>
      <c r="C184" s="82" t="s">
        <v>51</v>
      </c>
    </row>
    <row r="185" spans="1:3">
      <c r="A185" s="92">
        <v>30522428163</v>
      </c>
      <c r="B185" s="77" t="s">
        <v>73</v>
      </c>
      <c r="C185" s="82" t="s">
        <v>80</v>
      </c>
    </row>
    <row r="186" spans="1:3">
      <c r="A186" s="92">
        <v>30685228501</v>
      </c>
      <c r="B186" s="81" t="s">
        <v>88</v>
      </c>
      <c r="C186" s="82" t="s">
        <v>80</v>
      </c>
    </row>
    <row r="187" spans="1:3">
      <c r="A187" s="92">
        <v>27061922984</v>
      </c>
      <c r="B187" s="77" t="s">
        <v>221</v>
      </c>
      <c r="C187" s="82" t="s">
        <v>41</v>
      </c>
    </row>
    <row r="188" spans="1:3">
      <c r="A188" s="92">
        <v>27121544917</v>
      </c>
      <c r="B188" s="77" t="s">
        <v>318</v>
      </c>
      <c r="C188" s="82" t="s">
        <v>38</v>
      </c>
    </row>
    <row r="189" spans="1:3">
      <c r="A189" s="92">
        <v>30715567578</v>
      </c>
      <c r="B189" s="77" t="s">
        <v>241</v>
      </c>
      <c r="C189" s="82" t="s">
        <v>54</v>
      </c>
    </row>
    <row r="190" spans="1:3">
      <c r="A190" s="92">
        <v>20186809565</v>
      </c>
      <c r="B190" s="77" t="s">
        <v>212</v>
      </c>
      <c r="C190" s="82" t="s">
        <v>41</v>
      </c>
    </row>
    <row r="191" spans="1:3">
      <c r="A191" s="92">
        <v>23405137119</v>
      </c>
      <c r="B191" s="77" t="s">
        <v>462</v>
      </c>
      <c r="C191" s="82" t="s">
        <v>36</v>
      </c>
    </row>
    <row r="192" spans="1:3">
      <c r="A192" s="92">
        <v>30594549712</v>
      </c>
      <c r="B192" s="77" t="s">
        <v>142</v>
      </c>
      <c r="C192" s="82" t="s">
        <v>54</v>
      </c>
    </row>
    <row r="193" spans="1:3">
      <c r="A193" s="89">
        <v>30708855975</v>
      </c>
      <c r="B193" s="77" t="s">
        <v>40</v>
      </c>
      <c r="C193" s="82" t="s">
        <v>41</v>
      </c>
    </row>
    <row r="194" spans="1:3">
      <c r="A194" s="88">
        <v>30546694263</v>
      </c>
      <c r="B194" s="77" t="s">
        <v>143</v>
      </c>
      <c r="C194" s="82" t="s">
        <v>80</v>
      </c>
    </row>
    <row r="195" spans="1:3">
      <c r="A195" s="92">
        <v>30709737348</v>
      </c>
      <c r="B195" s="77" t="s">
        <v>327</v>
      </c>
      <c r="C195" s="82" t="s">
        <v>41</v>
      </c>
    </row>
    <row r="196" spans="1:3">
      <c r="A196" s="92">
        <v>30690212265</v>
      </c>
      <c r="B196" s="77" t="s">
        <v>581</v>
      </c>
      <c r="C196" s="82" t="s">
        <v>36</v>
      </c>
    </row>
    <row r="197" spans="1:3">
      <c r="A197" s="92">
        <v>27304678165</v>
      </c>
      <c r="B197" s="77" t="s">
        <v>553</v>
      </c>
      <c r="C197" s="82" t="s">
        <v>41</v>
      </c>
    </row>
    <row r="198" spans="1:3">
      <c r="A198" s="90">
        <v>30711950113</v>
      </c>
      <c r="B198" s="77" t="s">
        <v>59</v>
      </c>
      <c r="C198" s="82" t="s">
        <v>41</v>
      </c>
    </row>
    <row r="199" spans="1:3">
      <c r="A199" s="92">
        <v>23076996989</v>
      </c>
      <c r="B199" s="77" t="s">
        <v>232</v>
      </c>
      <c r="C199" s="82" t="s">
        <v>54</v>
      </c>
    </row>
    <row r="200" spans="1:3">
      <c r="A200" s="234">
        <v>33709997489</v>
      </c>
      <c r="B200" s="77" t="s">
        <v>393</v>
      </c>
      <c r="C200" s="82" t="s">
        <v>41</v>
      </c>
    </row>
    <row r="201" spans="1:3">
      <c r="A201" s="92">
        <v>30715621866</v>
      </c>
      <c r="B201" s="77" t="s">
        <v>503</v>
      </c>
      <c r="C201" s="82" t="s">
        <v>124</v>
      </c>
    </row>
    <row r="202" spans="1:3">
      <c r="A202" s="92">
        <v>33710427629</v>
      </c>
      <c r="B202" s="77" t="s">
        <v>582</v>
      </c>
      <c r="C202" s="82" t="s">
        <v>36</v>
      </c>
    </row>
    <row r="203" spans="1:3">
      <c r="A203" s="92">
        <v>20323836427</v>
      </c>
      <c r="B203" s="77" t="s">
        <v>444</v>
      </c>
      <c r="C203" s="82" t="s">
        <v>41</v>
      </c>
    </row>
    <row r="204" spans="1:3">
      <c r="A204" s="90">
        <v>20292887648</v>
      </c>
      <c r="B204" s="77" t="s">
        <v>197</v>
      </c>
      <c r="C204" s="82" t="s">
        <v>41</v>
      </c>
    </row>
    <row r="205" spans="1:3">
      <c r="A205" s="92">
        <v>20077028545</v>
      </c>
      <c r="B205" s="77" t="s">
        <v>411</v>
      </c>
      <c r="C205" s="82" t="s">
        <v>54</v>
      </c>
    </row>
    <row r="206" spans="1:3">
      <c r="A206" s="92">
        <v>20410525888</v>
      </c>
      <c r="B206" s="77" t="s">
        <v>534</v>
      </c>
      <c r="C206" s="82" t="s">
        <v>41</v>
      </c>
    </row>
    <row r="207" spans="1:3">
      <c r="A207" s="92">
        <v>20239531963</v>
      </c>
      <c r="B207" s="77" t="s">
        <v>501</v>
      </c>
      <c r="C207" s="82" t="s">
        <v>41</v>
      </c>
    </row>
    <row r="208" spans="1:3">
      <c r="A208" s="88">
        <v>23920485979</v>
      </c>
      <c r="B208" s="77" t="s">
        <v>64</v>
      </c>
      <c r="C208" s="82" t="s">
        <v>41</v>
      </c>
    </row>
    <row r="209" spans="1:3">
      <c r="A209" s="92">
        <v>30714432865</v>
      </c>
      <c r="B209" s="77" t="s">
        <v>296</v>
      </c>
      <c r="C209" s="82" t="s">
        <v>54</v>
      </c>
    </row>
    <row r="210" spans="1:3">
      <c r="A210" s="92">
        <v>27365928016</v>
      </c>
      <c r="B210" s="77" t="s">
        <v>299</v>
      </c>
      <c r="C210" s="82" t="s">
        <v>177</v>
      </c>
    </row>
    <row r="211" spans="1:3">
      <c r="A211" s="234">
        <v>30712097600</v>
      </c>
      <c r="B211" s="77" t="s">
        <v>340</v>
      </c>
      <c r="C211" s="82" t="s">
        <v>54</v>
      </c>
    </row>
    <row r="212" spans="1:3">
      <c r="A212" s="92">
        <v>30712778403</v>
      </c>
      <c r="B212" s="81" t="s">
        <v>127</v>
      </c>
      <c r="C212" s="82" t="s">
        <v>51</v>
      </c>
    </row>
    <row r="213" spans="1:3">
      <c r="A213" s="234">
        <v>20181426846</v>
      </c>
      <c r="B213" s="77" t="s">
        <v>454</v>
      </c>
      <c r="C213" s="82" t="s">
        <v>54</v>
      </c>
    </row>
    <row r="214" spans="1:3">
      <c r="A214" s="227">
        <v>30663498513</v>
      </c>
      <c r="B214" s="228" t="s">
        <v>430</v>
      </c>
      <c r="C214" s="229" t="s">
        <v>371</v>
      </c>
    </row>
    <row r="215" spans="1:3">
      <c r="A215" s="234">
        <v>30671637689</v>
      </c>
      <c r="B215" s="77" t="s">
        <v>387</v>
      </c>
      <c r="C215" s="82" t="s">
        <v>54</v>
      </c>
    </row>
    <row r="216" spans="1:3">
      <c r="A216" s="92">
        <v>27147827682</v>
      </c>
      <c r="B216" s="81" t="s">
        <v>255</v>
      </c>
      <c r="C216" s="82" t="s">
        <v>38</v>
      </c>
    </row>
    <row r="217" spans="1:3">
      <c r="A217" s="92">
        <v>23175716009</v>
      </c>
      <c r="B217" s="77" t="s">
        <v>470</v>
      </c>
      <c r="C217" s="82" t="s">
        <v>36</v>
      </c>
    </row>
    <row r="218" spans="1:3">
      <c r="A218" s="92">
        <v>30715210904</v>
      </c>
      <c r="B218" s="77" t="s">
        <v>227</v>
      </c>
      <c r="C218" s="82" t="s">
        <v>41</v>
      </c>
    </row>
    <row r="219" spans="1:3">
      <c r="A219" s="92">
        <v>30716770881</v>
      </c>
      <c r="B219" s="77" t="s">
        <v>531</v>
      </c>
      <c r="C219" s="82" t="s">
        <v>54</v>
      </c>
    </row>
    <row r="220" spans="1:3">
      <c r="A220" s="92">
        <v>30710538014</v>
      </c>
      <c r="B220" s="77" t="s">
        <v>369</v>
      </c>
      <c r="C220" s="82" t="s">
        <v>80</v>
      </c>
    </row>
    <row r="221" spans="1:3">
      <c r="A221" s="234">
        <v>20351722585</v>
      </c>
      <c r="B221" s="77" t="s">
        <v>453</v>
      </c>
      <c r="C221" s="82" t="s">
        <v>41</v>
      </c>
    </row>
    <row r="222" spans="1:3">
      <c r="A222" s="234">
        <v>27165813893</v>
      </c>
      <c r="B222" s="77" t="s">
        <v>455</v>
      </c>
      <c r="C222" s="82" t="s">
        <v>41</v>
      </c>
    </row>
    <row r="223" spans="1:3">
      <c r="A223" s="84">
        <v>23219640269</v>
      </c>
      <c r="B223" s="77" t="s">
        <v>238</v>
      </c>
      <c r="C223" s="82" t="s">
        <v>41</v>
      </c>
    </row>
    <row r="224" spans="1:3">
      <c r="A224" s="92">
        <v>30710095171</v>
      </c>
      <c r="B224" s="77" t="s">
        <v>222</v>
      </c>
      <c r="C224" s="82" t="s">
        <v>41</v>
      </c>
    </row>
    <row r="225" spans="1:3">
      <c r="A225" s="92">
        <v>20295867931</v>
      </c>
      <c r="B225" s="77" t="s">
        <v>427</v>
      </c>
      <c r="C225" s="82" t="s">
        <v>54</v>
      </c>
    </row>
    <row r="226" spans="1:3">
      <c r="A226" s="92">
        <v>20361556691</v>
      </c>
      <c r="B226" s="77" t="s">
        <v>334</v>
      </c>
      <c r="C226" s="82" t="s">
        <v>54</v>
      </c>
    </row>
    <row r="227" spans="1:3">
      <c r="A227" s="92">
        <v>20313759246</v>
      </c>
      <c r="B227" s="81" t="s">
        <v>168</v>
      </c>
      <c r="C227" s="82" t="s">
        <v>169</v>
      </c>
    </row>
    <row r="228" spans="1:3">
      <c r="A228" s="92">
        <v>20186310838</v>
      </c>
      <c r="B228" s="77" t="s">
        <v>488</v>
      </c>
      <c r="C228" s="82" t="s">
        <v>41</v>
      </c>
    </row>
    <row r="229" spans="1:3">
      <c r="A229" s="92">
        <v>30576630057</v>
      </c>
      <c r="B229" s="77" t="s">
        <v>328</v>
      </c>
      <c r="C229" s="82" t="s">
        <v>54</v>
      </c>
    </row>
    <row r="230" spans="1:3">
      <c r="A230" s="89">
        <v>30714122718</v>
      </c>
      <c r="B230" s="77" t="s">
        <v>173</v>
      </c>
      <c r="C230" s="82" t="s">
        <v>41</v>
      </c>
    </row>
    <row r="231" spans="1:3">
      <c r="A231" s="88">
        <v>30714696153</v>
      </c>
      <c r="B231" s="77" t="s">
        <v>61</v>
      </c>
      <c r="C231" s="82" t="s">
        <v>41</v>
      </c>
    </row>
    <row r="232" spans="1:3">
      <c r="A232" s="92">
        <v>20242126158</v>
      </c>
      <c r="B232" s="77" t="s">
        <v>354</v>
      </c>
      <c r="C232" s="82" t="s">
        <v>41</v>
      </c>
    </row>
    <row r="233" spans="1:3">
      <c r="A233" s="92">
        <v>20309759444</v>
      </c>
      <c r="B233" s="77" t="s">
        <v>572</v>
      </c>
      <c r="C233" s="82" t="s">
        <v>41</v>
      </c>
    </row>
    <row r="234" spans="1:3">
      <c r="A234" s="92">
        <v>30712289046</v>
      </c>
      <c r="B234" s="77" t="s">
        <v>366</v>
      </c>
      <c r="C234" s="82" t="s">
        <v>54</v>
      </c>
    </row>
    <row r="235" spans="1:3">
      <c r="A235" s="92">
        <v>30687310434</v>
      </c>
      <c r="B235" s="77" t="s">
        <v>153</v>
      </c>
      <c r="C235" s="82" t="s">
        <v>54</v>
      </c>
    </row>
    <row r="236" spans="1:3">
      <c r="A236" s="92">
        <v>30687310434</v>
      </c>
      <c r="B236" s="77" t="s">
        <v>301</v>
      </c>
      <c r="C236" s="82" t="s">
        <v>54</v>
      </c>
    </row>
    <row r="237" spans="1:3">
      <c r="A237" s="92">
        <v>30515800219</v>
      </c>
      <c r="B237" s="77" t="s">
        <v>158</v>
      </c>
      <c r="C237" s="82" t="s">
        <v>54</v>
      </c>
    </row>
    <row r="238" spans="1:3">
      <c r="A238" s="92">
        <v>30651822021</v>
      </c>
      <c r="B238" s="77" t="s">
        <v>260</v>
      </c>
      <c r="C238" s="82" t="s">
        <v>41</v>
      </c>
    </row>
    <row r="239" spans="1:3">
      <c r="A239" s="89">
        <v>30598739540</v>
      </c>
      <c r="B239" s="81" t="s">
        <v>84</v>
      </c>
      <c r="C239" s="82" t="s">
        <v>80</v>
      </c>
    </row>
    <row r="240" spans="1:3">
      <c r="A240" s="234">
        <v>30554807301</v>
      </c>
      <c r="B240" s="77" t="s">
        <v>235</v>
      </c>
      <c r="C240" s="82" t="s">
        <v>54</v>
      </c>
    </row>
    <row r="241" spans="1:3">
      <c r="A241" s="92">
        <v>30697558868</v>
      </c>
      <c r="B241" s="77" t="s">
        <v>76</v>
      </c>
      <c r="C241" s="82" t="s">
        <v>80</v>
      </c>
    </row>
    <row r="242" spans="1:3">
      <c r="A242" s="92">
        <v>33708345399</v>
      </c>
      <c r="B242" s="77" t="s">
        <v>246</v>
      </c>
      <c r="C242" s="82" t="s">
        <v>41</v>
      </c>
    </row>
    <row r="243" spans="1:3">
      <c r="A243" s="92">
        <v>30999077508</v>
      </c>
      <c r="B243" s="81" t="s">
        <v>89</v>
      </c>
      <c r="C243" s="82" t="s">
        <v>80</v>
      </c>
    </row>
    <row r="244" spans="1:3">
      <c r="A244" s="92">
        <v>30708214813</v>
      </c>
      <c r="B244" s="77" t="s">
        <v>291</v>
      </c>
      <c r="C244" s="82" t="s">
        <v>41</v>
      </c>
    </row>
    <row r="245" spans="1:3">
      <c r="A245" s="92">
        <v>23368458449</v>
      </c>
      <c r="B245" s="77" t="s">
        <v>440</v>
      </c>
      <c r="C245" s="82" t="s">
        <v>36</v>
      </c>
    </row>
    <row r="246" spans="1:3">
      <c r="A246" s="92">
        <v>30707758682</v>
      </c>
      <c r="B246" s="77" t="s">
        <v>206</v>
      </c>
      <c r="C246" s="82" t="s">
        <v>80</v>
      </c>
    </row>
    <row r="247" spans="1:3">
      <c r="A247" s="89">
        <v>30712187316</v>
      </c>
      <c r="B247" s="77" t="s">
        <v>68</v>
      </c>
      <c r="C247" s="82" t="s">
        <v>41</v>
      </c>
    </row>
    <row r="248" spans="1:3">
      <c r="A248" s="92">
        <v>30547076679</v>
      </c>
      <c r="B248" s="77" t="s">
        <v>266</v>
      </c>
      <c r="C248" s="82" t="s">
        <v>54</v>
      </c>
    </row>
    <row r="249" spans="1:3">
      <c r="A249" s="92">
        <v>30715123483</v>
      </c>
      <c r="B249" s="77" t="s">
        <v>275</v>
      </c>
      <c r="C249" s="82" t="s">
        <v>36</v>
      </c>
    </row>
    <row r="250" spans="1:3">
      <c r="A250" s="92">
        <v>30708936762</v>
      </c>
      <c r="B250" s="77" t="s">
        <v>264</v>
      </c>
      <c r="C250" s="82" t="s">
        <v>54</v>
      </c>
    </row>
    <row r="251" spans="1:3">
      <c r="A251" s="92">
        <v>30715937006</v>
      </c>
      <c r="B251" s="77" t="s">
        <v>290</v>
      </c>
      <c r="C251" s="82" t="s">
        <v>41</v>
      </c>
    </row>
    <row r="252" spans="1:3">
      <c r="A252" s="92">
        <v>20167226524</v>
      </c>
      <c r="B252" s="77" t="s">
        <v>466</v>
      </c>
      <c r="C252" s="82" t="s">
        <v>54</v>
      </c>
    </row>
    <row r="253" spans="1:3">
      <c r="A253" s="92">
        <v>33707660509</v>
      </c>
      <c r="B253" s="77" t="s">
        <v>500</v>
      </c>
      <c r="C253" s="82" t="s">
        <v>54</v>
      </c>
    </row>
    <row r="254" spans="1:3">
      <c r="A254" s="92">
        <v>20244271740</v>
      </c>
      <c r="B254" s="77" t="s">
        <v>285</v>
      </c>
      <c r="C254" s="82" t="s">
        <v>41</v>
      </c>
    </row>
    <row r="255" spans="1:3">
      <c r="A255" s="92">
        <v>20182999661</v>
      </c>
      <c r="B255" s="81" t="s">
        <v>137</v>
      </c>
      <c r="C255" s="82" t="s">
        <v>54</v>
      </c>
    </row>
    <row r="256" spans="1:3">
      <c r="A256" s="92">
        <v>20924962756</v>
      </c>
      <c r="B256" s="77" t="s">
        <v>229</v>
      </c>
      <c r="C256" s="82" t="s">
        <v>41</v>
      </c>
    </row>
    <row r="257" spans="1:3">
      <c r="A257" s="92">
        <v>23941647804</v>
      </c>
      <c r="B257" s="81" t="s">
        <v>166</v>
      </c>
      <c r="C257" s="82" t="s">
        <v>38</v>
      </c>
    </row>
    <row r="258" spans="1:3">
      <c r="A258" s="84">
        <v>27310367813</v>
      </c>
      <c r="B258" s="77" t="s">
        <v>564</v>
      </c>
      <c r="C258" s="82" t="s">
        <v>41</v>
      </c>
    </row>
    <row r="259" spans="1:3">
      <c r="A259" s="84">
        <v>30709046779</v>
      </c>
      <c r="B259" s="77" t="s">
        <v>293</v>
      </c>
      <c r="C259" s="82" t="s">
        <v>41</v>
      </c>
    </row>
    <row r="260" spans="1:3">
      <c r="A260" s="84">
        <v>30711645884</v>
      </c>
      <c r="B260" s="77" t="s">
        <v>595</v>
      </c>
      <c r="C260" s="82" t="s">
        <v>54</v>
      </c>
    </row>
    <row r="261" spans="1:3">
      <c r="A261" s="85">
        <v>27304914071</v>
      </c>
      <c r="B261" s="81" t="s">
        <v>200</v>
      </c>
      <c r="C261" s="82" t="s">
        <v>43</v>
      </c>
    </row>
    <row r="262" spans="1:3">
      <c r="A262" s="84">
        <v>20220423655</v>
      </c>
      <c r="B262" s="81" t="s">
        <v>175</v>
      </c>
      <c r="C262" s="82" t="s">
        <v>41</v>
      </c>
    </row>
    <row r="263" spans="1:3">
      <c r="A263" s="204">
        <v>20393873583</v>
      </c>
      <c r="B263" s="77" t="s">
        <v>579</v>
      </c>
      <c r="C263" s="82" t="s">
        <v>54</v>
      </c>
    </row>
    <row r="264" spans="1:3">
      <c r="A264" s="84">
        <v>30525468956</v>
      </c>
      <c r="B264" s="77" t="s">
        <v>292</v>
      </c>
      <c r="C264" s="82" t="s">
        <v>41</v>
      </c>
    </row>
    <row r="265" spans="1:3">
      <c r="A265" s="204">
        <v>30701950883</v>
      </c>
      <c r="B265" s="77" t="s">
        <v>350</v>
      </c>
      <c r="C265" s="82" t="s">
        <v>54</v>
      </c>
    </row>
    <row r="266" spans="1:3">
      <c r="A266" s="92">
        <v>30540019297</v>
      </c>
      <c r="B266" s="77" t="s">
        <v>495</v>
      </c>
      <c r="C266" s="82" t="s">
        <v>54</v>
      </c>
    </row>
    <row r="267" spans="1:3">
      <c r="A267" s="84">
        <v>30686525607</v>
      </c>
      <c r="B267" s="77" t="s">
        <v>497</v>
      </c>
      <c r="C267" s="82" t="s">
        <v>54</v>
      </c>
    </row>
    <row r="268" spans="1:3">
      <c r="A268" s="92">
        <v>23945201304</v>
      </c>
      <c r="B268" s="77" t="s">
        <v>365</v>
      </c>
      <c r="C268" s="82" t="s">
        <v>41</v>
      </c>
    </row>
    <row r="269" spans="1:3">
      <c r="A269" s="204">
        <v>30712019359</v>
      </c>
      <c r="B269" s="77" t="s">
        <v>392</v>
      </c>
      <c r="C269" s="82" t="s">
        <v>41</v>
      </c>
    </row>
    <row r="270" spans="1:3">
      <c r="A270" s="84">
        <v>20160503336</v>
      </c>
      <c r="B270" s="77" t="s">
        <v>587</v>
      </c>
      <c r="C270" s="82" t="s">
        <v>54</v>
      </c>
    </row>
    <row r="271" spans="1:3">
      <c r="A271" s="84">
        <v>27129657710</v>
      </c>
      <c r="B271" s="77" t="s">
        <v>576</v>
      </c>
      <c r="C271" s="82" t="s">
        <v>41</v>
      </c>
    </row>
    <row r="272" spans="1:3">
      <c r="A272" s="90">
        <v>30711244383</v>
      </c>
      <c r="B272" s="77" t="s">
        <v>179</v>
      </c>
      <c r="C272" s="82" t="s">
        <v>80</v>
      </c>
    </row>
    <row r="273" spans="1:3">
      <c r="A273" s="92">
        <v>30709879258</v>
      </c>
      <c r="B273" s="77" t="s">
        <v>483</v>
      </c>
      <c r="C273" s="82" t="s">
        <v>36</v>
      </c>
    </row>
    <row r="274" spans="1:3">
      <c r="A274" s="92">
        <v>20180429388</v>
      </c>
      <c r="B274" s="77" t="s">
        <v>445</v>
      </c>
      <c r="C274" s="82" t="s">
        <v>41</v>
      </c>
    </row>
    <row r="275" spans="1:3">
      <c r="A275" s="92">
        <v>30716229552</v>
      </c>
      <c r="B275" s="77" t="s">
        <v>573</v>
      </c>
      <c r="C275" s="82" t="s">
        <v>54</v>
      </c>
    </row>
    <row r="276" spans="1:3">
      <c r="A276" s="92">
        <v>30643700952</v>
      </c>
      <c r="B276" s="77" t="s">
        <v>512</v>
      </c>
      <c r="C276" s="82" t="s">
        <v>41</v>
      </c>
    </row>
    <row r="277" spans="1:3">
      <c r="A277" s="92">
        <v>30712448586</v>
      </c>
      <c r="B277" s="77" t="s">
        <v>438</v>
      </c>
      <c r="C277" s="82" t="s">
        <v>54</v>
      </c>
    </row>
    <row r="278" spans="1:3">
      <c r="A278" s="92">
        <v>20929183143</v>
      </c>
      <c r="B278" s="77" t="s">
        <v>469</v>
      </c>
      <c r="C278" s="82" t="s">
        <v>54</v>
      </c>
    </row>
    <row r="279" spans="1:3">
      <c r="A279" s="88">
        <v>27385671526</v>
      </c>
      <c r="B279" s="77" t="s">
        <v>193</v>
      </c>
      <c r="C279" s="82" t="s">
        <v>41</v>
      </c>
    </row>
    <row r="280" spans="1:3">
      <c r="A280" s="84">
        <v>30657715383</v>
      </c>
      <c r="B280" s="77" t="s">
        <v>591</v>
      </c>
      <c r="C280" s="82" t="s">
        <v>54</v>
      </c>
    </row>
    <row r="281" spans="1:3">
      <c r="A281" s="92">
        <v>30715589032</v>
      </c>
      <c r="B281" s="77" t="s">
        <v>348</v>
      </c>
      <c r="C281" s="82" t="s">
        <v>41</v>
      </c>
    </row>
    <row r="282" spans="1:3">
      <c r="A282" s="92">
        <v>27119876171</v>
      </c>
      <c r="B282" s="77" t="s">
        <v>78</v>
      </c>
      <c r="C282" s="82" t="s">
        <v>80</v>
      </c>
    </row>
    <row r="283" spans="1:3">
      <c r="A283" s="92">
        <v>33708218699</v>
      </c>
      <c r="B283" s="77" t="s">
        <v>526</v>
      </c>
      <c r="C283" s="82" t="s">
        <v>54</v>
      </c>
    </row>
    <row r="284" spans="1:3">
      <c r="A284" s="92">
        <v>27251466756</v>
      </c>
      <c r="B284" s="77" t="s">
        <v>324</v>
      </c>
      <c r="C284" s="82" t="s">
        <v>38</v>
      </c>
    </row>
    <row r="285" spans="1:3">
      <c r="A285" s="92">
        <v>27101420391</v>
      </c>
      <c r="B285" s="77" t="s">
        <v>225</v>
      </c>
      <c r="C285" s="82" t="s">
        <v>41</v>
      </c>
    </row>
    <row r="286" spans="1:3">
      <c r="A286" s="92">
        <v>27228778937</v>
      </c>
      <c r="B286" s="77" t="s">
        <v>138</v>
      </c>
      <c r="C286" s="82" t="s">
        <v>41</v>
      </c>
    </row>
    <row r="287" spans="1:3">
      <c r="A287" s="92">
        <v>20202134700</v>
      </c>
      <c r="B287" s="81" t="s">
        <v>120</v>
      </c>
      <c r="C287" s="82" t="s">
        <v>43</v>
      </c>
    </row>
    <row r="288" spans="1:3">
      <c r="A288" s="84">
        <v>27256001980</v>
      </c>
      <c r="B288" s="77" t="s">
        <v>537</v>
      </c>
      <c r="C288" s="82" t="s">
        <v>38</v>
      </c>
    </row>
    <row r="289" spans="1:3">
      <c r="A289" s="92">
        <v>30678628324</v>
      </c>
      <c r="B289" s="77" t="s">
        <v>325</v>
      </c>
      <c r="C289" s="82" t="s">
        <v>54</v>
      </c>
    </row>
    <row r="290" spans="1:3">
      <c r="A290" s="234">
        <v>27232408737</v>
      </c>
      <c r="B290" s="77" t="s">
        <v>386</v>
      </c>
      <c r="C290" s="82" t="s">
        <v>54</v>
      </c>
    </row>
    <row r="291" spans="1:3">
      <c r="A291" s="92">
        <v>30705740670</v>
      </c>
      <c r="B291" s="77" t="s">
        <v>321</v>
      </c>
      <c r="C291" s="82" t="s">
        <v>54</v>
      </c>
    </row>
    <row r="292" spans="1:3">
      <c r="A292" s="92">
        <v>30710361351</v>
      </c>
      <c r="B292" s="77" t="s">
        <v>487</v>
      </c>
      <c r="C292" s="82" t="s">
        <v>54</v>
      </c>
    </row>
    <row r="293" spans="1:3">
      <c r="A293" s="92">
        <v>30612865333</v>
      </c>
      <c r="B293" s="77" t="s">
        <v>364</v>
      </c>
      <c r="C293" s="82" t="s">
        <v>54</v>
      </c>
    </row>
    <row r="294" spans="1:3">
      <c r="A294" s="92">
        <v>30707042679</v>
      </c>
      <c r="B294" s="77" t="s">
        <v>151</v>
      </c>
      <c r="C294" s="82" t="s">
        <v>41</v>
      </c>
    </row>
    <row r="295" spans="1:3">
      <c r="A295" s="234">
        <v>30710912579</v>
      </c>
      <c r="B295" s="77" t="s">
        <v>391</v>
      </c>
      <c r="C295" s="82" t="s">
        <v>41</v>
      </c>
    </row>
    <row r="296" spans="1:3">
      <c r="A296" s="84">
        <v>30658035033</v>
      </c>
      <c r="B296" s="77" t="s">
        <v>540</v>
      </c>
      <c r="C296" s="82" t="s">
        <v>80</v>
      </c>
    </row>
    <row r="297" spans="1:3">
      <c r="A297" s="84">
        <v>30546771314</v>
      </c>
      <c r="B297" s="77" t="s">
        <v>79</v>
      </c>
      <c r="C297" s="82" t="s">
        <v>80</v>
      </c>
    </row>
    <row r="298" spans="1:3">
      <c r="A298" s="84">
        <v>20299835260</v>
      </c>
      <c r="B298" s="77" t="s">
        <v>523</v>
      </c>
      <c r="C298" s="82" t="s">
        <v>41</v>
      </c>
    </row>
    <row r="299" spans="1:3">
      <c r="A299" s="84">
        <v>30710816049</v>
      </c>
      <c r="B299" s="77" t="s">
        <v>46</v>
      </c>
      <c r="C299" s="82" t="s">
        <v>41</v>
      </c>
    </row>
    <row r="300" spans="1:3">
      <c r="A300" s="84">
        <v>30703088534</v>
      </c>
      <c r="B300" s="77" t="s">
        <v>223</v>
      </c>
      <c r="C300" s="82" t="s">
        <v>41</v>
      </c>
    </row>
    <row r="301" spans="1:3">
      <c r="A301" s="92">
        <v>30711350213</v>
      </c>
      <c r="B301" s="77" t="s">
        <v>252</v>
      </c>
      <c r="C301" s="82" t="s">
        <v>41</v>
      </c>
    </row>
    <row r="302" spans="1:3">
      <c r="A302" s="92">
        <v>30709016012</v>
      </c>
      <c r="B302" s="77" t="s">
        <v>77</v>
      </c>
      <c r="C302" s="82" t="s">
        <v>80</v>
      </c>
    </row>
    <row r="303" spans="1:3">
      <c r="A303" s="84">
        <v>20182095215</v>
      </c>
      <c r="B303" s="77" t="s">
        <v>202</v>
      </c>
      <c r="C303" s="82" t="s">
        <v>203</v>
      </c>
    </row>
    <row r="304" spans="1:3">
      <c r="A304" s="198">
        <v>20265153209</v>
      </c>
      <c r="B304" s="77" t="s">
        <v>394</v>
      </c>
      <c r="C304" s="82" t="s">
        <v>36</v>
      </c>
    </row>
    <row r="305" spans="1:3">
      <c r="A305" s="84">
        <v>30685116657</v>
      </c>
      <c r="B305" s="77" t="s">
        <v>319</v>
      </c>
      <c r="C305" s="82" t="s">
        <v>54</v>
      </c>
    </row>
    <row r="306" spans="1:3">
      <c r="A306" s="84">
        <v>30715224468</v>
      </c>
      <c r="B306" s="77" t="s">
        <v>548</v>
      </c>
      <c r="C306" s="82" t="s">
        <v>41</v>
      </c>
    </row>
    <row r="307" spans="1:3">
      <c r="A307" s="86">
        <v>20291935401</v>
      </c>
      <c r="B307" s="81" t="s">
        <v>132</v>
      </c>
      <c r="C307" s="82" t="s">
        <v>41</v>
      </c>
    </row>
    <row r="308" spans="1:3">
      <c r="A308" s="92">
        <v>27250643182</v>
      </c>
      <c r="B308" s="77" t="s">
        <v>428</v>
      </c>
      <c r="C308" s="82" t="s">
        <v>54</v>
      </c>
    </row>
    <row r="309" spans="1:3">
      <c r="A309" s="84">
        <v>30708150351</v>
      </c>
      <c r="B309" s="77" t="s">
        <v>520</v>
      </c>
      <c r="C309" s="82" t="s">
        <v>54</v>
      </c>
    </row>
    <row r="310" spans="1:3">
      <c r="A310" s="84">
        <v>20127096733</v>
      </c>
      <c r="B310" s="77" t="s">
        <v>437</v>
      </c>
      <c r="C310" s="82" t="s">
        <v>41</v>
      </c>
    </row>
    <row r="311" spans="1:3">
      <c r="A311" s="84">
        <v>27202892936</v>
      </c>
      <c r="B311" s="77" t="s">
        <v>373</v>
      </c>
      <c r="C311" s="82" t="s">
        <v>41</v>
      </c>
    </row>
    <row r="312" spans="1:3">
      <c r="A312" s="84">
        <v>30709242888</v>
      </c>
      <c r="B312" s="77" t="s">
        <v>309</v>
      </c>
      <c r="C312" s="82" t="s">
        <v>41</v>
      </c>
    </row>
    <row r="313" spans="1:3">
      <c r="A313" s="84">
        <v>30708823151</v>
      </c>
      <c r="B313" s="77" t="s">
        <v>515</v>
      </c>
      <c r="C313" s="82" t="s">
        <v>41</v>
      </c>
    </row>
    <row r="314" spans="1:3">
      <c r="A314" s="84">
        <v>20045461611</v>
      </c>
      <c r="B314" s="77" t="s">
        <v>476</v>
      </c>
      <c r="C314" s="82" t="s">
        <v>54</v>
      </c>
    </row>
    <row r="315" spans="1:3">
      <c r="A315" s="235">
        <v>23306035444</v>
      </c>
      <c r="B315" s="77" t="s">
        <v>347</v>
      </c>
      <c r="C315" s="82" t="s">
        <v>41</v>
      </c>
    </row>
    <row r="316" spans="1:3">
      <c r="A316" s="92">
        <v>20174004146</v>
      </c>
      <c r="B316" s="77" t="s">
        <v>396</v>
      </c>
      <c r="C316" s="82" t="s">
        <v>36</v>
      </c>
    </row>
    <row r="317" spans="1:3">
      <c r="A317" s="92">
        <v>20334976433</v>
      </c>
      <c r="B317" s="77" t="s">
        <v>498</v>
      </c>
      <c r="C317" s="82" t="s">
        <v>36</v>
      </c>
    </row>
    <row r="318" spans="1:3">
      <c r="A318" s="84">
        <v>20315107807</v>
      </c>
      <c r="B318" s="77" t="s">
        <v>35</v>
      </c>
      <c r="C318" s="82" t="s">
        <v>36</v>
      </c>
    </row>
    <row r="319" spans="1:3">
      <c r="A319" s="92">
        <v>20363081755</v>
      </c>
      <c r="B319" s="77" t="s">
        <v>322</v>
      </c>
      <c r="C319" s="82" t="s">
        <v>36</v>
      </c>
    </row>
    <row r="320" spans="1:3">
      <c r="A320" s="88">
        <v>20232991527</v>
      </c>
      <c r="B320" s="77" t="s">
        <v>56</v>
      </c>
      <c r="C320" s="82" t="s">
        <v>41</v>
      </c>
    </row>
    <row r="321" spans="1:3">
      <c r="A321" s="92">
        <v>30715515012</v>
      </c>
      <c r="B321" s="77" t="s">
        <v>545</v>
      </c>
      <c r="C321" s="82" t="s">
        <v>124</v>
      </c>
    </row>
    <row r="322" spans="1:3">
      <c r="A322" s="92">
        <v>30714773255</v>
      </c>
      <c r="B322" s="77" t="s">
        <v>250</v>
      </c>
      <c r="C322" s="82" t="s">
        <v>54</v>
      </c>
    </row>
    <row r="323" spans="1:3">
      <c r="A323" s="90">
        <v>30715284142</v>
      </c>
      <c r="B323" s="77" t="s">
        <v>198</v>
      </c>
      <c r="C323" s="82" t="s">
        <v>54</v>
      </c>
    </row>
    <row r="324" spans="1:3">
      <c r="A324" s="92">
        <v>30717179389</v>
      </c>
      <c r="B324" s="77" t="s">
        <v>583</v>
      </c>
      <c r="C324" s="82" t="s">
        <v>54</v>
      </c>
    </row>
    <row r="325" spans="1:3">
      <c r="A325" s="92">
        <v>20171082464</v>
      </c>
      <c r="B325" s="77" t="s">
        <v>461</v>
      </c>
      <c r="C325" s="82" t="s">
        <v>54</v>
      </c>
    </row>
    <row r="326" spans="1:3">
      <c r="A326" s="84">
        <v>30709318965</v>
      </c>
      <c r="B326" s="77" t="s">
        <v>442</v>
      </c>
      <c r="C326" s="82" t="s">
        <v>41</v>
      </c>
    </row>
    <row r="327" spans="1:3">
      <c r="A327" s="92">
        <v>30702652975</v>
      </c>
      <c r="B327" s="77" t="s">
        <v>300</v>
      </c>
      <c r="C327" s="82" t="s">
        <v>39</v>
      </c>
    </row>
    <row r="328" spans="1:3">
      <c r="A328" s="88">
        <v>30715399519</v>
      </c>
      <c r="B328" s="81" t="s">
        <v>130</v>
      </c>
      <c r="C328" s="82" t="s">
        <v>131</v>
      </c>
    </row>
    <row r="329" spans="1:3">
      <c r="A329" s="92">
        <v>20222347719</v>
      </c>
      <c r="B329" s="77" t="s">
        <v>562</v>
      </c>
      <c r="C329" s="82" t="s">
        <v>54</v>
      </c>
    </row>
    <row r="330" spans="1:3">
      <c r="A330" s="92">
        <v>30536259194</v>
      </c>
      <c r="B330" s="81" t="s">
        <v>129</v>
      </c>
      <c r="C330" s="82" t="s">
        <v>36</v>
      </c>
    </row>
    <row r="331" spans="1:3">
      <c r="A331" s="235">
        <v>27209647252</v>
      </c>
      <c r="B331" s="77" t="s">
        <v>410</v>
      </c>
      <c r="C331" s="82" t="s">
        <v>41</v>
      </c>
    </row>
    <row r="332" spans="1:3">
      <c r="A332" s="92">
        <v>30646217977</v>
      </c>
      <c r="B332" s="77" t="s">
        <v>479</v>
      </c>
      <c r="C332" s="82" t="s">
        <v>80</v>
      </c>
    </row>
    <row r="333" spans="1:3">
      <c r="A333" s="92">
        <v>30500053522</v>
      </c>
      <c r="B333" s="77" t="s">
        <v>72</v>
      </c>
      <c r="C333" s="82" t="s">
        <v>80</v>
      </c>
    </row>
    <row r="334" spans="1:3">
      <c r="A334" s="92">
        <v>30546846217</v>
      </c>
      <c r="B334" s="81" t="s">
        <v>251</v>
      </c>
      <c r="C334" s="82" t="s">
        <v>80</v>
      </c>
    </row>
    <row r="335" spans="1:3">
      <c r="A335" s="84">
        <v>30717024393</v>
      </c>
      <c r="B335" s="77" t="s">
        <v>539</v>
      </c>
      <c r="C335" s="82" t="s">
        <v>54</v>
      </c>
    </row>
    <row r="336" spans="1:3">
      <c r="A336" s="84">
        <v>27405786066</v>
      </c>
      <c r="B336" s="77" t="s">
        <v>297</v>
      </c>
      <c r="C336" s="82" t="s">
        <v>54</v>
      </c>
    </row>
    <row r="337" spans="1:3">
      <c r="A337" s="84">
        <v>23383224829</v>
      </c>
      <c r="B337" s="77" t="s">
        <v>499</v>
      </c>
      <c r="C337" s="82" t="s">
        <v>38</v>
      </c>
    </row>
    <row r="338" spans="1:3">
      <c r="A338" s="84">
        <v>23411502619</v>
      </c>
      <c r="B338" s="77" t="s">
        <v>490</v>
      </c>
      <c r="C338" s="82" t="s">
        <v>38</v>
      </c>
    </row>
    <row r="339" spans="1:3">
      <c r="A339" s="84">
        <v>30711377944</v>
      </c>
      <c r="B339" s="77" t="s">
        <v>271</v>
      </c>
      <c r="C339" s="82" t="s">
        <v>54</v>
      </c>
    </row>
    <row r="340" spans="1:3">
      <c r="A340" s="84">
        <v>30678774495</v>
      </c>
      <c r="B340" s="77" t="s">
        <v>274</v>
      </c>
      <c r="C340" s="82" t="s">
        <v>54</v>
      </c>
    </row>
    <row r="341" spans="1:3">
      <c r="A341" s="84">
        <v>20238751560</v>
      </c>
      <c r="B341" s="77" t="s">
        <v>172</v>
      </c>
      <c r="C341" s="82" t="s">
        <v>54</v>
      </c>
    </row>
    <row r="342" spans="1:3">
      <c r="A342" s="92">
        <v>30661143610</v>
      </c>
      <c r="B342" s="77" t="s">
        <v>552</v>
      </c>
      <c r="C342" s="82" t="s">
        <v>41</v>
      </c>
    </row>
    <row r="343" spans="1:3">
      <c r="A343" s="92">
        <v>30714331082</v>
      </c>
      <c r="B343" s="77" t="s">
        <v>148</v>
      </c>
      <c r="C343" s="82" t="s">
        <v>41</v>
      </c>
    </row>
    <row r="344" spans="1:3">
      <c r="A344" s="92">
        <v>33707920349</v>
      </c>
      <c r="B344" s="77" t="s">
        <v>239</v>
      </c>
      <c r="C344" s="82" t="s">
        <v>41</v>
      </c>
    </row>
    <row r="345" spans="1:3">
      <c r="A345" s="234">
        <v>30661498575</v>
      </c>
      <c r="B345" s="81" t="s">
        <v>201</v>
      </c>
      <c r="C345" s="82" t="s">
        <v>41</v>
      </c>
    </row>
    <row r="346" spans="1:3">
      <c r="A346" s="234">
        <v>33716711469</v>
      </c>
      <c r="B346" s="77" t="s">
        <v>565</v>
      </c>
      <c r="C346" s="82" t="s">
        <v>41</v>
      </c>
    </row>
    <row r="347" spans="1:3">
      <c r="A347" s="86">
        <v>33709738459</v>
      </c>
      <c r="B347" s="77" t="s">
        <v>62</v>
      </c>
      <c r="C347" s="82" t="s">
        <v>41</v>
      </c>
    </row>
    <row r="348" spans="1:3">
      <c r="A348" s="92">
        <v>30696246234</v>
      </c>
      <c r="B348" s="81" t="s">
        <v>161</v>
      </c>
      <c r="C348" s="82" t="s">
        <v>41</v>
      </c>
    </row>
    <row r="349" spans="1:3">
      <c r="A349" s="92">
        <v>30565786306</v>
      </c>
      <c r="B349" s="77" t="s">
        <v>571</v>
      </c>
      <c r="C349" s="82" t="s">
        <v>80</v>
      </c>
    </row>
    <row r="350" spans="1:3">
      <c r="A350" s="92">
        <v>30683032227</v>
      </c>
      <c r="B350" s="77" t="s">
        <v>541</v>
      </c>
      <c r="C350" s="82" t="s">
        <v>80</v>
      </c>
    </row>
    <row r="351" spans="1:3">
      <c r="A351" s="92">
        <v>30585412453</v>
      </c>
      <c r="B351" s="77" t="s">
        <v>245</v>
      </c>
      <c r="C351" s="82" t="s">
        <v>80</v>
      </c>
    </row>
    <row r="352" spans="1:3">
      <c r="A352" s="92">
        <v>30590412631</v>
      </c>
      <c r="B352" s="77" t="s">
        <v>83</v>
      </c>
      <c r="C352" s="82" t="s">
        <v>80</v>
      </c>
    </row>
    <row r="353" spans="1:3">
      <c r="A353" s="92">
        <v>30546666189</v>
      </c>
      <c r="B353" s="81" t="s">
        <v>85</v>
      </c>
      <c r="C353" s="82" t="s">
        <v>80</v>
      </c>
    </row>
    <row r="354" spans="1:3">
      <c r="A354" s="90">
        <v>30608716390</v>
      </c>
      <c r="B354" s="81" t="s">
        <v>128</v>
      </c>
      <c r="C354" s="82" t="s">
        <v>80</v>
      </c>
    </row>
    <row r="355" spans="1:3">
      <c r="A355" s="92">
        <v>30658137642</v>
      </c>
      <c r="B355" s="81" t="s">
        <v>87</v>
      </c>
      <c r="C355" s="82" t="s">
        <v>80</v>
      </c>
    </row>
    <row r="356" spans="1:3">
      <c r="A356" s="92">
        <v>30707080198</v>
      </c>
      <c r="B356" s="77" t="s">
        <v>66</v>
      </c>
      <c r="C356" s="82" t="s">
        <v>41</v>
      </c>
    </row>
    <row r="357" spans="1:3">
      <c r="A357" s="89">
        <v>30643862928</v>
      </c>
      <c r="B357" s="81" t="s">
        <v>170</v>
      </c>
      <c r="C357" s="82" t="s">
        <v>41</v>
      </c>
    </row>
    <row r="358" spans="1:3">
      <c r="A358" s="92">
        <v>20330614014</v>
      </c>
      <c r="B358" s="77" t="s">
        <v>367</v>
      </c>
      <c r="C358" s="82" t="s">
        <v>41</v>
      </c>
    </row>
    <row r="359" spans="1:3">
      <c r="A359" s="92">
        <v>20277164192</v>
      </c>
      <c r="B359" s="81" t="s">
        <v>122</v>
      </c>
      <c r="C359" s="82" t="s">
        <v>43</v>
      </c>
    </row>
    <row r="360" spans="1:3">
      <c r="A360" s="92">
        <v>20043911369</v>
      </c>
      <c r="B360" s="77" t="s">
        <v>208</v>
      </c>
      <c r="C360" s="82" t="s">
        <v>41</v>
      </c>
    </row>
    <row r="361" spans="1:3">
      <c r="A361" s="92">
        <v>20275351254</v>
      </c>
      <c r="B361" s="77" t="s">
        <v>443</v>
      </c>
      <c r="C361" s="82" t="s">
        <v>41</v>
      </c>
    </row>
    <row r="362" spans="1:3">
      <c r="A362" s="92">
        <v>30695542476</v>
      </c>
      <c r="B362" s="77" t="s">
        <v>288</v>
      </c>
      <c r="C362" s="82" t="s">
        <v>43</v>
      </c>
    </row>
    <row r="363" spans="1:3">
      <c r="A363" s="92">
        <v>30587197215</v>
      </c>
      <c r="B363" s="77" t="s">
        <v>493</v>
      </c>
      <c r="C363" s="82" t="s">
        <v>54</v>
      </c>
    </row>
    <row r="364" spans="1:3">
      <c r="A364" s="92">
        <v>30591633984</v>
      </c>
      <c r="B364" s="77" t="s">
        <v>119</v>
      </c>
      <c r="C364" s="82" t="s">
        <v>41</v>
      </c>
    </row>
    <row r="365" spans="1:3">
      <c r="A365" s="92">
        <v>30716815710</v>
      </c>
      <c r="B365" s="77" t="s">
        <v>357</v>
      </c>
      <c r="C365" s="82" t="s">
        <v>51</v>
      </c>
    </row>
    <row r="366" spans="1:3">
      <c r="A366" s="84">
        <v>30605041287</v>
      </c>
      <c r="B366" s="77" t="s">
        <v>269</v>
      </c>
      <c r="C366" s="82" t="s">
        <v>54</v>
      </c>
    </row>
    <row r="367" spans="1:3">
      <c r="A367" s="84">
        <v>27218733803</v>
      </c>
      <c r="B367" s="77" t="s">
        <v>326</v>
      </c>
      <c r="C367" s="82" t="s">
        <v>51</v>
      </c>
    </row>
    <row r="368" spans="1:3">
      <c r="A368" s="204">
        <v>33693786369</v>
      </c>
      <c r="B368" s="77" t="s">
        <v>421</v>
      </c>
      <c r="C368" s="82" t="s">
        <v>54</v>
      </c>
    </row>
    <row r="369" spans="1:3">
      <c r="A369" s="84">
        <v>30627583873</v>
      </c>
      <c r="B369" s="77" t="s">
        <v>257</v>
      </c>
      <c r="C369" s="82" t="s">
        <v>54</v>
      </c>
    </row>
    <row r="370" spans="1:3">
      <c r="A370" s="84">
        <v>30715413678</v>
      </c>
      <c r="B370" s="77" t="s">
        <v>377</v>
      </c>
      <c r="C370" s="82" t="s">
        <v>54</v>
      </c>
    </row>
    <row r="371" spans="1:3">
      <c r="A371" s="84">
        <v>20108555417</v>
      </c>
      <c r="B371" s="77" t="s">
        <v>465</v>
      </c>
      <c r="C371" s="82" t="s">
        <v>41</v>
      </c>
    </row>
    <row r="372" spans="1:3">
      <c r="A372" s="84">
        <v>20280154602</v>
      </c>
      <c r="B372" s="77" t="s">
        <v>317</v>
      </c>
      <c r="C372" s="82" t="s">
        <v>36</v>
      </c>
    </row>
    <row r="373" spans="1:3">
      <c r="A373" s="198">
        <v>23282830299</v>
      </c>
      <c r="B373" s="228" t="s">
        <v>431</v>
      </c>
      <c r="C373" s="229" t="s">
        <v>41</v>
      </c>
    </row>
    <row r="374" spans="1:3">
      <c r="A374" s="92">
        <v>27316249154</v>
      </c>
      <c r="B374" s="77" t="s">
        <v>510</v>
      </c>
      <c r="C374" s="82" t="s">
        <v>41</v>
      </c>
    </row>
    <row r="375" spans="1:3">
      <c r="A375" s="92">
        <v>20274327678</v>
      </c>
      <c r="B375" s="77" t="s">
        <v>426</v>
      </c>
      <c r="C375" s="82" t="s">
        <v>36</v>
      </c>
    </row>
    <row r="376" spans="1:3">
      <c r="A376" s="92">
        <v>27182477368</v>
      </c>
      <c r="B376" s="77" t="s">
        <v>74</v>
      </c>
      <c r="C376" s="82" t="s">
        <v>80</v>
      </c>
    </row>
    <row r="377" spans="1:3">
      <c r="A377" s="92">
        <v>20307462207</v>
      </c>
      <c r="B377" s="77" t="s">
        <v>268</v>
      </c>
      <c r="C377" s="82" t="s">
        <v>54</v>
      </c>
    </row>
    <row r="378" spans="1:3">
      <c r="A378" s="92">
        <v>20113613646</v>
      </c>
      <c r="B378" s="77" t="s">
        <v>415</v>
      </c>
      <c r="C378" s="82" t="s">
        <v>54</v>
      </c>
    </row>
    <row r="379" spans="1:3">
      <c r="A379" s="92">
        <v>30601502085</v>
      </c>
      <c r="B379" s="77" t="s">
        <v>475</v>
      </c>
      <c r="C379" s="82" t="s">
        <v>54</v>
      </c>
    </row>
    <row r="380" spans="1:3">
      <c r="A380" s="92">
        <v>20184015820</v>
      </c>
      <c r="B380" s="77" t="s">
        <v>489</v>
      </c>
      <c r="C380" s="82" t="s">
        <v>54</v>
      </c>
    </row>
    <row r="381" spans="1:3">
      <c r="A381" s="92">
        <v>30646512952</v>
      </c>
      <c r="B381" s="77" t="s">
        <v>474</v>
      </c>
      <c r="C381" s="82" t="s">
        <v>54</v>
      </c>
    </row>
    <row r="382" spans="1:3">
      <c r="A382" s="92">
        <v>27279386715</v>
      </c>
      <c r="B382" s="77" t="s">
        <v>258</v>
      </c>
      <c r="C382" s="82" t="s">
        <v>54</v>
      </c>
    </row>
    <row r="383" spans="1:3">
      <c r="A383" s="92">
        <v>27370346742</v>
      </c>
      <c r="B383" s="77" t="s">
        <v>189</v>
      </c>
      <c r="C383" s="82" t="s">
        <v>177</v>
      </c>
    </row>
    <row r="384" spans="1:3">
      <c r="A384" s="92">
        <v>20046086806</v>
      </c>
      <c r="B384" s="77" t="s">
        <v>486</v>
      </c>
      <c r="C384" s="82" t="s">
        <v>54</v>
      </c>
    </row>
    <row r="385" spans="1:3">
      <c r="A385" s="88">
        <v>27265302225</v>
      </c>
      <c r="B385" s="81" t="s">
        <v>165</v>
      </c>
      <c r="C385" s="82" t="s">
        <v>41</v>
      </c>
    </row>
    <row r="386" spans="1:3">
      <c r="A386" s="92">
        <v>20264653313</v>
      </c>
      <c r="B386" s="77" t="s">
        <v>491</v>
      </c>
      <c r="C386" s="82" t="s">
        <v>36</v>
      </c>
    </row>
    <row r="387" spans="1:3">
      <c r="A387" s="92">
        <v>30577428618</v>
      </c>
      <c r="B387" s="77" t="s">
        <v>568</v>
      </c>
      <c r="C387" s="82" t="s">
        <v>54</v>
      </c>
    </row>
    <row r="388" spans="1:3">
      <c r="A388" s="92">
        <v>30715740806</v>
      </c>
      <c r="B388" s="77" t="s">
        <v>263</v>
      </c>
      <c r="C388" s="82" t="s">
        <v>54</v>
      </c>
    </row>
    <row r="389" spans="1:3">
      <c r="A389" s="92">
        <v>20362272441</v>
      </c>
      <c r="B389" s="77" t="s">
        <v>518</v>
      </c>
      <c r="C389" s="82" t="s">
        <v>41</v>
      </c>
    </row>
    <row r="390" spans="1:3">
      <c r="A390" s="92">
        <v>20253804336</v>
      </c>
      <c r="B390" s="77" t="s">
        <v>416</v>
      </c>
      <c r="C390" s="82" t="s">
        <v>41</v>
      </c>
    </row>
    <row r="391" spans="1:3">
      <c r="A391" s="92">
        <v>30707970010</v>
      </c>
      <c r="B391" s="77" t="s">
        <v>247</v>
      </c>
      <c r="C391" s="82" t="s">
        <v>41</v>
      </c>
    </row>
    <row r="392" spans="1:3">
      <c r="A392" s="92">
        <v>27368203829</v>
      </c>
      <c r="B392" s="77" t="s">
        <v>409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>
      <c r="A394" s="234">
        <v>20285597405</v>
      </c>
      <c r="B394" s="77" t="s">
        <v>382</v>
      </c>
      <c r="C394" s="82" t="s">
        <v>54</v>
      </c>
    </row>
    <row r="395" spans="1:3">
      <c r="A395" s="234">
        <v>30716821478</v>
      </c>
      <c r="B395" s="77" t="s">
        <v>422</v>
      </c>
      <c r="C395" s="82" t="s">
        <v>41</v>
      </c>
    </row>
    <row r="396" spans="1:3">
      <c r="A396" s="89">
        <v>20182721787</v>
      </c>
      <c r="B396" s="81" t="s">
        <v>171</v>
      </c>
      <c r="C396" s="82" t="s">
        <v>41</v>
      </c>
    </row>
    <row r="397" spans="1:3">
      <c r="A397" s="92">
        <v>20289111329</v>
      </c>
      <c r="B397" s="77" t="s">
        <v>467</v>
      </c>
      <c r="C397" s="82" t="s">
        <v>41</v>
      </c>
    </row>
    <row r="398" spans="1:3">
      <c r="A398" s="92">
        <v>27233748205</v>
      </c>
      <c r="B398" s="77" t="s">
        <v>298</v>
      </c>
      <c r="C398" s="82" t="s">
        <v>41</v>
      </c>
    </row>
    <row r="399" spans="1:3">
      <c r="A399" s="92">
        <v>30707370552</v>
      </c>
      <c r="B399" s="77" t="s">
        <v>294</v>
      </c>
      <c r="C399" s="82" t="s">
        <v>41</v>
      </c>
    </row>
    <row r="400" spans="1:3">
      <c r="A400" s="92">
        <v>20142643384</v>
      </c>
      <c r="B400" s="77" t="s">
        <v>580</v>
      </c>
      <c r="C400" s="82" t="s">
        <v>41</v>
      </c>
    </row>
    <row r="401" spans="1:3">
      <c r="A401" s="92">
        <v>20202500138</v>
      </c>
      <c r="B401" s="81" t="s">
        <v>123</v>
      </c>
      <c r="C401" s="82" t="s">
        <v>124</v>
      </c>
    </row>
    <row r="402" spans="1:3">
      <c r="A402" s="92">
        <v>27181965709</v>
      </c>
      <c r="B402" s="77" t="s">
        <v>505</v>
      </c>
      <c r="C402" s="82" t="s">
        <v>36</v>
      </c>
    </row>
    <row r="403" spans="1:3">
      <c r="A403" s="92">
        <v>30715141201</v>
      </c>
      <c r="B403" s="77" t="s">
        <v>147</v>
      </c>
      <c r="C403" s="82" t="s">
        <v>41</v>
      </c>
    </row>
    <row r="404" spans="1:3">
      <c r="A404" s="92">
        <v>30709214078</v>
      </c>
      <c r="B404" s="77" t="s">
        <v>44</v>
      </c>
      <c r="C404" s="82" t="s">
        <v>41</v>
      </c>
    </row>
    <row r="405" spans="1:3">
      <c r="A405" s="89">
        <v>30711764921</v>
      </c>
      <c r="B405" s="77" t="s">
        <v>157</v>
      </c>
      <c r="C405" s="82" t="s">
        <v>41</v>
      </c>
    </row>
    <row r="406" spans="1:3">
      <c r="A406" s="92">
        <v>30710473990</v>
      </c>
      <c r="B406" s="77" t="s">
        <v>69</v>
      </c>
      <c r="C406" s="82" t="s">
        <v>54</v>
      </c>
    </row>
    <row r="407" spans="1:3">
      <c r="A407" s="92">
        <v>30711013969</v>
      </c>
      <c r="B407" s="77" t="s">
        <v>586</v>
      </c>
      <c r="C407" s="82" t="s">
        <v>36</v>
      </c>
    </row>
    <row r="408" spans="1:3">
      <c r="A408" s="92">
        <v>20319885812</v>
      </c>
      <c r="B408" s="77" t="s">
        <v>316</v>
      </c>
      <c r="C408" s="82" t="s">
        <v>41</v>
      </c>
    </row>
    <row r="409" spans="1:3">
      <c r="A409" s="92">
        <v>23106878269</v>
      </c>
      <c r="B409" s="77" t="s">
        <v>513</v>
      </c>
      <c r="C409" s="82" t="s">
        <v>41</v>
      </c>
    </row>
    <row r="410" spans="1:3">
      <c r="A410" s="92">
        <v>20133694146</v>
      </c>
      <c r="B410" s="77" t="s">
        <v>343</v>
      </c>
      <c r="C410" s="82" t="s">
        <v>54</v>
      </c>
    </row>
    <row r="411" spans="1:3">
      <c r="A411" s="92">
        <v>20117741398</v>
      </c>
      <c r="B411" s="77" t="s">
        <v>385</v>
      </c>
      <c r="C411" s="82" t="s">
        <v>54</v>
      </c>
    </row>
    <row r="412" spans="1:3">
      <c r="A412" s="92">
        <v>33716449829</v>
      </c>
      <c r="B412" s="77" t="s">
        <v>276</v>
      </c>
      <c r="C412" s="82" t="s">
        <v>36</v>
      </c>
    </row>
    <row r="413" spans="1:3">
      <c r="A413" s="234">
        <v>30642659312</v>
      </c>
      <c r="B413" s="77" t="s">
        <v>341</v>
      </c>
      <c r="C413" s="82" t="s">
        <v>41</v>
      </c>
    </row>
    <row r="414" spans="1:3">
      <c r="A414" s="89">
        <v>23233422029</v>
      </c>
      <c r="B414" s="81" t="s">
        <v>176</v>
      </c>
      <c r="C414" s="82" t="s">
        <v>41</v>
      </c>
    </row>
    <row r="415" spans="1:3">
      <c r="A415" s="92">
        <v>20183700805</v>
      </c>
      <c r="B415" s="77" t="s">
        <v>368</v>
      </c>
      <c r="C415" s="82" t="s">
        <v>38</v>
      </c>
    </row>
    <row r="416" spans="1:3">
      <c r="A416" s="92">
        <v>27313805293</v>
      </c>
      <c r="B416" s="77" t="s">
        <v>379</v>
      </c>
      <c r="C416" s="82" t="s">
        <v>54</v>
      </c>
    </row>
    <row r="417" spans="1:3">
      <c r="A417" s="92">
        <v>30708552808</v>
      </c>
      <c r="B417" s="77" t="s">
        <v>376</v>
      </c>
      <c r="C417" s="82" t="s">
        <v>54</v>
      </c>
    </row>
    <row r="418" spans="1:3">
      <c r="A418" s="88">
        <v>30715048066</v>
      </c>
      <c r="B418" s="77" t="s">
        <v>55</v>
      </c>
      <c r="C418" s="82" t="s">
        <v>54</v>
      </c>
    </row>
    <row r="419" spans="1:3">
      <c r="A419" s="92">
        <v>23122329119</v>
      </c>
      <c r="B419" s="77" t="s">
        <v>473</v>
      </c>
      <c r="C419" s="82" t="s">
        <v>54</v>
      </c>
    </row>
    <row r="420" spans="1:3">
      <c r="A420" s="92">
        <v>30710638973</v>
      </c>
      <c r="B420" s="77" t="s">
        <v>522</v>
      </c>
      <c r="C420" s="82" t="s">
        <v>54</v>
      </c>
    </row>
    <row r="421" spans="1:3">
      <c r="A421" s="89">
        <v>30595553535</v>
      </c>
      <c r="B421" s="81" t="s">
        <v>205</v>
      </c>
      <c r="C421" s="82" t="s">
        <v>181</v>
      </c>
    </row>
    <row r="422" spans="1:3">
      <c r="A422" s="92">
        <v>20044272009</v>
      </c>
      <c r="B422" s="77" t="s">
        <v>356</v>
      </c>
      <c r="C422" s="82" t="s">
        <v>51</v>
      </c>
    </row>
    <row r="423" spans="1:3">
      <c r="A423" s="92">
        <v>20254412490</v>
      </c>
      <c r="B423" s="77" t="s">
        <v>302</v>
      </c>
      <c r="C423" s="82" t="s">
        <v>54</v>
      </c>
    </row>
    <row r="424" spans="1:3">
      <c r="A424" s="90">
        <v>23111810184</v>
      </c>
      <c r="B424" s="77" t="s">
        <v>190</v>
      </c>
      <c r="C424" s="82" t="s">
        <v>80</v>
      </c>
    </row>
    <row r="425" spans="1:3">
      <c r="A425" s="92">
        <v>20394693864</v>
      </c>
      <c r="B425" s="77" t="s">
        <v>550</v>
      </c>
      <c r="C425" s="82" t="s">
        <v>54</v>
      </c>
    </row>
    <row r="426" spans="1:3">
      <c r="A426" s="92">
        <v>30711553564</v>
      </c>
      <c r="B426" s="77" t="s">
        <v>236</v>
      </c>
      <c r="C426" s="82" t="s">
        <v>41</v>
      </c>
    </row>
    <row r="427" spans="1:3">
      <c r="A427" s="92">
        <v>30588919826</v>
      </c>
      <c r="B427" s="77" t="s">
        <v>472</v>
      </c>
      <c r="C427" s="82" t="s">
        <v>54</v>
      </c>
    </row>
    <row r="428" spans="1:3">
      <c r="A428" s="92">
        <v>30586172308</v>
      </c>
      <c r="B428" s="77" t="s">
        <v>249</v>
      </c>
      <c r="C428" s="82" t="s">
        <v>51</v>
      </c>
    </row>
    <row r="429" spans="1:3">
      <c r="A429" s="92">
        <v>27217606255</v>
      </c>
      <c r="B429" s="77" t="s">
        <v>359</v>
      </c>
      <c r="C429" s="82" t="s">
        <v>41</v>
      </c>
    </row>
    <row r="430" spans="1:3">
      <c r="A430" s="92">
        <v>23255491784</v>
      </c>
      <c r="B430" s="77" t="s">
        <v>355</v>
      </c>
      <c r="C430" s="82" t="s">
        <v>41</v>
      </c>
    </row>
    <row r="431" spans="1:3">
      <c r="A431" s="92">
        <v>33693506099</v>
      </c>
      <c r="B431" s="77" t="s">
        <v>333</v>
      </c>
      <c r="C431" s="82" t="s">
        <v>54</v>
      </c>
    </row>
    <row r="432" spans="1:3">
      <c r="A432" s="92">
        <v>20268417762</v>
      </c>
      <c r="B432" s="77" t="s">
        <v>592</v>
      </c>
      <c r="C432" s="82" t="s">
        <v>54</v>
      </c>
    </row>
    <row r="433" spans="1:3">
      <c r="A433" s="92">
        <v>33710130189</v>
      </c>
      <c r="B433" s="77" t="s">
        <v>547</v>
      </c>
      <c r="C433" s="82" t="s">
        <v>41</v>
      </c>
    </row>
    <row r="434" spans="1:3">
      <c r="A434" s="92">
        <v>30690142860</v>
      </c>
      <c r="B434" s="77" t="s">
        <v>230</v>
      </c>
      <c r="C434" s="82" t="s">
        <v>36</v>
      </c>
    </row>
    <row r="435" spans="1:3">
      <c r="A435" s="92">
        <v>30710276273</v>
      </c>
      <c r="B435" s="77" t="s">
        <v>481</v>
      </c>
      <c r="C435" s="82" t="s">
        <v>36</v>
      </c>
    </row>
    <row r="436" spans="1:3">
      <c r="A436" s="92">
        <v>30709570664</v>
      </c>
      <c r="B436" s="77" t="s">
        <v>514</v>
      </c>
      <c r="C436" s="82" t="s">
        <v>41</v>
      </c>
    </row>
    <row r="437" spans="1:3">
      <c r="A437" s="92">
        <v>30638340689</v>
      </c>
      <c r="B437" s="77" t="s">
        <v>337</v>
      </c>
      <c r="C437" s="82" t="s">
        <v>41</v>
      </c>
    </row>
    <row r="438" spans="1:3">
      <c r="A438" s="92">
        <v>30709525839</v>
      </c>
      <c r="B438" s="77" t="s">
        <v>542</v>
      </c>
      <c r="C438" s="82" t="s">
        <v>41</v>
      </c>
    </row>
    <row r="439" spans="1:3">
      <c r="A439" s="234">
        <v>30710682026</v>
      </c>
      <c r="B439" s="77" t="s">
        <v>388</v>
      </c>
      <c r="C439" s="82" t="s">
        <v>54</v>
      </c>
    </row>
    <row r="440" spans="1:3">
      <c r="A440" s="92">
        <v>33709619719</v>
      </c>
      <c r="B440" s="77" t="s">
        <v>527</v>
      </c>
      <c r="C440" s="82" t="s">
        <v>54</v>
      </c>
    </row>
    <row r="441" spans="1:3">
      <c r="A441" s="92">
        <v>30645722554</v>
      </c>
      <c r="B441" s="77" t="s">
        <v>375</v>
      </c>
      <c r="C441" s="82" t="s">
        <v>54</v>
      </c>
    </row>
    <row r="442" spans="1:3">
      <c r="A442" s="92">
        <v>30715753541</v>
      </c>
      <c r="B442" s="77" t="s">
        <v>494</v>
      </c>
      <c r="C442" s="82" t="s">
        <v>54</v>
      </c>
    </row>
    <row r="443" spans="1:3">
      <c r="A443" s="92">
        <v>30598960093</v>
      </c>
      <c r="B443" s="77" t="s">
        <v>67</v>
      </c>
      <c r="C443" s="82" t="s">
        <v>41</v>
      </c>
    </row>
    <row r="444" spans="1:3">
      <c r="A444" s="92">
        <v>20351173913</v>
      </c>
      <c r="B444" s="77" t="s">
        <v>224</v>
      </c>
      <c r="C444" s="82" t="s">
        <v>41</v>
      </c>
    </row>
    <row r="445" spans="1:3">
      <c r="A445" s="92">
        <v>30702071506</v>
      </c>
      <c r="B445" s="77" t="s">
        <v>306</v>
      </c>
      <c r="C445" s="82" t="s">
        <v>54</v>
      </c>
    </row>
    <row r="446" spans="1:3">
      <c r="A446" s="92">
        <v>30711842809</v>
      </c>
      <c r="B446" s="77" t="s">
        <v>378</v>
      </c>
      <c r="C446" s="82" t="s">
        <v>54</v>
      </c>
    </row>
    <row r="447" spans="1:3">
      <c r="A447" s="92">
        <v>30654118767</v>
      </c>
      <c r="B447" s="77" t="s">
        <v>265</v>
      </c>
      <c r="C447" s="82" t="s">
        <v>41</v>
      </c>
    </row>
    <row r="448" spans="1:3">
      <c r="A448" s="236">
        <v>30716393360</v>
      </c>
      <c r="B448" s="77" t="s">
        <v>195</v>
      </c>
      <c r="C448" s="82" t="s">
        <v>41</v>
      </c>
    </row>
    <row r="449" spans="1:3">
      <c r="A449" s="92">
        <v>33715594949</v>
      </c>
      <c r="B449" s="77" t="s">
        <v>566</v>
      </c>
      <c r="C449" s="82" t="s">
        <v>124</v>
      </c>
    </row>
    <row r="450" spans="1:3">
      <c r="A450" s="90">
        <v>27066622997</v>
      </c>
      <c r="B450" s="77" t="s">
        <v>180</v>
      </c>
      <c r="C450" s="82" t="s">
        <v>181</v>
      </c>
    </row>
    <row r="451" spans="1:3">
      <c r="A451" s="92">
        <v>27283627573</v>
      </c>
      <c r="B451" s="77" t="s">
        <v>567</v>
      </c>
      <c r="C451" s="82" t="s">
        <v>124</v>
      </c>
    </row>
    <row r="452" spans="1:3">
      <c r="A452" s="234">
        <v>20300821872</v>
      </c>
      <c r="B452" s="77" t="s">
        <v>452</v>
      </c>
      <c r="C452" s="82" t="s">
        <v>54</v>
      </c>
    </row>
    <row r="453" spans="1:3">
      <c r="A453" s="92">
        <v>30715668994</v>
      </c>
      <c r="B453" s="77" t="s">
        <v>590</v>
      </c>
      <c r="C453" s="82" t="s">
        <v>41</v>
      </c>
    </row>
    <row r="454" spans="1:3">
      <c r="A454" s="92">
        <v>30577797281</v>
      </c>
      <c r="B454" s="77" t="s">
        <v>145</v>
      </c>
      <c r="C454" s="82" t="s">
        <v>80</v>
      </c>
    </row>
    <row r="455" spans="1:3">
      <c r="A455" s="92">
        <v>23250955529</v>
      </c>
      <c r="B455" s="77" t="s">
        <v>243</v>
      </c>
      <c r="C455" s="82" t="s">
        <v>54</v>
      </c>
    </row>
    <row r="456" spans="1:3">
      <c r="A456" s="92">
        <v>20314785593</v>
      </c>
      <c r="B456" s="77" t="s">
        <v>155</v>
      </c>
      <c r="C456" s="82" t="s">
        <v>41</v>
      </c>
    </row>
    <row r="457" spans="1:3">
      <c r="A457" s="92">
        <v>30715458744</v>
      </c>
      <c r="B457" s="77" t="s">
        <v>305</v>
      </c>
      <c r="C457" s="82" t="s">
        <v>54</v>
      </c>
    </row>
    <row r="458" spans="1:3">
      <c r="A458" s="235">
        <v>27267575997</v>
      </c>
      <c r="B458" s="77" t="s">
        <v>360</v>
      </c>
      <c r="C458" s="82" t="s">
        <v>36</v>
      </c>
    </row>
    <row r="459" spans="1:3">
      <c r="A459" s="92">
        <v>20310122212</v>
      </c>
      <c r="B459" s="77" t="s">
        <v>360</v>
      </c>
      <c r="C459" s="82" t="s">
        <v>41</v>
      </c>
    </row>
    <row r="460" spans="1:3">
      <c r="A460" s="92">
        <v>20229905199</v>
      </c>
      <c r="B460" s="77" t="s">
        <v>597</v>
      </c>
      <c r="C460" s="82" t="s">
        <v>54</v>
      </c>
    </row>
    <row r="461" spans="1:3">
      <c r="A461" s="92">
        <v>30505459179</v>
      </c>
      <c r="B461" s="77" t="s">
        <v>280</v>
      </c>
      <c r="C461" s="82" t="s">
        <v>41</v>
      </c>
    </row>
    <row r="462" spans="1:3">
      <c r="A462" s="92">
        <v>23145783224</v>
      </c>
      <c r="B462" s="77" t="s">
        <v>65</v>
      </c>
      <c r="C462" s="82" t="s">
        <v>41</v>
      </c>
    </row>
    <row r="463" spans="1:3">
      <c r="A463" s="92">
        <v>30710114176</v>
      </c>
      <c r="B463" s="77" t="s">
        <v>435</v>
      </c>
      <c r="C463" s="82" t="s">
        <v>54</v>
      </c>
    </row>
    <row r="464" spans="1:3">
      <c r="A464" s="92">
        <v>30700939797</v>
      </c>
      <c r="B464" s="77" t="s">
        <v>556</v>
      </c>
      <c r="C464" s="82" t="s">
        <v>41</v>
      </c>
    </row>
    <row r="465" spans="1:3">
      <c r="A465" s="92">
        <v>30710177658</v>
      </c>
      <c r="B465" s="77" t="s">
        <v>118</v>
      </c>
      <c r="C465" s="82" t="s">
        <v>41</v>
      </c>
    </row>
    <row r="466" spans="1:3">
      <c r="A466" s="92">
        <v>30687489221</v>
      </c>
      <c r="B466" s="77" t="s">
        <v>496</v>
      </c>
      <c r="C466" s="82" t="s">
        <v>36</v>
      </c>
    </row>
    <row r="467" spans="1:3">
      <c r="A467" s="234">
        <v>20283639941</v>
      </c>
      <c r="B467" s="77" t="s">
        <v>381</v>
      </c>
      <c r="C467" s="82" t="s">
        <v>54</v>
      </c>
    </row>
    <row r="468" spans="1:3">
      <c r="A468" s="89">
        <v>30708960736</v>
      </c>
      <c r="B468" s="81" t="s">
        <v>163</v>
      </c>
      <c r="C468" s="82" t="s">
        <v>41</v>
      </c>
    </row>
    <row r="469" spans="1:3">
      <c r="A469" s="92">
        <v>33716532769</v>
      </c>
      <c r="B469" s="77" t="s">
        <v>308</v>
      </c>
      <c r="C469" s="82" t="s">
        <v>41</v>
      </c>
    </row>
    <row r="470" spans="1:3">
      <c r="A470" s="92">
        <v>30639453738</v>
      </c>
      <c r="B470" s="77" t="s">
        <v>140</v>
      </c>
      <c r="C470" s="82" t="s">
        <v>39</v>
      </c>
    </row>
    <row r="471" spans="1:3">
      <c r="A471" s="92">
        <v>30639453975</v>
      </c>
      <c r="B471" s="77" t="s">
        <v>139</v>
      </c>
      <c r="C471" s="82" t="s">
        <v>39</v>
      </c>
    </row>
    <row r="472" spans="1:3">
      <c r="A472" s="92">
        <v>30678814357</v>
      </c>
      <c r="B472" s="77" t="s">
        <v>117</v>
      </c>
      <c r="C472" s="82" t="s">
        <v>39</v>
      </c>
    </row>
    <row r="473" spans="1:3">
      <c r="A473" s="92">
        <v>30712450408</v>
      </c>
      <c r="B473" s="77" t="s">
        <v>401</v>
      </c>
      <c r="C473" s="82" t="s">
        <v>54</v>
      </c>
    </row>
    <row r="474" spans="1:3">
      <c r="A474" s="92">
        <v>30716018373</v>
      </c>
      <c r="B474" s="77" t="s">
        <v>295</v>
      </c>
      <c r="C474" s="82" t="s">
        <v>36</v>
      </c>
    </row>
    <row r="475" spans="1:3">
      <c r="A475" s="92">
        <v>30616031143</v>
      </c>
      <c r="B475" s="77" t="s">
        <v>141</v>
      </c>
      <c r="C475" s="82" t="s">
        <v>54</v>
      </c>
    </row>
    <row r="476" spans="1:3">
      <c r="A476" s="92">
        <v>30683612916</v>
      </c>
      <c r="B476" s="77" t="s">
        <v>577</v>
      </c>
      <c r="C476" s="82" t="s">
        <v>36</v>
      </c>
    </row>
    <row r="477" spans="1:3">
      <c r="A477" s="92">
        <v>30711188416</v>
      </c>
      <c r="B477" s="77" t="s">
        <v>418</v>
      </c>
      <c r="C477" s="82" t="s">
        <v>36</v>
      </c>
    </row>
    <row r="478" spans="1:3">
      <c r="A478" s="92">
        <v>30711811253</v>
      </c>
      <c r="B478" s="77" t="s">
        <v>413</v>
      </c>
      <c r="C478" s="82" t="s">
        <v>41</v>
      </c>
    </row>
    <row r="479" spans="1:3">
      <c r="A479" s="89">
        <v>30712305513</v>
      </c>
      <c r="B479" s="81" t="s">
        <v>167</v>
      </c>
      <c r="C479" s="82" t="s">
        <v>41</v>
      </c>
    </row>
    <row r="480" spans="1:3">
      <c r="A480" s="92">
        <v>20131067446</v>
      </c>
      <c r="B480" s="77" t="s">
        <v>417</v>
      </c>
      <c r="C480" s="82" t="s">
        <v>41</v>
      </c>
    </row>
    <row r="481" spans="1:3">
      <c r="A481" s="92">
        <v>30646150406</v>
      </c>
      <c r="B481" s="77" t="s">
        <v>146</v>
      </c>
      <c r="C481" s="82" t="s">
        <v>41</v>
      </c>
    </row>
    <row r="482" spans="1:3">
      <c r="A482" s="92">
        <v>27299725761</v>
      </c>
      <c r="B482" s="77" t="s">
        <v>521</v>
      </c>
      <c r="C482" s="82" t="s">
        <v>41</v>
      </c>
    </row>
    <row r="483" spans="1:3">
      <c r="A483" s="92">
        <v>30531602273</v>
      </c>
      <c r="B483" s="81" t="s">
        <v>86</v>
      </c>
      <c r="C483" s="82" t="s">
        <v>80</v>
      </c>
    </row>
    <row r="484" spans="1:3">
      <c r="A484" s="235">
        <v>30556565798</v>
      </c>
      <c r="B484" s="77" t="s">
        <v>240</v>
      </c>
      <c r="C484" s="82" t="s">
        <v>36</v>
      </c>
    </row>
    <row r="485" spans="1:3">
      <c r="A485" s="88">
        <v>20257137326</v>
      </c>
      <c r="B485" s="77" t="s">
        <v>178</v>
      </c>
      <c r="C485" s="82" t="s">
        <v>41</v>
      </c>
    </row>
    <row r="486" spans="1:3">
      <c r="A486" s="92">
        <v>20216451679</v>
      </c>
      <c r="B486" s="77" t="s">
        <v>477</v>
      </c>
      <c r="C486" s="82" t="s">
        <v>41</v>
      </c>
    </row>
    <row r="487" spans="1:3">
      <c r="A487" s="234">
        <v>27415594742</v>
      </c>
      <c r="B487" s="77" t="s">
        <v>423</v>
      </c>
      <c r="C487" s="82" t="s">
        <v>41</v>
      </c>
    </row>
    <row r="488" spans="1:3">
      <c r="A488" s="89">
        <v>20247225243</v>
      </c>
      <c r="B488" s="77" t="s">
        <v>45</v>
      </c>
      <c r="C488" s="82" t="s">
        <v>41</v>
      </c>
    </row>
    <row r="489" spans="1:3">
      <c r="A489" s="92">
        <v>30561769644</v>
      </c>
      <c r="B489" s="77" t="s">
        <v>447</v>
      </c>
      <c r="C489" s="82" t="s">
        <v>54</v>
      </c>
    </row>
    <row r="490" spans="1:3">
      <c r="A490" s="92">
        <v>27247019370</v>
      </c>
      <c r="B490" s="77" t="s">
        <v>471</v>
      </c>
      <c r="C490" s="82" t="s">
        <v>41</v>
      </c>
    </row>
    <row r="491" spans="1:3">
      <c r="A491" s="92">
        <v>30707977120</v>
      </c>
      <c r="B491" s="77" t="s">
        <v>570</v>
      </c>
      <c r="C491" s="82" t="s">
        <v>54</v>
      </c>
    </row>
    <row r="492" spans="1:3">
      <c r="A492" s="88">
        <v>27211421202</v>
      </c>
      <c r="B492" s="77" t="s">
        <v>188</v>
      </c>
      <c r="C492" s="82" t="s">
        <v>41</v>
      </c>
    </row>
    <row r="493" spans="1:3">
      <c r="A493" s="92">
        <v>30540059078</v>
      </c>
      <c r="B493" s="77" t="s">
        <v>524</v>
      </c>
      <c r="C493" s="82" t="s">
        <v>54</v>
      </c>
    </row>
    <row r="494" spans="1:3">
      <c r="A494" s="92">
        <v>30714950750</v>
      </c>
      <c r="B494" s="77" t="s">
        <v>336</v>
      </c>
      <c r="C494" s="82" t="s">
        <v>41</v>
      </c>
    </row>
    <row r="495" spans="1:3">
      <c r="A495" s="92">
        <v>20317488476</v>
      </c>
      <c r="B495" s="77" t="s">
        <v>256</v>
      </c>
      <c r="C495" s="82" t="s">
        <v>41</v>
      </c>
    </row>
    <row r="496" spans="1:3">
      <c r="A496" s="92">
        <v>27256759646</v>
      </c>
      <c r="B496" s="77" t="s">
        <v>502</v>
      </c>
      <c r="C496" s="82" t="s">
        <v>41</v>
      </c>
    </row>
    <row r="497" spans="1:3">
      <c r="A497" s="235">
        <v>20321447997</v>
      </c>
      <c r="B497" s="77" t="s">
        <v>397</v>
      </c>
      <c r="C497" s="82" t="s">
        <v>54</v>
      </c>
    </row>
    <row r="498" spans="1:3">
      <c r="A498" s="92">
        <v>27237719145</v>
      </c>
      <c r="B498" s="77" t="s">
        <v>544</v>
      </c>
      <c r="C498" s="82" t="s">
        <v>41</v>
      </c>
    </row>
    <row r="499" spans="1:3">
      <c r="A499" s="92">
        <v>27169596439</v>
      </c>
      <c r="B499" s="77" t="s">
        <v>464</v>
      </c>
      <c r="C499" s="82" t="s">
        <v>54</v>
      </c>
    </row>
    <row r="500" spans="1:3">
      <c r="A500" s="89">
        <v>23929701364</v>
      </c>
      <c r="B500" s="81" t="s">
        <v>204</v>
      </c>
      <c r="C500" s="82" t="s">
        <v>36</v>
      </c>
    </row>
    <row r="501" spans="1:3">
      <c r="A501" s="92">
        <v>30714867349</v>
      </c>
      <c r="B501" s="77" t="s">
        <v>261</v>
      </c>
      <c r="C501" s="82" t="s">
        <v>54</v>
      </c>
    </row>
    <row r="502" spans="1:3">
      <c r="A502" s="92">
        <v>30708534907</v>
      </c>
      <c r="B502" s="77" t="s">
        <v>507</v>
      </c>
      <c r="C502" s="82" t="s">
        <v>41</v>
      </c>
    </row>
    <row r="503" spans="1:3">
      <c r="A503" s="92">
        <v>20231247239</v>
      </c>
      <c r="B503" s="77" t="s">
        <v>156</v>
      </c>
      <c r="C503" s="82" t="s">
        <v>41</v>
      </c>
    </row>
    <row r="504" spans="1:3">
      <c r="A504" s="92">
        <v>30717172651</v>
      </c>
      <c r="B504" s="77" t="s">
        <v>551</v>
      </c>
      <c r="C504" s="82" t="s">
        <v>41</v>
      </c>
    </row>
    <row r="505" spans="1:3">
      <c r="A505" s="84">
        <v>20332986636</v>
      </c>
      <c r="B505" s="77" t="s">
        <v>449</v>
      </c>
      <c r="C505" s="82" t="s">
        <v>36</v>
      </c>
    </row>
    <row r="506" spans="1:3">
      <c r="A506" s="92">
        <v>20167787372</v>
      </c>
      <c r="B506" s="77" t="s">
        <v>585</v>
      </c>
      <c r="C506" s="82" t="s">
        <v>36</v>
      </c>
    </row>
    <row r="507" spans="1:3">
      <c r="A507" s="92">
        <v>20921994908</v>
      </c>
      <c r="B507" s="77" t="s">
        <v>554</v>
      </c>
      <c r="C507" s="82" t="s">
        <v>54</v>
      </c>
    </row>
    <row r="508" spans="1:3">
      <c r="A508" s="92">
        <v>20168475803</v>
      </c>
      <c r="B508" s="77" t="s">
        <v>311</v>
      </c>
      <c r="C508" s="82" t="s">
        <v>54</v>
      </c>
    </row>
    <row r="509" spans="1:3">
      <c r="A509" s="92">
        <v>27944827345</v>
      </c>
      <c r="B509" s="77" t="s">
        <v>598</v>
      </c>
      <c r="C509" s="82" t="s">
        <v>54</v>
      </c>
    </row>
    <row r="510" spans="1:3">
      <c r="A510" s="92">
        <v>30708375582</v>
      </c>
      <c r="B510" s="77" t="s">
        <v>599</v>
      </c>
      <c r="C510" s="82" t="s">
        <v>36</v>
      </c>
    </row>
    <row r="511" spans="1:3">
      <c r="A511" s="92">
        <v>23936845509</v>
      </c>
      <c r="B511" s="77" t="s">
        <v>600</v>
      </c>
      <c r="C511" s="82" t="s">
        <v>54</v>
      </c>
    </row>
    <row r="512" spans="1:3">
      <c r="A512" s="92">
        <v>30707927409</v>
      </c>
      <c r="B512" s="77" t="s">
        <v>601</v>
      </c>
      <c r="C512" s="82" t="s">
        <v>36</v>
      </c>
    </row>
    <row r="513" spans="1:3">
      <c r="A513" s="92">
        <v>30626009618</v>
      </c>
      <c r="B513" s="77" t="s">
        <v>602</v>
      </c>
      <c r="C513" s="82" t="s">
        <v>36</v>
      </c>
    </row>
    <row r="514" spans="1:3">
      <c r="A514" s="92">
        <v>30709904872</v>
      </c>
      <c r="B514" s="77" t="s">
        <v>603</v>
      </c>
      <c r="C514" s="82" t="s">
        <v>36</v>
      </c>
    </row>
    <row r="515" spans="1:3">
      <c r="A515" s="92">
        <v>30643922157</v>
      </c>
      <c r="B515" s="77" t="s">
        <v>604</v>
      </c>
      <c r="C515" s="82" t="s">
        <v>36</v>
      </c>
    </row>
    <row r="516" spans="1:3">
      <c r="A516" s="92">
        <v>33717383139</v>
      </c>
      <c r="B516" s="77" t="s">
        <v>605</v>
      </c>
      <c r="C516" s="82" t="s">
        <v>54</v>
      </c>
    </row>
    <row r="517" spans="1:3">
      <c r="A517" s="92">
        <v>30708847247</v>
      </c>
      <c r="B517" s="77" t="s">
        <v>606</v>
      </c>
      <c r="C517" s="82" t="s">
        <v>36</v>
      </c>
    </row>
    <row r="518" spans="1:3">
      <c r="A518" s="92">
        <v>33710271149</v>
      </c>
      <c r="B518" s="77" t="s">
        <v>607</v>
      </c>
      <c r="C518" s="82" t="s">
        <v>54</v>
      </c>
    </row>
    <row r="519" spans="1:3">
      <c r="A519" s="92">
        <v>20396584809</v>
      </c>
      <c r="B519" s="77" t="s">
        <v>609</v>
      </c>
      <c r="C519" s="82" t="s">
        <v>41</v>
      </c>
    </row>
    <row r="520" spans="1:3">
      <c r="A520" s="92">
        <v>30709879258</v>
      </c>
      <c r="B520" s="77" t="s">
        <v>610</v>
      </c>
      <c r="C520" s="82" t="s">
        <v>36</v>
      </c>
    </row>
    <row r="521" spans="1:3">
      <c r="A521" s="92">
        <v>30711296987</v>
      </c>
      <c r="B521" s="77" t="s">
        <v>611</v>
      </c>
      <c r="C521" s="82" t="s">
        <v>54</v>
      </c>
    </row>
    <row r="522" spans="1:3">
      <c r="A522" s="92">
        <v>20392730444</v>
      </c>
      <c r="B522" s="77" t="s">
        <v>608</v>
      </c>
      <c r="C522" s="82" t="s">
        <v>36</v>
      </c>
    </row>
    <row r="523" spans="1:3">
      <c r="A523" s="92">
        <v>30715393251</v>
      </c>
      <c r="B523" s="77" t="s">
        <v>612</v>
      </c>
      <c r="C523" s="82" t="s">
        <v>54</v>
      </c>
    </row>
    <row r="524" spans="1:3">
      <c r="A524" s="92">
        <v>27119878468</v>
      </c>
      <c r="B524" s="77" t="s">
        <v>613</v>
      </c>
      <c r="C524" s="82" t="s">
        <v>41</v>
      </c>
    </row>
    <row r="525" spans="1:3">
      <c r="A525" s="92">
        <v>30715869663</v>
      </c>
      <c r="B525" s="77" t="s">
        <v>614</v>
      </c>
      <c r="C525" s="82" t="s">
        <v>54</v>
      </c>
    </row>
    <row r="526" spans="1:3">
      <c r="A526" s="92">
        <v>20224819049</v>
      </c>
      <c r="B526" s="77" t="s">
        <v>615</v>
      </c>
      <c r="C526" s="82" t="s">
        <v>54</v>
      </c>
    </row>
    <row r="527" spans="1:3">
      <c r="A527" s="92">
        <v>20920321292</v>
      </c>
      <c r="B527" s="77" t="s">
        <v>616</v>
      </c>
      <c r="C527" s="82" t="s">
        <v>54</v>
      </c>
    </row>
    <row r="528" spans="1:3">
      <c r="A528" s="92">
        <v>30526874249</v>
      </c>
      <c r="B528" s="77" t="s">
        <v>617</v>
      </c>
      <c r="C528" s="82" t="s">
        <v>54</v>
      </c>
    </row>
    <row r="529" spans="1:3">
      <c r="A529" s="92">
        <v>20181517957</v>
      </c>
      <c r="B529" s="77" t="s">
        <v>618</v>
      </c>
      <c r="C529" s="82" t="s">
        <v>41</v>
      </c>
    </row>
    <row r="530" spans="1:3">
      <c r="A530" s="92">
        <v>30606274161</v>
      </c>
      <c r="B530" s="77" t="s">
        <v>619</v>
      </c>
      <c r="C530" s="82" t="s">
        <v>80</v>
      </c>
    </row>
    <row r="531" spans="1:3">
      <c r="A531" s="92">
        <v>20426451167</v>
      </c>
      <c r="B531" s="77" t="s">
        <v>620</v>
      </c>
      <c r="C531" s="82" t="s">
        <v>36</v>
      </c>
    </row>
    <row r="532" spans="1:3">
      <c r="A532" s="92">
        <v>23928499804</v>
      </c>
      <c r="B532" s="77" t="s">
        <v>621</v>
      </c>
      <c r="C532" s="82" t="s">
        <v>54</v>
      </c>
    </row>
    <row r="533" spans="1:3">
      <c r="A533" s="92">
        <v>30581106234</v>
      </c>
      <c r="B533" s="77" t="s">
        <v>622</v>
      </c>
      <c r="C533" s="82" t="s">
        <v>36</v>
      </c>
    </row>
    <row r="534" spans="1:3">
      <c r="A534" s="92">
        <v>23324039759</v>
      </c>
      <c r="B534" s="77" t="s">
        <v>623</v>
      </c>
      <c r="C534" s="82" t="s">
        <v>54</v>
      </c>
    </row>
    <row r="535" spans="1:3">
      <c r="A535" s="92">
        <v>33531122599</v>
      </c>
      <c r="B535" s="77" t="s">
        <v>624</v>
      </c>
      <c r="C535" s="82" t="s">
        <v>36</v>
      </c>
    </row>
    <row r="536" spans="1:3">
      <c r="A536" s="92">
        <v>20272865869</v>
      </c>
      <c r="B536" s="77" t="s">
        <v>625</v>
      </c>
      <c r="C536" s="82" t="s">
        <v>41</v>
      </c>
    </row>
    <row r="537" spans="1:3">
      <c r="A537" s="92">
        <v>20259150249</v>
      </c>
      <c r="B537" s="77" t="s">
        <v>626</v>
      </c>
      <c r="C537" s="82" t="s">
        <v>54</v>
      </c>
    </row>
    <row r="538" spans="1:3">
      <c r="A538" s="92">
        <v>30693066022</v>
      </c>
      <c r="B538" s="77" t="s">
        <v>627</v>
      </c>
      <c r="C538" s="82" t="s">
        <v>54</v>
      </c>
    </row>
    <row r="539" spans="1:3">
      <c r="A539" s="92">
        <v>30612099614</v>
      </c>
      <c r="B539" s="77" t="s">
        <v>628</v>
      </c>
      <c r="C539" s="82" t="s">
        <v>80</v>
      </c>
    </row>
    <row r="540" spans="1:3">
      <c r="A540" s="92">
        <v>20410096103</v>
      </c>
      <c r="B540" s="77" t="s">
        <v>629</v>
      </c>
      <c r="C540" s="82" t="s">
        <v>54</v>
      </c>
    </row>
    <row r="541" spans="1:3">
      <c r="A541" s="92">
        <v>30711416656</v>
      </c>
      <c r="B541" s="77" t="s">
        <v>630</v>
      </c>
      <c r="C541" s="82" t="s">
        <v>80</v>
      </c>
    </row>
    <row r="542" spans="1:3">
      <c r="A542" s="92">
        <v>30712529721</v>
      </c>
      <c r="B542" s="77" t="s">
        <v>631</v>
      </c>
      <c r="C542" s="82" t="s">
        <v>80</v>
      </c>
    </row>
    <row r="543" spans="1:3">
      <c r="A543" s="92">
        <v>30707513094</v>
      </c>
      <c r="B543" s="77" t="s">
        <v>632</v>
      </c>
      <c r="C543" s="82" t="s">
        <v>80</v>
      </c>
    </row>
    <row r="544" spans="1:3">
      <c r="A544" s="92">
        <v>30571766287</v>
      </c>
      <c r="B544" s="77" t="s">
        <v>633</v>
      </c>
      <c r="C544" s="82" t="s">
        <v>80</v>
      </c>
    </row>
    <row r="545" spans="1:7">
      <c r="A545" s="92">
        <v>30712136754</v>
      </c>
      <c r="B545" s="77" t="s">
        <v>636</v>
      </c>
      <c r="C545" s="82" t="s">
        <v>80</v>
      </c>
    </row>
    <row r="546" spans="1:7">
      <c r="A546" s="92">
        <v>30636196858</v>
      </c>
      <c r="B546" s="77" t="s">
        <v>638</v>
      </c>
      <c r="C546" s="82" t="s">
        <v>80</v>
      </c>
    </row>
    <row r="547" spans="1:7">
      <c r="A547" s="92">
        <v>30604958640</v>
      </c>
      <c r="B547" s="77" t="s">
        <v>639</v>
      </c>
      <c r="C547" s="82" t="s">
        <v>80</v>
      </c>
    </row>
    <row r="548" spans="1:7">
      <c r="A548" s="92">
        <v>30547339416</v>
      </c>
      <c r="B548" s="77" t="s">
        <v>935</v>
      </c>
      <c r="C548" s="82" t="s">
        <v>80</v>
      </c>
    </row>
    <row r="549" spans="1:7">
      <c r="A549" s="92">
        <v>30716234114</v>
      </c>
      <c r="B549" s="77" t="s">
        <v>937</v>
      </c>
      <c r="C549" s="82" t="s">
        <v>41</v>
      </c>
    </row>
    <row r="550" spans="1:7">
      <c r="A550" s="92">
        <v>33716307749</v>
      </c>
      <c r="B550" s="77" t="s">
        <v>938</v>
      </c>
      <c r="C550" s="82" t="s">
        <v>41</v>
      </c>
    </row>
    <row r="551" spans="1:7">
      <c r="A551" s="92">
        <v>27940269100</v>
      </c>
      <c r="B551" s="77" t="s">
        <v>939</v>
      </c>
      <c r="C551" s="82" t="s">
        <v>54</v>
      </c>
    </row>
    <row r="552" spans="1:7">
      <c r="A552" s="92">
        <v>27243660535</v>
      </c>
      <c r="B552" s="77" t="s">
        <v>721</v>
      </c>
      <c r="C552" s="82" t="s">
        <v>940</v>
      </c>
    </row>
    <row r="553" spans="1:7">
      <c r="A553" s="92">
        <v>30714228060</v>
      </c>
      <c r="B553" s="77" t="s">
        <v>941</v>
      </c>
      <c r="C553" s="82" t="s">
        <v>41</v>
      </c>
    </row>
    <row r="554" spans="1:7">
      <c r="A554" s="92">
        <v>20186310005</v>
      </c>
      <c r="B554" s="77" t="s">
        <v>942</v>
      </c>
      <c r="C554" s="82" t="s">
        <v>54</v>
      </c>
    </row>
    <row r="555" spans="1:7">
      <c r="A555" s="92">
        <v>30711776040</v>
      </c>
      <c r="B555" s="77" t="s">
        <v>943</v>
      </c>
      <c r="C555" s="82" t="s">
        <v>36</v>
      </c>
    </row>
    <row r="556" spans="1:7">
      <c r="A556" s="92">
        <v>20253990903</v>
      </c>
      <c r="B556" s="77" t="s">
        <v>944</v>
      </c>
      <c r="C556" s="82" t="s">
        <v>41</v>
      </c>
    </row>
    <row r="557" spans="1:7">
      <c r="A557" s="92">
        <v>20184052858</v>
      </c>
      <c r="B557" s="77" t="s">
        <v>691</v>
      </c>
      <c r="C557" s="82" t="s">
        <v>54</v>
      </c>
    </row>
    <row r="558" spans="1:7">
      <c r="A558" s="92">
        <v>30677237119</v>
      </c>
      <c r="B558" s="77" t="s">
        <v>670</v>
      </c>
      <c r="C558" s="82" t="s">
        <v>589</v>
      </c>
      <c r="F558" s="299"/>
      <c r="G558" s="300"/>
    </row>
    <row r="559" spans="1:7">
      <c r="A559" s="92">
        <v>30574876474</v>
      </c>
      <c r="B559" s="77" t="s">
        <v>683</v>
      </c>
      <c r="C559" s="82" t="s">
        <v>589</v>
      </c>
      <c r="F559" s="299"/>
      <c r="G559" s="300"/>
    </row>
    <row r="560" spans="1:7">
      <c r="A560" s="92">
        <v>30714112836</v>
      </c>
      <c r="B560" s="77" t="s">
        <v>945</v>
      </c>
      <c r="C560" s="82" t="s">
        <v>589</v>
      </c>
      <c r="F560" s="299"/>
      <c r="G560" s="300"/>
    </row>
    <row r="561" spans="1:7">
      <c r="A561" s="92">
        <v>30677237119</v>
      </c>
      <c r="B561" s="77" t="s">
        <v>670</v>
      </c>
      <c r="C561" s="82" t="s">
        <v>589</v>
      </c>
      <c r="F561" s="299"/>
      <c r="G561" s="300"/>
    </row>
    <row r="562" spans="1:7">
      <c r="A562" s="92">
        <v>30663498513</v>
      </c>
      <c r="B562" s="77" t="s">
        <v>669</v>
      </c>
      <c r="C562" s="82" t="s">
        <v>589</v>
      </c>
      <c r="E562" s="299"/>
      <c r="F562" s="300"/>
      <c r="G562" s="300"/>
    </row>
    <row r="563" spans="1:7">
      <c r="A563" s="92">
        <v>30715804812</v>
      </c>
      <c r="B563" s="77" t="s">
        <v>946</v>
      </c>
      <c r="C563" s="82" t="s">
        <v>589</v>
      </c>
      <c r="F563" s="299"/>
      <c r="G563" s="300"/>
    </row>
    <row r="564" spans="1:7">
      <c r="A564" s="92">
        <v>20278292429</v>
      </c>
      <c r="B564" s="77" t="s">
        <v>947</v>
      </c>
      <c r="C564" s="82" t="s">
        <v>54</v>
      </c>
      <c r="F564" s="299"/>
      <c r="G564" s="300"/>
    </row>
    <row r="565" spans="1:7">
      <c r="A565" s="92">
        <v>30707304886</v>
      </c>
      <c r="B565" s="77" t="s">
        <v>948</v>
      </c>
      <c r="C565" s="82" t="s">
        <v>589</v>
      </c>
      <c r="F565" s="299"/>
      <c r="G565" s="300"/>
    </row>
    <row r="566" spans="1:7">
      <c r="A566" s="92">
        <v>20464199633</v>
      </c>
      <c r="B566" s="77" t="s">
        <v>695</v>
      </c>
      <c r="C566" s="82" t="s">
        <v>41</v>
      </c>
    </row>
    <row r="567" spans="1:7">
      <c r="A567" s="92">
        <v>27179026967</v>
      </c>
      <c r="B567" s="77" t="s">
        <v>949</v>
      </c>
      <c r="C567" s="82" t="s">
        <v>940</v>
      </c>
    </row>
    <row r="568" spans="1:7">
      <c r="A568" s="92"/>
      <c r="B568" s="77"/>
      <c r="C568" s="82"/>
    </row>
    <row r="569" spans="1:7">
      <c r="A569" s="92"/>
      <c r="B569" s="77"/>
      <c r="C569" s="82"/>
    </row>
    <row r="570" spans="1:7">
      <c r="A570" s="92"/>
      <c r="B570" s="77"/>
      <c r="C570" s="82"/>
    </row>
    <row r="571" spans="1:7">
      <c r="A571" s="92"/>
      <c r="B571" s="77"/>
      <c r="C571" s="82"/>
    </row>
    <row r="572" spans="1:7">
      <c r="A572" s="92"/>
      <c r="B572" s="77"/>
      <c r="C572" s="82"/>
    </row>
    <row r="573" spans="1:7">
      <c r="A573" s="92"/>
      <c r="B573" s="77"/>
      <c r="C573" s="82"/>
    </row>
    <row r="574" spans="1:7">
      <c r="A574" s="92"/>
      <c r="B574" s="77"/>
      <c r="C574" s="82"/>
    </row>
    <row r="575" spans="1:7">
      <c r="A575" s="92"/>
      <c r="B575" s="77"/>
      <c r="C575" s="82"/>
    </row>
    <row r="576" spans="1:7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</sheetData>
  <autoFilter ref="A3:C540"/>
  <sortState ref="A5:C508">
    <sortCondition ref="B5:B508"/>
  </sortState>
  <conditionalFormatting sqref="A10">
    <cfRule type="expression" dxfId="58" priority="83" stopIfTrue="1">
      <formula>AB10="ERROR CUIT"</formula>
    </cfRule>
  </conditionalFormatting>
  <conditionalFormatting sqref="A55 A62">
    <cfRule type="expression" dxfId="57" priority="82" stopIfTrue="1">
      <formula>Y55="ERROR CUIT"</formula>
    </cfRule>
  </conditionalFormatting>
  <conditionalFormatting sqref="A57">
    <cfRule type="expression" dxfId="56" priority="81" stopIfTrue="1">
      <formula>Y57="ERROR CUIT"</formula>
    </cfRule>
  </conditionalFormatting>
  <conditionalFormatting sqref="A58">
    <cfRule type="expression" dxfId="55" priority="80" stopIfTrue="1">
      <formula>Y58="ERROR CUIT"</formula>
    </cfRule>
  </conditionalFormatting>
  <conditionalFormatting sqref="A92">
    <cfRule type="expression" dxfId="54" priority="79" stopIfTrue="1">
      <formula>AB92="ERROR CUIT"</formula>
    </cfRule>
  </conditionalFormatting>
  <conditionalFormatting sqref="A93">
    <cfRule type="expression" dxfId="53" priority="78" stopIfTrue="1">
      <formula>AB93="ERROR CUIT"</formula>
    </cfRule>
  </conditionalFormatting>
  <conditionalFormatting sqref="A94">
    <cfRule type="expression" dxfId="52" priority="77" stopIfTrue="1">
      <formula>AB94="ERROR CUIT"</formula>
    </cfRule>
  </conditionalFormatting>
  <conditionalFormatting sqref="A95">
    <cfRule type="expression" dxfId="51" priority="76" stopIfTrue="1">
      <formula>AB95="ERROR CUIT"</formula>
    </cfRule>
  </conditionalFormatting>
  <conditionalFormatting sqref="A76">
    <cfRule type="expression" dxfId="50" priority="75" stopIfTrue="1">
      <formula>AB76="ERROR CUIT"</formula>
    </cfRule>
  </conditionalFormatting>
  <conditionalFormatting sqref="A77">
    <cfRule type="expression" dxfId="49" priority="74" stopIfTrue="1">
      <formula>AB77="ERROR CUIT"</formula>
    </cfRule>
  </conditionalFormatting>
  <conditionalFormatting sqref="A79">
    <cfRule type="expression" dxfId="48" priority="73" stopIfTrue="1">
      <formula>AB79="ERROR CUIT"</formula>
    </cfRule>
  </conditionalFormatting>
  <conditionalFormatting sqref="A89">
    <cfRule type="expression" dxfId="47" priority="72" stopIfTrue="1">
      <formula>AB89="ERROR CUIT"</formula>
    </cfRule>
  </conditionalFormatting>
  <conditionalFormatting sqref="A81">
    <cfRule type="expression" dxfId="46" priority="71" stopIfTrue="1">
      <formula>AB81="ERROR CUIT"</formula>
    </cfRule>
  </conditionalFormatting>
  <conditionalFormatting sqref="A82">
    <cfRule type="expression" dxfId="45" priority="70" stopIfTrue="1">
      <formula>AB82="ERROR CUIT"</formula>
    </cfRule>
  </conditionalFormatting>
  <conditionalFormatting sqref="A83">
    <cfRule type="expression" dxfId="44" priority="69" stopIfTrue="1">
      <formula>AB83="ERROR CUIT"</formula>
    </cfRule>
  </conditionalFormatting>
  <conditionalFormatting sqref="A84">
    <cfRule type="expression" dxfId="43" priority="68" stopIfTrue="1">
      <formula>AB84="ERROR CUIT"</formula>
    </cfRule>
  </conditionalFormatting>
  <conditionalFormatting sqref="A85">
    <cfRule type="expression" dxfId="42" priority="67" stopIfTrue="1">
      <formula>AB85="ERROR CUIT"</formula>
    </cfRule>
  </conditionalFormatting>
  <conditionalFormatting sqref="A86">
    <cfRule type="expression" dxfId="41" priority="66" stopIfTrue="1">
      <formula>AB86="ERROR CUIT"</formula>
    </cfRule>
  </conditionalFormatting>
  <conditionalFormatting sqref="A87">
    <cfRule type="expression" dxfId="40" priority="65" stopIfTrue="1">
      <formula>AB87="ERROR CUIT"</formula>
    </cfRule>
  </conditionalFormatting>
  <conditionalFormatting sqref="A88">
    <cfRule type="expression" dxfId="39" priority="64" stopIfTrue="1">
      <formula>AB88="ERROR CUIT"</formula>
    </cfRule>
  </conditionalFormatting>
  <conditionalFormatting sqref="A107">
    <cfRule type="expression" dxfId="38" priority="63" stopIfTrue="1">
      <formula>AB107="ERROR CUIT"</formula>
    </cfRule>
  </conditionalFormatting>
  <conditionalFormatting sqref="A80 A119">
    <cfRule type="expression" dxfId="37" priority="57" stopIfTrue="1">
      <formula>AC80="ERROR CUIT"</formula>
    </cfRule>
  </conditionalFormatting>
  <conditionalFormatting sqref="A12">
    <cfRule type="expression" dxfId="36" priority="56" stopIfTrue="1">
      <formula>AC12="ERROR CUIT"</formula>
    </cfRule>
  </conditionalFormatting>
  <conditionalFormatting sqref="A13">
    <cfRule type="expression" dxfId="35" priority="55" stopIfTrue="1">
      <formula>AC13="ERROR CUIT"</formula>
    </cfRule>
  </conditionalFormatting>
  <conditionalFormatting sqref="A21">
    <cfRule type="expression" dxfId="34" priority="54" stopIfTrue="1">
      <formula>AC21="ERROR CUIT"</formula>
    </cfRule>
  </conditionalFormatting>
  <conditionalFormatting sqref="A22">
    <cfRule type="expression" dxfId="33" priority="53" stopIfTrue="1">
      <formula>AC22="ERROR CUIT"</formula>
    </cfRule>
  </conditionalFormatting>
  <conditionalFormatting sqref="A23">
    <cfRule type="expression" dxfId="32" priority="52" stopIfTrue="1">
      <formula>AC23="ERROR CUIT"</formula>
    </cfRule>
  </conditionalFormatting>
  <conditionalFormatting sqref="A24">
    <cfRule type="expression" dxfId="31" priority="51" stopIfTrue="1">
      <formula>AC24="ERROR CUIT"</formula>
    </cfRule>
  </conditionalFormatting>
  <conditionalFormatting sqref="A15">
    <cfRule type="expression" dxfId="30" priority="50" stopIfTrue="1">
      <formula>AG26="ERROR CUIT"</formula>
    </cfRule>
  </conditionalFormatting>
  <conditionalFormatting sqref="A16">
    <cfRule type="expression" dxfId="29" priority="49" stopIfTrue="1">
      <formula>AC16="ERROR CUIT"</formula>
    </cfRule>
  </conditionalFormatting>
  <conditionalFormatting sqref="A17">
    <cfRule type="expression" dxfId="28" priority="48" stopIfTrue="1">
      <formula>AC17="ERROR CUIT"</formula>
    </cfRule>
  </conditionalFormatting>
  <conditionalFormatting sqref="A18">
    <cfRule type="expression" dxfId="27" priority="47" stopIfTrue="1">
      <formula>AC18="ERROR CUIT"</formula>
    </cfRule>
  </conditionalFormatting>
  <conditionalFormatting sqref="A19">
    <cfRule type="expression" dxfId="26" priority="46" stopIfTrue="1">
      <formula>AC19="ERROR CUIT"</formula>
    </cfRule>
  </conditionalFormatting>
  <conditionalFormatting sqref="A123">
    <cfRule type="expression" dxfId="25" priority="39" stopIfTrue="1">
      <formula>AC121="ERROR CUIT"</formula>
    </cfRule>
  </conditionalFormatting>
  <conditionalFormatting sqref="A124">
    <cfRule type="expression" dxfId="24" priority="38" stopIfTrue="1">
      <formula>AC122="ERROR CUIT"</formula>
    </cfRule>
  </conditionalFormatting>
  <conditionalFormatting sqref="A125">
    <cfRule type="expression" dxfId="23" priority="37" stopIfTrue="1">
      <formula>AC123="ERROR CUIT"</formula>
    </cfRule>
  </conditionalFormatting>
  <conditionalFormatting sqref="A27">
    <cfRule type="expression" dxfId="22" priority="25" stopIfTrue="1">
      <formula>AC27="ERROR CUIT"</formula>
    </cfRule>
  </conditionalFormatting>
  <conditionalFormatting sqref="A75">
    <cfRule type="expression" dxfId="21" priority="24" stopIfTrue="1">
      <formula>AC75="ERROR CUIT"</formula>
    </cfRule>
  </conditionalFormatting>
  <conditionalFormatting sqref="A110">
    <cfRule type="expression" dxfId="20" priority="19" stopIfTrue="1">
      <formula>AC110="ERROR CUIT"</formula>
    </cfRule>
  </conditionalFormatting>
  <conditionalFormatting sqref="A110">
    <cfRule type="expression" dxfId="19" priority="18" stopIfTrue="1">
      <formula>AC110="ERROR CUIT"</formula>
    </cfRule>
  </conditionalFormatting>
  <conditionalFormatting sqref="A111">
    <cfRule type="expression" dxfId="18" priority="17" stopIfTrue="1">
      <formula>AC111="ERROR CUIT"</formula>
    </cfRule>
  </conditionalFormatting>
  <conditionalFormatting sqref="A112">
    <cfRule type="expression" dxfId="17" priority="16" stopIfTrue="1">
      <formula>AC112="ERROR CUIT"</formula>
    </cfRule>
  </conditionalFormatting>
  <conditionalFormatting sqref="A113">
    <cfRule type="expression" dxfId="16" priority="15" stopIfTrue="1">
      <formula>AC113="ERROR CUIT"</formula>
    </cfRule>
  </conditionalFormatting>
  <conditionalFormatting sqref="A114">
    <cfRule type="expression" dxfId="15" priority="14" stopIfTrue="1">
      <formula>AC114="ERROR CUIT"</formula>
    </cfRule>
  </conditionalFormatting>
  <conditionalFormatting sqref="A115">
    <cfRule type="expression" dxfId="14" priority="13" stopIfTrue="1">
      <formula>AC115="ERROR CUIT"</formula>
    </cfRule>
  </conditionalFormatting>
  <conditionalFormatting sqref="A116">
    <cfRule type="expression" dxfId="13" priority="12" stopIfTrue="1">
      <formula>AC116="ERROR CUIT"</formula>
    </cfRule>
  </conditionalFormatting>
  <conditionalFormatting sqref="A117">
    <cfRule type="expression" dxfId="12" priority="11" stopIfTrue="1">
      <formula>AC117="ERROR CUIT"</formula>
    </cfRule>
  </conditionalFormatting>
  <conditionalFormatting sqref="A118">
    <cfRule type="expression" dxfId="11" priority="10" stopIfTrue="1">
      <formula>AC118="ERROR CUIT"</formula>
    </cfRule>
  </conditionalFormatting>
  <conditionalFormatting sqref="A118">
    <cfRule type="expression" dxfId="10" priority="9" stopIfTrue="1">
      <formula>AC118="ERROR CUIT"</formula>
    </cfRule>
  </conditionalFormatting>
  <conditionalFormatting sqref="A59">
    <cfRule type="expression" dxfId="9" priority="8" stopIfTrue="1">
      <formula>Z59="ERROR CUIT"</formula>
    </cfRule>
  </conditionalFormatting>
  <conditionalFormatting sqref="A60">
    <cfRule type="expression" dxfId="8" priority="7" stopIfTrue="1">
      <formula>Z60="ERROR CUIT"</formula>
    </cfRule>
  </conditionalFormatting>
  <conditionalFormatting sqref="A61">
    <cfRule type="expression" dxfId="7" priority="6" stopIfTrue="1">
      <formula>Z61="ERROR CUIT"</formula>
    </cfRule>
  </conditionalFormatting>
  <conditionalFormatting sqref="A63">
    <cfRule type="expression" dxfId="6" priority="5" stopIfTrue="1">
      <formula>Z63="ERROR CUIT"</formula>
    </cfRule>
  </conditionalFormatting>
  <conditionalFormatting sqref="A64">
    <cfRule type="expression" dxfId="5" priority="4" stopIfTrue="1">
      <formula>AC64="ERROR CUIT"</formula>
    </cfRule>
  </conditionalFormatting>
  <conditionalFormatting sqref="A65">
    <cfRule type="expression" dxfId="4" priority="3" stopIfTrue="1">
      <formula>AC65="ERROR CUIT"</formula>
    </cfRule>
  </conditionalFormatting>
  <conditionalFormatting sqref="A120">
    <cfRule type="expression" dxfId="3" priority="2" stopIfTrue="1">
      <formula>AC120="ERROR CUIT"</formula>
    </cfRule>
  </conditionalFormatting>
  <conditionalFormatting sqref="A121">
    <cfRule type="expression" dxfId="2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6"/>
  <sheetViews>
    <sheetView tabSelected="1" topLeftCell="A52" zoomScale="80" zoomScaleNormal="80" workbookViewId="0">
      <selection activeCell="D77" sqref="D77"/>
    </sheetView>
  </sheetViews>
  <sheetFormatPr baseColWidth="10" defaultColWidth="9.140625" defaultRowHeight="15"/>
  <cols>
    <col min="1" max="1" width="13.7109375" style="58" customWidth="1"/>
    <col min="2" max="2" width="10" style="7" customWidth="1"/>
    <col min="3" max="3" width="14.28515625" style="7" customWidth="1"/>
    <col min="4" max="4" width="14.7109375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2.28515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20" t="s">
        <v>28</v>
      </c>
      <c r="B1" s="320"/>
      <c r="C1" s="320"/>
      <c r="D1" s="320"/>
      <c r="E1" s="320"/>
      <c r="F1" s="320"/>
      <c r="G1" s="320"/>
      <c r="H1" s="320"/>
      <c r="I1" s="320"/>
      <c r="J1" s="321">
        <v>45566</v>
      </c>
      <c r="K1" s="321"/>
      <c r="L1" s="321"/>
      <c r="M1" s="321"/>
      <c r="N1" s="321"/>
    </row>
    <row r="2" spans="1:16" ht="18.75">
      <c r="A2" s="57"/>
      <c r="B2" s="9"/>
      <c r="C2" s="9"/>
      <c r="D2" s="35"/>
      <c r="E2" s="212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322" t="s">
        <v>6</v>
      </c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4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317" t="s">
        <v>20</v>
      </c>
      <c r="B6" s="318"/>
      <c r="C6" s="319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0">
        <v>45574</v>
      </c>
      <c r="B8" s="21">
        <v>6</v>
      </c>
      <c r="C8" s="202">
        <v>1658</v>
      </c>
      <c r="D8" s="204">
        <v>30716815710</v>
      </c>
      <c r="E8" s="203" t="str">
        <f>VLOOKUP(D8,Configuracion!$A$4:$C$590,2,FALSE)</f>
        <v>PAPELERA GEOPEL SRL</v>
      </c>
      <c r="F8" s="207">
        <v>15700</v>
      </c>
      <c r="G8" s="50">
        <f t="shared" ref="G8:G113" si="0">F8*21%</f>
        <v>3297</v>
      </c>
      <c r="H8" s="50"/>
      <c r="I8" s="50"/>
      <c r="J8" s="50"/>
      <c r="K8" s="220"/>
      <c r="L8" s="50"/>
      <c r="M8" s="225"/>
      <c r="N8" s="50"/>
      <c r="O8" s="205">
        <f t="shared" ref="O8:O113" si="1">SUM(F8:N8)</f>
        <v>18997</v>
      </c>
      <c r="P8" s="210" t="str">
        <f>VLOOKUP(D8,Configuracion!$A$4:$C$590,3,FALSE)</f>
        <v>LIBRERÍA</v>
      </c>
    </row>
    <row r="9" spans="1:16" ht="15" customHeight="1">
      <c r="A9" s="200">
        <v>45568</v>
      </c>
      <c r="B9" s="21">
        <v>6</v>
      </c>
      <c r="C9" s="202">
        <v>19623</v>
      </c>
      <c r="D9" s="204">
        <v>33715594949</v>
      </c>
      <c r="E9" s="203" t="str">
        <f>VLOOKUP(D9,Configuracion!$A$4:$C$590,2,FALSE)</f>
        <v>SOMOS ENERGIA SA</v>
      </c>
      <c r="F9" s="207">
        <v>90860.71</v>
      </c>
      <c r="G9" s="50">
        <f t="shared" si="0"/>
        <v>19080.749100000001</v>
      </c>
      <c r="H9" s="50"/>
      <c r="I9" s="50"/>
      <c r="J9" s="50"/>
      <c r="K9" s="220"/>
      <c r="L9" s="50"/>
      <c r="M9" s="225"/>
      <c r="N9" s="50">
        <v>7268.6</v>
      </c>
      <c r="O9" s="205">
        <f t="shared" si="1"/>
        <v>117210.05910000001</v>
      </c>
      <c r="P9" s="210" t="str">
        <f>VLOOKUP(D9,Configuracion!$A$4:$C$590,3,FALSE)</f>
        <v>GASTOS VARIOS</v>
      </c>
    </row>
    <row r="10" spans="1:16" ht="15" customHeight="1">
      <c r="A10" s="351">
        <v>45596</v>
      </c>
      <c r="B10" s="352">
        <v>1002</v>
      </c>
      <c r="C10" s="353">
        <v>20230</v>
      </c>
      <c r="D10" s="354">
        <v>30712289046</v>
      </c>
      <c r="E10" s="355" t="str">
        <f>VLOOKUP(D10,Configuracion!$A$4:$C$590,2,FALSE)</f>
        <v>IMPIERI, PIÑEIRO, RIZZO Y A SA</v>
      </c>
      <c r="F10" s="356">
        <v>45017.3</v>
      </c>
      <c r="G10" s="357">
        <f t="shared" ref="G10:G112" si="2">F10*21%</f>
        <v>9453.6329999999998</v>
      </c>
      <c r="H10" s="50"/>
      <c r="I10" s="50"/>
      <c r="J10" s="50"/>
      <c r="K10" s="220"/>
      <c r="L10" s="50"/>
      <c r="M10" s="225">
        <v>5529.01</v>
      </c>
      <c r="N10" s="50"/>
      <c r="O10" s="205">
        <f t="shared" ref="O10:O112" si="3">SUM(F10:N10)</f>
        <v>59999.943000000007</v>
      </c>
      <c r="P10" s="210" t="str">
        <f>VLOOKUP(D10,Configuracion!$A$4:$C$590,3,FALSE)</f>
        <v>VARIOS</v>
      </c>
    </row>
    <row r="11" spans="1:16" s="361" customFormat="1" ht="15" customHeight="1">
      <c r="A11" s="351">
        <v>45593</v>
      </c>
      <c r="B11" s="352">
        <v>591</v>
      </c>
      <c r="C11" s="353">
        <v>3828</v>
      </c>
      <c r="D11" s="354">
        <v>30590360763</v>
      </c>
      <c r="E11" s="355" t="str">
        <f>VLOOKUP(D11,Configuracion!$A$4:$C$590,2,FALSE)</f>
        <v>CENCOSUD S.A.</v>
      </c>
      <c r="F11" s="356">
        <v>51727.69</v>
      </c>
      <c r="G11" s="357">
        <f t="shared" si="2"/>
        <v>10862.814899999999</v>
      </c>
      <c r="H11" s="357"/>
      <c r="I11" s="357"/>
      <c r="J11" s="357">
        <v>1551.83</v>
      </c>
      <c r="K11" s="358">
        <v>2586.38</v>
      </c>
      <c r="L11" s="357"/>
      <c r="M11" s="357"/>
      <c r="N11" s="357"/>
      <c r="O11" s="359">
        <f t="shared" si="3"/>
        <v>66728.714900000006</v>
      </c>
      <c r="P11" s="360" t="str">
        <f>VLOOKUP(D11,Configuracion!$A$4:$C$590,3,FALSE)</f>
        <v>VARIOS</v>
      </c>
    </row>
    <row r="12" spans="1:16" ht="15" customHeight="1">
      <c r="A12" s="200">
        <v>45595</v>
      </c>
      <c r="B12" s="21">
        <v>13</v>
      </c>
      <c r="C12" s="202">
        <v>1869</v>
      </c>
      <c r="D12" s="204">
        <v>33709914109</v>
      </c>
      <c r="E12" s="203" t="str">
        <f>VLOOKUP(D12,Configuracion!$A$4:$C$590,2,FALSE)</f>
        <v>ALAN COLLECTION SA</v>
      </c>
      <c r="F12" s="207">
        <v>19008.259999999998</v>
      </c>
      <c r="G12" s="50">
        <f t="shared" si="2"/>
        <v>3991.7345999999993</v>
      </c>
      <c r="H12" s="50"/>
      <c r="I12" s="50"/>
      <c r="J12" s="50"/>
      <c r="K12" s="220"/>
      <c r="L12" s="50"/>
      <c r="M12" s="225"/>
      <c r="N12" s="50"/>
      <c r="O12" s="205">
        <f t="shared" si="3"/>
        <v>22999.994599999998</v>
      </c>
      <c r="P12" s="210" t="str">
        <f>VLOOKUP(D12,Configuracion!$A$4:$C$590,3,FALSE)</f>
        <v>VARIOS</v>
      </c>
    </row>
    <row r="13" spans="1:16" ht="15" customHeight="1">
      <c r="A13" s="200">
        <v>45574</v>
      </c>
      <c r="B13" s="21">
        <v>6</v>
      </c>
      <c r="C13" s="202">
        <v>19699</v>
      </c>
      <c r="D13" s="204">
        <v>33715594949</v>
      </c>
      <c r="E13" s="203" t="str">
        <f>VLOOKUP(D13,Configuracion!$A$4:$C$590,2,FALSE)</f>
        <v>SOMOS ENERGIA SA</v>
      </c>
      <c r="F13" s="207">
        <v>77387.460000000006</v>
      </c>
      <c r="G13" s="50">
        <f t="shared" si="2"/>
        <v>16251.366600000001</v>
      </c>
      <c r="H13" s="50"/>
      <c r="I13" s="50"/>
      <c r="J13" s="50"/>
      <c r="K13" s="220"/>
      <c r="L13" s="50"/>
      <c r="M13" s="225"/>
      <c r="N13" s="50">
        <v>6354.13</v>
      </c>
      <c r="O13" s="205">
        <f t="shared" si="3"/>
        <v>99992.956600000005</v>
      </c>
      <c r="P13" s="210" t="str">
        <f>VLOOKUP(D13,Configuracion!$A$4:$C$590,3,FALSE)</f>
        <v>GASTOS VARIOS</v>
      </c>
    </row>
    <row r="14" spans="1:16" ht="15" customHeight="1">
      <c r="A14" s="200">
        <v>45578</v>
      </c>
      <c r="B14" s="21">
        <v>8</v>
      </c>
      <c r="C14" s="202">
        <v>12982</v>
      </c>
      <c r="D14" s="204">
        <v>33715594949</v>
      </c>
      <c r="E14" s="203" t="str">
        <f>VLOOKUP(D14,Configuracion!$A$4:$C$590,2,FALSE)</f>
        <v>SOMOS ENERGIA SA</v>
      </c>
      <c r="F14" s="207">
        <v>23224.02</v>
      </c>
      <c r="G14" s="50">
        <f t="shared" si="2"/>
        <v>4877.0442000000003</v>
      </c>
      <c r="H14" s="50"/>
      <c r="I14" s="50"/>
      <c r="J14" s="50"/>
      <c r="K14" s="220"/>
      <c r="L14" s="50"/>
      <c r="M14" s="225"/>
      <c r="N14" s="50">
        <v>1906.88</v>
      </c>
      <c r="O14" s="205">
        <f t="shared" si="3"/>
        <v>30007.944200000002</v>
      </c>
      <c r="P14" s="210" t="str">
        <f>VLOOKUP(D14,Configuracion!$A$4:$C$590,3,FALSE)</f>
        <v>GASTOS VARIOS</v>
      </c>
    </row>
    <row r="15" spans="1:16" ht="15" customHeight="1">
      <c r="A15" s="200">
        <v>45594</v>
      </c>
      <c r="B15" s="21">
        <v>8</v>
      </c>
      <c r="C15" s="202">
        <v>13145</v>
      </c>
      <c r="D15" s="204">
        <v>33715594949</v>
      </c>
      <c r="E15" s="203" t="str">
        <f>VLOOKUP(D15,Configuracion!$A$4:$C$590,2,FALSE)</f>
        <v>SOMOS ENERGIA SA</v>
      </c>
      <c r="F15" s="207">
        <v>59005.120000000003</v>
      </c>
      <c r="G15" s="50">
        <f t="shared" si="2"/>
        <v>12391.075199999999</v>
      </c>
      <c r="H15" s="50"/>
      <c r="I15" s="50"/>
      <c r="J15" s="50"/>
      <c r="K15" s="220"/>
      <c r="L15" s="50"/>
      <c r="M15" s="225"/>
      <c r="N15" s="50">
        <v>4844.8</v>
      </c>
      <c r="O15" s="205">
        <f t="shared" si="3"/>
        <v>76240.995200000005</v>
      </c>
      <c r="P15" s="210" t="str">
        <f>VLOOKUP(D15,Configuracion!$A$4:$C$590,3,FALSE)</f>
        <v>GASTOS VARIOS</v>
      </c>
    </row>
    <row r="16" spans="1:16" ht="15" customHeight="1">
      <c r="A16" s="200">
        <v>45588</v>
      </c>
      <c r="B16" s="21">
        <v>11</v>
      </c>
      <c r="C16" s="202">
        <v>12631</v>
      </c>
      <c r="D16" s="204">
        <v>30705740670</v>
      </c>
      <c r="E16" s="203" t="str">
        <f>VLOOKUP(D16,Configuracion!$A$4:$C$590,2,FALSE)</f>
        <v>MAVISUR SA</v>
      </c>
      <c r="F16" s="207">
        <v>51347.06</v>
      </c>
      <c r="G16" s="50">
        <f t="shared" si="2"/>
        <v>10782.882599999999</v>
      </c>
      <c r="H16" s="50"/>
      <c r="I16" s="50"/>
      <c r="J16" s="50"/>
      <c r="K16" s="220"/>
      <c r="L16" s="50"/>
      <c r="M16" s="225"/>
      <c r="N16" s="50">
        <v>6872.06</v>
      </c>
      <c r="O16" s="205">
        <f t="shared" si="3"/>
        <v>69002.002599999993</v>
      </c>
      <c r="P16" s="210" t="str">
        <f>VLOOKUP(D16,Configuracion!$A$4:$C$590,3,FALSE)</f>
        <v>VARIOS</v>
      </c>
    </row>
    <row r="17" spans="1:16" ht="15" customHeight="1">
      <c r="A17" s="200">
        <v>45581</v>
      </c>
      <c r="B17" s="21">
        <v>15</v>
      </c>
      <c r="C17" s="202">
        <v>38379</v>
      </c>
      <c r="D17" s="204">
        <v>30685116657</v>
      </c>
      <c r="E17" s="203" t="str">
        <f>VLOOKUP(D17,Configuracion!$A$4:$C$590,2,FALSE)</f>
        <v>MIRVAR SA</v>
      </c>
      <c r="F17" s="207">
        <v>48501.78</v>
      </c>
      <c r="G17" s="50">
        <f t="shared" si="2"/>
        <v>10185.373799999999</v>
      </c>
      <c r="H17" s="50"/>
      <c r="I17" s="50"/>
      <c r="J17" s="50"/>
      <c r="K17" s="220"/>
      <c r="L17" s="50"/>
      <c r="M17" s="225"/>
      <c r="N17" s="50">
        <v>5318.06</v>
      </c>
      <c r="O17" s="205">
        <f t="shared" si="3"/>
        <v>64005.213799999998</v>
      </c>
      <c r="P17" s="210" t="str">
        <f>VLOOKUP(D17,Configuracion!$A$4:$C$590,3,FALSE)</f>
        <v>VARIOS</v>
      </c>
    </row>
    <row r="18" spans="1:16" ht="15" customHeight="1">
      <c r="A18" s="200">
        <v>45586</v>
      </c>
      <c r="B18" s="21">
        <v>6</v>
      </c>
      <c r="C18" s="202">
        <v>19833</v>
      </c>
      <c r="D18" s="204">
        <v>33715594949</v>
      </c>
      <c r="E18" s="203" t="str">
        <f>VLOOKUP(D18,Configuracion!$A$4:$C$590,2,FALSE)</f>
        <v>SOMOS ENERGIA SA</v>
      </c>
      <c r="F18" s="207">
        <v>46435.8</v>
      </c>
      <c r="G18" s="50">
        <f t="shared" si="2"/>
        <v>9751.518</v>
      </c>
      <c r="H18" s="50"/>
      <c r="I18" s="50"/>
      <c r="J18" s="50"/>
      <c r="K18" s="220"/>
      <c r="L18" s="50"/>
      <c r="M18" s="225"/>
      <c r="N18" s="50">
        <v>3812.75</v>
      </c>
      <c r="O18" s="205">
        <f t="shared" si="3"/>
        <v>60000.067999999999</v>
      </c>
      <c r="P18" s="210" t="str">
        <f>VLOOKUP(D18,Configuracion!$A$4:$C$590,3,FALSE)</f>
        <v>GASTOS VARIOS</v>
      </c>
    </row>
    <row r="19" spans="1:16" s="361" customFormat="1" ht="15" customHeight="1">
      <c r="A19" s="351">
        <v>45595</v>
      </c>
      <c r="B19" s="352">
        <v>1002</v>
      </c>
      <c r="C19" s="353">
        <v>20187</v>
      </c>
      <c r="D19" s="354">
        <v>30712289046</v>
      </c>
      <c r="E19" s="355" t="str">
        <f>VLOOKUP(D19,Configuracion!$A$4:$C$590,2,FALSE)</f>
        <v>IMPIERI, PIÑEIRO, RIZZO Y A SA</v>
      </c>
      <c r="F19" s="356">
        <v>30011.57</v>
      </c>
      <c r="G19" s="357">
        <f t="shared" si="2"/>
        <v>6302.4296999999997</v>
      </c>
      <c r="H19" s="357"/>
      <c r="I19" s="357"/>
      <c r="J19" s="357"/>
      <c r="K19" s="358">
        <v>3686.01</v>
      </c>
      <c r="L19" s="357"/>
      <c r="M19" s="357"/>
      <c r="N19" s="357"/>
      <c r="O19" s="359">
        <f t="shared" si="3"/>
        <v>40000.009700000002</v>
      </c>
      <c r="P19" s="360" t="str">
        <f>VLOOKUP(D19,Configuracion!$A$4:$C$590,3,FALSE)</f>
        <v>VARIOS</v>
      </c>
    </row>
    <row r="20" spans="1:16" s="361" customFormat="1" ht="15" customHeight="1">
      <c r="A20" s="351">
        <v>45589</v>
      </c>
      <c r="B20" s="352">
        <v>2</v>
      </c>
      <c r="C20" s="353">
        <v>876</v>
      </c>
      <c r="D20" s="354">
        <v>20272865869</v>
      </c>
      <c r="E20" s="355" t="str">
        <f>VLOOKUP(D20,Configuracion!$A$4:$C$590,2,FALSE)</f>
        <v>DI FEO MARTIN EZEQUIEL</v>
      </c>
      <c r="F20" s="356">
        <v>133850</v>
      </c>
      <c r="G20" s="357">
        <f t="shared" si="2"/>
        <v>28108.5</v>
      </c>
      <c r="H20" s="357"/>
      <c r="I20" s="357"/>
      <c r="J20" s="357"/>
      <c r="K20" s="358"/>
      <c r="L20" s="357"/>
      <c r="M20" s="357"/>
      <c r="N20" s="357"/>
      <c r="O20" s="359">
        <f t="shared" si="3"/>
        <v>161958.5</v>
      </c>
      <c r="P20" s="360" t="str">
        <f>VLOOKUP(D20,Configuracion!$A$4:$C$590,3,FALSE)</f>
        <v>PROVEEDOR</v>
      </c>
    </row>
    <row r="21" spans="1:16" s="361" customFormat="1" ht="15" customHeight="1">
      <c r="A21" s="351">
        <v>45582</v>
      </c>
      <c r="B21" s="352">
        <v>2</v>
      </c>
      <c r="C21" s="353">
        <v>850</v>
      </c>
      <c r="D21" s="354">
        <v>20272865869</v>
      </c>
      <c r="E21" s="355" t="str">
        <f>VLOOKUP(D21,Configuracion!$A$4:$C$590,2,FALSE)</f>
        <v>DI FEO MARTIN EZEQUIEL</v>
      </c>
      <c r="F21" s="356">
        <v>106750</v>
      </c>
      <c r="G21" s="357">
        <f t="shared" ref="G21:G84" si="4">F21*21%</f>
        <v>22417.5</v>
      </c>
      <c r="H21" s="357"/>
      <c r="I21" s="357"/>
      <c r="J21" s="357"/>
      <c r="K21" s="358"/>
      <c r="L21" s="357"/>
      <c r="M21" s="357"/>
      <c r="N21" s="357"/>
      <c r="O21" s="359">
        <f t="shared" ref="O21:O84" si="5">SUM(F21:N21)</f>
        <v>129167.5</v>
      </c>
      <c r="P21" s="360" t="str">
        <f>VLOOKUP(D21,Configuracion!$A$4:$C$590,3,FALSE)</f>
        <v>PROVEEDOR</v>
      </c>
    </row>
    <row r="22" spans="1:16" s="361" customFormat="1" ht="15" customHeight="1">
      <c r="A22" s="351">
        <v>45582</v>
      </c>
      <c r="B22" s="352">
        <v>2</v>
      </c>
      <c r="C22" s="353">
        <v>845</v>
      </c>
      <c r="D22" s="354">
        <v>20272865869</v>
      </c>
      <c r="E22" s="355" t="str">
        <f>VLOOKUP(D22,Configuracion!$A$4:$C$590,2,FALSE)</f>
        <v>DI FEO MARTIN EZEQUIEL</v>
      </c>
      <c r="F22" s="356">
        <v>109000</v>
      </c>
      <c r="G22" s="357">
        <f t="shared" si="4"/>
        <v>22890</v>
      </c>
      <c r="H22" s="357"/>
      <c r="I22" s="357"/>
      <c r="J22" s="357"/>
      <c r="K22" s="358"/>
      <c r="L22" s="357"/>
      <c r="M22" s="357"/>
      <c r="N22" s="357"/>
      <c r="O22" s="359">
        <f t="shared" si="5"/>
        <v>131890</v>
      </c>
      <c r="P22" s="360" t="str">
        <f>VLOOKUP(D22,Configuracion!$A$4:$C$590,3,FALSE)</f>
        <v>PROVEEDOR</v>
      </c>
    </row>
    <row r="23" spans="1:16" s="361" customFormat="1" ht="15" customHeight="1">
      <c r="A23" s="351">
        <v>45568</v>
      </c>
      <c r="B23" s="352">
        <v>2</v>
      </c>
      <c r="C23" s="353">
        <v>833</v>
      </c>
      <c r="D23" s="354">
        <v>20272865869</v>
      </c>
      <c r="E23" s="355" t="str">
        <f>VLOOKUP(D23,Configuracion!$A$4:$C$590,2,FALSE)</f>
        <v>DI FEO MARTIN EZEQUIEL</v>
      </c>
      <c r="F23" s="356">
        <v>145500</v>
      </c>
      <c r="G23" s="357">
        <f t="shared" si="4"/>
        <v>30555</v>
      </c>
      <c r="H23" s="357"/>
      <c r="I23" s="357"/>
      <c r="J23" s="357"/>
      <c r="K23" s="358"/>
      <c r="L23" s="357"/>
      <c r="M23" s="357"/>
      <c r="N23" s="357"/>
      <c r="O23" s="359">
        <f t="shared" si="5"/>
        <v>176055</v>
      </c>
      <c r="P23" s="360" t="str">
        <f>VLOOKUP(D23,Configuracion!$A$4:$C$590,3,FALSE)</f>
        <v>PROVEEDOR</v>
      </c>
    </row>
    <row r="24" spans="1:16" s="361" customFormat="1" ht="15" customHeight="1">
      <c r="A24" s="351">
        <v>45575</v>
      </c>
      <c r="B24" s="352">
        <v>1</v>
      </c>
      <c r="C24" s="353">
        <v>5011</v>
      </c>
      <c r="D24" s="354">
        <v>30715141201</v>
      </c>
      <c r="E24" s="355" t="str">
        <f>VLOOKUP(D24,Configuracion!$A$4:$C$590,2,FALSE)</f>
        <v>REHAB SRL</v>
      </c>
      <c r="F24" s="356">
        <v>43450</v>
      </c>
      <c r="G24" s="357">
        <f t="shared" si="4"/>
        <v>9124.5</v>
      </c>
      <c r="H24" s="357"/>
      <c r="I24" s="357"/>
      <c r="J24" s="357"/>
      <c r="K24" s="358"/>
      <c r="L24" s="357"/>
      <c r="M24" s="357"/>
      <c r="N24" s="357"/>
      <c r="O24" s="359">
        <f t="shared" si="5"/>
        <v>52574.5</v>
      </c>
      <c r="P24" s="360" t="str">
        <f>VLOOKUP(D24,Configuracion!$A$4:$C$590,3,FALSE)</f>
        <v>PROVEEDOR</v>
      </c>
    </row>
    <row r="25" spans="1:16" s="361" customFormat="1" ht="15" customHeight="1">
      <c r="A25" s="351">
        <v>45579</v>
      </c>
      <c r="B25" s="352">
        <v>1</v>
      </c>
      <c r="C25" s="353">
        <v>5027</v>
      </c>
      <c r="D25" s="354">
        <v>30715141201</v>
      </c>
      <c r="E25" s="355" t="str">
        <f>VLOOKUP(D25,Configuracion!$A$4:$C$590,2,FALSE)</f>
        <v>REHAB SRL</v>
      </c>
      <c r="F25" s="356">
        <v>642844.12</v>
      </c>
      <c r="G25" s="357">
        <f t="shared" si="4"/>
        <v>134997.26519999999</v>
      </c>
      <c r="H25" s="357"/>
      <c r="I25" s="357"/>
      <c r="J25" s="357"/>
      <c r="K25" s="358"/>
      <c r="L25" s="357"/>
      <c r="M25" s="357"/>
      <c r="N25" s="357"/>
      <c r="O25" s="359">
        <f t="shared" si="5"/>
        <v>777841.38520000002</v>
      </c>
      <c r="P25" s="360" t="str">
        <f>VLOOKUP(D25,Configuracion!$A$4:$C$590,3,FALSE)</f>
        <v>PROVEEDOR</v>
      </c>
    </row>
    <row r="26" spans="1:16" s="361" customFormat="1" ht="15" customHeight="1">
      <c r="A26" s="351">
        <v>45573</v>
      </c>
      <c r="B26" s="352">
        <v>1</v>
      </c>
      <c r="C26" s="353">
        <v>4966</v>
      </c>
      <c r="D26" s="354">
        <v>30715141201</v>
      </c>
      <c r="E26" s="355" t="str">
        <f>VLOOKUP(D26,Configuracion!$A$4:$C$590,2,FALSE)</f>
        <v>REHAB SRL</v>
      </c>
      <c r="F26" s="356">
        <v>267975</v>
      </c>
      <c r="G26" s="357">
        <f t="shared" si="4"/>
        <v>56274.75</v>
      </c>
      <c r="H26" s="357"/>
      <c r="I26" s="357"/>
      <c r="J26" s="357"/>
      <c r="K26" s="358"/>
      <c r="L26" s="357"/>
      <c r="M26" s="357"/>
      <c r="N26" s="357"/>
      <c r="O26" s="359">
        <f t="shared" si="5"/>
        <v>324249.75</v>
      </c>
      <c r="P26" s="360" t="str">
        <f>VLOOKUP(D26,Configuracion!$A$4:$C$590,3,FALSE)</f>
        <v>PROVEEDOR</v>
      </c>
    </row>
    <row r="27" spans="1:16" s="361" customFormat="1" ht="15" customHeight="1">
      <c r="A27" s="351">
        <v>45573</v>
      </c>
      <c r="B27" s="352">
        <v>1</v>
      </c>
      <c r="C27" s="353">
        <v>4972</v>
      </c>
      <c r="D27" s="354">
        <v>30715141201</v>
      </c>
      <c r="E27" s="355" t="str">
        <f>VLOOKUP(D27,Configuracion!$A$4:$C$590,2,FALSE)</f>
        <v>REHAB SRL</v>
      </c>
      <c r="F27" s="356">
        <v>601618.51</v>
      </c>
      <c r="G27" s="357">
        <f t="shared" si="4"/>
        <v>126339.88709999999</v>
      </c>
      <c r="H27" s="357"/>
      <c r="I27" s="357"/>
      <c r="J27" s="357"/>
      <c r="K27" s="358"/>
      <c r="L27" s="357"/>
      <c r="M27" s="357"/>
      <c r="N27" s="357"/>
      <c r="O27" s="359">
        <f t="shared" si="5"/>
        <v>727958.39709999994</v>
      </c>
      <c r="P27" s="360" t="str">
        <f>VLOOKUP(D27,Configuracion!$A$4:$C$590,3,FALSE)</f>
        <v>PROVEEDOR</v>
      </c>
    </row>
    <row r="28" spans="1:16" s="361" customFormat="1" ht="15" customHeight="1">
      <c r="A28" s="351">
        <v>45569</v>
      </c>
      <c r="B28" s="352">
        <v>1</v>
      </c>
      <c r="C28" s="353">
        <v>4929</v>
      </c>
      <c r="D28" s="354">
        <v>30715141201</v>
      </c>
      <c r="E28" s="355" t="str">
        <f>VLOOKUP(D28,Configuracion!$A$4:$C$590,2,FALSE)</f>
        <v>REHAB SRL</v>
      </c>
      <c r="F28" s="356">
        <v>99050</v>
      </c>
      <c r="G28" s="357">
        <f t="shared" si="4"/>
        <v>20800.5</v>
      </c>
      <c r="H28" s="357"/>
      <c r="I28" s="357"/>
      <c r="J28" s="357"/>
      <c r="K28" s="358"/>
      <c r="L28" s="357"/>
      <c r="M28" s="357"/>
      <c r="N28" s="357"/>
      <c r="O28" s="359">
        <f t="shared" si="5"/>
        <v>119850.5</v>
      </c>
      <c r="P28" s="360" t="str">
        <f>VLOOKUP(D28,Configuracion!$A$4:$C$590,3,FALSE)</f>
        <v>PROVEEDOR</v>
      </c>
    </row>
    <row r="29" spans="1:16" s="361" customFormat="1" ht="15" customHeight="1">
      <c r="A29" s="351">
        <v>45569</v>
      </c>
      <c r="B29" s="352">
        <v>1</v>
      </c>
      <c r="C29" s="353">
        <v>4933</v>
      </c>
      <c r="D29" s="354">
        <v>30715141201</v>
      </c>
      <c r="E29" s="355" t="str">
        <f>VLOOKUP(D29,Configuracion!$A$4:$C$590,2,FALSE)</f>
        <v>REHAB SRL</v>
      </c>
      <c r="F29" s="356">
        <v>639938.25</v>
      </c>
      <c r="G29" s="357">
        <f t="shared" si="4"/>
        <v>134387.0325</v>
      </c>
      <c r="H29" s="357"/>
      <c r="I29" s="357"/>
      <c r="J29" s="357"/>
      <c r="K29" s="358"/>
      <c r="L29" s="357"/>
      <c r="M29" s="357"/>
      <c r="N29" s="357"/>
      <c r="O29" s="359">
        <f t="shared" si="5"/>
        <v>774325.28249999997</v>
      </c>
      <c r="P29" s="360" t="str">
        <f>VLOOKUP(D29,Configuracion!$A$4:$C$590,3,FALSE)</f>
        <v>PROVEEDOR</v>
      </c>
    </row>
    <row r="30" spans="1:16" s="361" customFormat="1" ht="15" customHeight="1">
      <c r="A30" s="351">
        <v>45589</v>
      </c>
      <c r="B30" s="352">
        <v>5</v>
      </c>
      <c r="C30" s="353">
        <v>160326</v>
      </c>
      <c r="D30" s="354">
        <v>30598960093</v>
      </c>
      <c r="E30" s="355" t="str">
        <f>VLOOKUP(D30,Configuracion!$A$4:$C$590,2,FALSE)</f>
        <v>SILVESTRIN FABRIS SRL</v>
      </c>
      <c r="F30" s="356">
        <v>1977843</v>
      </c>
      <c r="G30" s="357">
        <f t="shared" si="4"/>
        <v>415347.02999999997</v>
      </c>
      <c r="H30" s="357"/>
      <c r="I30" s="357"/>
      <c r="J30" s="357"/>
      <c r="K30" s="358">
        <v>98892.15</v>
      </c>
      <c r="L30" s="357"/>
      <c r="M30" s="357"/>
      <c r="N30" s="357"/>
      <c r="O30" s="359">
        <f t="shared" si="5"/>
        <v>2492082.1799999997</v>
      </c>
      <c r="P30" s="360" t="str">
        <f>VLOOKUP(D30,Configuracion!$A$4:$C$590,3,FALSE)</f>
        <v>PROVEEDOR</v>
      </c>
    </row>
    <row r="31" spans="1:16" s="361" customFormat="1" ht="15" customHeight="1">
      <c r="A31" s="351">
        <v>45575</v>
      </c>
      <c r="B31" s="352">
        <v>5</v>
      </c>
      <c r="C31" s="353">
        <v>159946</v>
      </c>
      <c r="D31" s="354">
        <v>30598960093</v>
      </c>
      <c r="E31" s="355" t="str">
        <f>VLOOKUP(D31,Configuracion!$A$4:$C$590,2,FALSE)</f>
        <v>SILVESTRIN FABRIS SRL</v>
      </c>
      <c r="F31" s="356">
        <v>946021.5</v>
      </c>
      <c r="G31" s="357">
        <f t="shared" si="4"/>
        <v>198664.51499999998</v>
      </c>
      <c r="H31" s="357"/>
      <c r="I31" s="357"/>
      <c r="J31" s="357"/>
      <c r="K31" s="358">
        <v>47301.08</v>
      </c>
      <c r="L31" s="357"/>
      <c r="M31" s="357"/>
      <c r="N31" s="357"/>
      <c r="O31" s="359">
        <f t="shared" si="5"/>
        <v>1191987.095</v>
      </c>
      <c r="P31" s="360" t="str">
        <f>VLOOKUP(D31,Configuracion!$A$4:$C$590,3,FALSE)</f>
        <v>PROVEEDOR</v>
      </c>
    </row>
    <row r="32" spans="1:16" s="361" customFormat="1" ht="15" customHeight="1">
      <c r="A32" s="351">
        <v>45573</v>
      </c>
      <c r="B32" s="352">
        <v>5</v>
      </c>
      <c r="C32" s="353">
        <v>159832</v>
      </c>
      <c r="D32" s="354">
        <v>30598960093</v>
      </c>
      <c r="E32" s="355" t="str">
        <f>VLOOKUP(D32,Configuracion!$A$4:$C$590,2,FALSE)</f>
        <v>SILVESTRIN FABRIS SRL</v>
      </c>
      <c r="F32" s="356">
        <v>1586940</v>
      </c>
      <c r="G32" s="357"/>
      <c r="H32" s="357"/>
      <c r="I32" s="357">
        <f>+F32*0.105</f>
        <v>166628.69999999998</v>
      </c>
      <c r="J32" s="357"/>
      <c r="K32" s="358">
        <v>79347</v>
      </c>
      <c r="L32" s="357"/>
      <c r="M32" s="357"/>
      <c r="N32" s="357"/>
      <c r="O32" s="359">
        <f t="shared" si="5"/>
        <v>1832915.7</v>
      </c>
      <c r="P32" s="360" t="str">
        <f>VLOOKUP(D32,Configuracion!$A$4:$C$590,3,FALSE)</f>
        <v>PROVEEDOR</v>
      </c>
    </row>
    <row r="33" spans="1:16" s="361" customFormat="1" ht="15" customHeight="1">
      <c r="A33" s="351">
        <v>45566</v>
      </c>
      <c r="B33" s="352">
        <v>5</v>
      </c>
      <c r="C33" s="353">
        <v>159587</v>
      </c>
      <c r="D33" s="354">
        <v>30598960093</v>
      </c>
      <c r="E33" s="355" t="str">
        <f>VLOOKUP(D33,Configuracion!$A$4:$C$590,2,FALSE)</f>
        <v>SILVESTRIN FABRIS SRL</v>
      </c>
      <c r="F33" s="356">
        <v>1464782.4</v>
      </c>
      <c r="G33" s="357">
        <f t="shared" si="4"/>
        <v>307604.30399999995</v>
      </c>
      <c r="H33" s="357"/>
      <c r="I33" s="357"/>
      <c r="J33" s="357"/>
      <c r="K33" s="358">
        <v>73239.12</v>
      </c>
      <c r="L33" s="357"/>
      <c r="M33" s="357"/>
      <c r="N33" s="357"/>
      <c r="O33" s="359">
        <f t="shared" si="5"/>
        <v>1845625.824</v>
      </c>
      <c r="P33" s="360" t="str">
        <f>VLOOKUP(D33,Configuracion!$A$4:$C$590,3,FALSE)</f>
        <v>PROVEEDOR</v>
      </c>
    </row>
    <row r="34" spans="1:16" s="361" customFormat="1" ht="15" customHeight="1">
      <c r="A34" s="351">
        <v>45568</v>
      </c>
      <c r="B34" s="352">
        <v>4</v>
      </c>
      <c r="C34" s="353">
        <v>38516</v>
      </c>
      <c r="D34" s="354">
        <v>20289111329</v>
      </c>
      <c r="E34" s="355" t="str">
        <f>VLOOKUP(D34,Configuracion!$A$4:$C$590,2,FALSE)</f>
        <v>R. N. LEDESMA</v>
      </c>
      <c r="F34" s="356">
        <v>1170696.19</v>
      </c>
      <c r="G34" s="357">
        <f t="shared" si="4"/>
        <v>245846.19989999998</v>
      </c>
      <c r="H34" s="357"/>
      <c r="I34" s="357"/>
      <c r="J34" s="357"/>
      <c r="K34" s="358"/>
      <c r="L34" s="357"/>
      <c r="M34" s="357"/>
      <c r="N34" s="357"/>
      <c r="O34" s="359">
        <f t="shared" si="5"/>
        <v>1416542.3898999998</v>
      </c>
      <c r="P34" s="360" t="str">
        <f>VLOOKUP(D34,Configuracion!$A$4:$C$590,3,FALSE)</f>
        <v>PROVEEDOR</v>
      </c>
    </row>
    <row r="35" spans="1:16" s="361" customFormat="1" ht="15" customHeight="1">
      <c r="A35" s="351">
        <v>45580</v>
      </c>
      <c r="B35" s="352">
        <v>5</v>
      </c>
      <c r="C35" s="353">
        <v>32</v>
      </c>
      <c r="D35" s="354">
        <v>30707370552</v>
      </c>
      <c r="E35" s="355" t="str">
        <f>VLOOKUP(D35,Configuracion!$A$4:$C$590,2,FALSE)</f>
        <v>RAKE SA</v>
      </c>
      <c r="F35" s="356">
        <v>895000</v>
      </c>
      <c r="G35" s="357">
        <f t="shared" si="4"/>
        <v>187950</v>
      </c>
      <c r="H35" s="357"/>
      <c r="I35" s="357"/>
      <c r="J35" s="357"/>
      <c r="K35" s="358"/>
      <c r="L35" s="357"/>
      <c r="M35" s="357"/>
      <c r="N35" s="357"/>
      <c r="O35" s="359">
        <f t="shared" si="5"/>
        <v>1082950</v>
      </c>
      <c r="P35" s="360" t="str">
        <f>VLOOKUP(D35,Configuracion!$A$4:$C$590,3,FALSE)</f>
        <v>PROVEEDOR</v>
      </c>
    </row>
    <row r="36" spans="1:16" s="361" customFormat="1" ht="15" customHeight="1">
      <c r="A36" s="351">
        <v>45569</v>
      </c>
      <c r="B36" s="352">
        <v>5</v>
      </c>
      <c r="C36" s="353">
        <v>27</v>
      </c>
      <c r="D36" s="354">
        <v>30707370552</v>
      </c>
      <c r="E36" s="355" t="str">
        <f>VLOOKUP(D36,Configuracion!$A$4:$C$590,2,FALSE)</f>
        <v>RAKE SA</v>
      </c>
      <c r="F36" s="356">
        <v>1380000</v>
      </c>
      <c r="G36" s="357">
        <f t="shared" si="4"/>
        <v>289800</v>
      </c>
      <c r="H36" s="357"/>
      <c r="I36" s="357"/>
      <c r="J36" s="357"/>
      <c r="K36" s="358"/>
      <c r="L36" s="357"/>
      <c r="M36" s="357"/>
      <c r="N36" s="357"/>
      <c r="O36" s="359">
        <f t="shared" si="5"/>
        <v>1669800</v>
      </c>
      <c r="P36" s="360" t="str">
        <f>VLOOKUP(D36,Configuracion!$A$4:$C$590,3,FALSE)</f>
        <v>PROVEEDOR</v>
      </c>
    </row>
    <row r="37" spans="1:16" s="361" customFormat="1" ht="15" customHeight="1">
      <c r="A37" s="351">
        <v>45568</v>
      </c>
      <c r="B37" s="352">
        <v>4</v>
      </c>
      <c r="C37" s="353">
        <v>138</v>
      </c>
      <c r="D37" s="354">
        <v>20317488476</v>
      </c>
      <c r="E37" s="355" t="str">
        <f>VLOOKUP(D37,Configuracion!$A$4:$C$590,2,FALSE)</f>
        <v>VILLALBA MIGUEL ANGEL</v>
      </c>
      <c r="F37" s="356">
        <v>150000</v>
      </c>
      <c r="G37" s="357">
        <f t="shared" si="4"/>
        <v>31500</v>
      </c>
      <c r="H37" s="357"/>
      <c r="I37" s="357"/>
      <c r="J37" s="357"/>
      <c r="K37" s="358"/>
      <c r="L37" s="357"/>
      <c r="M37" s="357"/>
      <c r="N37" s="357"/>
      <c r="O37" s="359">
        <f t="shared" si="5"/>
        <v>181500</v>
      </c>
      <c r="P37" s="360" t="str">
        <f>VLOOKUP(D37,Configuracion!$A$4:$C$590,3,FALSE)</f>
        <v>PROVEEDOR</v>
      </c>
    </row>
    <row r="38" spans="1:16" s="361" customFormat="1" ht="15" customHeight="1">
      <c r="A38" s="351">
        <v>45569</v>
      </c>
      <c r="B38" s="352">
        <v>7</v>
      </c>
      <c r="C38" s="353">
        <v>19168</v>
      </c>
      <c r="D38" s="354">
        <v>30709214078</v>
      </c>
      <c r="E38" s="355" t="str">
        <f>VLOOKUP(D38,Configuracion!$A$4:$C$590,2,FALSE)</f>
        <v>REHAVITA SA</v>
      </c>
      <c r="F38" s="356">
        <v>59820</v>
      </c>
      <c r="G38" s="357">
        <f t="shared" si="4"/>
        <v>12562.199999999999</v>
      </c>
      <c r="H38" s="357"/>
      <c r="I38" s="357"/>
      <c r="J38" s="357"/>
      <c r="K38" s="358"/>
      <c r="L38" s="357"/>
      <c r="M38" s="357"/>
      <c r="N38" s="357"/>
      <c r="O38" s="359">
        <f t="shared" si="5"/>
        <v>72382.2</v>
      </c>
      <c r="P38" s="360" t="str">
        <f>VLOOKUP(D38,Configuracion!$A$4:$C$590,3,FALSE)</f>
        <v>PROVEEDOR</v>
      </c>
    </row>
    <row r="39" spans="1:16" s="361" customFormat="1" ht="15" customHeight="1">
      <c r="A39" s="351">
        <v>45569</v>
      </c>
      <c r="B39" s="352">
        <v>401</v>
      </c>
      <c r="C39" s="353">
        <v>80</v>
      </c>
      <c r="D39" s="354">
        <v>30716234114</v>
      </c>
      <c r="E39" s="355" t="str">
        <f>VLOOKUP(D39,Configuracion!$A$4:$C$590,2,FALSE)</f>
        <v>UZUMAKI SAS</v>
      </c>
      <c r="F39" s="356">
        <v>160978.5</v>
      </c>
      <c r="G39" s="357">
        <f t="shared" si="4"/>
        <v>33805.485000000001</v>
      </c>
      <c r="H39" s="357"/>
      <c r="I39" s="357"/>
      <c r="J39" s="357"/>
      <c r="K39" s="358"/>
      <c r="L39" s="357"/>
      <c r="M39" s="357"/>
      <c r="N39" s="357"/>
      <c r="O39" s="359">
        <f t="shared" si="5"/>
        <v>194783.98499999999</v>
      </c>
      <c r="P39" s="360" t="str">
        <f>VLOOKUP(D39,Configuracion!$A$4:$C$590,3,FALSE)</f>
        <v>PROVEEDOR</v>
      </c>
    </row>
    <row r="40" spans="1:16" s="361" customFormat="1" ht="15" customHeight="1">
      <c r="A40" s="351">
        <v>45569</v>
      </c>
      <c r="B40" s="352">
        <v>5</v>
      </c>
      <c r="C40" s="353">
        <v>2859</v>
      </c>
      <c r="D40" s="354">
        <v>30707267077</v>
      </c>
      <c r="E40" s="355" t="str">
        <f>VLOOKUP(D40,Configuracion!$A$4:$C$590,2,FALSE)</f>
        <v>BARBARO SC</v>
      </c>
      <c r="F40" s="356">
        <v>1388000</v>
      </c>
      <c r="G40" s="357">
        <f t="shared" si="4"/>
        <v>291480</v>
      </c>
      <c r="H40" s="357"/>
      <c r="I40" s="357"/>
      <c r="J40" s="357"/>
      <c r="K40" s="358"/>
      <c r="L40" s="357"/>
      <c r="M40" s="357"/>
      <c r="N40" s="357"/>
      <c r="O40" s="359">
        <f t="shared" si="5"/>
        <v>1679480</v>
      </c>
      <c r="P40" s="360" t="str">
        <f>VLOOKUP(D40,Configuracion!$A$4:$C$590,3,FALSE)</f>
        <v>PROVEEDOR</v>
      </c>
    </row>
    <row r="41" spans="1:16" s="361" customFormat="1" ht="15" customHeight="1">
      <c r="A41" s="351">
        <v>45567</v>
      </c>
      <c r="B41" s="352">
        <v>1</v>
      </c>
      <c r="C41" s="353">
        <v>615464</v>
      </c>
      <c r="D41" s="354">
        <v>33716307749</v>
      </c>
      <c r="E41" s="355" t="str">
        <f>VLOOKUP(D41,Configuracion!$A$4:$C$590,2,FALSE)</f>
        <v xml:space="preserve">VERISURE ARG MONITOREO A SA </v>
      </c>
      <c r="F41" s="356">
        <v>40398.879999999997</v>
      </c>
      <c r="G41" s="357">
        <f t="shared" si="4"/>
        <v>8483.764799999999</v>
      </c>
      <c r="H41" s="357"/>
      <c r="I41" s="357"/>
      <c r="J41" s="357"/>
      <c r="K41" s="358"/>
      <c r="L41" s="357"/>
      <c r="M41" s="357"/>
      <c r="N41" s="357">
        <v>2019.94</v>
      </c>
      <c r="O41" s="359">
        <f t="shared" si="5"/>
        <v>50902.584799999997</v>
      </c>
      <c r="P41" s="360" t="str">
        <f>VLOOKUP(D41,Configuracion!$A$4:$C$590,3,FALSE)</f>
        <v>PROVEEDOR</v>
      </c>
    </row>
    <row r="42" spans="1:16" s="361" customFormat="1" ht="15" customHeight="1">
      <c r="A42" s="351">
        <v>45573</v>
      </c>
      <c r="B42" s="352">
        <v>120</v>
      </c>
      <c r="C42" s="353">
        <v>5161</v>
      </c>
      <c r="D42" s="354">
        <v>30587197215</v>
      </c>
      <c r="E42" s="355" t="str">
        <f>VLOOKUP(D42,Configuracion!$A$4:$C$590,2,FALSE)</f>
        <v>PANATEL SOCIEDAD ANONIMA</v>
      </c>
      <c r="F42" s="356">
        <v>68595.039999999994</v>
      </c>
      <c r="G42" s="357">
        <f t="shared" si="4"/>
        <v>14404.958399999998</v>
      </c>
      <c r="H42" s="357"/>
      <c r="I42" s="357"/>
      <c r="J42" s="357"/>
      <c r="K42" s="358">
        <v>3429.75</v>
      </c>
      <c r="L42" s="357"/>
      <c r="M42" s="357"/>
      <c r="N42" s="357"/>
      <c r="O42" s="359">
        <f t="shared" si="5"/>
        <v>86429.748399999997</v>
      </c>
      <c r="P42" s="360" t="str">
        <f>VLOOKUP(D42,Configuracion!$A$4:$C$590,3,FALSE)</f>
        <v>VARIOS</v>
      </c>
    </row>
    <row r="43" spans="1:16" s="361" customFormat="1" ht="15" customHeight="1">
      <c r="A43" s="351">
        <v>45572</v>
      </c>
      <c r="B43" s="352">
        <v>8</v>
      </c>
      <c r="C43" s="353">
        <v>1698</v>
      </c>
      <c r="D43" s="354">
        <v>30708973501</v>
      </c>
      <c r="E43" s="355" t="str">
        <f>VLOOKUP(D43,Configuracion!$A$4:$C$590,2,FALSE)</f>
        <v>ASIAL SRL</v>
      </c>
      <c r="F43" s="356">
        <v>767170</v>
      </c>
      <c r="G43" s="357">
        <f t="shared" si="4"/>
        <v>161105.69999999998</v>
      </c>
      <c r="H43" s="357"/>
      <c r="I43" s="357"/>
      <c r="J43" s="357"/>
      <c r="K43" s="358"/>
      <c r="L43" s="357"/>
      <c r="M43" s="357"/>
      <c r="N43" s="357"/>
      <c r="O43" s="359">
        <f t="shared" si="5"/>
        <v>928275.7</v>
      </c>
      <c r="P43" s="360" t="str">
        <f>VLOOKUP(D43,Configuracion!$A$4:$C$590,3,FALSE)</f>
        <v>INSUMOS</v>
      </c>
    </row>
    <row r="44" spans="1:16" s="361" customFormat="1" ht="15" customHeight="1">
      <c r="A44" s="351">
        <v>45566</v>
      </c>
      <c r="B44" s="352">
        <v>500</v>
      </c>
      <c r="C44" s="353">
        <v>1627071</v>
      </c>
      <c r="D44" s="354">
        <v>30654118767</v>
      </c>
      <c r="E44" s="355" t="str">
        <f>VLOOKUP(D44,Configuracion!$A$4:$C$590,2,FALSE)</f>
        <v>SOLUCIONES MULTIMEDIA SA</v>
      </c>
      <c r="F44" s="356">
        <v>94125.18</v>
      </c>
      <c r="G44" s="357">
        <f t="shared" si="4"/>
        <v>19766.287799999998</v>
      </c>
      <c r="H44" s="357"/>
      <c r="I44" s="357"/>
      <c r="J44" s="357"/>
      <c r="K44" s="358">
        <v>4706.26</v>
      </c>
      <c r="L44" s="357"/>
      <c r="M44" s="357"/>
      <c r="N44" s="357"/>
      <c r="O44" s="359">
        <f t="shared" si="5"/>
        <v>118597.72779999998</v>
      </c>
      <c r="P44" s="360" t="str">
        <f>VLOOKUP(D44,Configuracion!$A$4:$C$590,3,FALSE)</f>
        <v>PROVEEDOR</v>
      </c>
    </row>
    <row r="45" spans="1:16" s="361" customFormat="1" ht="15" customHeight="1">
      <c r="A45" s="351">
        <v>45574</v>
      </c>
      <c r="B45" s="352">
        <v>15</v>
      </c>
      <c r="C45" s="353">
        <v>3722</v>
      </c>
      <c r="D45" s="354">
        <v>30688140923</v>
      </c>
      <c r="E45" s="355" t="str">
        <f>VLOOKUP(D45,Configuracion!$A$4:$C$590,2,FALSE)</f>
        <v>COLTEX SRL</v>
      </c>
      <c r="F45" s="356">
        <v>238328.4</v>
      </c>
      <c r="G45" s="357">
        <f t="shared" si="4"/>
        <v>50048.964</v>
      </c>
      <c r="H45" s="357"/>
      <c r="I45" s="357"/>
      <c r="J45" s="357"/>
      <c r="K45" s="358"/>
      <c r="L45" s="357"/>
      <c r="M45" s="357"/>
      <c r="N45" s="357"/>
      <c r="O45" s="359">
        <f t="shared" si="5"/>
        <v>288377.364</v>
      </c>
      <c r="P45" s="360" t="str">
        <f>VLOOKUP(D45,Configuracion!$A$4:$C$590,3,FALSE)</f>
        <v>PROVEEDOR</v>
      </c>
    </row>
    <row r="46" spans="1:16" s="361" customFormat="1" ht="15" customHeight="1">
      <c r="A46" s="351">
        <v>45580</v>
      </c>
      <c r="B46" s="352">
        <v>4</v>
      </c>
      <c r="C46" s="353">
        <v>140</v>
      </c>
      <c r="D46" s="354">
        <v>20317488476</v>
      </c>
      <c r="E46" s="355" t="str">
        <f>VLOOKUP(D46,Configuracion!$A$4:$C$590,2,FALSE)</f>
        <v>VILLALBA MIGUEL ANGEL</v>
      </c>
      <c r="F46" s="356">
        <v>75000</v>
      </c>
      <c r="G46" s="357">
        <f t="shared" si="4"/>
        <v>15750</v>
      </c>
      <c r="H46" s="357"/>
      <c r="I46" s="357"/>
      <c r="J46" s="357"/>
      <c r="K46" s="358"/>
      <c r="L46" s="357"/>
      <c r="M46" s="357"/>
      <c r="N46" s="357"/>
      <c r="O46" s="359">
        <f t="shared" si="5"/>
        <v>90750</v>
      </c>
      <c r="P46" s="360" t="str">
        <f>VLOOKUP(D46,Configuracion!$A$4:$C$590,3,FALSE)</f>
        <v>PROVEEDOR</v>
      </c>
    </row>
    <row r="47" spans="1:16" s="361" customFormat="1" ht="15" customHeight="1">
      <c r="A47" s="351">
        <v>45576</v>
      </c>
      <c r="B47" s="352">
        <v>18</v>
      </c>
      <c r="C47" s="353">
        <v>2831</v>
      </c>
      <c r="D47" s="354">
        <v>27940269100</v>
      </c>
      <c r="E47" s="355" t="str">
        <f>VLOOKUP(D47,Configuracion!$A$4:$C$590,2,FALSE)</f>
        <v>LIN YUMEI</v>
      </c>
      <c r="F47" s="356">
        <v>35123.97</v>
      </c>
      <c r="G47" s="357">
        <f t="shared" si="4"/>
        <v>7376.0337</v>
      </c>
      <c r="H47" s="357"/>
      <c r="I47" s="357"/>
      <c r="J47" s="357"/>
      <c r="K47" s="358"/>
      <c r="L47" s="357"/>
      <c r="M47" s="357"/>
      <c r="N47" s="357"/>
      <c r="O47" s="359">
        <f t="shared" si="5"/>
        <v>42500.003700000001</v>
      </c>
      <c r="P47" s="360" t="str">
        <f>VLOOKUP(D47,Configuracion!$A$4:$C$590,3,FALSE)</f>
        <v>VARIOS</v>
      </c>
    </row>
    <row r="48" spans="1:16" s="361" customFormat="1" ht="15" customHeight="1">
      <c r="A48" s="351">
        <v>45567</v>
      </c>
      <c r="B48" s="352">
        <v>3051</v>
      </c>
      <c r="C48" s="353">
        <v>823860</v>
      </c>
      <c r="D48" s="354">
        <v>30678814357</v>
      </c>
      <c r="E48" s="355" t="str">
        <f>VLOOKUP(D48,Configuracion!$A$4:$C$590,2,FALSE)</f>
        <v>TELEFONICA MOVILES ARG SA</v>
      </c>
      <c r="F48" s="356">
        <v>34996.67</v>
      </c>
      <c r="G48" s="357"/>
      <c r="H48" s="357">
        <f>+F48*0.27</f>
        <v>9449.1008999999995</v>
      </c>
      <c r="I48" s="357"/>
      <c r="J48" s="357">
        <v>1049.9000000000001</v>
      </c>
      <c r="K48" s="358">
        <v>1839.88</v>
      </c>
      <c r="L48" s="357"/>
      <c r="M48" s="357"/>
      <c r="N48" s="357">
        <v>1800.97</v>
      </c>
      <c r="O48" s="359">
        <f t="shared" si="5"/>
        <v>49136.520899999996</v>
      </c>
      <c r="P48" s="360" t="str">
        <f>VLOOKUP(D48,Configuracion!$A$4:$C$590,3,FALSE)</f>
        <v>SERVICIO</v>
      </c>
    </row>
    <row r="49" spans="1:16" s="361" customFormat="1" ht="15" customHeight="1">
      <c r="A49" s="351">
        <v>45574</v>
      </c>
      <c r="B49" s="352">
        <v>3101</v>
      </c>
      <c r="C49" s="353">
        <v>185334</v>
      </c>
      <c r="D49" s="354">
        <v>30678814357</v>
      </c>
      <c r="E49" s="355" t="str">
        <f>VLOOKUP(D49,Configuracion!$A$4:$C$590,2,FALSE)</f>
        <v>TELEFONICA MOVILES ARG SA</v>
      </c>
      <c r="F49" s="356">
        <v>58358.69</v>
      </c>
      <c r="G49" s="357"/>
      <c r="H49" s="357">
        <f>+F49*0.27</f>
        <v>15756.846300000001</v>
      </c>
      <c r="I49" s="357"/>
      <c r="J49" s="357">
        <f>+F49*0.03</f>
        <v>1750.7607</v>
      </c>
      <c r="K49" s="358">
        <f>+F49*0.05</f>
        <v>2917.9345000000003</v>
      </c>
      <c r="L49" s="357"/>
      <c r="M49" s="357"/>
      <c r="N49" s="357"/>
      <c r="O49" s="359">
        <f t="shared" si="5"/>
        <v>78784.231500000009</v>
      </c>
      <c r="P49" s="360" t="str">
        <f>VLOOKUP(D49,Configuracion!$A$4:$C$590,3,FALSE)</f>
        <v>SERVICIO</v>
      </c>
    </row>
    <row r="50" spans="1:16" s="361" customFormat="1" ht="15" customHeight="1">
      <c r="A50" s="351">
        <v>45575</v>
      </c>
      <c r="B50" s="352">
        <v>32</v>
      </c>
      <c r="C50" s="353">
        <v>148954</v>
      </c>
      <c r="D50" s="354">
        <v>30708847247</v>
      </c>
      <c r="E50" s="355" t="str">
        <f>VLOOKUP(D50,Configuracion!$A$4:$C$590,2,FALSE)</f>
        <v>EXPRESO LANCIONI SA</v>
      </c>
      <c r="F50" s="356">
        <v>48698.3</v>
      </c>
      <c r="G50" s="357">
        <f t="shared" si="4"/>
        <v>10226.643</v>
      </c>
      <c r="H50" s="357"/>
      <c r="I50" s="357"/>
      <c r="J50" s="357"/>
      <c r="K50" s="358">
        <v>2434.92</v>
      </c>
      <c r="L50" s="357"/>
      <c r="M50" s="357"/>
      <c r="N50" s="357"/>
      <c r="O50" s="359">
        <f t="shared" si="5"/>
        <v>61359.862999999998</v>
      </c>
      <c r="P50" s="360" t="str">
        <f>VLOOKUP(D50,Configuracion!$A$4:$C$590,3,FALSE)</f>
        <v>FLETE</v>
      </c>
    </row>
    <row r="51" spans="1:16" s="361" customFormat="1" ht="15" customHeight="1">
      <c r="A51" s="351">
        <v>45583</v>
      </c>
      <c r="B51" s="352">
        <v>13</v>
      </c>
      <c r="C51" s="353">
        <v>3141</v>
      </c>
      <c r="D51" s="354">
        <v>20119743959</v>
      </c>
      <c r="E51" s="355" t="str">
        <f>VLOOKUP(D51,Configuracion!$A$4:$C$590,2,FALSE)</f>
        <v>BENNUN FERNANDO RUBEN</v>
      </c>
      <c r="F51" s="356">
        <v>360000</v>
      </c>
      <c r="G51" s="357">
        <f t="shared" si="4"/>
        <v>75600</v>
      </c>
      <c r="H51" s="357"/>
      <c r="I51" s="357"/>
      <c r="J51" s="357"/>
      <c r="K51" s="358"/>
      <c r="L51" s="357"/>
      <c r="M51" s="357"/>
      <c r="N51" s="357"/>
      <c r="O51" s="359">
        <f t="shared" si="5"/>
        <v>435600</v>
      </c>
      <c r="P51" s="360" t="str">
        <f>VLOOKUP(D51,Configuracion!$A$4:$C$590,3,FALSE)</f>
        <v>PROVEEDOR</v>
      </c>
    </row>
    <row r="52" spans="1:16" s="361" customFormat="1" ht="15" customHeight="1">
      <c r="A52" s="351">
        <v>45587</v>
      </c>
      <c r="B52" s="352">
        <v>3</v>
      </c>
      <c r="C52" s="353">
        <v>7855</v>
      </c>
      <c r="D52" s="354">
        <v>33708218699</v>
      </c>
      <c r="E52" s="355" t="str">
        <f>VLOOKUP(D52,Configuracion!$A$4:$C$590,2,FALSE)</f>
        <v>MANGGINI PABLO Y M ULISES SH</v>
      </c>
      <c r="F52" s="356">
        <v>15000</v>
      </c>
      <c r="G52" s="357">
        <f t="shared" si="4"/>
        <v>3150</v>
      </c>
      <c r="H52" s="357"/>
      <c r="I52" s="357"/>
      <c r="J52" s="357"/>
      <c r="K52" s="358"/>
      <c r="L52" s="357"/>
      <c r="M52" s="357"/>
      <c r="N52" s="357"/>
      <c r="O52" s="359">
        <f t="shared" si="5"/>
        <v>18150</v>
      </c>
      <c r="P52" s="360" t="str">
        <f>VLOOKUP(D52,Configuracion!$A$4:$C$590,3,FALSE)</f>
        <v>VARIOS</v>
      </c>
    </row>
    <row r="53" spans="1:16" s="361" customFormat="1" ht="15" customHeight="1">
      <c r="A53" s="351">
        <v>45586</v>
      </c>
      <c r="B53" s="352">
        <v>17</v>
      </c>
      <c r="C53" s="353">
        <v>10702</v>
      </c>
      <c r="D53" s="354">
        <v>30661143610</v>
      </c>
      <c r="E53" s="355" t="str">
        <f>VLOOKUP(D53,Configuracion!$A$4:$C$590,2,FALSE)</f>
        <v>ORTOPEDIA BERNAT SRL</v>
      </c>
      <c r="F53" s="356">
        <v>2797795</v>
      </c>
      <c r="G53" s="357">
        <f t="shared" si="4"/>
        <v>587536.94999999995</v>
      </c>
      <c r="H53" s="357"/>
      <c r="I53" s="357"/>
      <c r="J53" s="357"/>
      <c r="K53" s="358">
        <f>+F53*0.05</f>
        <v>139889.75</v>
      </c>
      <c r="L53" s="357"/>
      <c r="M53" s="357"/>
      <c r="N53" s="357"/>
      <c r="O53" s="359">
        <f t="shared" si="5"/>
        <v>3525221.7</v>
      </c>
      <c r="P53" s="360" t="str">
        <f>VLOOKUP(D53,Configuracion!$A$4:$C$590,3,FALSE)</f>
        <v>PROVEEDOR</v>
      </c>
    </row>
    <row r="54" spans="1:16" s="361" customFormat="1" ht="15" customHeight="1">
      <c r="A54" s="351">
        <v>45588</v>
      </c>
      <c r="B54" s="352">
        <v>2</v>
      </c>
      <c r="C54" s="353">
        <v>26</v>
      </c>
      <c r="D54" s="354">
        <v>27243660535</v>
      </c>
      <c r="E54" s="355" t="str">
        <f>VLOOKUP(D54,Configuracion!$A$4:$C$590,2,FALSE)</f>
        <v>BARD MARISA SILVIA</v>
      </c>
      <c r="F54" s="356">
        <v>360000</v>
      </c>
      <c r="G54" s="357">
        <f t="shared" si="4"/>
        <v>75600</v>
      </c>
      <c r="H54" s="357"/>
      <c r="I54" s="357"/>
      <c r="J54" s="357"/>
      <c r="K54" s="358"/>
      <c r="L54" s="357"/>
      <c r="M54" s="357"/>
      <c r="N54" s="357"/>
      <c r="O54" s="359">
        <f t="shared" si="5"/>
        <v>435600</v>
      </c>
      <c r="P54" s="360" t="str">
        <f>VLOOKUP(D54,Configuracion!$A$4:$C$590,3,FALSE)</f>
        <v>GASTOS ADMIN</v>
      </c>
    </row>
    <row r="55" spans="1:16" s="361" customFormat="1" ht="15" customHeight="1">
      <c r="A55" s="351">
        <v>45587</v>
      </c>
      <c r="B55" s="352">
        <v>5</v>
      </c>
      <c r="C55" s="353">
        <v>3148753</v>
      </c>
      <c r="D55" s="354">
        <v>30702652975</v>
      </c>
      <c r="E55" s="355" t="str">
        <f>VLOOKUP(D55,Configuracion!$A$4:$C$590,2,FALSE)</f>
        <v>NSS SA - IPLAN</v>
      </c>
      <c r="F55" s="356">
        <v>28528.6</v>
      </c>
      <c r="G55" s="357">
        <f t="shared" si="4"/>
        <v>5991.0059999999994</v>
      </c>
      <c r="H55" s="357"/>
      <c r="I55" s="357"/>
      <c r="J55" s="357"/>
      <c r="K55" s="358">
        <f>+F55*0.05</f>
        <v>1426.43</v>
      </c>
      <c r="L55" s="357"/>
      <c r="M55" s="357"/>
      <c r="N55" s="357"/>
      <c r="O55" s="359">
        <f t="shared" si="5"/>
        <v>35946.036</v>
      </c>
      <c r="P55" s="360" t="str">
        <f>VLOOKUP(D55,Configuracion!$A$4:$C$590,3,FALSE)</f>
        <v>SERVICIO</v>
      </c>
    </row>
    <row r="56" spans="1:16" s="361" customFormat="1" ht="15" customHeight="1">
      <c r="A56" s="351">
        <v>45590</v>
      </c>
      <c r="B56" s="352">
        <v>2</v>
      </c>
      <c r="C56" s="353">
        <v>1915</v>
      </c>
      <c r="D56" s="354">
        <v>30714228060</v>
      </c>
      <c r="E56" s="355" t="str">
        <f>VLOOKUP(D56,Configuracion!$A$4:$C$590,2,FALSE)</f>
        <v>POTA AMOBAMIENTOS SRL</v>
      </c>
      <c r="F56" s="356">
        <v>5240000</v>
      </c>
      <c r="G56" s="357">
        <f t="shared" si="4"/>
        <v>1100400</v>
      </c>
      <c r="H56" s="357"/>
      <c r="I56" s="357"/>
      <c r="J56" s="357"/>
      <c r="K56" s="358"/>
      <c r="L56" s="357"/>
      <c r="M56" s="357"/>
      <c r="N56" s="357"/>
      <c r="O56" s="359">
        <f t="shared" si="5"/>
        <v>6340400</v>
      </c>
      <c r="P56" s="360" t="str">
        <f>VLOOKUP(D56,Configuracion!$A$4:$C$590,3,FALSE)</f>
        <v>PROVEEDOR</v>
      </c>
    </row>
    <row r="57" spans="1:16" s="361" customFormat="1" ht="15" customHeight="1">
      <c r="A57" s="351">
        <v>45589</v>
      </c>
      <c r="B57" s="352">
        <v>21</v>
      </c>
      <c r="C57" s="353">
        <v>476</v>
      </c>
      <c r="D57" s="354">
        <v>20186310005</v>
      </c>
      <c r="E57" s="355" t="str">
        <f>VLOOKUP(D57,Configuracion!$A$4:$C$590,2,FALSE)</f>
        <v>SUCESION DE SALEME CARAM</v>
      </c>
      <c r="F57" s="356">
        <v>5000</v>
      </c>
      <c r="G57" s="357">
        <f t="shared" si="4"/>
        <v>1050</v>
      </c>
      <c r="H57" s="357"/>
      <c r="I57" s="357"/>
      <c r="J57" s="357"/>
      <c r="K57" s="358"/>
      <c r="L57" s="357"/>
      <c r="M57" s="357"/>
      <c r="N57" s="357"/>
      <c r="O57" s="359">
        <f t="shared" si="5"/>
        <v>6050</v>
      </c>
      <c r="P57" s="360" t="str">
        <f>VLOOKUP(D57,Configuracion!$A$4:$C$590,3,FALSE)</f>
        <v>VARIOS</v>
      </c>
    </row>
    <row r="58" spans="1:16" s="361" customFormat="1" ht="15" customHeight="1">
      <c r="A58" s="351">
        <v>45589</v>
      </c>
      <c r="B58" s="352">
        <v>23</v>
      </c>
      <c r="C58" s="353">
        <v>6148</v>
      </c>
      <c r="D58" s="354">
        <v>30711776040</v>
      </c>
      <c r="E58" s="355" t="str">
        <f>VLOOKUP(D58,Configuracion!$A$4:$C$590,2,FALSE)</f>
        <v>EXPRESO BICENTENARIO SRL</v>
      </c>
      <c r="F58" s="356">
        <v>12027</v>
      </c>
      <c r="G58" s="357">
        <f t="shared" si="4"/>
        <v>2525.67</v>
      </c>
      <c r="H58" s="357"/>
      <c r="I58" s="357"/>
      <c r="J58" s="357"/>
      <c r="K58" s="358"/>
      <c r="L58" s="357"/>
      <c r="M58" s="357"/>
      <c r="N58" s="357"/>
      <c r="O58" s="359">
        <f t="shared" si="5"/>
        <v>14552.67</v>
      </c>
      <c r="P58" s="360" t="str">
        <f>VLOOKUP(D58,Configuracion!$A$4:$C$590,3,FALSE)</f>
        <v>FLETE</v>
      </c>
    </row>
    <row r="59" spans="1:16" s="361" customFormat="1" ht="15" customHeight="1">
      <c r="A59" s="351">
        <v>45588</v>
      </c>
      <c r="B59" s="352">
        <v>2</v>
      </c>
      <c r="C59" s="353">
        <v>7704</v>
      </c>
      <c r="D59" s="354">
        <v>20253990903</v>
      </c>
      <c r="E59" s="355" t="str">
        <f>VLOOKUP(D59,Configuracion!$A$4:$C$590,2,FALSE)</f>
        <v>LOPEZ MATIAS</v>
      </c>
      <c r="F59" s="356">
        <v>244415</v>
      </c>
      <c r="G59" s="357">
        <f t="shared" si="4"/>
        <v>51327.15</v>
      </c>
      <c r="H59" s="357"/>
      <c r="I59" s="357"/>
      <c r="J59" s="357"/>
      <c r="K59" s="358"/>
      <c r="L59" s="357"/>
      <c r="M59" s="357"/>
      <c r="N59" s="357"/>
      <c r="O59" s="359">
        <f t="shared" si="5"/>
        <v>295742.15000000002</v>
      </c>
      <c r="P59" s="360" t="str">
        <f>VLOOKUP(D59,Configuracion!$A$4:$C$590,3,FALSE)</f>
        <v>PROVEEDOR</v>
      </c>
    </row>
    <row r="60" spans="1:16" s="361" customFormat="1" ht="15" customHeight="1">
      <c r="A60" s="351">
        <v>45596</v>
      </c>
      <c r="B60" s="352">
        <v>4</v>
      </c>
      <c r="C60" s="353">
        <v>141</v>
      </c>
      <c r="D60" s="354">
        <v>20317488476</v>
      </c>
      <c r="E60" s="355" t="str">
        <f>VLOOKUP(D60,Configuracion!$A$4:$C$590,2,FALSE)</f>
        <v>VILLALBA MIGUEL ANGEL</v>
      </c>
      <c r="F60" s="356">
        <v>300000</v>
      </c>
      <c r="G60" s="357">
        <f t="shared" si="4"/>
        <v>63000</v>
      </c>
      <c r="H60" s="357"/>
      <c r="I60" s="357"/>
      <c r="J60" s="357"/>
      <c r="K60" s="358"/>
      <c r="L60" s="357"/>
      <c r="M60" s="357"/>
      <c r="N60" s="357"/>
      <c r="O60" s="359">
        <f t="shared" si="5"/>
        <v>363000</v>
      </c>
      <c r="P60" s="360" t="str">
        <f>VLOOKUP(D60,Configuracion!$A$4:$C$590,3,FALSE)</f>
        <v>PROVEEDOR</v>
      </c>
    </row>
    <row r="61" spans="1:16" s="361" customFormat="1" ht="15" customHeight="1">
      <c r="A61" s="351">
        <v>45589</v>
      </c>
      <c r="B61" s="352">
        <v>3</v>
      </c>
      <c r="C61" s="353">
        <v>4307</v>
      </c>
      <c r="D61" s="354">
        <v>20184052858</v>
      </c>
      <c r="E61" s="355" t="str">
        <f>VLOOKUP(D61,Configuracion!$A$4:$C$590,2,FALSE)</f>
        <v>ABOUD PABLO DANIEL</v>
      </c>
      <c r="F61" s="356">
        <v>16859.52</v>
      </c>
      <c r="G61" s="357">
        <f t="shared" si="4"/>
        <v>3540.4991999999997</v>
      </c>
      <c r="H61" s="357"/>
      <c r="I61" s="357"/>
      <c r="J61" s="357"/>
      <c r="K61" s="358"/>
      <c r="L61" s="357"/>
      <c r="M61" s="357"/>
      <c r="N61" s="357"/>
      <c r="O61" s="359">
        <f t="shared" si="5"/>
        <v>20400.019199999999</v>
      </c>
      <c r="P61" s="360" t="str">
        <f>VLOOKUP(D61,Configuracion!$A$4:$C$590,3,FALSE)</f>
        <v>VARIOS</v>
      </c>
    </row>
    <row r="62" spans="1:16" s="361" customFormat="1" ht="15" customHeight="1">
      <c r="A62" s="351">
        <v>45594</v>
      </c>
      <c r="B62" s="352">
        <v>5</v>
      </c>
      <c r="C62" s="353">
        <v>2002</v>
      </c>
      <c r="D62" s="354">
        <v>30712187316</v>
      </c>
      <c r="E62" s="355" t="str">
        <f>VLOOKUP(D62,Configuracion!$A$4:$C$590,2,FALSE)</f>
        <v>ITALOMED PRODUCTOS SRL</v>
      </c>
      <c r="F62" s="356">
        <v>289656.77</v>
      </c>
      <c r="G62" s="357">
        <f t="shared" si="4"/>
        <v>60827.921699999999</v>
      </c>
      <c r="H62" s="357"/>
      <c r="I62" s="357"/>
      <c r="J62" s="357"/>
      <c r="K62" s="358"/>
      <c r="L62" s="357"/>
      <c r="M62" s="357"/>
      <c r="N62" s="357"/>
      <c r="O62" s="359">
        <f t="shared" si="5"/>
        <v>350484.69170000002</v>
      </c>
      <c r="P62" s="360" t="str">
        <f>VLOOKUP(D62,Configuracion!$A$4:$C$590,3,FALSE)</f>
        <v>PROVEEDOR</v>
      </c>
    </row>
    <row r="63" spans="1:16" s="361" customFormat="1" ht="15" customHeight="1">
      <c r="A63" s="351">
        <v>45596</v>
      </c>
      <c r="B63" s="352">
        <v>2</v>
      </c>
      <c r="C63" s="353">
        <v>886</v>
      </c>
      <c r="D63" s="354">
        <v>20272865869</v>
      </c>
      <c r="E63" s="355" t="str">
        <f>VLOOKUP(D63,Configuracion!$A$4:$C$590,2,FALSE)</f>
        <v>DI FEO MARTIN EZEQUIEL</v>
      </c>
      <c r="F63" s="356">
        <v>94400</v>
      </c>
      <c r="G63" s="357">
        <f t="shared" si="4"/>
        <v>19824</v>
      </c>
      <c r="H63" s="357"/>
      <c r="I63" s="357"/>
      <c r="J63" s="357"/>
      <c r="K63" s="358"/>
      <c r="L63" s="357"/>
      <c r="M63" s="357"/>
      <c r="N63" s="357"/>
      <c r="O63" s="359">
        <f t="shared" si="5"/>
        <v>114224</v>
      </c>
      <c r="P63" s="360" t="str">
        <f>VLOOKUP(D63,Configuracion!$A$4:$C$590,3,FALSE)</f>
        <v>PROVEEDOR</v>
      </c>
    </row>
    <row r="64" spans="1:16" s="361" customFormat="1" ht="15" customHeight="1">
      <c r="A64" s="351">
        <v>45596</v>
      </c>
      <c r="B64" s="352">
        <v>6</v>
      </c>
      <c r="C64" s="353">
        <v>54831</v>
      </c>
      <c r="D64" s="354">
        <v>30710177658</v>
      </c>
      <c r="E64" s="355" t="str">
        <f>VLOOKUP(D64,Configuracion!$A$4:$C$590,2,FALSE)</f>
        <v>TARGET MEDICAL SA</v>
      </c>
      <c r="F64" s="356">
        <v>425830</v>
      </c>
      <c r="G64" s="357">
        <f t="shared" si="4"/>
        <v>89424.3</v>
      </c>
      <c r="H64" s="357"/>
      <c r="I64" s="357"/>
      <c r="J64" s="357"/>
      <c r="K64" s="358"/>
      <c r="L64" s="357"/>
      <c r="M64" s="357"/>
      <c r="N64" s="357"/>
      <c r="O64" s="359">
        <f t="shared" si="5"/>
        <v>515254.3</v>
      </c>
      <c r="P64" s="360" t="str">
        <f>VLOOKUP(D64,Configuracion!$A$4:$C$590,3,FALSE)</f>
        <v>PROVEEDOR</v>
      </c>
    </row>
    <row r="65" spans="1:16" s="361" customFormat="1" ht="15" customHeight="1">
      <c r="A65" s="351">
        <v>45567</v>
      </c>
      <c r="B65" s="352">
        <v>2</v>
      </c>
      <c r="C65" s="353">
        <v>218</v>
      </c>
      <c r="D65" s="354">
        <v>30605344352</v>
      </c>
      <c r="E65" s="355" t="str">
        <f>VLOOKUP(D65,Configuracion!$A$4:$C$590,2,FALSE)</f>
        <v>CONSORCIO BARTOLME MITRE 2466</v>
      </c>
      <c r="F65" s="356">
        <v>834000</v>
      </c>
      <c r="G65" s="357">
        <f t="shared" si="4"/>
        <v>175140</v>
      </c>
      <c r="H65" s="357"/>
      <c r="I65" s="357"/>
      <c r="J65" s="357"/>
      <c r="K65" s="358"/>
      <c r="L65" s="357"/>
      <c r="M65" s="357"/>
      <c r="N65" s="357"/>
      <c r="O65" s="359">
        <f t="shared" si="5"/>
        <v>1009140</v>
      </c>
      <c r="P65" s="360" t="str">
        <f>VLOOKUP(D65,Configuracion!$A$4:$C$590,3,FALSE)</f>
        <v>CONSORCIO</v>
      </c>
    </row>
    <row r="66" spans="1:16" s="361" customFormat="1" ht="15" customHeight="1">
      <c r="A66" s="351">
        <v>45595</v>
      </c>
      <c r="B66" s="352">
        <v>7</v>
      </c>
      <c r="C66" s="353">
        <v>19390</v>
      </c>
      <c r="D66" s="354">
        <v>30709214078</v>
      </c>
      <c r="E66" s="355" t="str">
        <f>VLOOKUP(D66,Configuracion!$A$4:$C$590,2,FALSE)</f>
        <v>REHAVITA SA</v>
      </c>
      <c r="F66" s="356">
        <v>450340</v>
      </c>
      <c r="G66" s="357"/>
      <c r="H66" s="357"/>
      <c r="I66" s="357">
        <f>+F66*0.105</f>
        <v>47285.7</v>
      </c>
      <c r="J66" s="357"/>
      <c r="K66" s="358"/>
      <c r="L66" s="357"/>
      <c r="M66" s="357"/>
      <c r="N66" s="357"/>
      <c r="O66" s="359">
        <f t="shared" si="5"/>
        <v>497625.7</v>
      </c>
      <c r="P66" s="360" t="str">
        <f>VLOOKUP(D66,Configuracion!$A$4:$C$590,3,FALSE)</f>
        <v>PROVEEDOR</v>
      </c>
    </row>
    <row r="67" spans="1:16" s="361" customFormat="1" ht="15" customHeight="1">
      <c r="A67" s="351">
        <v>45595</v>
      </c>
      <c r="B67" s="352">
        <v>4</v>
      </c>
      <c r="C67" s="353">
        <v>38700</v>
      </c>
      <c r="D67" s="354">
        <v>20289111329</v>
      </c>
      <c r="E67" s="355" t="str">
        <f>VLOOKUP(D67,Configuracion!$A$4:$C$590,2,FALSE)</f>
        <v>R. N. LEDESMA</v>
      </c>
      <c r="F67" s="356">
        <v>973752.97</v>
      </c>
      <c r="G67" s="357">
        <f t="shared" si="4"/>
        <v>204488.1237</v>
      </c>
      <c r="H67" s="357"/>
      <c r="I67" s="357"/>
      <c r="J67" s="357"/>
      <c r="K67" s="358"/>
      <c r="L67" s="357"/>
      <c r="M67" s="357"/>
      <c r="N67" s="357"/>
      <c r="O67" s="359">
        <f t="shared" si="5"/>
        <v>1178241.0937000001</v>
      </c>
      <c r="P67" s="360" t="str">
        <f>VLOOKUP(D67,Configuracion!$A$4:$C$590,3,FALSE)</f>
        <v>PROVEEDOR</v>
      </c>
    </row>
    <row r="68" spans="1:16" s="361" customFormat="1" ht="15" customHeight="1">
      <c r="A68" s="351">
        <v>45595</v>
      </c>
      <c r="B68" s="352">
        <v>5</v>
      </c>
      <c r="C68" s="353">
        <v>33</v>
      </c>
      <c r="D68" s="354">
        <v>20929183143</v>
      </c>
      <c r="E68" s="355" t="str">
        <f>VLOOKUP(D68,Configuracion!$A$4:$C$590,2,FALSE)</f>
        <v>MA JUN</v>
      </c>
      <c r="F68" s="356">
        <v>50000</v>
      </c>
      <c r="G68" s="357">
        <f t="shared" si="4"/>
        <v>10500</v>
      </c>
      <c r="H68" s="357"/>
      <c r="I68" s="357"/>
      <c r="J68" s="357"/>
      <c r="K68" s="358"/>
      <c r="L68" s="357"/>
      <c r="M68" s="357"/>
      <c r="N68" s="357"/>
      <c r="O68" s="359">
        <f t="shared" si="5"/>
        <v>60500</v>
      </c>
      <c r="P68" s="360" t="str">
        <f>VLOOKUP(D68,Configuracion!$A$4:$C$590,3,FALSE)</f>
        <v>VARIOS</v>
      </c>
    </row>
    <row r="69" spans="1:16" s="361" customFormat="1" ht="15" customHeight="1">
      <c r="A69" s="351">
        <v>45581</v>
      </c>
      <c r="B69" s="352">
        <v>50</v>
      </c>
      <c r="C69" s="353">
        <v>3831803</v>
      </c>
      <c r="D69" s="354">
        <v>30714112836</v>
      </c>
      <c r="E69" s="355" t="str">
        <f>VLOOKUP(D69,Configuracion!$A$4:$C$590,2,FALSE)</f>
        <v>AUTOPISTAS DE BUENOS AIRES (AUBASA) SA</v>
      </c>
      <c r="F69" s="356">
        <v>2892.56</v>
      </c>
      <c r="G69" s="357">
        <f t="shared" si="4"/>
        <v>607.43759999999997</v>
      </c>
      <c r="H69" s="357"/>
      <c r="I69" s="357"/>
      <c r="J69" s="357">
        <v>86.78</v>
      </c>
      <c r="K69" s="358"/>
      <c r="L69" s="357"/>
      <c r="M69" s="357"/>
      <c r="N69" s="357"/>
      <c r="O69" s="359">
        <f t="shared" si="5"/>
        <v>3586.7775999999999</v>
      </c>
      <c r="P69" s="360" t="str">
        <f>VLOOKUP(D69,Configuracion!$A$4:$C$590,3,FALSE)</f>
        <v>GASTOS MOVILIDAD</v>
      </c>
    </row>
    <row r="70" spans="1:16" s="361" customFormat="1" ht="15" customHeight="1">
      <c r="A70" s="351">
        <v>45583</v>
      </c>
      <c r="B70" s="352">
        <v>711</v>
      </c>
      <c r="C70" s="353">
        <v>6273743</v>
      </c>
      <c r="D70" s="354">
        <v>30677237119</v>
      </c>
      <c r="E70" s="355" t="str">
        <f>VLOOKUP(D70,Configuracion!$A$4:$C$590,2,FALSE)</f>
        <v>AUTOPISTAS DEL SOL SA</v>
      </c>
      <c r="F70" s="356">
        <v>5459.6</v>
      </c>
      <c r="G70" s="357">
        <f t="shared" si="4"/>
        <v>1146.5160000000001</v>
      </c>
      <c r="H70" s="357"/>
      <c r="I70" s="357"/>
      <c r="J70" s="357">
        <v>163.79</v>
      </c>
      <c r="K70" s="358">
        <v>272.98</v>
      </c>
      <c r="L70" s="357"/>
      <c r="M70" s="357"/>
      <c r="N70" s="357"/>
      <c r="O70" s="359">
        <f t="shared" si="5"/>
        <v>7042.8860000000004</v>
      </c>
      <c r="P70" s="360" t="str">
        <f>VLOOKUP(D70,Configuracion!$A$4:$C$590,3,FALSE)</f>
        <v>PEAJE</v>
      </c>
    </row>
    <row r="71" spans="1:16" s="361" customFormat="1" ht="15" customHeight="1">
      <c r="A71" s="351">
        <v>45567</v>
      </c>
      <c r="B71" s="352">
        <v>711</v>
      </c>
      <c r="C71" s="353">
        <v>6215204</v>
      </c>
      <c r="D71" s="354">
        <v>30677237119</v>
      </c>
      <c r="E71" s="355" t="str">
        <f>VLOOKUP(D71,Configuracion!$A$4:$C$590,2,FALSE)</f>
        <v>AUTOPISTAS DEL SOL SA</v>
      </c>
      <c r="F71" s="356">
        <v>8703.0400000000009</v>
      </c>
      <c r="G71" s="357">
        <f t="shared" si="4"/>
        <v>1827.6384</v>
      </c>
      <c r="H71" s="357"/>
      <c r="I71" s="357"/>
      <c r="J71" s="357">
        <v>261.08999999999997</v>
      </c>
      <c r="K71" s="358">
        <v>435.15</v>
      </c>
      <c r="L71" s="357"/>
      <c r="M71" s="357"/>
      <c r="N71" s="357"/>
      <c r="O71" s="359">
        <f t="shared" si="5"/>
        <v>11226.9184</v>
      </c>
      <c r="P71" s="360" t="str">
        <f>VLOOKUP(D71,Configuracion!$A$4:$C$590,3,FALSE)</f>
        <v>PEAJE</v>
      </c>
    </row>
    <row r="72" spans="1:16" s="361" customFormat="1" ht="15" customHeight="1">
      <c r="A72" s="351">
        <v>45567</v>
      </c>
      <c r="B72" s="352">
        <v>629</v>
      </c>
      <c r="C72" s="353">
        <v>5489145</v>
      </c>
      <c r="D72" s="354">
        <v>30663498513</v>
      </c>
      <c r="E72" s="355" t="str">
        <f>VLOOKUP(D72,Configuracion!$A$4:$C$590,2,FALSE)</f>
        <v>GRUPO CONC.DEL OESTE SA</v>
      </c>
      <c r="F72" s="356">
        <v>3744.33</v>
      </c>
      <c r="G72" s="357">
        <f t="shared" si="4"/>
        <v>786.30930000000001</v>
      </c>
      <c r="H72" s="357"/>
      <c r="I72" s="357"/>
      <c r="J72" s="357"/>
      <c r="K72" s="358">
        <v>187.22</v>
      </c>
      <c r="L72" s="357"/>
      <c r="M72" s="357"/>
      <c r="N72" s="357"/>
      <c r="O72" s="359">
        <f t="shared" si="5"/>
        <v>4717.8593000000001</v>
      </c>
      <c r="P72" s="360" t="str">
        <f>VLOOKUP(D72,Configuracion!$A$4:$C$590,3,FALSE)</f>
        <v>PEAJE</v>
      </c>
    </row>
    <row r="73" spans="1:16" s="361" customFormat="1" ht="15" customHeight="1">
      <c r="A73" s="351">
        <v>45583</v>
      </c>
      <c r="B73" s="352">
        <v>629</v>
      </c>
      <c r="C73" s="353">
        <v>5529485</v>
      </c>
      <c r="D73" s="354">
        <v>30663498513</v>
      </c>
      <c r="E73" s="355" t="str">
        <f>VLOOKUP(D73,Configuracion!$A$4:$C$590,2,FALSE)</f>
        <v>GRUPO CONC.DEL OESTE SA</v>
      </c>
      <c r="F73" s="356">
        <v>2080.48</v>
      </c>
      <c r="G73" s="357">
        <f t="shared" si="4"/>
        <v>436.9008</v>
      </c>
      <c r="H73" s="357"/>
      <c r="I73" s="357"/>
      <c r="J73" s="357"/>
      <c r="K73" s="358">
        <v>104.02</v>
      </c>
      <c r="L73" s="357"/>
      <c r="M73" s="357"/>
      <c r="N73" s="357"/>
      <c r="O73" s="359">
        <f t="shared" si="5"/>
        <v>2621.4007999999999</v>
      </c>
      <c r="P73" s="360" t="str">
        <f>VLOOKUP(D73,Configuracion!$A$4:$C$590,3,FALSE)</f>
        <v>PEAJE</v>
      </c>
    </row>
    <row r="74" spans="1:16" s="361" customFormat="1" ht="15" customHeight="1">
      <c r="A74" s="351">
        <v>45573</v>
      </c>
      <c r="B74" s="352">
        <v>700</v>
      </c>
      <c r="C74" s="353">
        <v>1972986</v>
      </c>
      <c r="D74" s="354">
        <v>30715804812</v>
      </c>
      <c r="E74" s="355" t="str">
        <f>VLOOKUP(D74,Configuracion!$A$4:$C$590,2,FALSE)</f>
        <v>CORREDORES VIALES SA</v>
      </c>
      <c r="F74" s="356">
        <v>13297.33</v>
      </c>
      <c r="G74" s="357">
        <f t="shared" si="4"/>
        <v>2792.4393</v>
      </c>
      <c r="H74" s="357"/>
      <c r="I74" s="357"/>
      <c r="J74" s="357"/>
      <c r="K74" s="358">
        <v>664.87</v>
      </c>
      <c r="L74" s="357"/>
      <c r="M74" s="357"/>
      <c r="N74" s="357"/>
      <c r="O74" s="359">
        <f t="shared" si="5"/>
        <v>16754.639299999999</v>
      </c>
      <c r="P74" s="360" t="str">
        <f>VLOOKUP(D74,Configuracion!$A$4:$C$590,3,FALSE)</f>
        <v>GASTOS MOVILIDAD</v>
      </c>
    </row>
    <row r="75" spans="1:16" s="361" customFormat="1" ht="15" customHeight="1">
      <c r="A75" s="351">
        <v>45588</v>
      </c>
      <c r="B75" s="352">
        <v>700</v>
      </c>
      <c r="C75" s="353">
        <v>2005182</v>
      </c>
      <c r="D75" s="354">
        <v>30715804812</v>
      </c>
      <c r="E75" s="355" t="str">
        <f>VLOOKUP(D75,Configuracion!$A$4:$C$590,2,FALSE)</f>
        <v>CORREDORES VIALES SA</v>
      </c>
      <c r="F75" s="356">
        <v>8845.2199999999993</v>
      </c>
      <c r="G75" s="357">
        <f t="shared" si="4"/>
        <v>1857.4961999999998</v>
      </c>
      <c r="H75" s="357"/>
      <c r="I75" s="357"/>
      <c r="J75" s="357"/>
      <c r="K75" s="358">
        <v>442.26</v>
      </c>
      <c r="L75" s="357"/>
      <c r="M75" s="357"/>
      <c r="N75" s="357"/>
      <c r="O75" s="359">
        <f t="shared" si="5"/>
        <v>11144.976199999999</v>
      </c>
      <c r="P75" s="360" t="str">
        <f>VLOOKUP(D75,Configuracion!$A$4:$C$590,3,FALSE)</f>
        <v>GASTOS MOVILIDAD</v>
      </c>
    </row>
    <row r="76" spans="1:16" s="361" customFormat="1" ht="15" customHeight="1">
      <c r="A76" s="351">
        <v>45588</v>
      </c>
      <c r="B76" s="352">
        <v>5015</v>
      </c>
      <c r="C76" s="353">
        <v>658066</v>
      </c>
      <c r="D76" s="354">
        <v>30574876474</v>
      </c>
      <c r="E76" s="355" t="str">
        <f>VLOOKUP(D76,Configuracion!$A$4:$C$590,2,FALSE)</f>
        <v>AUTOPISTAS URBANAS SA</v>
      </c>
      <c r="F76" s="356">
        <v>19646.52</v>
      </c>
      <c r="G76" s="357">
        <f t="shared" si="4"/>
        <v>4125.7691999999997</v>
      </c>
      <c r="H76" s="357"/>
      <c r="I76" s="357"/>
      <c r="J76" s="357"/>
      <c r="K76" s="358"/>
      <c r="L76" s="357"/>
      <c r="M76" s="357"/>
      <c r="N76" s="357">
        <f>589.4+1964.67</f>
        <v>2554.0700000000002</v>
      </c>
      <c r="O76" s="359">
        <f t="shared" si="5"/>
        <v>26326.359199999999</v>
      </c>
      <c r="P76" s="360" t="str">
        <f>VLOOKUP(D76,Configuracion!$A$4:$C$590,3,FALSE)</f>
        <v>PEAJE</v>
      </c>
    </row>
    <row r="77" spans="1:16" s="361" customFormat="1" ht="15" customHeight="1">
      <c r="A77" s="351">
        <v>45580</v>
      </c>
      <c r="B77" s="352">
        <v>5015</v>
      </c>
      <c r="C77" s="353">
        <v>654620</v>
      </c>
      <c r="D77" s="354">
        <v>30574876474</v>
      </c>
      <c r="E77" s="355" t="str">
        <f>VLOOKUP(D77,Configuracion!$A$4:$C$590,2,FALSE)</f>
        <v>AUTOPISTAS URBANAS SA</v>
      </c>
      <c r="F77" s="356">
        <v>13226.3</v>
      </c>
      <c r="G77" s="357">
        <f t="shared" si="4"/>
        <v>2777.5229999999997</v>
      </c>
      <c r="H77" s="357"/>
      <c r="I77" s="357"/>
      <c r="J77" s="357"/>
      <c r="K77" s="358"/>
      <c r="L77" s="357"/>
      <c r="M77" s="357"/>
      <c r="N77" s="357">
        <f>1322.63+396.79</f>
        <v>1719.42</v>
      </c>
      <c r="O77" s="359">
        <f t="shared" si="5"/>
        <v>17723.242999999999</v>
      </c>
      <c r="P77" s="360" t="str">
        <f>VLOOKUP(D77,Configuracion!$A$4:$C$590,3,FALSE)</f>
        <v>PEAJE</v>
      </c>
    </row>
    <row r="78" spans="1:16" s="361" customFormat="1" ht="15" customHeight="1">
      <c r="A78" s="351">
        <v>45573</v>
      </c>
      <c r="B78" s="352">
        <v>5015</v>
      </c>
      <c r="C78" s="353">
        <v>653151</v>
      </c>
      <c r="D78" s="354">
        <v>30574876474</v>
      </c>
      <c r="E78" s="355" t="str">
        <f>VLOOKUP(D78,Configuracion!$A$4:$C$590,2,FALSE)</f>
        <v>AUTOPISTAS URBANAS SA</v>
      </c>
      <c r="F78" s="356">
        <v>17804.16</v>
      </c>
      <c r="G78" s="357">
        <f t="shared" si="4"/>
        <v>3738.8735999999999</v>
      </c>
      <c r="H78" s="357"/>
      <c r="I78" s="357"/>
      <c r="J78" s="357"/>
      <c r="K78" s="358"/>
      <c r="L78" s="357"/>
      <c r="M78" s="357"/>
      <c r="N78" s="357">
        <f>534.12+1780.42</f>
        <v>2314.54</v>
      </c>
      <c r="O78" s="359">
        <f t="shared" si="5"/>
        <v>23857.5736</v>
      </c>
      <c r="P78" s="360" t="str">
        <f>VLOOKUP(D78,Configuracion!$A$4:$C$590,3,FALSE)</f>
        <v>PEAJE</v>
      </c>
    </row>
    <row r="79" spans="1:16" ht="15" customHeight="1">
      <c r="A79" s="200">
        <v>45594</v>
      </c>
      <c r="B79" s="21">
        <v>11</v>
      </c>
      <c r="C79" s="202">
        <v>10960</v>
      </c>
      <c r="D79" s="204">
        <v>20211408511</v>
      </c>
      <c r="E79" s="203" t="str">
        <f>VLOOKUP(D79,Configuracion!$A$4:$C$590,2,FALSE)</f>
        <v>GABRIEL ALEJANDRO SEGAL</v>
      </c>
      <c r="F79" s="207">
        <v>325616.76</v>
      </c>
      <c r="G79" s="50"/>
      <c r="H79" s="50"/>
      <c r="I79" s="50">
        <f>+F79*0.105</f>
        <v>34189.7598</v>
      </c>
      <c r="J79" s="50"/>
      <c r="K79" s="220">
        <v>16280.84</v>
      </c>
      <c r="L79" s="50"/>
      <c r="M79" s="225"/>
      <c r="N79" s="50"/>
      <c r="O79" s="205">
        <f t="shared" si="5"/>
        <v>376087.35980000003</v>
      </c>
      <c r="P79" s="210" t="str">
        <f>VLOOKUP(D79,Configuracion!$A$4:$C$590,3,FALSE)</f>
        <v>VARIOS</v>
      </c>
    </row>
    <row r="80" spans="1:16" s="361" customFormat="1" ht="15" customHeight="1">
      <c r="A80" s="351">
        <v>45590</v>
      </c>
      <c r="B80" s="352">
        <v>4</v>
      </c>
      <c r="C80" s="353">
        <v>1202</v>
      </c>
      <c r="D80" s="354">
        <v>20202500138</v>
      </c>
      <c r="E80" s="355" t="str">
        <f>VLOOKUP(D80,Configuracion!$A$4:$C$590,2,FALSE)</f>
        <v>RAMBAUD DIEGO GABRIEL</v>
      </c>
      <c r="F80" s="356">
        <v>12669.68</v>
      </c>
      <c r="G80" s="357"/>
      <c r="H80" s="357"/>
      <c r="I80" s="357">
        <f>+F80*0.105</f>
        <v>1330.3163999999999</v>
      </c>
      <c r="J80" s="357"/>
      <c r="K80" s="358"/>
      <c r="L80" s="357"/>
      <c r="M80" s="357"/>
      <c r="N80" s="357"/>
      <c r="O80" s="359">
        <f t="shared" si="5"/>
        <v>13999.9964</v>
      </c>
      <c r="P80" s="360" t="str">
        <f>VLOOKUP(D80,Configuracion!$A$4:$C$590,3,FALSE)</f>
        <v>GASTOS VARIOS</v>
      </c>
    </row>
    <row r="81" spans="1:16" s="361" customFormat="1" ht="15" customHeight="1">
      <c r="A81" s="351">
        <v>45587</v>
      </c>
      <c r="B81" s="352">
        <v>30</v>
      </c>
      <c r="C81" s="353">
        <v>95031</v>
      </c>
      <c r="D81" s="354">
        <v>30690212265</v>
      </c>
      <c r="E81" s="355" t="str">
        <f>VLOOKUP(D81,Configuracion!$A$4:$C$590,2,FALSE)</f>
        <v>GIAMPAOLETTI SA</v>
      </c>
      <c r="F81" s="356">
        <v>56248.45</v>
      </c>
      <c r="G81" s="357">
        <f t="shared" si="4"/>
        <v>11812.174499999999</v>
      </c>
      <c r="H81" s="357"/>
      <c r="I81" s="357"/>
      <c r="J81" s="357"/>
      <c r="K81" s="358"/>
      <c r="L81" s="357"/>
      <c r="M81" s="357"/>
      <c r="N81" s="357"/>
      <c r="O81" s="359">
        <f t="shared" si="5"/>
        <v>68060.624499999991</v>
      </c>
      <c r="P81" s="360" t="str">
        <f>VLOOKUP(D81,Configuracion!$A$4:$C$590,3,FALSE)</f>
        <v>FLETE</v>
      </c>
    </row>
    <row r="82" spans="1:16" s="361" customFormat="1" ht="15" customHeight="1">
      <c r="A82" s="351">
        <v>45584</v>
      </c>
      <c r="B82" s="352">
        <v>3</v>
      </c>
      <c r="C82" s="353">
        <v>103</v>
      </c>
      <c r="D82" s="354">
        <v>20278292429</v>
      </c>
      <c r="E82" s="355" t="str">
        <f>VLOOKUP(D82,Configuracion!$A$4:$C$590,2,FALSE)</f>
        <v>FREDES LUCAS FEDERICO</v>
      </c>
      <c r="F82" s="356">
        <v>18345.490000000002</v>
      </c>
      <c r="G82" s="357">
        <f t="shared" si="4"/>
        <v>3852.5529000000001</v>
      </c>
      <c r="H82" s="357"/>
      <c r="I82" s="357"/>
      <c r="J82" s="357"/>
      <c r="K82" s="358"/>
      <c r="L82" s="357"/>
      <c r="M82" s="357"/>
      <c r="N82" s="357"/>
      <c r="O82" s="359">
        <f t="shared" si="5"/>
        <v>22198.0429</v>
      </c>
      <c r="P82" s="360" t="str">
        <f>VLOOKUP(D82,Configuracion!$A$4:$C$590,3,FALSE)</f>
        <v>VARIOS</v>
      </c>
    </row>
    <row r="83" spans="1:16" s="361" customFormat="1" ht="15" customHeight="1">
      <c r="A83" s="351">
        <v>45566</v>
      </c>
      <c r="B83" s="352">
        <v>59</v>
      </c>
      <c r="C83" s="353">
        <v>16596</v>
      </c>
      <c r="D83" s="354">
        <v>30541849307</v>
      </c>
      <c r="E83" s="355" t="str">
        <f>VLOOKUP(D83,Configuracion!$A$4:$C$590,2,FALSE)</f>
        <v>DIETRICH SA</v>
      </c>
      <c r="F83" s="356">
        <v>330264.46000000002</v>
      </c>
      <c r="G83" s="357">
        <f t="shared" si="4"/>
        <v>69355.536600000007</v>
      </c>
      <c r="H83" s="357"/>
      <c r="I83" s="357"/>
      <c r="J83" s="357"/>
      <c r="K83" s="358">
        <v>16513.22</v>
      </c>
      <c r="L83" s="357"/>
      <c r="M83" s="357"/>
      <c r="N83" s="357"/>
      <c r="O83" s="359">
        <f t="shared" si="5"/>
        <v>416133.21660000004</v>
      </c>
      <c r="P83" s="360" t="str">
        <f>VLOOKUP(D83,Configuracion!$A$4:$C$590,3,FALSE)</f>
        <v>VARIOS</v>
      </c>
    </row>
    <row r="84" spans="1:16" s="361" customFormat="1" ht="15" customHeight="1">
      <c r="A84" s="351">
        <v>45567</v>
      </c>
      <c r="B84" s="352">
        <v>32</v>
      </c>
      <c r="C84" s="353">
        <v>13658</v>
      </c>
      <c r="D84" s="354">
        <v>30707304886</v>
      </c>
      <c r="E84" s="355" t="str">
        <f>VLOOKUP(D84,Configuracion!$A$4:$C$590,2,FALSE)</f>
        <v>ARMORAUT SA</v>
      </c>
      <c r="F84" s="356">
        <v>276401.65000000002</v>
      </c>
      <c r="G84" s="357">
        <f t="shared" si="4"/>
        <v>58044.3465</v>
      </c>
      <c r="H84" s="357"/>
      <c r="I84" s="357"/>
      <c r="J84" s="357"/>
      <c r="K84" s="358">
        <v>13820.08</v>
      </c>
      <c r="L84" s="357"/>
      <c r="M84" s="357"/>
      <c r="N84" s="357"/>
      <c r="O84" s="359">
        <f t="shared" si="5"/>
        <v>348266.07650000002</v>
      </c>
      <c r="P84" s="360" t="str">
        <f>VLOOKUP(D84,Configuracion!$A$4:$C$590,3,FALSE)</f>
        <v>GASTOS MOVILIDAD</v>
      </c>
    </row>
    <row r="85" spans="1:16" s="361" customFormat="1" ht="15" customHeight="1">
      <c r="A85" s="351">
        <v>45574</v>
      </c>
      <c r="B85" s="352">
        <v>7</v>
      </c>
      <c r="C85" s="353">
        <v>3332</v>
      </c>
      <c r="D85" s="354">
        <v>20284183534</v>
      </c>
      <c r="E85" s="355" t="str">
        <f>VLOOKUP(D85,Configuracion!$A$4:$C$590,2,FALSE)</f>
        <v>FURLANETTO MARTIN</v>
      </c>
      <c r="F85" s="356">
        <v>5454.6</v>
      </c>
      <c r="G85" s="357">
        <f t="shared" ref="G85:G96" si="6">F85*21%</f>
        <v>1145.4660000000001</v>
      </c>
      <c r="H85" s="357"/>
      <c r="I85" s="357"/>
      <c r="J85" s="357"/>
      <c r="K85" s="358"/>
      <c r="L85" s="357"/>
      <c r="M85" s="357"/>
      <c r="N85" s="357"/>
      <c r="O85" s="359">
        <f t="shared" ref="O85:O96" si="7">SUM(F85:N85)</f>
        <v>6600.0660000000007</v>
      </c>
      <c r="P85" s="360" t="str">
        <f>VLOOKUP(D85,Configuracion!$A$4:$C$590,3,FALSE)</f>
        <v>VARIOS</v>
      </c>
    </row>
    <row r="86" spans="1:16" s="361" customFormat="1" ht="15" customHeight="1">
      <c r="A86" s="351">
        <v>45591</v>
      </c>
      <c r="B86" s="352">
        <v>2189</v>
      </c>
      <c r="C86" s="353">
        <v>78820</v>
      </c>
      <c r="D86" s="354">
        <v>30548083156</v>
      </c>
      <c r="E86" s="355" t="str">
        <f>VLOOKUP(D86,Configuracion!$A$4:$C$590,2,FALSE)</f>
        <v>COTO CICSA</v>
      </c>
      <c r="F86" s="356">
        <v>5875.26</v>
      </c>
      <c r="G86" s="357">
        <f t="shared" si="6"/>
        <v>1233.8045999999999</v>
      </c>
      <c r="H86" s="357"/>
      <c r="I86" s="357"/>
      <c r="J86" s="357">
        <f>+F86*0.03</f>
        <v>176.2578</v>
      </c>
      <c r="K86" s="358">
        <f>+F86*0.05</f>
        <v>293.76300000000003</v>
      </c>
      <c r="L86" s="357"/>
      <c r="M86" s="357"/>
      <c r="N86" s="357"/>
      <c r="O86" s="359">
        <f t="shared" si="7"/>
        <v>7579.0853999999999</v>
      </c>
      <c r="P86" s="360" t="str">
        <f>VLOOKUP(D86,Configuracion!$A$4:$C$590,3,FALSE)</f>
        <v>GASTOS VARIOS</v>
      </c>
    </row>
    <row r="87" spans="1:16" s="361" customFormat="1" ht="15" customHeight="1">
      <c r="A87" s="351">
        <v>45580</v>
      </c>
      <c r="B87" s="352">
        <v>1</v>
      </c>
      <c r="C87" s="353">
        <v>2238</v>
      </c>
      <c r="D87" s="354">
        <v>33716307749</v>
      </c>
      <c r="E87" s="355" t="str">
        <f>VLOOKUP(D87,Configuracion!$A$4:$C$590,2,FALSE)</f>
        <v xml:space="preserve">VERISURE ARG MONITOREO A SA </v>
      </c>
      <c r="F87" s="356">
        <v>-5399.88</v>
      </c>
      <c r="G87" s="357">
        <f t="shared" si="6"/>
        <v>-1133.9748</v>
      </c>
      <c r="H87" s="357"/>
      <c r="I87" s="357"/>
      <c r="J87" s="357"/>
      <c r="K87" s="358"/>
      <c r="L87" s="357"/>
      <c r="M87" s="357"/>
      <c r="N87" s="357"/>
      <c r="O87" s="359">
        <f t="shared" si="7"/>
        <v>-6533.8548000000001</v>
      </c>
      <c r="P87" s="360" t="str">
        <f>VLOOKUP(D87,Configuracion!$A$4:$C$590,3,FALSE)</f>
        <v>PROVEEDOR</v>
      </c>
    </row>
    <row r="88" spans="1:16" s="361" customFormat="1" ht="15" customHeight="1">
      <c r="A88" s="351">
        <v>45583</v>
      </c>
      <c r="B88" s="352">
        <v>4264</v>
      </c>
      <c r="C88" s="353">
        <v>4521694</v>
      </c>
      <c r="D88" s="354">
        <v>30639453738</v>
      </c>
      <c r="E88" s="355" t="str">
        <f>VLOOKUP(D88,Configuracion!$A$4:$C$590,2,FALSE)</f>
        <v>TELECOM ARGENTINA SA</v>
      </c>
      <c r="F88" s="356">
        <f>5950.41+19155.99</f>
        <v>25106.400000000001</v>
      </c>
      <c r="G88" s="357">
        <f t="shared" si="6"/>
        <v>5272.3440000000001</v>
      </c>
      <c r="H88" s="357"/>
      <c r="I88" s="357"/>
      <c r="J88" s="357">
        <f>+F88*0.03</f>
        <v>753.19200000000001</v>
      </c>
      <c r="K88" s="358">
        <f>+F88*0.05</f>
        <v>1255.3200000000002</v>
      </c>
      <c r="L88" s="357"/>
      <c r="M88" s="357"/>
      <c r="N88" s="357"/>
      <c r="O88" s="359">
        <f t="shared" si="7"/>
        <v>32387.256000000001</v>
      </c>
      <c r="P88" s="360" t="str">
        <f>VLOOKUP(D88,Configuracion!$A$4:$C$590,3,FALSE)</f>
        <v>SERVICIO</v>
      </c>
    </row>
    <row r="89" spans="1:16" s="361" customFormat="1" ht="15" customHeight="1">
      <c r="A89" s="351">
        <v>45594</v>
      </c>
      <c r="B89" s="352">
        <v>12</v>
      </c>
      <c r="C89" s="353">
        <v>3229486</v>
      </c>
      <c r="D89" s="354">
        <v>30703088534</v>
      </c>
      <c r="E89" s="355" t="str">
        <f>VLOOKUP(D89,Configuracion!$A$4:$C$590,2,FALSE)</f>
        <v>MERCADOLIBRE SRL</v>
      </c>
      <c r="F89" s="356">
        <v>52814.1</v>
      </c>
      <c r="G89" s="357">
        <f t="shared" si="6"/>
        <v>11090.960999999999</v>
      </c>
      <c r="H89" s="357"/>
      <c r="I89" s="357"/>
      <c r="J89" s="357">
        <f>+F89*0.03</f>
        <v>1584.423</v>
      </c>
      <c r="K89" s="358">
        <f>+F89*0.05</f>
        <v>2640.7049999999999</v>
      </c>
      <c r="L89" s="357"/>
      <c r="M89" s="357"/>
      <c r="N89" s="357"/>
      <c r="O89" s="359">
        <f t="shared" si="7"/>
        <v>68130.188999999998</v>
      </c>
      <c r="P89" s="360" t="str">
        <f>VLOOKUP(D89,Configuracion!$A$4:$C$590,3,FALSE)</f>
        <v>PROVEEDOR</v>
      </c>
    </row>
    <row r="90" spans="1:16" ht="15" customHeight="1">
      <c r="A90" s="200"/>
      <c r="B90" s="21"/>
      <c r="C90" s="202"/>
      <c r="D90" s="204"/>
      <c r="E90" s="203" t="e">
        <f>VLOOKUP(D90,Configuracion!$A$4:$C$590,2,FALSE)</f>
        <v>#N/A</v>
      </c>
      <c r="F90" s="207"/>
      <c r="G90" s="50">
        <f t="shared" si="6"/>
        <v>0</v>
      </c>
      <c r="H90" s="50"/>
      <c r="I90" s="50"/>
      <c r="J90" s="50"/>
      <c r="K90" s="220"/>
      <c r="L90" s="50"/>
      <c r="M90" s="225"/>
      <c r="N90" s="50"/>
      <c r="O90" s="205">
        <f t="shared" si="7"/>
        <v>0</v>
      </c>
      <c r="P90" s="210" t="e">
        <f>VLOOKUP(D90,Configuracion!$A$4:$C$590,3,FALSE)</f>
        <v>#N/A</v>
      </c>
    </row>
    <row r="91" spans="1:16" ht="15" customHeight="1">
      <c r="A91" s="200"/>
      <c r="B91" s="21"/>
      <c r="C91" s="202"/>
      <c r="D91" s="204"/>
      <c r="E91" s="203" t="e">
        <f>VLOOKUP(D91,Configuracion!$A$4:$C$590,2,FALSE)</f>
        <v>#N/A</v>
      </c>
      <c r="F91" s="207"/>
      <c r="G91" s="50">
        <f t="shared" si="6"/>
        <v>0</v>
      </c>
      <c r="H91" s="50"/>
      <c r="I91" s="50"/>
      <c r="J91" s="50"/>
      <c r="K91" s="220"/>
      <c r="L91" s="50"/>
      <c r="M91" s="225"/>
      <c r="N91" s="50"/>
      <c r="O91" s="205">
        <f t="shared" si="7"/>
        <v>0</v>
      </c>
      <c r="P91" s="210" t="e">
        <f>VLOOKUP(D91,Configuracion!$A$4:$C$590,3,FALSE)</f>
        <v>#N/A</v>
      </c>
    </row>
    <row r="92" spans="1:16" ht="15" customHeight="1">
      <c r="A92" s="200"/>
      <c r="B92" s="21"/>
      <c r="C92" s="202"/>
      <c r="D92" s="204"/>
      <c r="E92" s="203" t="e">
        <f>VLOOKUP(D92,Configuracion!$A$4:$C$590,2,FALSE)</f>
        <v>#N/A</v>
      </c>
      <c r="F92" s="207"/>
      <c r="G92" s="50">
        <f t="shared" si="6"/>
        <v>0</v>
      </c>
      <c r="H92" s="50"/>
      <c r="I92" s="50"/>
      <c r="J92" s="50"/>
      <c r="K92" s="220"/>
      <c r="L92" s="50"/>
      <c r="M92" s="225"/>
      <c r="N92" s="50"/>
      <c r="O92" s="205">
        <f t="shared" si="7"/>
        <v>0</v>
      </c>
      <c r="P92" s="210" t="e">
        <f>VLOOKUP(D92,Configuracion!$A$4:$C$590,3,FALSE)</f>
        <v>#N/A</v>
      </c>
    </row>
    <row r="93" spans="1:16" ht="15" customHeight="1">
      <c r="A93" s="200"/>
      <c r="B93" s="21"/>
      <c r="C93" s="202"/>
      <c r="D93" s="204"/>
      <c r="E93" s="203" t="e">
        <f>VLOOKUP(D93,Configuracion!$A$4:$C$590,2,FALSE)</f>
        <v>#N/A</v>
      </c>
      <c r="F93" s="207"/>
      <c r="G93" s="50">
        <f t="shared" si="6"/>
        <v>0</v>
      </c>
      <c r="H93" s="50"/>
      <c r="I93" s="50"/>
      <c r="J93" s="50"/>
      <c r="K93" s="220"/>
      <c r="L93" s="50"/>
      <c r="M93" s="225"/>
      <c r="N93" s="50"/>
      <c r="O93" s="205">
        <f t="shared" si="7"/>
        <v>0</v>
      </c>
      <c r="P93" s="210" t="e">
        <f>VLOOKUP(D93,Configuracion!$A$4:$C$590,3,FALSE)</f>
        <v>#N/A</v>
      </c>
    </row>
    <row r="94" spans="1:16" ht="15" customHeight="1">
      <c r="A94" s="200"/>
      <c r="B94" s="21"/>
      <c r="C94" s="202"/>
      <c r="D94" s="204"/>
      <c r="E94" s="203" t="e">
        <f>VLOOKUP(D94,Configuracion!$A$4:$C$590,2,FALSE)</f>
        <v>#N/A</v>
      </c>
      <c r="F94" s="207"/>
      <c r="G94" s="50">
        <f t="shared" si="6"/>
        <v>0</v>
      </c>
      <c r="H94" s="50"/>
      <c r="I94" s="50"/>
      <c r="J94" s="50"/>
      <c r="K94" s="220"/>
      <c r="L94" s="50"/>
      <c r="M94" s="225"/>
      <c r="N94" s="50"/>
      <c r="O94" s="205">
        <f t="shared" si="7"/>
        <v>0</v>
      </c>
      <c r="P94" s="210" t="e">
        <f>VLOOKUP(D94,Configuracion!$A$4:$C$590,3,FALSE)</f>
        <v>#N/A</v>
      </c>
    </row>
    <row r="95" spans="1:16" ht="15" customHeight="1">
      <c r="A95" s="200"/>
      <c r="B95" s="21"/>
      <c r="C95" s="202"/>
      <c r="D95" s="204"/>
      <c r="E95" s="203" t="e">
        <f>VLOOKUP(D95,Configuracion!$A$4:$C$590,2,FALSE)</f>
        <v>#N/A</v>
      </c>
      <c r="F95" s="207"/>
      <c r="G95" s="50">
        <f t="shared" si="6"/>
        <v>0</v>
      </c>
      <c r="H95" s="50"/>
      <c r="I95" s="50"/>
      <c r="J95" s="50"/>
      <c r="K95" s="220"/>
      <c r="L95" s="50"/>
      <c r="M95" s="225"/>
      <c r="N95" s="50"/>
      <c r="O95" s="205">
        <f t="shared" si="7"/>
        <v>0</v>
      </c>
      <c r="P95" s="210" t="e">
        <f>VLOOKUP(D95,Configuracion!$A$4:$C$590,3,FALSE)</f>
        <v>#N/A</v>
      </c>
    </row>
    <row r="96" spans="1:16" ht="15" customHeight="1">
      <c r="A96" s="200"/>
      <c r="B96" s="21"/>
      <c r="C96" s="202"/>
      <c r="D96" s="204"/>
      <c r="E96" s="203" t="e">
        <f>VLOOKUP(D96,Configuracion!$A$4:$C$590,2,FALSE)</f>
        <v>#N/A</v>
      </c>
      <c r="F96" s="207"/>
      <c r="G96" s="50">
        <f t="shared" si="6"/>
        <v>0</v>
      </c>
      <c r="H96" s="50"/>
      <c r="I96" s="50"/>
      <c r="J96" s="50"/>
      <c r="K96" s="220"/>
      <c r="L96" s="50"/>
      <c r="M96" s="225"/>
      <c r="N96" s="50"/>
      <c r="O96" s="205">
        <f t="shared" si="7"/>
        <v>0</v>
      </c>
      <c r="P96" s="210" t="e">
        <f>VLOOKUP(D96,Configuracion!$A$4:$C$590,3,FALSE)</f>
        <v>#N/A</v>
      </c>
    </row>
    <row r="97" spans="1:16" ht="15" customHeight="1">
      <c r="A97" s="200"/>
      <c r="B97" s="21"/>
      <c r="C97" s="202"/>
      <c r="D97" s="204"/>
      <c r="E97" s="203" t="e">
        <f>VLOOKUP(D97,Configuracion!$A$4:$C$590,2,FALSE)</f>
        <v>#N/A</v>
      </c>
      <c r="F97" s="207"/>
      <c r="G97" s="50">
        <f t="shared" si="2"/>
        <v>0</v>
      </c>
      <c r="H97" s="50"/>
      <c r="I97" s="50"/>
      <c r="J97" s="50"/>
      <c r="K97" s="220"/>
      <c r="L97" s="50"/>
      <c r="M97" s="225"/>
      <c r="N97" s="50"/>
      <c r="O97" s="205">
        <f t="shared" si="3"/>
        <v>0</v>
      </c>
      <c r="P97" s="210" t="e">
        <f>VLOOKUP(D97,Configuracion!$A$4:$C$590,3,FALSE)</f>
        <v>#N/A</v>
      </c>
    </row>
    <row r="98" spans="1:16" ht="15" customHeight="1">
      <c r="A98" s="200"/>
      <c r="B98" s="21"/>
      <c r="C98" s="202"/>
      <c r="D98" s="204"/>
      <c r="E98" s="203" t="e">
        <f>VLOOKUP(D98,Configuracion!$A$4:$C$590,2,FALSE)</f>
        <v>#N/A</v>
      </c>
      <c r="F98" s="207"/>
      <c r="G98" s="50">
        <f t="shared" si="2"/>
        <v>0</v>
      </c>
      <c r="H98" s="50"/>
      <c r="I98" s="50"/>
      <c r="J98" s="50"/>
      <c r="K98" s="220"/>
      <c r="L98" s="50"/>
      <c r="M98" s="225"/>
      <c r="N98" s="50"/>
      <c r="O98" s="205">
        <f t="shared" si="3"/>
        <v>0</v>
      </c>
      <c r="P98" s="210" t="e">
        <f>VLOOKUP(D98,Configuracion!$A$4:$C$590,3,FALSE)</f>
        <v>#N/A</v>
      </c>
    </row>
    <row r="99" spans="1:16" ht="15" customHeight="1">
      <c r="A99" s="200"/>
      <c r="B99" s="21"/>
      <c r="C99" s="202"/>
      <c r="D99" s="204"/>
      <c r="E99" s="203" t="e">
        <f>VLOOKUP(D99,Configuracion!$A$4:$C$590,2,FALSE)</f>
        <v>#N/A</v>
      </c>
      <c r="F99" s="207"/>
      <c r="G99" s="50">
        <f t="shared" si="2"/>
        <v>0</v>
      </c>
      <c r="H99" s="50"/>
      <c r="I99" s="50"/>
      <c r="J99" s="50"/>
      <c r="K99" s="220"/>
      <c r="L99" s="50"/>
      <c r="M99" s="225"/>
      <c r="N99" s="50"/>
      <c r="O99" s="205">
        <f t="shared" si="3"/>
        <v>0</v>
      </c>
      <c r="P99" s="210" t="e">
        <f>VLOOKUP(D99,Configuracion!$A$4:$C$590,3,FALSE)</f>
        <v>#N/A</v>
      </c>
    </row>
    <row r="100" spans="1:16" ht="15" customHeight="1">
      <c r="A100" s="200"/>
      <c r="B100" s="21"/>
      <c r="C100" s="202"/>
      <c r="D100" s="204"/>
      <c r="E100" s="203" t="e">
        <f>VLOOKUP(D100,Configuracion!$A$4:$C$590,2,FALSE)</f>
        <v>#N/A</v>
      </c>
      <c r="F100" s="207"/>
      <c r="G100" s="50">
        <f t="shared" si="2"/>
        <v>0</v>
      </c>
      <c r="H100" s="50"/>
      <c r="I100" s="50"/>
      <c r="J100" s="50"/>
      <c r="K100" s="220"/>
      <c r="L100" s="50"/>
      <c r="M100" s="225"/>
      <c r="N100" s="50"/>
      <c r="O100" s="205">
        <f t="shared" si="3"/>
        <v>0</v>
      </c>
      <c r="P100" s="210" t="e">
        <f>VLOOKUP(D100,Configuracion!$A$4:$C$590,3,FALSE)</f>
        <v>#N/A</v>
      </c>
    </row>
    <row r="101" spans="1:16" ht="15" customHeight="1">
      <c r="A101" s="200"/>
      <c r="B101" s="21"/>
      <c r="C101" s="202"/>
      <c r="D101" s="204"/>
      <c r="E101" s="203" t="e">
        <f>VLOOKUP(D101,Configuracion!$A$4:$C$590,2,FALSE)</f>
        <v>#N/A</v>
      </c>
      <c r="F101" s="207"/>
      <c r="G101" s="50">
        <f t="shared" si="2"/>
        <v>0</v>
      </c>
      <c r="H101" s="50"/>
      <c r="I101" s="50"/>
      <c r="J101" s="50"/>
      <c r="K101" s="220"/>
      <c r="L101" s="50"/>
      <c r="M101" s="225"/>
      <c r="N101" s="50"/>
      <c r="O101" s="205">
        <f t="shared" si="3"/>
        <v>0</v>
      </c>
      <c r="P101" s="210" t="e">
        <f>VLOOKUP(D101,Configuracion!$A$4:$C$590,3,FALSE)</f>
        <v>#N/A</v>
      </c>
    </row>
    <row r="102" spans="1:16" ht="15" customHeight="1">
      <c r="A102" s="200"/>
      <c r="B102" s="21"/>
      <c r="C102" s="202"/>
      <c r="D102" s="204"/>
      <c r="E102" s="203" t="e">
        <f>VLOOKUP(D102,Configuracion!$A$4:$C$590,2,FALSE)</f>
        <v>#N/A</v>
      </c>
      <c r="F102" s="207"/>
      <c r="G102" s="50">
        <f t="shared" si="2"/>
        <v>0</v>
      </c>
      <c r="H102" s="50"/>
      <c r="I102" s="50"/>
      <c r="J102" s="50"/>
      <c r="K102" s="220"/>
      <c r="L102" s="50"/>
      <c r="M102" s="225"/>
      <c r="N102" s="50"/>
      <c r="O102" s="205">
        <f t="shared" si="3"/>
        <v>0</v>
      </c>
      <c r="P102" s="210" t="e">
        <f>VLOOKUP(D102,Configuracion!$A$4:$C$590,3,FALSE)</f>
        <v>#N/A</v>
      </c>
    </row>
    <row r="103" spans="1:16" ht="15" customHeight="1">
      <c r="A103" s="200"/>
      <c r="B103" s="21"/>
      <c r="C103" s="202"/>
      <c r="D103" s="204"/>
      <c r="E103" s="203" t="e">
        <f>VLOOKUP(D103,Configuracion!$A$4:$C$590,2,FALSE)</f>
        <v>#N/A</v>
      </c>
      <c r="F103" s="207"/>
      <c r="G103" s="50">
        <f t="shared" si="2"/>
        <v>0</v>
      </c>
      <c r="H103" s="50"/>
      <c r="I103" s="50"/>
      <c r="J103" s="50"/>
      <c r="K103" s="220"/>
      <c r="L103" s="50"/>
      <c r="M103" s="225"/>
      <c r="N103" s="50"/>
      <c r="O103" s="205">
        <f t="shared" si="3"/>
        <v>0</v>
      </c>
      <c r="P103" s="210" t="e">
        <f>VLOOKUP(D103,Configuracion!$A$4:$C$590,3,FALSE)</f>
        <v>#N/A</v>
      </c>
    </row>
    <row r="104" spans="1:16" ht="15" customHeight="1">
      <c r="A104" s="200"/>
      <c r="B104" s="21"/>
      <c r="C104" s="202"/>
      <c r="D104" s="204"/>
      <c r="E104" s="203" t="e">
        <f>VLOOKUP(D104,Configuracion!$A$4:$C$590,2,FALSE)</f>
        <v>#N/A</v>
      </c>
      <c r="F104" s="207"/>
      <c r="G104" s="50">
        <f t="shared" si="2"/>
        <v>0</v>
      </c>
      <c r="H104" s="50"/>
      <c r="I104" s="50"/>
      <c r="J104" s="50"/>
      <c r="K104" s="220"/>
      <c r="L104" s="50"/>
      <c r="M104" s="225"/>
      <c r="N104" s="50"/>
      <c r="O104" s="205">
        <f t="shared" si="3"/>
        <v>0</v>
      </c>
      <c r="P104" s="210" t="e">
        <f>VLOOKUP(D104,Configuracion!$A$4:$C$590,3,FALSE)</f>
        <v>#N/A</v>
      </c>
    </row>
    <row r="105" spans="1:16" ht="15" customHeight="1">
      <c r="A105" s="200"/>
      <c r="B105" s="21"/>
      <c r="C105" s="202"/>
      <c r="D105" s="204"/>
      <c r="E105" s="203" t="e">
        <f>VLOOKUP(D105,Configuracion!$A$4:$C$590,2,FALSE)</f>
        <v>#N/A</v>
      </c>
      <c r="F105" s="207"/>
      <c r="G105" s="50">
        <f t="shared" si="2"/>
        <v>0</v>
      </c>
      <c r="H105" s="50"/>
      <c r="I105" s="50"/>
      <c r="J105" s="50"/>
      <c r="K105" s="220"/>
      <c r="L105" s="50"/>
      <c r="M105" s="225"/>
      <c r="N105" s="50"/>
      <c r="O105" s="205">
        <f t="shared" si="3"/>
        <v>0</v>
      </c>
      <c r="P105" s="210" t="e">
        <f>VLOOKUP(D105,Configuracion!$A$4:$C$590,3,FALSE)</f>
        <v>#N/A</v>
      </c>
    </row>
    <row r="106" spans="1:16" ht="15" customHeight="1">
      <c r="A106" s="200"/>
      <c r="B106" s="21"/>
      <c r="C106" s="202"/>
      <c r="D106" s="204"/>
      <c r="E106" s="203" t="e">
        <f>VLOOKUP(D106,Configuracion!$A$4:$C$590,2,FALSE)</f>
        <v>#N/A</v>
      </c>
      <c r="F106" s="207"/>
      <c r="G106" s="50">
        <f t="shared" si="2"/>
        <v>0</v>
      </c>
      <c r="H106" s="50"/>
      <c r="I106" s="50"/>
      <c r="J106" s="50"/>
      <c r="K106" s="220"/>
      <c r="L106" s="50"/>
      <c r="M106" s="225"/>
      <c r="N106" s="50"/>
      <c r="O106" s="205">
        <f t="shared" si="3"/>
        <v>0</v>
      </c>
      <c r="P106" s="210" t="e">
        <f>VLOOKUP(D106,Configuracion!$A$4:$C$590,3,FALSE)</f>
        <v>#N/A</v>
      </c>
    </row>
    <row r="107" spans="1:16" ht="15" customHeight="1">
      <c r="A107" s="200"/>
      <c r="B107" s="21"/>
      <c r="C107" s="202"/>
      <c r="D107" s="204"/>
      <c r="E107" s="203" t="e">
        <f>VLOOKUP(D107,Configuracion!$A$4:$C$590,2,FALSE)</f>
        <v>#N/A</v>
      </c>
      <c r="F107" s="207"/>
      <c r="G107" s="50">
        <f t="shared" si="2"/>
        <v>0</v>
      </c>
      <c r="H107" s="50"/>
      <c r="I107" s="50"/>
      <c r="J107" s="50"/>
      <c r="K107" s="220"/>
      <c r="L107" s="50"/>
      <c r="M107" s="225"/>
      <c r="N107" s="50"/>
      <c r="O107" s="205">
        <f t="shared" si="3"/>
        <v>0</v>
      </c>
      <c r="P107" s="210" t="e">
        <f>VLOOKUP(D107,Configuracion!$A$4:$C$590,3,FALSE)</f>
        <v>#N/A</v>
      </c>
    </row>
    <row r="108" spans="1:16" ht="15" customHeight="1">
      <c r="A108" s="200"/>
      <c r="B108" s="21"/>
      <c r="C108" s="202"/>
      <c r="D108" s="204"/>
      <c r="E108" s="203" t="e">
        <f>VLOOKUP(D108,Configuracion!$A$4:$C$590,2,FALSE)</f>
        <v>#N/A</v>
      </c>
      <c r="F108" s="207"/>
      <c r="G108" s="50">
        <f t="shared" si="2"/>
        <v>0</v>
      </c>
      <c r="H108" s="50"/>
      <c r="I108" s="50"/>
      <c r="J108" s="50"/>
      <c r="K108" s="220"/>
      <c r="L108" s="50"/>
      <c r="M108" s="225"/>
      <c r="N108" s="50"/>
      <c r="O108" s="205">
        <f t="shared" si="3"/>
        <v>0</v>
      </c>
      <c r="P108" s="210" t="e">
        <f>VLOOKUP(D108,Configuracion!$A$4:$C$590,3,FALSE)</f>
        <v>#N/A</v>
      </c>
    </row>
    <row r="109" spans="1:16" ht="15" customHeight="1">
      <c r="A109" s="200"/>
      <c r="B109" s="21"/>
      <c r="C109" s="202"/>
      <c r="D109" s="204"/>
      <c r="E109" s="203" t="e">
        <f>VLOOKUP(D109,Configuracion!$A$4:$C$590,2,FALSE)</f>
        <v>#N/A</v>
      </c>
      <c r="F109" s="207"/>
      <c r="G109" s="50">
        <f t="shared" si="2"/>
        <v>0</v>
      </c>
      <c r="H109" s="50"/>
      <c r="I109" s="50"/>
      <c r="J109" s="50"/>
      <c r="K109" s="220"/>
      <c r="L109" s="50"/>
      <c r="M109" s="225"/>
      <c r="N109" s="50"/>
      <c r="O109" s="205">
        <f t="shared" si="3"/>
        <v>0</v>
      </c>
      <c r="P109" s="210" t="e">
        <f>VLOOKUP(D109,Configuracion!$A$4:$C$590,3,FALSE)</f>
        <v>#N/A</v>
      </c>
    </row>
    <row r="110" spans="1:16" ht="15" customHeight="1">
      <c r="A110" s="200"/>
      <c r="B110" s="21"/>
      <c r="C110" s="202"/>
      <c r="D110" s="204"/>
      <c r="E110" s="203" t="e">
        <f>VLOOKUP(D110,Configuracion!$A$4:$C$590,2,FALSE)</f>
        <v>#N/A</v>
      </c>
      <c r="F110" s="207"/>
      <c r="G110" s="50">
        <f t="shared" si="2"/>
        <v>0</v>
      </c>
      <c r="H110" s="50"/>
      <c r="I110" s="50"/>
      <c r="J110" s="50"/>
      <c r="K110" s="220"/>
      <c r="L110" s="50"/>
      <c r="M110" s="225"/>
      <c r="N110" s="50"/>
      <c r="O110" s="205">
        <f t="shared" si="3"/>
        <v>0</v>
      </c>
      <c r="P110" s="210" t="e">
        <f>VLOOKUP(D110,Configuracion!$A$4:$C$590,3,FALSE)</f>
        <v>#N/A</v>
      </c>
    </row>
    <row r="111" spans="1:16" ht="15" customHeight="1">
      <c r="A111" s="200"/>
      <c r="B111" s="21"/>
      <c r="C111" s="202"/>
      <c r="D111" s="204"/>
      <c r="E111" s="203" t="e">
        <f>VLOOKUP(D111,Configuracion!$A$4:$C$590,2,FALSE)</f>
        <v>#N/A</v>
      </c>
      <c r="F111" s="207"/>
      <c r="G111" s="50">
        <f t="shared" si="2"/>
        <v>0</v>
      </c>
      <c r="H111" s="50"/>
      <c r="I111" s="50"/>
      <c r="J111" s="50"/>
      <c r="K111" s="220"/>
      <c r="L111" s="50"/>
      <c r="M111" s="225"/>
      <c r="N111" s="50"/>
      <c r="O111" s="205">
        <f t="shared" si="3"/>
        <v>0</v>
      </c>
      <c r="P111" s="210" t="e">
        <f>VLOOKUP(D111,Configuracion!$A$4:$C$590,3,FALSE)</f>
        <v>#N/A</v>
      </c>
    </row>
    <row r="112" spans="1:16" ht="15" customHeight="1">
      <c r="A112" s="200"/>
      <c r="B112" s="21"/>
      <c r="C112" s="202"/>
      <c r="D112" s="204"/>
      <c r="E112" s="203" t="e">
        <f>VLOOKUP(D112,Configuracion!$A$4:$C$590,2,FALSE)</f>
        <v>#N/A</v>
      </c>
      <c r="F112" s="207"/>
      <c r="G112" s="50">
        <f t="shared" si="2"/>
        <v>0</v>
      </c>
      <c r="H112" s="50"/>
      <c r="I112" s="50"/>
      <c r="J112" s="50"/>
      <c r="K112" s="220"/>
      <c r="L112" s="50"/>
      <c r="M112" s="225"/>
      <c r="N112" s="50"/>
      <c r="O112" s="205">
        <f t="shared" si="3"/>
        <v>0</v>
      </c>
      <c r="P112" s="210" t="e">
        <f>VLOOKUP(D112,Configuracion!$A$4:$C$590,3,FALSE)</f>
        <v>#N/A</v>
      </c>
    </row>
    <row r="113" spans="1:16" s="23" customFormat="1" ht="15" customHeight="1">
      <c r="A113" s="200"/>
      <c r="B113" s="21"/>
      <c r="C113" s="202"/>
      <c r="D113" s="204"/>
      <c r="E113" s="203" t="e">
        <f>VLOOKUP(D113,Configuracion!$A$4:$C$590,2,FALSE)</f>
        <v>#N/A</v>
      </c>
      <c r="F113" s="207"/>
      <c r="G113" s="50">
        <f t="shared" si="0"/>
        <v>0</v>
      </c>
      <c r="H113" s="50"/>
      <c r="I113" s="50"/>
      <c r="J113" s="50"/>
      <c r="K113" s="220"/>
      <c r="L113" s="50"/>
      <c r="M113" s="225"/>
      <c r="N113" s="50"/>
      <c r="O113" s="205">
        <f t="shared" si="1"/>
        <v>0</v>
      </c>
      <c r="P113" s="210" t="e">
        <f>VLOOKUP(D113,Configuracion!$A$4:$C$590,3,FALSE)</f>
        <v>#N/A</v>
      </c>
    </row>
    <row r="114" spans="1:16" ht="15" customHeight="1" thickBot="1">
      <c r="A114" s="200"/>
      <c r="B114" s="21"/>
      <c r="C114" s="202"/>
      <c r="D114" s="204"/>
      <c r="E114" s="203" t="e">
        <f>VLOOKUP(D114,Configuracion!$A$4:$C$590,2,FALSE)</f>
        <v>#N/A</v>
      </c>
      <c r="F114" s="207"/>
      <c r="G114" s="50">
        <f>F114*21%</f>
        <v>0</v>
      </c>
      <c r="H114" s="50"/>
      <c r="I114" s="50"/>
      <c r="J114" s="50"/>
      <c r="K114" s="220"/>
      <c r="L114" s="50"/>
      <c r="M114" s="225"/>
      <c r="N114" s="50"/>
      <c r="O114" s="205">
        <f>SUM(F114:N114)</f>
        <v>0</v>
      </c>
      <c r="P114" s="210" t="e">
        <f>VLOOKUP(D114,Configuracion!$A$4:$C$590,3,FALSE)</f>
        <v>#N/A</v>
      </c>
    </row>
    <row r="115" spans="1:16" ht="15.75" customHeight="1" thickBot="1">
      <c r="A115" s="328" t="s">
        <v>4</v>
      </c>
      <c r="B115" s="329"/>
      <c r="C115" s="329"/>
      <c r="D115" s="329"/>
      <c r="E115" s="330"/>
      <c r="F115" s="34">
        <f>SUM(F8:F114)</f>
        <v>29685780.739999998</v>
      </c>
      <c r="G115" s="34">
        <f>SUM(G8:G114)</f>
        <v>5715540.3773999987</v>
      </c>
      <c r="H115" s="34">
        <f>SUM(H8:H114)</f>
        <v>25205.947200000002</v>
      </c>
      <c r="I115" s="34">
        <f>SUM(I8:I114)</f>
        <v>249434.47619999998</v>
      </c>
      <c r="J115" s="34">
        <f t="shared" ref="J115:O115" si="8">SUM(J8:J114)</f>
        <v>7378.0235000000002</v>
      </c>
      <c r="K115" s="34">
        <f t="shared" si="8"/>
        <v>514607.09250000003</v>
      </c>
      <c r="L115" s="34">
        <f t="shared" si="8"/>
        <v>0</v>
      </c>
      <c r="M115" s="34">
        <f t="shared" si="8"/>
        <v>5529.01</v>
      </c>
      <c r="N115" s="34">
        <f t="shared" si="8"/>
        <v>46786.22</v>
      </c>
      <c r="O115" s="34">
        <f t="shared" si="8"/>
        <v>36250261.886799999</v>
      </c>
    </row>
    <row r="116" spans="1:16" ht="15.75" customHeight="1" thickBot="1">
      <c r="F116" s="25" t="s">
        <v>3</v>
      </c>
      <c r="G116" s="331">
        <f>G115+H115+I115</f>
        <v>5990180.8007999994</v>
      </c>
      <c r="H116" s="332"/>
      <c r="I116" s="333"/>
    </row>
    <row r="117" spans="1:16" ht="15.75" thickBot="1">
      <c r="K117" t="s">
        <v>104</v>
      </c>
    </row>
    <row r="118" spans="1:16" ht="16.5" thickBot="1">
      <c r="A118" s="317" t="s">
        <v>29</v>
      </c>
      <c r="B118" s="318"/>
      <c r="C118" s="319"/>
      <c r="F118" s="4"/>
      <c r="G118" s="5"/>
      <c r="H118" s="5"/>
      <c r="I118" s="5"/>
    </row>
    <row r="119" spans="1:16">
      <c r="A119" s="61" t="s">
        <v>1</v>
      </c>
      <c r="B119" s="26" t="s">
        <v>17</v>
      </c>
      <c r="C119" s="26" t="s">
        <v>16</v>
      </c>
      <c r="D119" s="40" t="s">
        <v>7</v>
      </c>
      <c r="E119" s="26" t="s">
        <v>19</v>
      </c>
      <c r="F119" s="26" t="s">
        <v>4</v>
      </c>
      <c r="G119" s="243" t="s">
        <v>2</v>
      </c>
      <c r="H119" s="5"/>
      <c r="I119" s="5"/>
      <c r="J119" s="226"/>
      <c r="K119" s="226"/>
    </row>
    <row r="120" spans="1:16">
      <c r="A120" s="244">
        <v>45568</v>
      </c>
      <c r="B120" s="20">
        <v>3</v>
      </c>
      <c r="C120" s="206">
        <v>882</v>
      </c>
      <c r="D120" s="198">
        <v>20086277523</v>
      </c>
      <c r="E120" s="198" t="str">
        <f>VLOOKUP(D120,Configuracion!$A$4:$C$590,2,FALSE)</f>
        <v>BOTINDARI JUAN CARLOS</v>
      </c>
      <c r="F120" s="22">
        <v>275500</v>
      </c>
      <c r="G120" s="210" t="str">
        <f>VLOOKUP(D120,Configuracion!$A$4:$C$590,3,FALSE)</f>
        <v>HONORARIOS</v>
      </c>
      <c r="H120" s="232"/>
    </row>
    <row r="121" spans="1:16">
      <c r="A121" s="211">
        <v>45572</v>
      </c>
      <c r="B121" s="20">
        <v>2</v>
      </c>
      <c r="C121" s="206">
        <v>307</v>
      </c>
      <c r="D121" s="198">
        <v>27265832178</v>
      </c>
      <c r="E121" s="198" t="str">
        <f>VLOOKUP(D121,Configuracion!$A$4:$C$590,2,FALSE)</f>
        <v>BLASCO MARIA GUADALUPE</v>
      </c>
      <c r="F121" s="22">
        <v>3200000</v>
      </c>
      <c r="G121" s="210" t="str">
        <f>VLOOKUP(D121,Configuracion!$A$4:$C$590,3,FALSE)</f>
        <v>PROVEEDOR</v>
      </c>
      <c r="H121" s="5"/>
      <c r="I121" s="5"/>
    </row>
    <row r="122" spans="1:16">
      <c r="A122" s="211">
        <v>45569</v>
      </c>
      <c r="B122" s="20">
        <v>1</v>
      </c>
      <c r="C122" s="206">
        <v>12</v>
      </c>
      <c r="D122" s="198">
        <v>20464199633</v>
      </c>
      <c r="E122" s="198" t="str">
        <f>VLOOKUP(D122,Configuracion!$A$4:$C$590,2,FALSE)</f>
        <v>OVIEDO JIMENEZ TIZIANO LIONEL</v>
      </c>
      <c r="F122" s="22">
        <v>422450</v>
      </c>
      <c r="G122" s="210" t="str">
        <f>VLOOKUP(D122,Configuracion!$A$4:$C$590,3,FALSE)</f>
        <v>PROVEEDOR</v>
      </c>
      <c r="H122" s="5"/>
      <c r="I122" s="5"/>
    </row>
    <row r="123" spans="1:16">
      <c r="A123" s="211">
        <v>45566</v>
      </c>
      <c r="B123" s="20">
        <v>5</v>
      </c>
      <c r="C123" s="206">
        <v>170</v>
      </c>
      <c r="D123" s="198">
        <v>27062343449</v>
      </c>
      <c r="E123" s="198" t="str">
        <f>VLOOKUP(D123,Configuracion!$A$4:$C$590,2,FALSE)</f>
        <v>FERREIRA LILIANA INES</v>
      </c>
      <c r="F123" s="22">
        <v>250000</v>
      </c>
      <c r="G123" s="210" t="str">
        <f>VLOOKUP(D123,Configuracion!$A$4:$C$590,3,FALSE)</f>
        <v>FLETE</v>
      </c>
      <c r="H123" s="5"/>
      <c r="I123" s="5"/>
    </row>
    <row r="124" spans="1:16">
      <c r="A124" s="211">
        <v>45569</v>
      </c>
      <c r="B124" s="20">
        <v>5</v>
      </c>
      <c r="C124" s="206">
        <v>171</v>
      </c>
      <c r="D124" s="198">
        <v>27062343449</v>
      </c>
      <c r="E124" s="198" t="str">
        <f>VLOOKUP(D124,Configuracion!$A$4:$C$590,2,FALSE)</f>
        <v>FERREIRA LILIANA INES</v>
      </c>
      <c r="F124" s="22">
        <v>100000</v>
      </c>
      <c r="G124" s="210" t="str">
        <f>VLOOKUP(D124,Configuracion!$A$4:$C$590,3,FALSE)</f>
        <v>FLETE</v>
      </c>
      <c r="H124" s="5"/>
      <c r="I124" s="5"/>
    </row>
    <row r="125" spans="1:16">
      <c r="A125" s="211">
        <v>45574</v>
      </c>
      <c r="B125" s="20">
        <v>1</v>
      </c>
      <c r="C125" s="206">
        <v>73</v>
      </c>
      <c r="D125" s="198">
        <v>23281233084</v>
      </c>
      <c r="E125" s="198" t="str">
        <f>VLOOKUP(D125,Configuracion!$A$4:$C$590,2,FALSE)</f>
        <v>DRUETTA ANDREA MARIEL</v>
      </c>
      <c r="F125" s="22">
        <v>230000</v>
      </c>
      <c r="G125" s="210" t="str">
        <f>VLOOKUP(D125,Configuracion!$A$4:$C$590,3,FALSE)</f>
        <v>TECNICO</v>
      </c>
      <c r="H125" s="5"/>
      <c r="I125" s="5"/>
    </row>
    <row r="126" spans="1:16">
      <c r="A126" s="211">
        <v>45574</v>
      </c>
      <c r="B126" s="20">
        <v>3</v>
      </c>
      <c r="C126" s="206">
        <v>1004</v>
      </c>
      <c r="D126" s="198">
        <v>20216451679</v>
      </c>
      <c r="E126" s="198" t="str">
        <f>VLOOKUP(D126,Configuracion!$A$4:$C$590,2,FALSE)</f>
        <v>VAZQUEZ RICARDO OSCAR</v>
      </c>
      <c r="F126" s="22">
        <v>360000</v>
      </c>
      <c r="G126" s="210" t="str">
        <f>VLOOKUP(D126,Configuracion!$A$4:$C$590,3,FALSE)</f>
        <v>PROVEEDOR</v>
      </c>
      <c r="H126" s="5"/>
      <c r="I126" s="5"/>
    </row>
    <row r="127" spans="1:16">
      <c r="A127" s="211">
        <v>45574</v>
      </c>
      <c r="B127" s="20">
        <v>1</v>
      </c>
      <c r="C127" s="206">
        <v>72</v>
      </c>
      <c r="D127" s="198">
        <v>23281233084</v>
      </c>
      <c r="E127" s="198" t="str">
        <f>VLOOKUP(D127,Configuracion!$A$4:$C$590,2,FALSE)</f>
        <v>DRUETTA ANDREA MARIEL</v>
      </c>
      <c r="F127" s="22">
        <v>44200</v>
      </c>
      <c r="G127" s="210" t="str">
        <f>VLOOKUP(D127,Configuracion!$A$4:$C$590,3,FALSE)</f>
        <v>TECNICO</v>
      </c>
      <c r="H127" s="5"/>
      <c r="I127" s="5"/>
    </row>
    <row r="128" spans="1:16">
      <c r="A128" s="211">
        <v>45588</v>
      </c>
      <c r="B128" s="20">
        <v>1</v>
      </c>
      <c r="C128" s="206">
        <v>156</v>
      </c>
      <c r="D128" s="198">
        <v>27338342840</v>
      </c>
      <c r="E128" s="198" t="str">
        <f>VLOOKUP(D128,Configuracion!$A$4:$C$590,2,FALSE)</f>
        <v>CANCINO PAMELA RITA</v>
      </c>
      <c r="F128" s="22">
        <v>552800</v>
      </c>
      <c r="G128" s="210" t="str">
        <f>VLOOKUP(D128,Configuracion!$A$4:$C$590,3,FALSE)</f>
        <v>PROVEEDOR</v>
      </c>
      <c r="H128" s="5"/>
      <c r="I128" s="5"/>
    </row>
    <row r="129" spans="1:15">
      <c r="A129" s="211">
        <v>45590</v>
      </c>
      <c r="B129" s="20">
        <v>2</v>
      </c>
      <c r="C129" s="206">
        <v>156</v>
      </c>
      <c r="D129" s="198">
        <v>27179026967</v>
      </c>
      <c r="E129" s="198" t="str">
        <f>VLOOKUP(D129,Configuracion!$A$4:$C$590,2,FALSE)</f>
        <v>ARABIA FABIANA</v>
      </c>
      <c r="F129" s="22">
        <v>100430</v>
      </c>
      <c r="G129" s="210" t="str">
        <f>VLOOKUP(D129,Configuracion!$A$4:$C$590,3,FALSE)</f>
        <v>GASTOS ADMIN</v>
      </c>
      <c r="H129" s="5"/>
      <c r="I129" s="5"/>
    </row>
    <row r="130" spans="1:15">
      <c r="A130" s="211"/>
      <c r="B130" s="20"/>
      <c r="C130" s="206"/>
      <c r="D130" s="198"/>
      <c r="E130" s="198" t="e">
        <f>VLOOKUP(D130,Configuracion!$A$4:$C$590,2,FALSE)</f>
        <v>#N/A</v>
      </c>
      <c r="F130" s="22"/>
      <c r="G130" s="210" t="e">
        <f>VLOOKUP(D130,Configuracion!$A$4:$C$590,3,FALSE)</f>
        <v>#N/A</v>
      </c>
      <c r="H130" s="5"/>
      <c r="I130" s="5"/>
    </row>
    <row r="131" spans="1:15">
      <c r="A131" s="211"/>
      <c r="B131" s="20"/>
      <c r="C131" s="206"/>
      <c r="D131" s="198"/>
      <c r="E131" s="198" t="e">
        <f>VLOOKUP(D131,Configuracion!$A$4:$C$590,2,FALSE)</f>
        <v>#N/A</v>
      </c>
      <c r="F131" s="22"/>
      <c r="G131" s="210" t="e">
        <f>VLOOKUP(D131,Configuracion!$A$4:$C$590,3,FALSE)</f>
        <v>#N/A</v>
      </c>
      <c r="H131" s="5"/>
      <c r="I131" s="5"/>
    </row>
    <row r="132" spans="1:15">
      <c r="A132" s="211"/>
      <c r="B132" s="20"/>
      <c r="C132" s="206"/>
      <c r="D132" s="198"/>
      <c r="E132" s="198" t="e">
        <f>VLOOKUP(D132,Configuracion!$A$4:$C$590,2,FALSE)</f>
        <v>#N/A</v>
      </c>
      <c r="F132" s="22"/>
      <c r="G132" s="210" t="e">
        <f>VLOOKUP(D132,Configuracion!$A$4:$C$590,3,FALSE)</f>
        <v>#N/A</v>
      </c>
      <c r="H132" s="5"/>
      <c r="I132" s="5"/>
    </row>
    <row r="133" spans="1:15">
      <c r="A133" s="211"/>
      <c r="B133" s="20"/>
      <c r="C133" s="206"/>
      <c r="D133" s="198"/>
      <c r="E133" s="198" t="e">
        <f>VLOOKUP(D133,Configuracion!$A$4:$C$590,2,FALSE)</f>
        <v>#N/A</v>
      </c>
      <c r="F133" s="22"/>
      <c r="G133" s="210" t="e">
        <f>VLOOKUP(D133,Configuracion!$A$4:$C$590,3,FALSE)</f>
        <v>#N/A</v>
      </c>
      <c r="H133" s="5"/>
      <c r="I133" s="5"/>
    </row>
    <row r="134" spans="1:15">
      <c r="A134" s="211"/>
      <c r="B134" s="20"/>
      <c r="C134" s="206"/>
      <c r="D134" s="198"/>
      <c r="E134" s="198" t="e">
        <f>VLOOKUP(D134,Configuracion!$A$4:$C$590,2,FALSE)</f>
        <v>#N/A</v>
      </c>
      <c r="F134" s="22"/>
      <c r="G134" s="210" t="e">
        <f>VLOOKUP(D134,Configuracion!$A$4:$C$590,3,FALSE)</f>
        <v>#N/A</v>
      </c>
      <c r="H134" s="5"/>
      <c r="I134" s="5"/>
    </row>
    <row r="135" spans="1:15">
      <c r="A135" s="211"/>
      <c r="B135" s="20"/>
      <c r="C135" s="206"/>
      <c r="D135" s="198"/>
      <c r="E135" s="198" t="e">
        <f>VLOOKUP(D135,Configuracion!$A$4:$C$590,2,FALSE)</f>
        <v>#N/A</v>
      </c>
      <c r="F135" s="22"/>
      <c r="G135" s="210" t="e">
        <f>VLOOKUP(D135,Configuracion!$A$4:$C$590,3,FALSE)</f>
        <v>#N/A</v>
      </c>
      <c r="H135" s="5"/>
      <c r="I135" s="5"/>
    </row>
    <row r="136" spans="1:15">
      <c r="A136" s="211"/>
      <c r="B136" s="20"/>
      <c r="C136" s="206"/>
      <c r="D136" s="198"/>
      <c r="E136" s="198" t="e">
        <f>VLOOKUP(D136,Configuracion!$A$4:$C$590,2,FALSE)</f>
        <v>#N/A</v>
      </c>
      <c r="F136" s="22"/>
      <c r="G136" s="210" t="e">
        <f>VLOOKUP(D136,Configuracion!$A$4:$C$590,3,FALSE)</f>
        <v>#N/A</v>
      </c>
      <c r="H136" s="5"/>
      <c r="I136" s="5"/>
    </row>
    <row r="137" spans="1:15">
      <c r="A137" s="211"/>
      <c r="B137" s="20"/>
      <c r="C137" s="206"/>
      <c r="D137" s="198"/>
      <c r="E137" s="198" t="e">
        <f>VLOOKUP(D137,Configuracion!$A$4:$C$590,2,FALSE)</f>
        <v>#N/A</v>
      </c>
      <c r="F137" s="22"/>
      <c r="G137" s="210" t="e">
        <f>VLOOKUP(D137,Configuracion!$A$4:$C$590,3,FALSE)</f>
        <v>#N/A</v>
      </c>
      <c r="H137" s="5"/>
      <c r="I137" s="5"/>
    </row>
    <row r="138" spans="1:15">
      <c r="A138" s="211"/>
      <c r="B138" s="20"/>
      <c r="C138" s="206"/>
      <c r="D138" s="198"/>
      <c r="E138" s="198" t="e">
        <f>VLOOKUP(D138,Configuracion!$A$4:$C$590,2,FALSE)</f>
        <v>#N/A</v>
      </c>
      <c r="F138" s="22"/>
      <c r="G138" s="210" t="e">
        <f>VLOOKUP(D138,Configuracion!$A$4:$C$590,3,FALSE)</f>
        <v>#N/A</v>
      </c>
      <c r="H138" s="5"/>
      <c r="I138" s="5"/>
    </row>
    <row r="139" spans="1:15" ht="15.75" thickBot="1">
      <c r="A139" s="325" t="s">
        <v>4</v>
      </c>
      <c r="B139" s="326"/>
      <c r="C139" s="326"/>
      <c r="D139" s="326"/>
      <c r="E139" s="327"/>
      <c r="F139" s="34">
        <f>SUM(F120:F138)</f>
        <v>5535380</v>
      </c>
      <c r="G139" s="5"/>
      <c r="H139" s="5"/>
      <c r="I139" s="5"/>
    </row>
    <row r="140" spans="1:15" ht="15.75" thickBot="1">
      <c r="A140" s="32"/>
      <c r="B140" s="32"/>
      <c r="D140" s="41"/>
      <c r="E140" s="33"/>
      <c r="F140" s="51"/>
      <c r="G140" s="5"/>
      <c r="H140" s="5"/>
      <c r="I140" s="5"/>
    </row>
    <row r="141" spans="1:15" ht="16.5" thickBot="1">
      <c r="A141" s="317" t="s">
        <v>22</v>
      </c>
      <c r="B141" s="318"/>
      <c r="C141" s="319"/>
      <c r="D141" s="95"/>
      <c r="E141" s="56"/>
      <c r="F141" s="55"/>
      <c r="G141" s="5"/>
      <c r="H141" s="5"/>
      <c r="I141" s="5"/>
    </row>
    <row r="142" spans="1:15">
      <c r="A142" s="67" t="s">
        <v>1</v>
      </c>
      <c r="B142" s="334" t="s">
        <v>24</v>
      </c>
      <c r="C142" s="334"/>
      <c r="D142" s="68" t="s">
        <v>7</v>
      </c>
      <c r="E142" s="69" t="s">
        <v>19</v>
      </c>
      <c r="F142" s="69" t="s">
        <v>25</v>
      </c>
      <c r="G142" s="69" t="s">
        <v>3</v>
      </c>
      <c r="H142" s="69" t="s">
        <v>21</v>
      </c>
      <c r="I142" s="70" t="s">
        <v>23</v>
      </c>
      <c r="J142" s="226"/>
      <c r="K142" s="226"/>
      <c r="L142" s="226"/>
      <c r="M142" s="226"/>
      <c r="O142" s="147"/>
    </row>
    <row r="143" spans="1:15" ht="15.75">
      <c r="A143" s="219">
        <v>45567</v>
      </c>
      <c r="B143" s="316">
        <v>7332</v>
      </c>
      <c r="C143" s="316"/>
      <c r="D143" s="39">
        <v>30608716390</v>
      </c>
      <c r="E143" s="198" t="str">
        <f>VLOOKUP(D143,Configuracion!$A$4:$C$590,2,FALSE)</f>
        <v>OSTEL</v>
      </c>
      <c r="F143" s="257"/>
      <c r="G143" s="257"/>
      <c r="H143" s="257">
        <v>146.04</v>
      </c>
      <c r="I143" s="258"/>
      <c r="J143" s="12"/>
      <c r="K143" s="12"/>
      <c r="L143" s="13"/>
      <c r="M143" s="2"/>
      <c r="N143" s="2"/>
    </row>
    <row r="144" spans="1:15" ht="15.75">
      <c r="A144" s="219">
        <v>45537</v>
      </c>
      <c r="B144" s="316">
        <v>334123</v>
      </c>
      <c r="C144" s="316"/>
      <c r="D144" s="39">
        <v>30546771314</v>
      </c>
      <c r="E144" s="198" t="str">
        <f>VLOOKUP(D144,Configuracion!$A$4:$C$590,2,FALSE)</f>
        <v>MEDICUS SA</v>
      </c>
      <c r="F144" s="257">
        <v>20687.599999999999</v>
      </c>
      <c r="G144" s="257">
        <v>3582.22</v>
      </c>
      <c r="H144" s="257">
        <v>8619.83</v>
      </c>
      <c r="I144" s="258"/>
      <c r="J144" s="12"/>
      <c r="K144" s="12"/>
      <c r="L144" s="13"/>
      <c r="M144" s="2"/>
      <c r="N144" s="2"/>
    </row>
    <row r="145" spans="1:14" ht="15.75">
      <c r="A145" s="219">
        <v>45548</v>
      </c>
      <c r="B145" s="316">
        <v>286080</v>
      </c>
      <c r="C145" s="316"/>
      <c r="D145" s="39">
        <v>30546771314</v>
      </c>
      <c r="E145" s="198" t="str">
        <f>VLOOKUP(D145,Configuracion!$A$4:$C$590,2,FALSE)</f>
        <v>MEDICUS SA</v>
      </c>
      <c r="F145" s="257">
        <v>1971.57</v>
      </c>
      <c r="G145" s="257">
        <v>8280.6</v>
      </c>
      <c r="H145" s="257">
        <v>4436.03</v>
      </c>
      <c r="I145" s="258"/>
      <c r="J145" s="12"/>
      <c r="K145" s="12"/>
      <c r="L145" s="13"/>
      <c r="M145" s="2"/>
      <c r="N145" s="2"/>
    </row>
    <row r="146" spans="1:14" ht="15.75">
      <c r="A146" s="219">
        <v>45551</v>
      </c>
      <c r="B146" s="316">
        <v>519</v>
      </c>
      <c r="C146" s="316"/>
      <c r="D146" s="39">
        <v>30710538014</v>
      </c>
      <c r="E146" s="198" t="str">
        <f>VLOOKUP(D146,Configuracion!$A$4:$C$590,2,FALSE)</f>
        <v>HC HOMECARE INT DOM SA</v>
      </c>
      <c r="F146" s="257">
        <v>6348.5</v>
      </c>
      <c r="G146" s="257"/>
      <c r="H146" s="257">
        <v>17306.78</v>
      </c>
      <c r="I146" s="258"/>
      <c r="J146" s="12"/>
      <c r="K146" s="12"/>
      <c r="L146" s="13"/>
      <c r="M146" s="2"/>
      <c r="N146" s="2"/>
    </row>
    <row r="147" spans="1:14" ht="15.75">
      <c r="A147" s="219">
        <v>45559</v>
      </c>
      <c r="B147" s="316">
        <v>76369</v>
      </c>
      <c r="C147" s="316"/>
      <c r="D147" s="39">
        <v>30604958640</v>
      </c>
      <c r="E147" s="198" t="str">
        <f>VLOOKUP(D147,Configuracion!$A$4:$C$590,2,FALSE)</f>
        <v>Aca Salud Coop P.S. Medico A.L</v>
      </c>
      <c r="F147" s="257">
        <v>1682.646</v>
      </c>
      <c r="G147" s="257"/>
      <c r="H147" s="257">
        <v>3785.95</v>
      </c>
      <c r="I147" s="258"/>
      <c r="J147" s="12"/>
      <c r="K147" s="12"/>
      <c r="L147" s="13"/>
      <c r="M147" s="2"/>
      <c r="N147" s="2"/>
    </row>
    <row r="148" spans="1:14" ht="15.75">
      <c r="A148" s="219">
        <v>45579</v>
      </c>
      <c r="B148" s="316">
        <v>5101</v>
      </c>
      <c r="C148" s="316"/>
      <c r="D148" s="39">
        <v>30683032227</v>
      </c>
      <c r="E148" s="198" t="str">
        <f>VLOOKUP(D148,Configuracion!$A$4:$C$590,2,FALSE)</f>
        <v>OS UNION PERSONAL</v>
      </c>
      <c r="F148" s="257"/>
      <c r="G148" s="257"/>
      <c r="H148" s="257">
        <v>114852.64</v>
      </c>
      <c r="I148" s="258"/>
      <c r="J148" s="12"/>
      <c r="K148" s="12"/>
      <c r="L148" s="13"/>
      <c r="M148" s="2"/>
      <c r="N148" s="2"/>
    </row>
    <row r="149" spans="1:14" ht="15.75">
      <c r="A149" s="219">
        <v>45580</v>
      </c>
      <c r="B149" s="316">
        <v>15657</v>
      </c>
      <c r="C149" s="316"/>
      <c r="D149" s="39">
        <v>30604958640</v>
      </c>
      <c r="E149" s="198" t="str">
        <f>VLOOKUP(D149,Configuracion!$A$4:$C$590,2,FALSE)</f>
        <v>Aca Salud Coop P.S. Medico A.L</v>
      </c>
      <c r="F149" s="257">
        <v>6792.72</v>
      </c>
      <c r="G149" s="257"/>
      <c r="H149" s="257">
        <v>18306.27</v>
      </c>
      <c r="I149" s="258"/>
      <c r="J149" s="12"/>
      <c r="K149" s="12"/>
      <c r="L149" s="13"/>
      <c r="M149" s="2"/>
      <c r="N149" s="2"/>
    </row>
    <row r="150" spans="1:14" ht="15.75">
      <c r="A150" s="219">
        <v>45589</v>
      </c>
      <c r="B150" s="316">
        <v>8533</v>
      </c>
      <c r="C150" s="316"/>
      <c r="D150" s="39">
        <v>30608716390</v>
      </c>
      <c r="E150" s="198" t="str">
        <f>VLOOKUP(D150,Configuracion!$A$4:$C$590,2,FALSE)</f>
        <v>OSTEL</v>
      </c>
      <c r="F150" s="257">
        <v>12653.15</v>
      </c>
      <c r="G150" s="257"/>
      <c r="H150" s="257">
        <v>8420.5300000000007</v>
      </c>
      <c r="I150" s="258"/>
      <c r="J150" s="12"/>
      <c r="K150" s="12"/>
      <c r="L150" s="13"/>
      <c r="M150" s="2"/>
      <c r="N150" s="2"/>
    </row>
    <row r="151" spans="1:14" ht="15.75">
      <c r="A151" s="219">
        <v>45581</v>
      </c>
      <c r="B151" s="316">
        <v>616</v>
      </c>
      <c r="C151" s="316"/>
      <c r="D151" s="39">
        <v>30710538014</v>
      </c>
      <c r="E151" s="198" t="str">
        <f>VLOOKUP(D151,Configuracion!$A$4:$C$590,2,FALSE)</f>
        <v>HC HOMECARE INT DOM SA</v>
      </c>
      <c r="F151" s="257">
        <v>6702.55</v>
      </c>
      <c r="G151" s="257"/>
      <c r="H151" s="257">
        <v>1803.39</v>
      </c>
      <c r="I151" s="258"/>
      <c r="J151" s="12"/>
      <c r="K151" s="12"/>
      <c r="L151" s="13"/>
      <c r="M151" s="2"/>
      <c r="N151" s="2"/>
    </row>
    <row r="152" spans="1:14" ht="15.75">
      <c r="A152" s="219">
        <v>45593</v>
      </c>
      <c r="B152" s="316">
        <v>141238</v>
      </c>
      <c r="C152" s="316"/>
      <c r="D152" s="39">
        <v>30590354798</v>
      </c>
      <c r="E152" s="198" t="str">
        <f>VLOOKUP(D152,Configuracion!$A$4:$C$590,2,FALSE)</f>
        <v>ASOCIACION MUTUAL SANCOR SALUD</v>
      </c>
      <c r="F152" s="257">
        <v>376</v>
      </c>
      <c r="G152" s="257"/>
      <c r="H152" s="257"/>
      <c r="I152" s="258"/>
      <c r="J152" s="12"/>
      <c r="K152" s="12"/>
      <c r="L152" s="13"/>
      <c r="M152" s="2"/>
      <c r="N152" s="2"/>
    </row>
    <row r="153" spans="1:14" ht="15.75">
      <c r="A153" s="219">
        <v>45590</v>
      </c>
      <c r="B153" s="316">
        <v>140998</v>
      </c>
      <c r="C153" s="316"/>
      <c r="D153" s="39">
        <v>30590354798</v>
      </c>
      <c r="E153" s="198" t="str">
        <f>VLOOKUP(D153,Configuracion!$A$4:$C$590,2,FALSE)</f>
        <v>ASOCIACION MUTUAL SANCOR SALUD</v>
      </c>
      <c r="F153" s="257">
        <v>17749.599999999999</v>
      </c>
      <c r="G153" s="257"/>
      <c r="H153" s="257"/>
      <c r="I153" s="258"/>
      <c r="J153" s="12"/>
      <c r="K153" s="12"/>
      <c r="L153" s="13"/>
      <c r="M153" s="2"/>
      <c r="N153" s="2"/>
    </row>
    <row r="154" spans="1:14" ht="15.75">
      <c r="A154" s="219">
        <v>45572</v>
      </c>
      <c r="B154" s="316">
        <v>138302</v>
      </c>
      <c r="C154" s="316"/>
      <c r="D154" s="39">
        <v>30590354798</v>
      </c>
      <c r="E154" s="198" t="str">
        <f>VLOOKUP(D154,Configuracion!$A$4:$C$590,2,FALSE)</f>
        <v>ASOCIACION MUTUAL SANCOR SALUD</v>
      </c>
      <c r="F154" s="257">
        <v>16562</v>
      </c>
      <c r="G154" s="257"/>
      <c r="H154" s="257"/>
      <c r="I154" s="258"/>
      <c r="J154" s="12"/>
      <c r="K154" s="12"/>
      <c r="L154" s="13"/>
      <c r="M154" s="2"/>
      <c r="N154" s="2"/>
    </row>
    <row r="155" spans="1:14" ht="15.75">
      <c r="A155" s="219">
        <v>45589</v>
      </c>
      <c r="B155" s="316">
        <v>140826</v>
      </c>
      <c r="C155" s="316"/>
      <c r="D155" s="39">
        <v>30590354798</v>
      </c>
      <c r="E155" s="198" t="str">
        <f>VLOOKUP(D155,Configuracion!$A$4:$C$590,2,FALSE)</f>
        <v>ASOCIACION MUTUAL SANCOR SALUD</v>
      </c>
      <c r="F155" s="257">
        <v>40645.56</v>
      </c>
      <c r="G155" s="257"/>
      <c r="H155" s="257"/>
      <c r="I155" s="258"/>
      <c r="J155" s="12"/>
      <c r="K155" s="12"/>
      <c r="L155" s="13"/>
      <c r="M155" s="2"/>
      <c r="N155" s="2"/>
    </row>
    <row r="156" spans="1:14" ht="15.75">
      <c r="A156" s="219">
        <v>45566</v>
      </c>
      <c r="B156" s="316">
        <v>86547</v>
      </c>
      <c r="C156" s="316"/>
      <c r="D156" s="39">
        <v>30522428163</v>
      </c>
      <c r="E156" s="198" t="str">
        <f>VLOOKUP(D156,Configuracion!$A$4:$C$590,2,FALSE)</f>
        <v>GALENO ARGENTINA SA</v>
      </c>
      <c r="F156" s="257">
        <v>81152.039999999994</v>
      </c>
      <c r="G156" s="257">
        <v>456796.93</v>
      </c>
      <c r="H156" s="257">
        <v>42816.02</v>
      </c>
      <c r="I156" s="258">
        <v>43504.47</v>
      </c>
      <c r="J156" s="12"/>
      <c r="K156" s="12"/>
      <c r="L156" s="13"/>
      <c r="M156" s="2"/>
      <c r="N156" s="2"/>
    </row>
    <row r="157" spans="1:14" ht="15.75">
      <c r="A157" s="219">
        <v>45560</v>
      </c>
      <c r="B157" s="316">
        <v>84823</v>
      </c>
      <c r="C157" s="316"/>
      <c r="D157" s="39">
        <v>30522428163</v>
      </c>
      <c r="E157" s="198" t="str">
        <f>VLOOKUP(D157,Configuracion!$A$4:$C$590,2,FALSE)</f>
        <v>GALENO ARGENTINA SA</v>
      </c>
      <c r="F157" s="257">
        <v>26151.39</v>
      </c>
      <c r="G157" s="257">
        <v>139042.85999999999</v>
      </c>
      <c r="H157" s="257">
        <v>13073.54</v>
      </c>
      <c r="I157" s="258">
        <v>13242.18</v>
      </c>
      <c r="J157" s="12"/>
      <c r="K157" s="12"/>
      <c r="L157" s="13"/>
      <c r="M157" s="2"/>
      <c r="N157" s="2"/>
    </row>
    <row r="158" spans="1:14" ht="15.75">
      <c r="A158" s="219">
        <v>45532</v>
      </c>
      <c r="B158" s="316">
        <v>74815</v>
      </c>
      <c r="C158" s="316"/>
      <c r="D158" s="39">
        <v>30522428163</v>
      </c>
      <c r="E158" s="198" t="str">
        <f>VLOOKUP(D158,Configuracion!$A$4:$C$590,2,FALSE)</f>
        <v>GALENO ARGENTINA SA</v>
      </c>
      <c r="F158" s="257">
        <v>115404.96</v>
      </c>
      <c r="G158" s="257">
        <v>605876.03</v>
      </c>
      <c r="H158" s="257">
        <v>57702.48</v>
      </c>
      <c r="I158" s="258">
        <v>57702.48</v>
      </c>
      <c r="J158" s="12"/>
      <c r="K158" s="12"/>
      <c r="L158" s="13"/>
      <c r="M158" s="2"/>
      <c r="N158" s="2"/>
    </row>
    <row r="159" spans="1:14" ht="15.75">
      <c r="A159" s="219"/>
      <c r="B159" s="316"/>
      <c r="C159" s="316"/>
      <c r="D159" s="39">
        <v>0</v>
      </c>
      <c r="E159" s="198" t="e">
        <f>VLOOKUP(D159,Configuracion!$A$4:$C$590,2,FALSE)</f>
        <v>#N/A</v>
      </c>
      <c r="F159" s="257"/>
      <c r="G159" s="257"/>
      <c r="H159" s="257"/>
      <c r="I159" s="258"/>
      <c r="J159" s="12"/>
      <c r="K159" s="12"/>
      <c r="L159" s="13"/>
      <c r="M159" s="2"/>
      <c r="N159" s="2"/>
    </row>
    <row r="160" spans="1:14" ht="15.75">
      <c r="A160" s="219"/>
      <c r="B160" s="316"/>
      <c r="C160" s="316"/>
      <c r="D160" s="39">
        <v>0</v>
      </c>
      <c r="E160" s="198" t="e">
        <f>VLOOKUP(D160,Configuracion!$A$4:$C$590,2,FALSE)</f>
        <v>#N/A</v>
      </c>
      <c r="F160" s="257"/>
      <c r="G160" s="257"/>
      <c r="H160" s="257"/>
      <c r="I160" s="258"/>
      <c r="J160" s="12"/>
      <c r="K160" s="12"/>
      <c r="L160" s="13"/>
      <c r="M160" s="2"/>
      <c r="N160" s="2"/>
    </row>
    <row r="161" spans="1:14" ht="15.75">
      <c r="A161" s="219"/>
      <c r="B161" s="316"/>
      <c r="C161" s="316"/>
      <c r="D161" s="39">
        <v>0</v>
      </c>
      <c r="E161" s="198" t="e">
        <f>VLOOKUP(D161,Configuracion!$A$4:$C$590,2,FALSE)</f>
        <v>#N/A</v>
      </c>
      <c r="F161" s="257"/>
      <c r="G161" s="257"/>
      <c r="H161" s="257"/>
      <c r="I161" s="258"/>
      <c r="J161" s="12"/>
      <c r="K161" s="12"/>
      <c r="L161" s="13"/>
      <c r="M161" s="2"/>
      <c r="N161" s="2"/>
    </row>
    <row r="162" spans="1:14" ht="15.75">
      <c r="A162" s="219"/>
      <c r="B162" s="316"/>
      <c r="C162" s="316"/>
      <c r="D162" s="39">
        <v>0</v>
      </c>
      <c r="E162" s="198" t="e">
        <f>VLOOKUP(D162,Configuracion!$A$4:$C$590,2,FALSE)</f>
        <v>#N/A</v>
      </c>
      <c r="F162" s="257"/>
      <c r="G162" s="257"/>
      <c r="H162" s="257"/>
      <c r="I162" s="258"/>
      <c r="J162" s="12"/>
      <c r="K162" s="12"/>
      <c r="L162" s="13"/>
      <c r="M162" s="2"/>
      <c r="N162" s="2"/>
    </row>
    <row r="163" spans="1:14" ht="15.75">
      <c r="A163" s="219"/>
      <c r="B163" s="316"/>
      <c r="C163" s="316"/>
      <c r="D163" s="39">
        <v>0</v>
      </c>
      <c r="E163" s="198" t="e">
        <f>VLOOKUP(D163,Configuracion!$A$4:$C$590,2,FALSE)</f>
        <v>#N/A</v>
      </c>
      <c r="F163" s="257"/>
      <c r="G163" s="257"/>
      <c r="H163" s="257"/>
      <c r="I163" s="258"/>
      <c r="J163" s="12"/>
      <c r="K163" s="12"/>
      <c r="L163" s="13"/>
      <c r="M163" s="2"/>
      <c r="N163" s="2"/>
    </row>
    <row r="164" spans="1:14" ht="15.75">
      <c r="A164" s="219"/>
      <c r="B164" s="316"/>
      <c r="C164" s="316"/>
      <c r="D164" s="39">
        <v>0</v>
      </c>
      <c r="E164" s="198" t="e">
        <f>VLOOKUP(D164,Configuracion!$A$4:$C$590,2,FALSE)</f>
        <v>#N/A</v>
      </c>
      <c r="F164" s="257"/>
      <c r="G164" s="257"/>
      <c r="H164" s="257"/>
      <c r="I164" s="258"/>
      <c r="J164" s="12"/>
      <c r="K164" s="12"/>
      <c r="L164" s="13"/>
      <c r="M164" s="2"/>
      <c r="N164" s="2"/>
    </row>
    <row r="165" spans="1:14" ht="15.75">
      <c r="A165" s="219"/>
      <c r="B165" s="316"/>
      <c r="C165" s="316"/>
      <c r="D165" s="39">
        <v>0</v>
      </c>
      <c r="E165" s="198" t="e">
        <f>VLOOKUP(D165,Configuracion!$A$4:$C$590,2,FALSE)</f>
        <v>#N/A</v>
      </c>
      <c r="F165" s="257"/>
      <c r="G165" s="257"/>
      <c r="H165" s="257"/>
      <c r="I165" s="258"/>
      <c r="J165" s="12"/>
      <c r="K165" s="12"/>
      <c r="L165" s="13"/>
      <c r="M165" s="2"/>
      <c r="N165" s="2"/>
    </row>
    <row r="166" spans="1:14" ht="15.75">
      <c r="A166" s="219"/>
      <c r="B166" s="316"/>
      <c r="C166" s="316"/>
      <c r="D166" s="39">
        <v>0</v>
      </c>
      <c r="E166" s="198" t="e">
        <f>VLOOKUP(D166,Configuracion!$A$4:$C$590,2,FALSE)</f>
        <v>#N/A</v>
      </c>
      <c r="F166" s="257"/>
      <c r="G166" s="257"/>
      <c r="H166" s="257"/>
      <c r="I166" s="258"/>
      <c r="J166" s="12"/>
      <c r="K166" s="12"/>
      <c r="L166" s="13"/>
      <c r="M166" s="2"/>
      <c r="N166" s="2"/>
    </row>
    <row r="167" spans="1:14" ht="15.75">
      <c r="A167" s="219"/>
      <c r="B167" s="316"/>
      <c r="C167" s="316"/>
      <c r="D167" s="39">
        <v>0</v>
      </c>
      <c r="E167" s="198" t="e">
        <f>VLOOKUP(D167,Configuracion!$A$4:$C$590,2,FALSE)</f>
        <v>#N/A</v>
      </c>
      <c r="F167" s="257"/>
      <c r="G167" s="257"/>
      <c r="H167" s="257"/>
      <c r="I167" s="258"/>
      <c r="J167" s="12"/>
      <c r="K167" s="12"/>
      <c r="L167" s="13"/>
      <c r="M167" s="2"/>
      <c r="N167" s="2"/>
    </row>
    <row r="168" spans="1:14" ht="15.75">
      <c r="A168" s="219"/>
      <c r="B168" s="316"/>
      <c r="C168" s="316"/>
      <c r="D168" s="39">
        <v>0</v>
      </c>
      <c r="E168" s="198" t="e">
        <f>VLOOKUP(D168,Configuracion!$A$4:$C$590,2,FALSE)</f>
        <v>#N/A</v>
      </c>
      <c r="F168" s="257"/>
      <c r="G168" s="257"/>
      <c r="H168" s="257"/>
      <c r="I168" s="258"/>
      <c r="J168" s="12"/>
      <c r="K168" s="12"/>
      <c r="L168" s="13"/>
      <c r="M168" s="2"/>
      <c r="N168" s="2"/>
    </row>
    <row r="169" spans="1:14" ht="15.75">
      <c r="A169" s="219"/>
      <c r="B169" s="316"/>
      <c r="C169" s="316"/>
      <c r="D169" s="39">
        <v>0</v>
      </c>
      <c r="E169" s="198" t="e">
        <f>VLOOKUP(D169,Configuracion!$A$4:$C$590,2,FALSE)</f>
        <v>#N/A</v>
      </c>
      <c r="F169" s="257"/>
      <c r="G169" s="257"/>
      <c r="H169" s="257"/>
      <c r="I169" s="258"/>
      <c r="J169" s="12"/>
      <c r="K169" s="12"/>
      <c r="L169" s="13"/>
      <c r="M169" s="2"/>
      <c r="N169" s="2"/>
    </row>
    <row r="170" spans="1:14" ht="15.75">
      <c r="A170" s="219"/>
      <c r="B170" s="316"/>
      <c r="C170" s="316"/>
      <c r="D170" s="39">
        <v>0</v>
      </c>
      <c r="E170" s="198" t="e">
        <f>VLOOKUP(D170,Configuracion!$A$4:$C$590,2,FALSE)</f>
        <v>#N/A</v>
      </c>
      <c r="F170" s="257"/>
      <c r="G170" s="257"/>
      <c r="H170" s="257"/>
      <c r="I170" s="258"/>
      <c r="J170" s="12"/>
      <c r="K170" s="12"/>
      <c r="L170" s="13"/>
      <c r="M170" s="2"/>
      <c r="N170" s="2"/>
    </row>
    <row r="171" spans="1:14" ht="15.75">
      <c r="A171" s="219"/>
      <c r="B171" s="316"/>
      <c r="C171" s="316"/>
      <c r="D171" s="39">
        <v>0</v>
      </c>
      <c r="E171" s="198" t="e">
        <f>VLOOKUP(D171,Configuracion!$A$4:$C$590,2,FALSE)</f>
        <v>#N/A</v>
      </c>
      <c r="F171" s="257"/>
      <c r="G171" s="257"/>
      <c r="H171" s="257"/>
      <c r="I171" s="258"/>
      <c r="J171" s="12"/>
      <c r="K171" s="12"/>
      <c r="L171" s="13"/>
      <c r="M171" s="2"/>
      <c r="N171" s="2"/>
    </row>
    <row r="172" spans="1:14" ht="15.75">
      <c r="A172" s="219"/>
      <c r="B172" s="316"/>
      <c r="C172" s="316"/>
      <c r="D172" s="39">
        <v>0</v>
      </c>
      <c r="E172" s="198" t="e">
        <f>VLOOKUP(D172,Configuracion!$A$4:$C$590,2,FALSE)</f>
        <v>#N/A</v>
      </c>
      <c r="F172" s="257"/>
      <c r="G172" s="257"/>
      <c r="H172" s="257"/>
      <c r="I172" s="258"/>
      <c r="J172" s="12"/>
      <c r="K172" s="12"/>
      <c r="L172" s="13"/>
      <c r="M172" s="2"/>
      <c r="N172" s="2"/>
    </row>
    <row r="173" spans="1:14" ht="15.75">
      <c r="A173" s="219"/>
      <c r="B173" s="316"/>
      <c r="C173" s="316"/>
      <c r="D173" s="39">
        <v>0</v>
      </c>
      <c r="E173" s="39" t="e">
        <f>VLOOKUP(D173,Configuracion!$A$4:$C$590,2,FALSE)</f>
        <v>#N/A</v>
      </c>
      <c r="F173" s="217"/>
      <c r="G173" s="217"/>
      <c r="H173" s="217"/>
      <c r="I173" s="218"/>
      <c r="J173" s="12"/>
      <c r="K173" s="12"/>
      <c r="L173" s="13"/>
      <c r="M173" s="2"/>
      <c r="N173" s="2"/>
    </row>
    <row r="174" spans="1:14" ht="15.75">
      <c r="A174" s="219"/>
      <c r="B174" s="316"/>
      <c r="C174" s="316"/>
      <c r="D174" s="39">
        <v>0</v>
      </c>
      <c r="E174" s="39" t="e">
        <f>VLOOKUP(D174,Configuracion!$A$4:$C$590,2,FALSE)</f>
        <v>#N/A</v>
      </c>
      <c r="F174" s="217"/>
      <c r="G174" s="217"/>
      <c r="H174" s="217"/>
      <c r="I174" s="218"/>
      <c r="J174" s="12"/>
      <c r="K174" s="12"/>
      <c r="L174" s="13"/>
      <c r="M174" s="2"/>
      <c r="N174" s="2"/>
    </row>
    <row r="175" spans="1:14" ht="15.75">
      <c r="A175" s="219"/>
      <c r="B175" s="316"/>
      <c r="C175" s="316"/>
      <c r="D175" s="39">
        <v>0</v>
      </c>
      <c r="E175" s="39" t="e">
        <f>VLOOKUP(D175,Configuracion!$A$4:$C$590,2,FALSE)</f>
        <v>#N/A</v>
      </c>
      <c r="F175" s="217"/>
      <c r="G175" s="217"/>
      <c r="H175" s="217"/>
      <c r="I175" s="218"/>
      <c r="J175" s="12"/>
      <c r="K175" s="12"/>
      <c r="L175" s="13"/>
      <c r="M175" s="2"/>
      <c r="N175" s="2"/>
    </row>
    <row r="176" spans="1:14" ht="15.75">
      <c r="A176" s="219"/>
      <c r="B176" s="316"/>
      <c r="C176" s="316"/>
      <c r="D176" s="39">
        <v>0</v>
      </c>
      <c r="E176" s="39" t="e">
        <f>VLOOKUP(D176,Configuracion!$A$4:$C$590,2,FALSE)</f>
        <v>#N/A</v>
      </c>
      <c r="F176" s="217"/>
      <c r="G176" s="217"/>
      <c r="H176" s="217"/>
      <c r="I176" s="218"/>
      <c r="J176" s="12"/>
      <c r="K176" s="12"/>
      <c r="L176" s="13"/>
      <c r="M176" s="2"/>
      <c r="N176" s="2"/>
    </row>
    <row r="177" spans="1:14" ht="15.75">
      <c r="A177" s="219"/>
      <c r="B177" s="316"/>
      <c r="C177" s="316"/>
      <c r="D177" s="39">
        <v>0</v>
      </c>
      <c r="E177" s="39" t="e">
        <f>VLOOKUP(D177,Configuracion!$A$4:$C$590,2,FALSE)</f>
        <v>#N/A</v>
      </c>
      <c r="F177" s="217"/>
      <c r="G177" s="217"/>
      <c r="H177" s="217"/>
      <c r="I177" s="218"/>
      <c r="J177" s="12"/>
      <c r="K177" s="12"/>
      <c r="L177" s="13"/>
      <c r="M177" s="2"/>
      <c r="N177" s="2"/>
    </row>
    <row r="178" spans="1:14" ht="15.75">
      <c r="A178" s="219"/>
      <c r="B178" s="316"/>
      <c r="C178" s="316"/>
      <c r="D178" s="39">
        <v>0</v>
      </c>
      <c r="E178" s="39" t="e">
        <f>VLOOKUP(D178,Configuracion!$A$4:$C$590,2,FALSE)</f>
        <v>#N/A</v>
      </c>
      <c r="F178" s="217"/>
      <c r="G178" s="217"/>
      <c r="H178" s="217"/>
      <c r="I178" s="218"/>
      <c r="J178" s="12"/>
      <c r="K178" s="12"/>
      <c r="L178" s="13"/>
      <c r="M178" s="2"/>
      <c r="N178" s="2"/>
    </row>
    <row r="179" spans="1:14" ht="15.75">
      <c r="A179" s="219"/>
      <c r="B179" s="316"/>
      <c r="C179" s="316"/>
      <c r="D179" s="39">
        <v>0</v>
      </c>
      <c r="E179" s="39" t="e">
        <f>VLOOKUP(D179,Configuracion!$A$4:$C$590,2,FALSE)</f>
        <v>#N/A</v>
      </c>
      <c r="F179" s="217"/>
      <c r="G179" s="217"/>
      <c r="H179" s="217"/>
      <c r="I179" s="218"/>
      <c r="J179" s="12"/>
      <c r="K179" s="12"/>
      <c r="L179" s="13"/>
      <c r="M179" s="2"/>
      <c r="N179" s="2"/>
    </row>
    <row r="180" spans="1:14" ht="15.75">
      <c r="A180" s="219"/>
      <c r="B180" s="316"/>
      <c r="C180" s="316"/>
      <c r="D180" s="39">
        <v>0</v>
      </c>
      <c r="E180" s="39" t="e">
        <f>VLOOKUP(D180,Configuracion!$A$4:$C$590,2,FALSE)</f>
        <v>#N/A</v>
      </c>
      <c r="F180" s="217"/>
      <c r="G180" s="217"/>
      <c r="H180" s="217"/>
      <c r="I180" s="218"/>
      <c r="J180" s="12"/>
      <c r="K180" s="12"/>
      <c r="L180" s="13"/>
      <c r="M180" s="2"/>
      <c r="N180" s="2"/>
    </row>
    <row r="181" spans="1:14" ht="15.75">
      <c r="A181" s="219"/>
      <c r="B181" s="316"/>
      <c r="C181" s="316"/>
      <c r="D181" s="39">
        <v>0</v>
      </c>
      <c r="E181" s="39" t="e">
        <f>VLOOKUP(D181,Configuracion!$A$4:$C$590,2,FALSE)</f>
        <v>#N/A</v>
      </c>
      <c r="F181" s="217"/>
      <c r="G181" s="217"/>
      <c r="H181" s="217"/>
      <c r="I181" s="218"/>
      <c r="J181" s="12"/>
      <c r="K181" s="12"/>
      <c r="L181" s="13"/>
      <c r="M181" s="2"/>
      <c r="N181" s="2"/>
    </row>
    <row r="182" spans="1:14" ht="15.75">
      <c r="A182" s="219"/>
      <c r="B182" s="316"/>
      <c r="C182" s="316"/>
      <c r="D182" s="39">
        <v>0</v>
      </c>
      <c r="E182" s="39" t="e">
        <f>VLOOKUP(D182,Configuracion!$A$4:$C$590,2,FALSE)</f>
        <v>#N/A</v>
      </c>
      <c r="F182" s="217"/>
      <c r="G182" s="217"/>
      <c r="H182" s="217"/>
      <c r="I182" s="218"/>
      <c r="J182" s="12"/>
      <c r="K182" s="12"/>
      <c r="L182" s="13"/>
      <c r="M182" s="2"/>
      <c r="N182" s="2"/>
    </row>
    <row r="183" spans="1:14" ht="16.5" thickBot="1">
      <c r="A183" s="340" t="s">
        <v>4</v>
      </c>
      <c r="B183" s="341"/>
      <c r="C183" s="341"/>
      <c r="D183" s="341"/>
      <c r="E183" s="342"/>
      <c r="F183" s="74">
        <f>SUM(F143:F182)</f>
        <v>354880.28600000002</v>
      </c>
      <c r="G183" s="74">
        <f>SUM(G143:G182)</f>
        <v>1213578.6400000001</v>
      </c>
      <c r="H183" s="74">
        <f>SUM(H143:H182)</f>
        <v>291269.5</v>
      </c>
      <c r="I183" s="74">
        <f>SUM(I143:I182)</f>
        <v>114449.13</v>
      </c>
      <c r="J183" s="12"/>
      <c r="K183" s="12"/>
      <c r="L183" s="13"/>
      <c r="M183" s="2"/>
      <c r="N183" s="2"/>
    </row>
    <row r="184" spans="1:14">
      <c r="A184" s="32"/>
      <c r="B184" s="32"/>
      <c r="D184" s="41"/>
      <c r="E184" s="33"/>
      <c r="F184" s="51"/>
      <c r="G184" s="5"/>
      <c r="H184" s="5"/>
      <c r="I184" s="5"/>
      <c r="J184" s="14"/>
      <c r="K184" s="15"/>
      <c r="L184" s="11"/>
    </row>
    <row r="185" spans="1:14">
      <c r="A185" s="32"/>
      <c r="B185" s="32"/>
      <c r="D185" s="41"/>
      <c r="E185" s="33"/>
      <c r="F185" s="51"/>
      <c r="G185" s="5"/>
      <c r="H185" s="5"/>
      <c r="I185" s="5"/>
      <c r="J185" s="14"/>
      <c r="K185" s="15"/>
      <c r="L185" s="11"/>
    </row>
    <row r="186" spans="1:14" ht="15.75" thickBot="1">
      <c r="J186" s="14"/>
      <c r="K186" s="15"/>
      <c r="L186" s="11"/>
    </row>
    <row r="187" spans="1:14" ht="16.5" thickBot="1">
      <c r="A187" s="337" t="s">
        <v>0</v>
      </c>
      <c r="B187" s="338"/>
      <c r="C187" s="338"/>
      <c r="D187" s="338"/>
      <c r="E187" s="338"/>
      <c r="F187" s="338"/>
      <c r="G187" s="338"/>
      <c r="H187" s="338"/>
      <c r="I187" s="339"/>
      <c r="J187" s="14"/>
      <c r="K187" s="15"/>
      <c r="L187" s="11"/>
    </row>
    <row r="188" spans="1:14" ht="16.5" thickBot="1">
      <c r="A188" s="62"/>
      <c r="B188" s="12"/>
      <c r="C188" s="12"/>
      <c r="D188" s="96"/>
      <c r="E188" s="12"/>
      <c r="F188" s="12"/>
      <c r="G188" s="12"/>
      <c r="H188" s="12"/>
      <c r="I188" s="12"/>
      <c r="J188" s="14"/>
      <c r="K188" s="15"/>
      <c r="L188" s="11"/>
    </row>
    <row r="189" spans="1:14" ht="16.5" thickBot="1">
      <c r="A189" s="317" t="s">
        <v>26</v>
      </c>
      <c r="B189" s="318"/>
      <c r="C189" s="319"/>
      <c r="D189" s="96"/>
      <c r="E189" s="12"/>
      <c r="F189" s="12"/>
      <c r="G189" s="12"/>
      <c r="H189" s="12"/>
      <c r="I189" s="12"/>
      <c r="J189" s="14"/>
      <c r="K189" s="15"/>
      <c r="L189" s="11"/>
    </row>
    <row r="190" spans="1:14" ht="15.75" thickBot="1">
      <c r="A190" s="63" t="s">
        <v>1</v>
      </c>
      <c r="B190" s="24" t="s">
        <v>17</v>
      </c>
      <c r="C190" s="24" t="s">
        <v>18</v>
      </c>
      <c r="D190" s="42" t="s">
        <v>7</v>
      </c>
      <c r="E190" s="24" t="s">
        <v>19</v>
      </c>
      <c r="F190" s="24" t="s">
        <v>8</v>
      </c>
      <c r="G190" s="24" t="s">
        <v>3</v>
      </c>
      <c r="H190" s="24" t="s">
        <v>31</v>
      </c>
      <c r="I190" s="24" t="s">
        <v>4</v>
      </c>
      <c r="J190" s="14"/>
      <c r="K190" s="15"/>
      <c r="L190" s="11"/>
    </row>
    <row r="191" spans="1:14" ht="15.75" thickBot="1">
      <c r="A191" s="64"/>
      <c r="B191" s="27"/>
      <c r="C191" s="16"/>
      <c r="D191" s="39"/>
      <c r="E191" s="39" t="e">
        <f>VLOOKUP(D191,Configuracion!$A$4:$C$590,2,FALSE)</f>
        <v>#N/A</v>
      </c>
      <c r="F191" s="199"/>
      <c r="G191" s="19">
        <f t="shared" ref="G191:G194" si="9">F191*0.21</f>
        <v>0</v>
      </c>
      <c r="H191" s="75"/>
      <c r="I191" s="54">
        <f t="shared" ref="I191:I194" si="10">SUM(F191:H191)</f>
        <v>0</v>
      </c>
      <c r="J191" s="14"/>
      <c r="K191" s="15"/>
      <c r="L191" s="11"/>
    </row>
    <row r="192" spans="1:14" ht="15.75" thickBot="1">
      <c r="A192" s="64"/>
      <c r="B192" s="27"/>
      <c r="C192" s="16"/>
      <c r="D192" s="39"/>
      <c r="E192" s="39" t="e">
        <f>VLOOKUP(D192,Configuracion!$A$4:$C$590,2,FALSE)</f>
        <v>#N/A</v>
      </c>
      <c r="F192" s="199"/>
      <c r="G192" s="19">
        <f t="shared" si="9"/>
        <v>0</v>
      </c>
      <c r="H192" s="75"/>
      <c r="I192" s="54">
        <f t="shared" si="10"/>
        <v>0</v>
      </c>
      <c r="J192" s="14"/>
      <c r="K192" s="15"/>
      <c r="L192" s="11"/>
    </row>
    <row r="193" spans="1:12" ht="15.75" thickBot="1">
      <c r="A193" s="64"/>
      <c r="B193" s="27"/>
      <c r="C193" s="16"/>
      <c r="D193" s="39"/>
      <c r="E193" s="39" t="e">
        <f>VLOOKUP(D193,Configuracion!$A$4:$C$590,2,FALSE)</f>
        <v>#N/A</v>
      </c>
      <c r="F193" s="199"/>
      <c r="G193" s="19">
        <f t="shared" si="9"/>
        <v>0</v>
      </c>
      <c r="H193" s="75"/>
      <c r="I193" s="54">
        <f t="shared" si="10"/>
        <v>0</v>
      </c>
      <c r="J193" s="14"/>
      <c r="K193" s="15"/>
      <c r="L193" s="11"/>
    </row>
    <row r="194" spans="1:12" ht="15.75" thickBot="1">
      <c r="A194" s="64"/>
      <c r="B194" s="27"/>
      <c r="C194" s="16"/>
      <c r="D194" s="39"/>
      <c r="E194" s="39" t="e">
        <f>VLOOKUP(D194,Configuracion!$A$4:$C$590,2,FALSE)</f>
        <v>#N/A</v>
      </c>
      <c r="F194" s="199"/>
      <c r="G194" s="19">
        <f t="shared" si="9"/>
        <v>0</v>
      </c>
      <c r="H194" s="75"/>
      <c r="I194" s="54">
        <f t="shared" si="10"/>
        <v>0</v>
      </c>
      <c r="J194" s="14"/>
      <c r="K194" s="15"/>
      <c r="L194" s="11"/>
    </row>
    <row r="195" spans="1:12" ht="15.75" thickBot="1">
      <c r="A195" s="64"/>
      <c r="B195" s="27"/>
      <c r="C195" s="16"/>
      <c r="D195" s="39"/>
      <c r="E195" s="39" t="e">
        <f>VLOOKUP(D195,Configuracion!$A$4:$C$590,2,FALSE)</f>
        <v>#N/A</v>
      </c>
      <c r="F195" s="199"/>
      <c r="G195" s="19">
        <f t="shared" ref="G195:G199" si="11">F195*0.21</f>
        <v>0</v>
      </c>
      <c r="H195" s="75"/>
      <c r="I195" s="54">
        <f t="shared" ref="I195:I198" si="12">SUM(F195:H195)</f>
        <v>0</v>
      </c>
      <c r="J195" s="14"/>
      <c r="K195" s="15"/>
      <c r="L195" s="11"/>
    </row>
    <row r="196" spans="1:12" ht="15.75" thickBot="1">
      <c r="A196" s="64"/>
      <c r="B196" s="27"/>
      <c r="C196" s="16"/>
      <c r="D196" s="39"/>
      <c r="E196" s="39" t="e">
        <f>VLOOKUP(D196,Configuracion!$A$4:$C$590,2,FALSE)</f>
        <v>#N/A</v>
      </c>
      <c r="F196" s="199"/>
      <c r="G196" s="19">
        <f t="shared" si="11"/>
        <v>0</v>
      </c>
      <c r="H196" s="75"/>
      <c r="I196" s="54">
        <f t="shared" si="12"/>
        <v>0</v>
      </c>
      <c r="J196" s="14"/>
      <c r="K196" s="15"/>
      <c r="L196" s="11"/>
    </row>
    <row r="197" spans="1:12" ht="15.75" thickBot="1">
      <c r="A197" s="64"/>
      <c r="B197" s="27"/>
      <c r="C197" s="16"/>
      <c r="D197" s="39"/>
      <c r="E197" s="39" t="e">
        <f>VLOOKUP(D197,Configuracion!$A$4:$C$590,2,FALSE)</f>
        <v>#N/A</v>
      </c>
      <c r="F197" s="199"/>
      <c r="G197" s="19">
        <f t="shared" si="11"/>
        <v>0</v>
      </c>
      <c r="H197" s="75"/>
      <c r="I197" s="54">
        <f t="shared" si="12"/>
        <v>0</v>
      </c>
      <c r="J197" s="14"/>
      <c r="K197" s="15"/>
      <c r="L197" s="11"/>
    </row>
    <row r="198" spans="1:12" ht="15.75" thickBot="1">
      <c r="A198" s="64"/>
      <c r="B198" s="27"/>
      <c r="C198" s="16"/>
      <c r="D198" s="39"/>
      <c r="E198" s="39" t="e">
        <f>VLOOKUP(D198,Configuracion!$A$4:$C$590,2,FALSE)</f>
        <v>#N/A</v>
      </c>
      <c r="F198" s="199"/>
      <c r="G198" s="19">
        <f t="shared" si="11"/>
        <v>0</v>
      </c>
      <c r="H198" s="75"/>
      <c r="I198" s="54">
        <f t="shared" si="12"/>
        <v>0</v>
      </c>
      <c r="J198" s="14"/>
      <c r="K198" s="15"/>
      <c r="L198" s="11"/>
    </row>
    <row r="199" spans="1:12" ht="15.75" thickBot="1">
      <c r="A199" s="64"/>
      <c r="B199" s="27"/>
      <c r="C199" s="16"/>
      <c r="D199" s="39"/>
      <c r="E199" s="39" t="e">
        <f>VLOOKUP(D199,Configuracion!$A$4:$C$590,2,FALSE)</f>
        <v>#N/A</v>
      </c>
      <c r="F199" s="199"/>
      <c r="G199" s="19">
        <f t="shared" si="11"/>
        <v>0</v>
      </c>
      <c r="H199" s="75"/>
      <c r="I199" s="54">
        <f>SUM(F199:H199)</f>
        <v>0</v>
      </c>
      <c r="J199" s="14"/>
      <c r="K199" s="15"/>
      <c r="L199" s="11"/>
    </row>
    <row r="200" spans="1:12" ht="15.75" thickBot="1">
      <c r="A200" s="328" t="s">
        <v>4</v>
      </c>
      <c r="B200" s="329"/>
      <c r="C200" s="335"/>
      <c r="D200" s="335"/>
      <c r="E200" s="336"/>
      <c r="F200" s="52">
        <f>SUM(F191:F199)</f>
        <v>0</v>
      </c>
      <c r="G200" s="52">
        <f>SUM(G191:G199)</f>
        <v>0</v>
      </c>
      <c r="H200" s="52"/>
      <c r="I200" s="52">
        <f>SUM(I191:I199)</f>
        <v>0</v>
      </c>
    </row>
    <row r="201" spans="1:12">
      <c r="A201" s="66"/>
      <c r="B201" s="6"/>
      <c r="C201" s="17"/>
      <c r="D201" s="44"/>
      <c r="E201" s="17"/>
      <c r="F201" s="53"/>
      <c r="G201" s="53"/>
      <c r="H201" s="53"/>
      <c r="I201" s="11"/>
    </row>
    <row r="202" spans="1:12" ht="15.75" thickBot="1"/>
    <row r="203" spans="1:12" ht="16.5" thickBot="1">
      <c r="A203" s="317" t="s">
        <v>27</v>
      </c>
      <c r="B203" s="318"/>
      <c r="C203" s="319"/>
      <c r="D203" s="96"/>
      <c r="E203" s="12"/>
      <c r="F203" s="12"/>
      <c r="G203" s="12"/>
      <c r="H203" s="12"/>
    </row>
    <row r="204" spans="1:12" ht="15.75" thickBot="1">
      <c r="A204" s="63" t="s">
        <v>1</v>
      </c>
      <c r="B204" s="24" t="s">
        <v>17</v>
      </c>
      <c r="C204" s="24" t="s">
        <v>18</v>
      </c>
      <c r="D204" s="42" t="s">
        <v>7</v>
      </c>
      <c r="E204" s="24" t="s">
        <v>19</v>
      </c>
      <c r="F204" s="24" t="s">
        <v>8</v>
      </c>
      <c r="G204" s="24" t="s">
        <v>3</v>
      </c>
      <c r="H204" s="24" t="s">
        <v>4</v>
      </c>
    </row>
    <row r="205" spans="1:12">
      <c r="A205" s="64"/>
      <c r="B205" s="20"/>
      <c r="C205" s="16"/>
      <c r="D205" s="39"/>
      <c r="E205" s="39" t="e">
        <f>VLOOKUP(D205,Configuracion!$A$4:$C$590,2,FALSE)</f>
        <v>#N/A</v>
      </c>
      <c r="F205" s="19">
        <f>H205/1.21</f>
        <v>0</v>
      </c>
      <c r="G205" s="19">
        <f>F205*0.21</f>
        <v>0</v>
      </c>
      <c r="H205" s="201"/>
    </row>
    <row r="206" spans="1:12">
      <c r="A206" s="64"/>
      <c r="B206" s="20"/>
      <c r="C206" s="16"/>
      <c r="D206" s="39"/>
      <c r="E206" s="39" t="e">
        <f>VLOOKUP(D206,Configuracion!$A$4:$C$590,2,FALSE)</f>
        <v>#N/A</v>
      </c>
      <c r="F206" s="19">
        <f>H206/1.21</f>
        <v>0</v>
      </c>
      <c r="G206" s="19">
        <f>F206*0.21</f>
        <v>0</v>
      </c>
      <c r="H206" s="201"/>
    </row>
    <row r="207" spans="1:12">
      <c r="A207" s="64"/>
      <c r="B207" s="20"/>
      <c r="C207" s="16"/>
      <c r="D207" s="39"/>
      <c r="E207" s="39" t="e">
        <f>VLOOKUP(D207,Configuracion!$A$4:$C$590,2,FALSE)</f>
        <v>#N/A</v>
      </c>
      <c r="F207" s="19">
        <f>H207/1.21</f>
        <v>0</v>
      </c>
      <c r="G207" s="19">
        <f>F207*0.21</f>
        <v>0</v>
      </c>
      <c r="H207" s="201"/>
    </row>
    <row r="208" spans="1:12">
      <c r="A208" s="64"/>
      <c r="B208" s="20"/>
      <c r="C208" s="16"/>
      <c r="D208" s="39"/>
      <c r="E208" s="39" t="e">
        <f>VLOOKUP(D208,Configuracion!$A$4:$C$590,2,FALSE)</f>
        <v>#N/A</v>
      </c>
      <c r="F208" s="19">
        <f>H208/1.21</f>
        <v>0</v>
      </c>
      <c r="G208" s="19">
        <f>F208*0.21</f>
        <v>0</v>
      </c>
      <c r="H208" s="201"/>
    </row>
    <row r="209" spans="1:8" ht="15.75" thickBot="1">
      <c r="A209" s="65"/>
      <c r="B209" s="28"/>
      <c r="C209" s="29"/>
      <c r="D209" s="43"/>
      <c r="E209" s="39" t="e">
        <f>VLOOKUP(D209,Configuracion!$A$4:$C$590,2,FALSE)</f>
        <v>#N/A</v>
      </c>
      <c r="F209" s="19">
        <f>H209/1.21</f>
        <v>0</v>
      </c>
      <c r="G209" s="19">
        <f>F209*0.21</f>
        <v>0</v>
      </c>
      <c r="H209" s="201"/>
    </row>
    <row r="210" spans="1:8" ht="15.75" thickBot="1">
      <c r="A210" s="328" t="s">
        <v>4</v>
      </c>
      <c r="B210" s="329"/>
      <c r="C210" s="335"/>
      <c r="D210" s="335"/>
      <c r="E210" s="336"/>
      <c r="F210" s="52">
        <f>SUM(F205:F209)</f>
        <v>0</v>
      </c>
      <c r="G210" s="52">
        <f>SUM(G205:G209)</f>
        <v>0</v>
      </c>
      <c r="H210" s="52">
        <f>SUM(H205:H209)</f>
        <v>0</v>
      </c>
    </row>
    <row r="218" spans="1:8">
      <c r="F218" s="230"/>
    </row>
    <row r="220" spans="1:8">
      <c r="F220" s="241"/>
    </row>
    <row r="221" spans="1:8">
      <c r="F221" s="6"/>
    </row>
    <row r="222" spans="1:8">
      <c r="F222" s="6"/>
    </row>
    <row r="223" spans="1:8">
      <c r="F223" s="6"/>
    </row>
    <row r="224" spans="1:8">
      <c r="F224" s="6"/>
    </row>
    <row r="225" spans="1:6">
      <c r="F225" s="242"/>
    </row>
    <row r="226" spans="1:6">
      <c r="A226" s="214"/>
      <c r="B226" s="215"/>
      <c r="C226" s="215"/>
      <c r="D226" s="215"/>
      <c r="E226" s="215"/>
    </row>
  </sheetData>
  <autoFilter ref="A7:P139"/>
  <sortState ref="A8:P90">
    <sortCondition ref="E8:E90"/>
  </sortState>
  <mergeCells count="56">
    <mergeCell ref="A210:E210"/>
    <mergeCell ref="B182:C182"/>
    <mergeCell ref="B157:C157"/>
    <mergeCell ref="B154:C154"/>
    <mergeCell ref="B155:C155"/>
    <mergeCell ref="B158:C158"/>
    <mergeCell ref="B181:C181"/>
    <mergeCell ref="B161:C161"/>
    <mergeCell ref="B162:C162"/>
    <mergeCell ref="B163:C163"/>
    <mergeCell ref="B159:C159"/>
    <mergeCell ref="B168:C168"/>
    <mergeCell ref="B164:C164"/>
    <mergeCell ref="B165:C165"/>
    <mergeCell ref="B166:C166"/>
    <mergeCell ref="A200:E200"/>
    <mergeCell ref="A187:I187"/>
    <mergeCell ref="A183:E183"/>
    <mergeCell ref="A189:C189"/>
    <mergeCell ref="B169:C169"/>
    <mergeCell ref="B170:C170"/>
    <mergeCell ref="B171:C171"/>
    <mergeCell ref="B172:C172"/>
    <mergeCell ref="B173:C173"/>
    <mergeCell ref="B179:C179"/>
    <mergeCell ref="B180:C180"/>
    <mergeCell ref="B174:C174"/>
    <mergeCell ref="B175:C175"/>
    <mergeCell ref="B176:C176"/>
    <mergeCell ref="B177:C177"/>
    <mergeCell ref="A203:C203"/>
    <mergeCell ref="A1:I1"/>
    <mergeCell ref="J1:N1"/>
    <mergeCell ref="A6:C6"/>
    <mergeCell ref="A118:C118"/>
    <mergeCell ref="A141:C141"/>
    <mergeCell ref="A4:N4"/>
    <mergeCell ref="A139:E139"/>
    <mergeCell ref="A115:E115"/>
    <mergeCell ref="G116:I116"/>
    <mergeCell ref="B142:C142"/>
    <mergeCell ref="B143:C143"/>
    <mergeCell ref="B144:C144"/>
    <mergeCell ref="B150:C150"/>
    <mergeCell ref="B156:C156"/>
    <mergeCell ref="B145:C145"/>
    <mergeCell ref="B178:C178"/>
    <mergeCell ref="B146:C146"/>
    <mergeCell ref="B147:C147"/>
    <mergeCell ref="B153:C153"/>
    <mergeCell ref="B151:C151"/>
    <mergeCell ref="B152:C152"/>
    <mergeCell ref="B148:C148"/>
    <mergeCell ref="B149:C149"/>
    <mergeCell ref="B167:C167"/>
    <mergeCell ref="B160:C160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selection activeCell="F11" sqref="F11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43" t="s">
        <v>90</v>
      </c>
      <c r="C1" s="344"/>
      <c r="D1" s="345"/>
      <c r="E1" s="103"/>
    </row>
    <row r="2" spans="1:8" ht="18.75" thickBot="1">
      <c r="A2" s="104" t="s">
        <v>91</v>
      </c>
      <c r="B2" s="103"/>
      <c r="C2" s="102"/>
      <c r="D2" s="221">
        <v>45566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24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+'Oct 24'!F200</f>
        <v>0</v>
      </c>
      <c r="C6" s="117">
        <f>(B6*0.21)</f>
        <v>0</v>
      </c>
      <c r="D6" s="117">
        <f>(B6+C6)</f>
        <v>0</v>
      </c>
      <c r="E6" s="216"/>
    </row>
    <row r="7" spans="1:8">
      <c r="A7" s="115" t="s">
        <v>97</v>
      </c>
      <c r="B7" s="116">
        <f>+'Oct 24'!F210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1064</v>
      </c>
      <c r="B8" s="118">
        <f>+'Resumen Ventas 10'!B3+'Resumen Ventas 10'!B5+'Resumen Ventas 10'!B6+'Resumen Ventas 10'!B4</f>
        <v>33476167.779999997</v>
      </c>
      <c r="C8" s="117">
        <f>+B8*0.21</f>
        <v>7029995.2337999996</v>
      </c>
      <c r="D8" s="117">
        <f>(B8+C8)</f>
        <v>40506163.013799995</v>
      </c>
      <c r="E8" s="7"/>
    </row>
    <row r="9" spans="1:8">
      <c r="A9" s="115" t="s">
        <v>97</v>
      </c>
      <c r="B9" s="118">
        <f>+'Resumen Ventas 10'!B7+'Resumen Ventas 10'!B8</f>
        <v>24030350.800000075</v>
      </c>
      <c r="C9" s="117">
        <f>+'Resumen Ventas 10'!C7+'Resumen Ventas 10'!C8</f>
        <v>5046373.6680000154</v>
      </c>
      <c r="D9" s="117">
        <f>(B9+C9)</f>
        <v>29076724.468000092</v>
      </c>
      <c r="E9" s="7"/>
    </row>
    <row r="10" spans="1:8" ht="15.75" thickBot="1">
      <c r="A10" s="119"/>
      <c r="B10" s="208">
        <f>SUM(B6:B9)</f>
        <v>57506518.580000073</v>
      </c>
      <c r="C10" s="208">
        <f>SUM(C6:C9)</f>
        <v>12076368.901800014</v>
      </c>
      <c r="D10" s="209">
        <f>SUM(D6:D9)</f>
        <v>69582887.481800079</v>
      </c>
      <c r="E10" s="222"/>
      <c r="G10" s="249"/>
      <c r="H10" s="169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+'Oct 24'!F115</f>
        <v>29685780.739999998</v>
      </c>
      <c r="C15" s="117">
        <f>+('Oct 24'!G115+'Oct 24'!H115+'Oct 24'!I115)</f>
        <v>5990180.8007999994</v>
      </c>
      <c r="D15" s="117">
        <f>+'Oct 24'!O115</f>
        <v>36250261.886799999</v>
      </c>
      <c r="E15" s="127"/>
    </row>
    <row r="16" spans="1:8">
      <c r="A16" s="255" t="s">
        <v>634</v>
      </c>
      <c r="B16" s="128"/>
      <c r="C16" s="245"/>
      <c r="D16" s="250"/>
      <c r="E16" s="129"/>
      <c r="G16" s="254"/>
    </row>
    <row r="17" spans="1:5">
      <c r="A17" s="255" t="s">
        <v>635</v>
      </c>
      <c r="B17" s="128">
        <v>433365.78</v>
      </c>
      <c r="C17" s="128">
        <v>91006.8</v>
      </c>
      <c r="D17" s="128">
        <v>2741329.4899999998</v>
      </c>
      <c r="E17" s="129"/>
    </row>
    <row r="18" spans="1:5">
      <c r="A18" s="255" t="s">
        <v>637</v>
      </c>
      <c r="B18" s="73"/>
      <c r="C18" s="256">
        <f>+'Compras 10'!D57</f>
        <v>12622.1</v>
      </c>
      <c r="D18" s="73"/>
      <c r="E18" s="129"/>
    </row>
    <row r="19" spans="1:5" ht="15.75" thickBot="1">
      <c r="A19" s="119"/>
      <c r="B19" s="251">
        <f>SUM(B15:B18)</f>
        <v>30119146.52</v>
      </c>
      <c r="C19" s="252">
        <f>SUM(C15:C18)</f>
        <v>6093809.7007999988</v>
      </c>
      <c r="D19" s="253">
        <f>SUM(D15:D18)</f>
        <v>38991591.376800001</v>
      </c>
      <c r="E19" s="7"/>
    </row>
    <row r="20" spans="1:5">
      <c r="A20" s="119"/>
      <c r="B20" s="130"/>
      <c r="C20" s="130"/>
      <c r="D20" s="130"/>
      <c r="E20" s="7"/>
    </row>
    <row r="21" spans="1:5" ht="15.75" thickBot="1">
      <c r="A21" s="119"/>
      <c r="C21" s="131"/>
      <c r="D21" s="131"/>
      <c r="E21" s="132"/>
    </row>
    <row r="22" spans="1:5" ht="15.75" thickBot="1">
      <c r="A22" s="125" t="s">
        <v>22</v>
      </c>
      <c r="B22" s="133" t="s">
        <v>99</v>
      </c>
      <c r="C22" s="133" t="s">
        <v>100</v>
      </c>
      <c r="D22" s="133" t="s">
        <v>101</v>
      </c>
      <c r="E22" s="133" t="s">
        <v>102</v>
      </c>
    </row>
    <row r="23" spans="1:5">
      <c r="A23" s="134" t="s">
        <v>103</v>
      </c>
      <c r="B23" s="135"/>
      <c r="C23" s="136"/>
      <c r="D23" s="137"/>
      <c r="E23" s="138"/>
    </row>
    <row r="24" spans="1:5">
      <c r="A24" s="134"/>
      <c r="B24" s="139"/>
      <c r="C24" s="72"/>
      <c r="D24" s="140"/>
      <c r="E24" s="71"/>
    </row>
    <row r="25" spans="1:5">
      <c r="A25" s="134"/>
      <c r="B25" s="139"/>
      <c r="C25" s="72"/>
      <c r="D25" s="140"/>
      <c r="E25" s="71"/>
    </row>
    <row r="26" spans="1:5">
      <c r="A26" s="134"/>
      <c r="B26" s="139"/>
      <c r="C26" s="72"/>
      <c r="D26" s="140"/>
      <c r="E26" s="71"/>
    </row>
    <row r="27" spans="1:5">
      <c r="A27" s="134"/>
      <c r="B27" s="139"/>
      <c r="C27" s="136"/>
      <c r="D27" s="137"/>
      <c r="E27" s="138"/>
    </row>
    <row r="28" spans="1:5">
      <c r="A28" s="134"/>
      <c r="B28" s="139"/>
      <c r="C28" s="136"/>
      <c r="D28" s="137"/>
      <c r="E28" s="138"/>
    </row>
    <row r="29" spans="1:5">
      <c r="A29" s="134"/>
      <c r="B29" s="139"/>
      <c r="C29" s="136"/>
      <c r="D29" s="137"/>
      <c r="E29" s="138"/>
    </row>
    <row r="30" spans="1:5">
      <c r="A30" s="134"/>
      <c r="B30" s="139"/>
      <c r="C30" s="136"/>
      <c r="D30" s="137"/>
      <c r="E30" s="138"/>
    </row>
    <row r="31" spans="1:5">
      <c r="A31" s="134"/>
      <c r="B31" s="141"/>
      <c r="C31" s="136"/>
      <c r="D31" s="137"/>
      <c r="E31" s="138"/>
    </row>
    <row r="32" spans="1:5">
      <c r="A32" s="134"/>
      <c r="B32" s="139"/>
      <c r="C32" s="136"/>
      <c r="D32" s="137"/>
      <c r="E32" s="138"/>
    </row>
    <row r="33" spans="1:6">
      <c r="A33" s="134"/>
      <c r="B33" s="141"/>
      <c r="C33" s="136"/>
      <c r="D33" s="137"/>
      <c r="E33" s="138"/>
    </row>
    <row r="34" spans="1:6">
      <c r="A34" s="134"/>
      <c r="B34" s="141"/>
      <c r="C34" s="136"/>
      <c r="D34" s="137"/>
      <c r="E34" s="138"/>
    </row>
    <row r="35" spans="1:6">
      <c r="A35" s="134"/>
      <c r="B35" s="141"/>
      <c r="C35" s="136"/>
      <c r="D35" s="137"/>
      <c r="E35" s="138"/>
    </row>
    <row r="36" spans="1:6">
      <c r="A36" s="134"/>
      <c r="B36" s="141"/>
      <c r="C36" s="136"/>
      <c r="D36" s="137"/>
      <c r="E36" s="138"/>
    </row>
    <row r="37" spans="1:6" ht="15.75" thickBot="1">
      <c r="A37" s="134"/>
      <c r="B37" s="141"/>
      <c r="C37" s="142"/>
      <c r="D37" s="143"/>
      <c r="E37" s="138"/>
      <c r="F37" t="s">
        <v>104</v>
      </c>
    </row>
    <row r="38" spans="1:6" ht="15.75" thickBot="1">
      <c r="A38" s="144"/>
      <c r="B38" s="6"/>
      <c r="C38" s="145">
        <f>+'Oct 24'!G183</f>
        <v>1213578.6400000001</v>
      </c>
      <c r="D38" s="6"/>
      <c r="E38" s="146"/>
    </row>
    <row r="39" spans="1:6" ht="15.75" thickBot="1">
      <c r="B39" s="7"/>
      <c r="C39" s="147"/>
      <c r="D39" s="7"/>
    </row>
    <row r="40" spans="1:6">
      <c r="A40" s="148" t="s">
        <v>105</v>
      </c>
      <c r="B40" s="149" t="s">
        <v>99</v>
      </c>
      <c r="C40" s="150" t="s">
        <v>100</v>
      </c>
      <c r="D40" s="149" t="s">
        <v>101</v>
      </c>
      <c r="E40" s="149" t="s">
        <v>102</v>
      </c>
    </row>
    <row r="41" spans="1:6">
      <c r="A41" s="151"/>
      <c r="B41" s="152"/>
      <c r="C41" s="153"/>
      <c r="D41" s="142"/>
      <c r="E41" s="138"/>
    </row>
    <row r="42" spans="1:6">
      <c r="A42" s="134"/>
      <c r="B42" s="154"/>
      <c r="C42" s="142"/>
      <c r="D42" s="142"/>
      <c r="E42" s="138"/>
    </row>
    <row r="43" spans="1:6" ht="15.75" thickBot="1">
      <c r="A43" s="155"/>
      <c r="B43" s="156"/>
      <c r="C43" s="157"/>
      <c r="D43" s="158"/>
      <c r="E43" s="159"/>
    </row>
    <row r="44" spans="1:6" ht="15.75" thickBot="1">
      <c r="A44" s="160"/>
      <c r="B44" s="121"/>
      <c r="C44" s="161">
        <f>SUM(C41:C43)</f>
        <v>0</v>
      </c>
      <c r="D44" s="6"/>
      <c r="E44" s="146"/>
    </row>
    <row r="45" spans="1:6">
      <c r="C45" s="147"/>
      <c r="E45" s="7"/>
    </row>
    <row r="46" spans="1:6">
      <c r="A46" s="162" t="s">
        <v>106</v>
      </c>
      <c r="B46" s="163"/>
      <c r="C46" s="73">
        <f>+C44+C38</f>
        <v>1213578.6400000001</v>
      </c>
      <c r="E46" s="7"/>
    </row>
    <row r="47" spans="1:6">
      <c r="A47" s="164"/>
      <c r="B47" s="164"/>
      <c r="C47" s="123"/>
      <c r="E47" s="7"/>
    </row>
    <row r="48" spans="1:6">
      <c r="A48" s="164"/>
      <c r="B48" s="164"/>
      <c r="C48" s="123"/>
      <c r="E48" s="7"/>
    </row>
    <row r="49" spans="1:5" ht="15.75" thickBot="1">
      <c r="C49" s="165" t="s">
        <v>107</v>
      </c>
      <c r="E49" s="7"/>
    </row>
    <row r="50" spans="1:5">
      <c r="A50" s="166" t="s">
        <v>108</v>
      </c>
      <c r="B50" s="167"/>
      <c r="C50" s="168">
        <f>+C10-C19</f>
        <v>5982559.2010000153</v>
      </c>
      <c r="D50" s="169"/>
      <c r="E50" s="7"/>
    </row>
    <row r="51" spans="1:5">
      <c r="A51" s="170"/>
      <c r="B51" s="164"/>
      <c r="C51" s="171"/>
      <c r="D51" s="169"/>
      <c r="E51" s="7"/>
    </row>
    <row r="52" spans="1:5">
      <c r="A52" s="172" t="s">
        <v>109</v>
      </c>
      <c r="B52" s="163"/>
      <c r="C52" s="173"/>
      <c r="D52" s="174" t="s">
        <v>110</v>
      </c>
      <c r="E52" s="7"/>
    </row>
    <row r="53" spans="1:5" ht="15.75" thickBot="1">
      <c r="A53" s="170"/>
      <c r="B53" s="164"/>
      <c r="C53" s="171"/>
      <c r="D53" s="169"/>
      <c r="E53" s="7"/>
    </row>
    <row r="54" spans="1:5" ht="15.75" thickBot="1">
      <c r="A54" s="175" t="s">
        <v>111</v>
      </c>
      <c r="B54" s="176"/>
      <c r="C54" s="177">
        <f>+C50-C52</f>
        <v>5982559.2010000153</v>
      </c>
      <c r="D54" s="178"/>
      <c r="E54" s="179"/>
    </row>
    <row r="55" spans="1:5">
      <c r="A55" s="180"/>
      <c r="B55" s="180"/>
      <c r="C55" s="181"/>
      <c r="D55" s="182"/>
      <c r="E55" s="179"/>
    </row>
    <row r="56" spans="1:5">
      <c r="A56" s="180"/>
      <c r="B56" s="180"/>
      <c r="C56" s="181"/>
      <c r="D56" s="182"/>
      <c r="E56" s="179"/>
    </row>
    <row r="57" spans="1:5" ht="15.75" thickBot="1">
      <c r="A57" s="180"/>
      <c r="B57" s="180"/>
      <c r="C57" s="181"/>
      <c r="D57" s="182"/>
      <c r="E57" s="179"/>
    </row>
    <row r="58" spans="1:5">
      <c r="A58" s="183" t="s">
        <v>112</v>
      </c>
      <c r="B58" s="184"/>
      <c r="C58" s="185">
        <f>+C44+C38</f>
        <v>1213578.6400000001</v>
      </c>
      <c r="D58" s="186"/>
      <c r="E58" s="7"/>
    </row>
    <row r="59" spans="1:5">
      <c r="A59" s="170"/>
      <c r="B59" s="164"/>
      <c r="C59" s="171"/>
      <c r="D59" s="169"/>
      <c r="E59" s="7"/>
    </row>
    <row r="60" spans="1:5">
      <c r="A60" s="187" t="s">
        <v>113</v>
      </c>
      <c r="B60" s="188"/>
      <c r="C60" s="231"/>
      <c r="D60" s="7"/>
    </row>
    <row r="61" spans="1:5" ht="15.75" thickBot="1">
      <c r="A61" s="189"/>
      <c r="B61" s="190"/>
      <c r="C61" s="171"/>
      <c r="D61" s="169"/>
      <c r="E61" s="7"/>
    </row>
    <row r="62" spans="1:5" ht="15.75" thickBot="1">
      <c r="A62" s="175" t="s">
        <v>114</v>
      </c>
      <c r="B62" s="176"/>
      <c r="C62" s="177">
        <f>+C58+C60</f>
        <v>1213578.6400000001</v>
      </c>
      <c r="D62" s="169"/>
      <c r="E62" s="7"/>
    </row>
    <row r="63" spans="1:5">
      <c r="A63" s="191"/>
      <c r="B63" s="119"/>
      <c r="C63" s="122"/>
      <c r="D63" s="169"/>
      <c r="E63" s="7"/>
    </row>
    <row r="64" spans="1:5" ht="15.75" thickBot="1">
      <c r="A64" s="108"/>
      <c r="B64" s="119"/>
      <c r="C64" s="147"/>
      <c r="D64" s="169"/>
      <c r="E64" s="7"/>
    </row>
    <row r="65" spans="1:5" ht="18.75" thickBot="1">
      <c r="A65" s="192" t="s">
        <v>115</v>
      </c>
      <c r="B65" s="193"/>
      <c r="C65" s="194">
        <f>+C54-C62</f>
        <v>4768980.5610000156</v>
      </c>
      <c r="D65" s="195"/>
      <c r="E65" s="196"/>
    </row>
    <row r="66" spans="1:5" ht="18">
      <c r="A66" s="197" t="s">
        <v>116</v>
      </c>
    </row>
    <row r="68" spans="1:5">
      <c r="C68" s="226"/>
    </row>
    <row r="69" spans="1:5">
      <c r="C69" s="247"/>
    </row>
    <row r="70" spans="1:5">
      <c r="C70" s="247"/>
    </row>
    <row r="71" spans="1:5">
      <c r="C71" s="247"/>
    </row>
    <row r="72" spans="1:5">
      <c r="C72" s="247"/>
    </row>
    <row r="73" spans="1:5">
      <c r="C73" s="247"/>
    </row>
    <row r="74" spans="1:5">
      <c r="C74" s="247"/>
    </row>
    <row r="75" spans="1:5">
      <c r="C75" s="247"/>
    </row>
    <row r="76" spans="1:5">
      <c r="C76" s="248"/>
    </row>
    <row r="77" spans="1:5">
      <c r="C77" s="246"/>
    </row>
    <row r="78" spans="1:5">
      <c r="C78" s="246"/>
    </row>
    <row r="79" spans="1:5">
      <c r="C79" s="246"/>
    </row>
    <row r="80" spans="1:5">
      <c r="C80" s="247"/>
    </row>
    <row r="81" spans="3:3">
      <c r="C81" s="226"/>
    </row>
    <row r="82" spans="3:3">
      <c r="C82" s="226"/>
    </row>
    <row r="83" spans="3:3">
      <c r="C83" s="226"/>
    </row>
    <row r="84" spans="3:3">
      <c r="C84" s="226"/>
    </row>
    <row r="85" spans="3:3">
      <c r="C85" s="226"/>
    </row>
    <row r="86" spans="3:3">
      <c r="C86" s="226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zoomScale="90" zoomScaleNormal="90" workbookViewId="0">
      <selection activeCell="E35" sqref="E35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7.7109375" customWidth="1"/>
    <col min="7" max="7" width="12.140625" customWidth="1"/>
    <col min="8" max="8" width="17" customWidth="1"/>
    <col min="9" max="9" width="32" customWidth="1"/>
    <col min="10" max="10" width="11.28515625" customWidth="1"/>
    <col min="11" max="11" width="12.7109375" customWidth="1"/>
    <col min="12" max="12" width="15.42578125" customWidth="1"/>
    <col min="13" max="13" width="9.85546875" customWidth="1"/>
    <col min="14" max="14" width="12.85546875" customWidth="1"/>
  </cols>
  <sheetData>
    <row r="1" spans="1:17" ht="18">
      <c r="A1" s="264"/>
    </row>
    <row r="2" spans="1:17" ht="15.75">
      <c r="A2" s="265" t="s">
        <v>736</v>
      </c>
      <c r="L2" s="266"/>
    </row>
    <row r="4" spans="1:17">
      <c r="A4" s="262" t="s">
        <v>102</v>
      </c>
      <c r="B4" s="262" t="s">
        <v>737</v>
      </c>
      <c r="C4" s="262" t="s">
        <v>738</v>
      </c>
      <c r="D4" s="262" t="s">
        <v>739</v>
      </c>
      <c r="E4" s="262" t="s">
        <v>740</v>
      </c>
      <c r="F4" s="262" t="s">
        <v>741</v>
      </c>
      <c r="G4" s="262" t="s">
        <v>742</v>
      </c>
      <c r="H4" s="262" t="s">
        <v>743</v>
      </c>
      <c r="I4" s="262" t="s">
        <v>744</v>
      </c>
      <c r="J4" s="262" t="s">
        <v>745</v>
      </c>
      <c r="K4" s="262" t="s">
        <v>9</v>
      </c>
      <c r="L4" s="262" t="s">
        <v>10</v>
      </c>
      <c r="M4" s="262" t="s">
        <v>746</v>
      </c>
      <c r="N4" s="262" t="s">
        <v>219</v>
      </c>
    </row>
    <row r="5" spans="1:17">
      <c r="A5" s="296"/>
      <c r="B5" s="297"/>
      <c r="C5" s="271"/>
      <c r="D5" s="271"/>
      <c r="E5" s="271"/>
      <c r="F5" s="272"/>
      <c r="G5" s="272"/>
      <c r="H5" s="295"/>
      <c r="I5" s="295"/>
      <c r="J5" s="295"/>
      <c r="K5" s="295"/>
      <c r="L5" s="295"/>
      <c r="M5" s="272"/>
      <c r="N5" s="272"/>
    </row>
    <row r="6" spans="1:17">
      <c r="A6" s="287"/>
      <c r="B6" s="232"/>
      <c r="C6" s="288"/>
      <c r="D6" s="288"/>
      <c r="E6" s="288"/>
      <c r="F6" s="289">
        <f t="shared" ref="F6:N6" si="0">SUM(F5:F5)</f>
        <v>0</v>
      </c>
      <c r="G6" s="289">
        <f t="shared" si="0"/>
        <v>0</v>
      </c>
      <c r="H6" s="289">
        <f t="shared" si="0"/>
        <v>0</v>
      </c>
      <c r="I6" s="289">
        <f t="shared" si="0"/>
        <v>0</v>
      </c>
      <c r="J6" s="289">
        <f t="shared" si="0"/>
        <v>0</v>
      </c>
      <c r="K6" s="289">
        <f t="shared" si="0"/>
        <v>0</v>
      </c>
      <c r="L6" s="289">
        <f t="shared" si="0"/>
        <v>0</v>
      </c>
      <c r="M6" s="289">
        <f t="shared" si="0"/>
        <v>0</v>
      </c>
      <c r="N6" s="289">
        <f t="shared" si="0"/>
        <v>0</v>
      </c>
    </row>
    <row r="7" spans="1:17">
      <c r="A7" s="287"/>
      <c r="B7" s="232"/>
      <c r="C7" s="288"/>
      <c r="D7" s="288"/>
      <c r="E7" s="288"/>
      <c r="F7" s="241"/>
      <c r="G7" s="241"/>
      <c r="H7" s="298">
        <f>+SUM(H6:L6)</f>
        <v>0</v>
      </c>
      <c r="I7" s="288"/>
      <c r="J7" s="288"/>
      <c r="K7" s="288"/>
      <c r="L7" s="288"/>
      <c r="M7" s="241"/>
      <c r="N7" s="241"/>
    </row>
    <row r="8" spans="1:17">
      <c r="A8" s="287"/>
      <c r="B8" s="232"/>
      <c r="C8" s="288"/>
      <c r="D8" s="288"/>
      <c r="E8" s="288"/>
      <c r="F8" s="241"/>
      <c r="G8" s="241"/>
      <c r="H8" s="288"/>
      <c r="I8" s="288"/>
      <c r="J8" s="288"/>
      <c r="K8" s="288"/>
      <c r="L8" s="288"/>
      <c r="M8" s="241"/>
      <c r="N8" s="241"/>
    </row>
    <row r="10" spans="1:17">
      <c r="B10" s="346" t="s">
        <v>926</v>
      </c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</row>
    <row r="13" spans="1:17">
      <c r="A13" s="262" t="s">
        <v>102</v>
      </c>
      <c r="B13" s="262" t="s">
        <v>640</v>
      </c>
      <c r="C13" s="262" t="s">
        <v>641</v>
      </c>
      <c r="D13" s="262" t="s">
        <v>642</v>
      </c>
      <c r="E13" s="262" t="s">
        <v>643</v>
      </c>
      <c r="F13" s="262" t="s">
        <v>644</v>
      </c>
      <c r="G13" s="262" t="s">
        <v>645</v>
      </c>
      <c r="H13" s="262" t="s">
        <v>646</v>
      </c>
      <c r="I13" s="262" t="s">
        <v>647</v>
      </c>
      <c r="J13" s="262" t="s">
        <v>648</v>
      </c>
      <c r="K13" s="262" t="s">
        <v>649</v>
      </c>
      <c r="L13" s="262" t="s">
        <v>650</v>
      </c>
      <c r="M13" s="262" t="s">
        <v>651</v>
      </c>
      <c r="N13" s="262" t="s">
        <v>652</v>
      </c>
      <c r="O13" s="262" t="s">
        <v>653</v>
      </c>
      <c r="P13" s="262" t="s">
        <v>3</v>
      </c>
      <c r="Q13" s="262" t="s">
        <v>654</v>
      </c>
    </row>
    <row r="14" spans="1:17">
      <c r="A14" s="312" t="s">
        <v>1043</v>
      </c>
      <c r="B14" s="312" t="s">
        <v>956</v>
      </c>
      <c r="C14" s="313">
        <v>469</v>
      </c>
      <c r="D14" s="313">
        <v>272223</v>
      </c>
      <c r="E14" s="312"/>
      <c r="F14" s="313">
        <v>74440058567706</v>
      </c>
      <c r="G14" s="312" t="s">
        <v>7</v>
      </c>
      <c r="H14" s="313">
        <v>30696170580</v>
      </c>
      <c r="I14" s="312" t="s">
        <v>1072</v>
      </c>
      <c r="J14" s="313">
        <v>1</v>
      </c>
      <c r="K14" s="312" t="s">
        <v>658</v>
      </c>
      <c r="L14" s="314">
        <v>0</v>
      </c>
      <c r="M14" s="315">
        <v>0</v>
      </c>
      <c r="N14" s="315">
        <v>0</v>
      </c>
      <c r="O14" s="315">
        <v>0</v>
      </c>
      <c r="P14" s="315">
        <v>0</v>
      </c>
      <c r="Q14" s="315">
        <v>-5206.6099999999997</v>
      </c>
    </row>
    <row r="15" spans="1:17">
      <c r="A15" s="312" t="s">
        <v>1061</v>
      </c>
      <c r="B15" s="312" t="s">
        <v>656</v>
      </c>
      <c r="C15" s="313">
        <v>5009</v>
      </c>
      <c r="D15" s="313">
        <v>1056394</v>
      </c>
      <c r="E15" s="312"/>
      <c r="F15" s="313">
        <v>74444676246493</v>
      </c>
      <c r="G15" s="312" t="s">
        <v>7</v>
      </c>
      <c r="H15" s="313">
        <v>30574876474</v>
      </c>
      <c r="I15" s="312" t="s">
        <v>683</v>
      </c>
      <c r="J15" s="313">
        <v>1</v>
      </c>
      <c r="K15" s="312" t="s">
        <v>658</v>
      </c>
      <c r="L15" s="314">
        <v>5655.83</v>
      </c>
      <c r="M15" s="315">
        <v>0</v>
      </c>
      <c r="N15" s="315">
        <v>0</v>
      </c>
      <c r="O15" s="315">
        <v>0</v>
      </c>
      <c r="P15" s="315">
        <v>1187.72</v>
      </c>
      <c r="Q15" s="315">
        <v>7578.8</v>
      </c>
    </row>
    <row r="16" spans="1:17">
      <c r="A16" s="312" t="s">
        <v>1061</v>
      </c>
      <c r="B16" s="312" t="s">
        <v>656</v>
      </c>
      <c r="C16" s="313">
        <v>5015</v>
      </c>
      <c r="D16" s="313">
        <v>660519</v>
      </c>
      <c r="E16" s="312"/>
      <c r="F16" s="313">
        <v>74444670715235</v>
      </c>
      <c r="G16" s="312" t="s">
        <v>7</v>
      </c>
      <c r="H16" s="313">
        <v>30574876474</v>
      </c>
      <c r="I16" s="312" t="s">
        <v>683</v>
      </c>
      <c r="J16" s="313">
        <v>1</v>
      </c>
      <c r="K16" s="312" t="s">
        <v>658</v>
      </c>
      <c r="L16" s="314">
        <v>18764.68</v>
      </c>
      <c r="M16" s="315">
        <v>0</v>
      </c>
      <c r="N16" s="315">
        <v>0</v>
      </c>
      <c r="O16" s="315">
        <v>0</v>
      </c>
      <c r="P16" s="315">
        <v>3940.57</v>
      </c>
      <c r="Q16" s="315">
        <v>25144.66</v>
      </c>
    </row>
    <row r="17" spans="1:17">
      <c r="A17" s="312" t="s">
        <v>1051</v>
      </c>
      <c r="B17" s="312" t="s">
        <v>656</v>
      </c>
      <c r="C17" s="313">
        <v>101</v>
      </c>
      <c r="D17" s="313">
        <v>8782</v>
      </c>
      <c r="E17" s="312"/>
      <c r="F17" s="313">
        <v>74449116152602</v>
      </c>
      <c r="G17" s="312" t="s">
        <v>7</v>
      </c>
      <c r="H17" s="313">
        <v>33711430879</v>
      </c>
      <c r="I17" s="312" t="s">
        <v>1070</v>
      </c>
      <c r="J17" s="313">
        <v>1</v>
      </c>
      <c r="K17" s="312" t="s">
        <v>658</v>
      </c>
      <c r="L17" s="314">
        <v>125800</v>
      </c>
      <c r="M17" s="315">
        <v>0</v>
      </c>
      <c r="N17" s="315">
        <v>0</v>
      </c>
      <c r="O17" s="315">
        <v>0</v>
      </c>
      <c r="P17" s="315">
        <v>26418</v>
      </c>
      <c r="Q17" s="315">
        <v>152218</v>
      </c>
    </row>
    <row r="18" spans="1:17">
      <c r="A18" s="312" t="s">
        <v>1005</v>
      </c>
      <c r="B18" s="312" t="s">
        <v>656</v>
      </c>
      <c r="C18" s="313">
        <v>113</v>
      </c>
      <c r="D18" s="313">
        <v>3855807</v>
      </c>
      <c r="E18" s="312"/>
      <c r="F18" s="313">
        <v>74420895911146</v>
      </c>
      <c r="G18" s="312" t="s">
        <v>7</v>
      </c>
      <c r="H18" s="313">
        <v>30577207190</v>
      </c>
      <c r="I18" s="312" t="s">
        <v>703</v>
      </c>
      <c r="J18" s="313">
        <v>1</v>
      </c>
      <c r="K18" s="312" t="s">
        <v>658</v>
      </c>
      <c r="L18" s="314">
        <v>991.73</v>
      </c>
      <c r="M18" s="315">
        <v>0</v>
      </c>
      <c r="N18" s="315">
        <v>0</v>
      </c>
      <c r="O18" s="315">
        <v>0</v>
      </c>
      <c r="P18" s="315">
        <v>208.27</v>
      </c>
      <c r="Q18" s="315">
        <v>1200</v>
      </c>
    </row>
    <row r="19" spans="1:17">
      <c r="A19" s="312" t="s">
        <v>1061</v>
      </c>
      <c r="B19" s="312" t="s">
        <v>656</v>
      </c>
      <c r="C19" s="313">
        <v>113</v>
      </c>
      <c r="D19" s="313">
        <v>3883633</v>
      </c>
      <c r="E19" s="312"/>
      <c r="F19" s="313">
        <v>74440822775090</v>
      </c>
      <c r="G19" s="312" t="s">
        <v>7</v>
      </c>
      <c r="H19" s="313">
        <v>30577207190</v>
      </c>
      <c r="I19" s="312" t="s">
        <v>703</v>
      </c>
      <c r="J19" s="313">
        <v>1</v>
      </c>
      <c r="K19" s="312" t="s">
        <v>658</v>
      </c>
      <c r="L19" s="314">
        <v>2975.21</v>
      </c>
      <c r="M19" s="315">
        <v>0</v>
      </c>
      <c r="N19" s="315">
        <v>0</v>
      </c>
      <c r="O19" s="315">
        <v>0</v>
      </c>
      <c r="P19" s="315">
        <v>624.79</v>
      </c>
      <c r="Q19" s="315">
        <v>3689.26</v>
      </c>
    </row>
    <row r="20" spans="1:17">
      <c r="A20" s="312" t="s">
        <v>1005</v>
      </c>
      <c r="B20" s="312" t="s">
        <v>656</v>
      </c>
      <c r="C20" s="313">
        <v>104</v>
      </c>
      <c r="D20" s="313">
        <v>6923432</v>
      </c>
      <c r="E20" s="312"/>
      <c r="F20" s="313">
        <v>74422530905691</v>
      </c>
      <c r="G20" s="312" t="s">
        <v>7</v>
      </c>
      <c r="H20" s="313">
        <v>30715804812</v>
      </c>
      <c r="I20" s="312" t="s">
        <v>681</v>
      </c>
      <c r="J20" s="313">
        <v>1</v>
      </c>
      <c r="K20" s="312" t="s">
        <v>658</v>
      </c>
      <c r="L20" s="314">
        <v>910.78</v>
      </c>
      <c r="M20" s="315">
        <v>0</v>
      </c>
      <c r="N20" s="315">
        <v>0</v>
      </c>
      <c r="O20" s="315">
        <v>0</v>
      </c>
      <c r="P20" s="315">
        <v>191.26</v>
      </c>
      <c r="Q20" s="315">
        <v>1147.58</v>
      </c>
    </row>
    <row r="21" spans="1:17">
      <c r="A21" s="312" t="s">
        <v>1065</v>
      </c>
      <c r="B21" s="312" t="s">
        <v>656</v>
      </c>
      <c r="C21" s="313">
        <v>3</v>
      </c>
      <c r="D21" s="313">
        <v>4181</v>
      </c>
      <c r="E21" s="312"/>
      <c r="F21" s="313">
        <v>74414181067117</v>
      </c>
      <c r="G21" s="312" t="s">
        <v>7</v>
      </c>
      <c r="H21" s="313">
        <v>30501077824</v>
      </c>
      <c r="I21" s="312" t="s">
        <v>1066</v>
      </c>
      <c r="J21" s="313">
        <v>1</v>
      </c>
      <c r="K21" s="312" t="s">
        <v>658</v>
      </c>
      <c r="L21" s="314">
        <v>104462.81</v>
      </c>
      <c r="M21" s="315">
        <v>0</v>
      </c>
      <c r="N21" s="315">
        <v>0</v>
      </c>
      <c r="O21" s="315">
        <v>0</v>
      </c>
      <c r="P21" s="315">
        <v>21937.19</v>
      </c>
      <c r="Q21" s="315">
        <v>126400.01</v>
      </c>
    </row>
    <row r="22" spans="1:17">
      <c r="A22" s="312" t="s">
        <v>1020</v>
      </c>
      <c r="B22" s="312" t="s">
        <v>656</v>
      </c>
      <c r="C22" s="313">
        <v>102</v>
      </c>
      <c r="D22" s="313">
        <v>49564</v>
      </c>
      <c r="E22" s="312"/>
      <c r="F22" s="313">
        <v>74425010766802</v>
      </c>
      <c r="G22" s="312" t="s">
        <v>7</v>
      </c>
      <c r="H22" s="313">
        <v>30701307115</v>
      </c>
      <c r="I22" s="312" t="s">
        <v>1067</v>
      </c>
      <c r="J22" s="313">
        <v>1</v>
      </c>
      <c r="K22" s="312" t="s">
        <v>658</v>
      </c>
      <c r="L22" s="314">
        <v>4218.8900000000003</v>
      </c>
      <c r="M22" s="315">
        <v>0</v>
      </c>
      <c r="N22" s="315">
        <v>0</v>
      </c>
      <c r="O22" s="315">
        <v>0</v>
      </c>
      <c r="P22" s="315">
        <v>885.97</v>
      </c>
      <c r="Q22" s="315">
        <v>5315.8</v>
      </c>
    </row>
    <row r="23" spans="1:17">
      <c r="A23" s="312" t="s">
        <v>1020</v>
      </c>
      <c r="B23" s="312" t="s">
        <v>667</v>
      </c>
      <c r="C23" s="313">
        <v>1</v>
      </c>
      <c r="D23" s="313">
        <v>15</v>
      </c>
      <c r="E23" s="312"/>
      <c r="F23" s="313"/>
      <c r="G23" s="312" t="s">
        <v>7</v>
      </c>
      <c r="H23" s="313">
        <v>27443612705</v>
      </c>
      <c r="I23" s="312" t="s">
        <v>716</v>
      </c>
      <c r="J23" s="313">
        <v>1</v>
      </c>
      <c r="K23" s="312" t="s">
        <v>658</v>
      </c>
      <c r="L23" s="314"/>
      <c r="M23" s="315"/>
      <c r="N23" s="315"/>
      <c r="O23" s="315">
        <v>0</v>
      </c>
      <c r="P23" s="315"/>
      <c r="Q23" s="315">
        <v>800000</v>
      </c>
    </row>
    <row r="24" spans="1:17">
      <c r="A24" s="312" t="s">
        <v>962</v>
      </c>
      <c r="B24" s="312" t="s">
        <v>667</v>
      </c>
      <c r="C24" s="313">
        <v>1</v>
      </c>
      <c r="D24" s="313">
        <v>8</v>
      </c>
      <c r="E24" s="312"/>
      <c r="F24" s="313"/>
      <c r="G24" s="312" t="s">
        <v>7</v>
      </c>
      <c r="H24" s="313">
        <v>27443612713</v>
      </c>
      <c r="I24" s="312" t="s">
        <v>1071</v>
      </c>
      <c r="J24" s="313">
        <v>1</v>
      </c>
      <c r="K24" s="312" t="s">
        <v>658</v>
      </c>
      <c r="L24" s="314"/>
      <c r="M24" s="315"/>
      <c r="N24" s="315"/>
      <c r="O24" s="315">
        <v>0</v>
      </c>
      <c r="P24" s="315"/>
      <c r="Q24" s="315">
        <v>750000</v>
      </c>
    </row>
    <row r="25" spans="1:17">
      <c r="A25" s="312" t="s">
        <v>1038</v>
      </c>
      <c r="B25" s="312" t="s">
        <v>656</v>
      </c>
      <c r="C25" s="313">
        <v>2</v>
      </c>
      <c r="D25" s="313">
        <v>10822</v>
      </c>
      <c r="E25" s="312"/>
      <c r="F25" s="313">
        <v>74432609825455</v>
      </c>
      <c r="G25" s="312" t="s">
        <v>7</v>
      </c>
      <c r="H25" s="313">
        <v>30714331082</v>
      </c>
      <c r="I25" s="312" t="s">
        <v>1069</v>
      </c>
      <c r="J25" s="313">
        <v>1</v>
      </c>
      <c r="K25" s="312" t="s">
        <v>658</v>
      </c>
      <c r="L25" s="314">
        <v>13081.82</v>
      </c>
      <c r="M25" s="315">
        <v>0</v>
      </c>
      <c r="N25" s="315">
        <v>0</v>
      </c>
      <c r="O25" s="315">
        <v>0</v>
      </c>
      <c r="P25" s="315">
        <v>2747.18</v>
      </c>
      <c r="Q25" s="315">
        <v>15829</v>
      </c>
    </row>
    <row r="26" spans="1:17">
      <c r="A26" s="312" t="s">
        <v>1061</v>
      </c>
      <c r="B26" s="312" t="s">
        <v>656</v>
      </c>
      <c r="C26" s="313">
        <v>6</v>
      </c>
      <c r="D26" s="313">
        <v>17717989</v>
      </c>
      <c r="E26" s="312"/>
      <c r="F26" s="313">
        <v>74447345508330</v>
      </c>
      <c r="G26" s="312" t="s">
        <v>7</v>
      </c>
      <c r="H26" s="313">
        <v>30620177497</v>
      </c>
      <c r="I26" s="312" t="s">
        <v>732</v>
      </c>
      <c r="J26" s="313">
        <v>1</v>
      </c>
      <c r="K26" s="312" t="s">
        <v>658</v>
      </c>
      <c r="L26" s="314">
        <v>0</v>
      </c>
      <c r="M26" s="315">
        <v>0</v>
      </c>
      <c r="N26" s="315">
        <v>0</v>
      </c>
      <c r="O26" s="315">
        <v>0</v>
      </c>
      <c r="P26" s="315">
        <v>0</v>
      </c>
      <c r="Q26" s="315">
        <v>0</v>
      </c>
    </row>
    <row r="27" spans="1:17">
      <c r="A27" s="312" t="s">
        <v>1061</v>
      </c>
      <c r="B27" s="312" t="s">
        <v>656</v>
      </c>
      <c r="C27" s="313">
        <v>6</v>
      </c>
      <c r="D27" s="313">
        <v>17862335</v>
      </c>
      <c r="E27" s="312"/>
      <c r="F27" s="313">
        <v>74447384891474</v>
      </c>
      <c r="G27" s="312" t="s">
        <v>7</v>
      </c>
      <c r="H27" s="313">
        <v>30620177497</v>
      </c>
      <c r="I27" s="312" t="s">
        <v>732</v>
      </c>
      <c r="J27" s="313">
        <v>1</v>
      </c>
      <c r="K27" s="312" t="s">
        <v>658</v>
      </c>
      <c r="L27" s="314">
        <v>27263.03</v>
      </c>
      <c r="M27" s="315">
        <v>0</v>
      </c>
      <c r="N27" s="315">
        <v>0</v>
      </c>
      <c r="O27" s="315">
        <v>0</v>
      </c>
      <c r="P27" s="315">
        <v>5725.24</v>
      </c>
      <c r="Q27" s="315">
        <v>35169.31</v>
      </c>
    </row>
    <row r="28" spans="1:17">
      <c r="A28" s="312" t="s">
        <v>1023</v>
      </c>
      <c r="B28" s="312" t="s">
        <v>656</v>
      </c>
      <c r="C28" s="313">
        <v>8</v>
      </c>
      <c r="D28" s="313">
        <v>100796</v>
      </c>
      <c r="E28" s="312"/>
      <c r="F28" s="313">
        <v>74434281839124</v>
      </c>
      <c r="G28" s="312" t="s">
        <v>7</v>
      </c>
      <c r="H28" s="313">
        <v>30709776564</v>
      </c>
      <c r="I28" s="312" t="s">
        <v>684</v>
      </c>
      <c r="J28" s="313">
        <v>1</v>
      </c>
      <c r="K28" s="312" t="s">
        <v>658</v>
      </c>
      <c r="L28" s="314">
        <v>129241</v>
      </c>
      <c r="M28" s="315">
        <v>0</v>
      </c>
      <c r="N28" s="315">
        <v>0</v>
      </c>
      <c r="O28" s="315">
        <v>0</v>
      </c>
      <c r="P28" s="315">
        <v>27140.61</v>
      </c>
      <c r="Q28" s="315">
        <v>162843.68</v>
      </c>
    </row>
    <row r="29" spans="1:17">
      <c r="A29" s="312" t="s">
        <v>1020</v>
      </c>
      <c r="B29" s="312" t="s">
        <v>667</v>
      </c>
      <c r="C29" s="313">
        <v>1</v>
      </c>
      <c r="D29" s="313">
        <v>254</v>
      </c>
      <c r="E29" s="312"/>
      <c r="F29" s="313"/>
      <c r="G29" s="312" t="s">
        <v>7</v>
      </c>
      <c r="H29" s="313">
        <v>27217606255</v>
      </c>
      <c r="I29" s="312" t="s">
        <v>359</v>
      </c>
      <c r="J29" s="313">
        <v>1</v>
      </c>
      <c r="K29" s="312" t="s">
        <v>658</v>
      </c>
      <c r="L29" s="314"/>
      <c r="M29" s="315"/>
      <c r="N29" s="315"/>
      <c r="O29" s="315">
        <v>0</v>
      </c>
      <c r="P29" s="315"/>
      <c r="Q29" s="315">
        <v>163808.35</v>
      </c>
    </row>
    <row r="30" spans="1:17">
      <c r="A30" s="312" t="s">
        <v>1068</v>
      </c>
      <c r="B30" s="312" t="s">
        <v>667</v>
      </c>
      <c r="C30" s="313">
        <v>1</v>
      </c>
      <c r="D30" s="313">
        <v>255</v>
      </c>
      <c r="E30" s="312"/>
      <c r="F30" s="313"/>
      <c r="G30" s="312" t="s">
        <v>7</v>
      </c>
      <c r="H30" s="313">
        <v>27217606255</v>
      </c>
      <c r="I30" s="312" t="s">
        <v>359</v>
      </c>
      <c r="J30" s="313">
        <v>1</v>
      </c>
      <c r="K30" s="312" t="s">
        <v>658</v>
      </c>
      <c r="L30" s="314"/>
      <c r="M30" s="315"/>
      <c r="N30" s="315"/>
      <c r="O30" s="315">
        <v>0</v>
      </c>
      <c r="P30" s="315"/>
      <c r="Q30" s="315">
        <v>105993.64</v>
      </c>
    </row>
    <row r="31" spans="1:17">
      <c r="A31" s="312" t="s">
        <v>1023</v>
      </c>
      <c r="B31" s="312" t="s">
        <v>667</v>
      </c>
      <c r="C31" s="313">
        <v>1</v>
      </c>
      <c r="D31" s="313">
        <v>256</v>
      </c>
      <c r="E31" s="312"/>
      <c r="F31" s="313"/>
      <c r="G31" s="312" t="s">
        <v>7</v>
      </c>
      <c r="H31" s="313">
        <v>27217606255</v>
      </c>
      <c r="I31" s="312" t="s">
        <v>359</v>
      </c>
      <c r="J31" s="313">
        <v>1</v>
      </c>
      <c r="K31" s="312" t="s">
        <v>658</v>
      </c>
      <c r="L31" s="314"/>
      <c r="M31" s="315"/>
      <c r="N31" s="315"/>
      <c r="O31" s="315">
        <v>0</v>
      </c>
      <c r="P31" s="315"/>
      <c r="Q31" s="315">
        <v>115629.42</v>
      </c>
    </row>
    <row r="32" spans="1:17">
      <c r="A32" s="312" t="s">
        <v>1023</v>
      </c>
      <c r="B32" s="312" t="s">
        <v>667</v>
      </c>
      <c r="C32" s="313">
        <v>1</v>
      </c>
      <c r="D32" s="313">
        <v>257</v>
      </c>
      <c r="E32" s="312"/>
      <c r="F32" s="313"/>
      <c r="G32" s="312" t="s">
        <v>7</v>
      </c>
      <c r="H32" s="313">
        <v>27217606255</v>
      </c>
      <c r="I32" s="312" t="s">
        <v>359</v>
      </c>
      <c r="J32" s="313">
        <v>1</v>
      </c>
      <c r="K32" s="312" t="s">
        <v>658</v>
      </c>
      <c r="L32" s="314"/>
      <c r="M32" s="315"/>
      <c r="N32" s="315"/>
      <c r="O32" s="315">
        <v>0</v>
      </c>
      <c r="P32" s="315"/>
      <c r="Q32" s="315">
        <v>96357.85</v>
      </c>
    </row>
    <row r="33" spans="1:17">
      <c r="A33" s="312" t="s">
        <v>1043</v>
      </c>
      <c r="B33" s="312" t="s">
        <v>667</v>
      </c>
      <c r="C33" s="313">
        <v>1</v>
      </c>
      <c r="D33" s="313">
        <v>258</v>
      </c>
      <c r="E33" s="312"/>
      <c r="F33" s="313"/>
      <c r="G33" s="312" t="s">
        <v>7</v>
      </c>
      <c r="H33" s="313">
        <v>27217606255</v>
      </c>
      <c r="I33" s="312" t="s">
        <v>359</v>
      </c>
      <c r="J33" s="313">
        <v>1</v>
      </c>
      <c r="K33" s="312" t="s">
        <v>658</v>
      </c>
      <c r="L33" s="314"/>
      <c r="M33" s="315"/>
      <c r="N33" s="315"/>
      <c r="O33" s="315">
        <v>0</v>
      </c>
      <c r="P33" s="315"/>
      <c r="Q33" s="315">
        <v>62373.760000000002</v>
      </c>
    </row>
    <row r="34" spans="1:17">
      <c r="A34" s="312" t="s">
        <v>1043</v>
      </c>
      <c r="B34" s="312" t="s">
        <v>667</v>
      </c>
      <c r="C34" s="313">
        <v>1</v>
      </c>
      <c r="D34" s="313">
        <v>259</v>
      </c>
      <c r="E34" s="312"/>
      <c r="F34" s="313"/>
      <c r="G34" s="312" t="s">
        <v>7</v>
      </c>
      <c r="H34" s="313">
        <v>27217606255</v>
      </c>
      <c r="I34" s="312" t="s">
        <v>359</v>
      </c>
      <c r="J34" s="313">
        <v>1</v>
      </c>
      <c r="K34" s="312" t="s">
        <v>658</v>
      </c>
      <c r="L34" s="314"/>
      <c r="M34" s="315"/>
      <c r="N34" s="315"/>
      <c r="O34" s="315">
        <v>0</v>
      </c>
      <c r="P34" s="315"/>
      <c r="Q34" s="315">
        <v>55245.33</v>
      </c>
    </row>
    <row r="35" spans="1:17">
      <c r="A35" s="312" t="s">
        <v>1043</v>
      </c>
      <c r="B35" s="312" t="s">
        <v>667</v>
      </c>
      <c r="C35" s="313">
        <v>1</v>
      </c>
      <c r="D35" s="313">
        <v>260</v>
      </c>
      <c r="E35" s="312"/>
      <c r="F35" s="313"/>
      <c r="G35" s="312" t="s">
        <v>7</v>
      </c>
      <c r="H35" s="313">
        <v>27217606255</v>
      </c>
      <c r="I35" s="312" t="s">
        <v>359</v>
      </c>
      <c r="J35" s="313">
        <v>1</v>
      </c>
      <c r="K35" s="312" t="s">
        <v>658</v>
      </c>
      <c r="L35" s="314"/>
      <c r="M35" s="315"/>
      <c r="N35" s="315"/>
      <c r="O35" s="315">
        <v>0</v>
      </c>
      <c r="P35" s="315"/>
      <c r="Q35" s="315">
        <v>60591.65</v>
      </c>
    </row>
    <row r="36" spans="1:17">
      <c r="A36" s="259"/>
      <c r="B36" s="259"/>
      <c r="C36" s="260"/>
      <c r="D36" s="260"/>
      <c r="E36" s="259"/>
      <c r="F36" s="260"/>
      <c r="G36" s="259"/>
      <c r="H36" s="260"/>
      <c r="I36" s="259"/>
      <c r="J36" s="260"/>
      <c r="K36" s="259"/>
      <c r="L36" s="261"/>
      <c r="M36" s="260"/>
      <c r="N36" s="260"/>
      <c r="O36" s="259"/>
      <c r="P36" s="261"/>
      <c r="Q36" s="261"/>
    </row>
    <row r="37" spans="1:17">
      <c r="A37" s="259"/>
      <c r="B37" s="259"/>
      <c r="C37" s="260"/>
      <c r="D37" s="260"/>
      <c r="E37" s="259"/>
      <c r="F37" s="260"/>
      <c r="G37" s="259"/>
      <c r="H37" s="260"/>
      <c r="I37" s="259"/>
      <c r="J37" s="260"/>
      <c r="K37" s="259"/>
      <c r="L37" s="260"/>
      <c r="M37" s="260"/>
      <c r="N37" s="260"/>
      <c r="O37" s="260"/>
      <c r="P37" s="260"/>
      <c r="Q37" s="260"/>
    </row>
    <row r="38" spans="1:17">
      <c r="A38" s="259"/>
      <c r="B38" s="259"/>
      <c r="C38" s="260"/>
      <c r="D38" s="260"/>
      <c r="E38" s="259"/>
      <c r="F38" s="260"/>
      <c r="G38" s="259"/>
      <c r="H38" s="260"/>
      <c r="I38" s="259"/>
      <c r="J38" s="260"/>
      <c r="K38" s="259"/>
      <c r="L38" s="261"/>
      <c r="M38" s="260"/>
      <c r="N38" s="260"/>
      <c r="O38" s="260"/>
      <c r="P38" s="261"/>
      <c r="Q38" s="261"/>
    </row>
    <row r="39" spans="1:17">
      <c r="A39" s="259"/>
      <c r="B39" s="259"/>
      <c r="C39" s="260"/>
      <c r="D39" s="260"/>
      <c r="E39" s="259"/>
      <c r="F39" s="260"/>
      <c r="G39" s="259"/>
      <c r="H39" s="260"/>
      <c r="I39" s="259"/>
      <c r="J39" s="260"/>
      <c r="K39" s="259"/>
      <c r="L39" s="261"/>
      <c r="M39" s="260"/>
      <c r="N39" s="260"/>
      <c r="O39" s="260"/>
      <c r="P39" s="261"/>
      <c r="Q39" s="260"/>
    </row>
    <row r="40" spans="1:17">
      <c r="L40" s="293">
        <f t="shared" ref="L40:Q40" si="1">SUM(L14:L39)</f>
        <v>433365.78</v>
      </c>
      <c r="M40" s="293">
        <f t="shared" si="1"/>
        <v>0</v>
      </c>
      <c r="N40" s="293">
        <f t="shared" si="1"/>
        <v>0</v>
      </c>
      <c r="O40" s="293">
        <f t="shared" si="1"/>
        <v>0</v>
      </c>
      <c r="P40" s="293">
        <f t="shared" si="1"/>
        <v>91006.8</v>
      </c>
      <c r="Q40" s="293">
        <f t="shared" si="1"/>
        <v>2741329.4899999998</v>
      </c>
    </row>
    <row r="44" spans="1:17">
      <c r="A44" s="347" t="s">
        <v>927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</row>
    <row r="47" spans="1:17">
      <c r="B47" s="262" t="s">
        <v>928</v>
      </c>
    </row>
    <row r="48" spans="1:17">
      <c r="B48" s="213" t="s">
        <v>929</v>
      </c>
      <c r="C48" s="213"/>
      <c r="D48" s="213">
        <v>600</v>
      </c>
    </row>
    <row r="49" spans="2:4">
      <c r="B49" s="213" t="s">
        <v>930</v>
      </c>
      <c r="C49" s="213"/>
      <c r="D49" s="213">
        <v>4937.1000000000004</v>
      </c>
    </row>
    <row r="52" spans="2:4">
      <c r="B52" s="262" t="s">
        <v>931</v>
      </c>
    </row>
    <row r="53" spans="2:4">
      <c r="B53" s="213" t="s">
        <v>932</v>
      </c>
      <c r="C53" s="213"/>
      <c r="D53" s="213">
        <v>6245</v>
      </c>
    </row>
    <row r="54" spans="2:4">
      <c r="B54" s="213" t="s">
        <v>933</v>
      </c>
      <c r="C54" s="213"/>
      <c r="D54" s="213">
        <v>840</v>
      </c>
    </row>
    <row r="57" spans="2:4">
      <c r="C57" s="55" t="s">
        <v>934</v>
      </c>
      <c r="D57" s="294">
        <f>+SUM(D48,D49,D53,D54)</f>
        <v>12622.1</v>
      </c>
    </row>
  </sheetData>
  <sortState ref="A14:Q35">
    <sortCondition ref="I14:I35"/>
  </sortState>
  <mergeCells count="2">
    <mergeCell ref="B10:N10"/>
    <mergeCell ref="A44:M4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62" t="s">
        <v>102</v>
      </c>
      <c r="B1" s="262" t="s">
        <v>640</v>
      </c>
      <c r="C1" s="262" t="s">
        <v>641</v>
      </c>
      <c r="D1" s="262" t="s">
        <v>642</v>
      </c>
      <c r="E1" s="262" t="s">
        <v>643</v>
      </c>
      <c r="F1" s="262" t="s">
        <v>644</v>
      </c>
      <c r="G1" s="262" t="s">
        <v>645</v>
      </c>
      <c r="H1" s="262" t="s">
        <v>646</v>
      </c>
      <c r="I1" s="262" t="s">
        <v>647</v>
      </c>
      <c r="J1" s="262" t="s">
        <v>648</v>
      </c>
      <c r="K1" s="262" t="s">
        <v>649</v>
      </c>
      <c r="L1" s="262" t="s">
        <v>650</v>
      </c>
      <c r="M1" s="262" t="s">
        <v>651</v>
      </c>
      <c r="N1" s="262" t="s">
        <v>652</v>
      </c>
      <c r="O1" s="262" t="s">
        <v>653</v>
      </c>
      <c r="P1" s="262" t="s">
        <v>3</v>
      </c>
      <c r="Q1" s="262" t="s">
        <v>654</v>
      </c>
    </row>
    <row r="2" spans="1:17" hidden="1">
      <c r="A2" s="259" t="s">
        <v>655</v>
      </c>
      <c r="B2" s="259" t="s">
        <v>656</v>
      </c>
      <c r="C2" s="260">
        <v>2189</v>
      </c>
      <c r="D2" s="260">
        <v>75919</v>
      </c>
      <c r="E2" s="259"/>
      <c r="F2" s="260">
        <v>74356447170423</v>
      </c>
      <c r="G2" s="259" t="s">
        <v>7</v>
      </c>
      <c r="H2" s="263">
        <v>30548083156</v>
      </c>
      <c r="I2" s="259" t="s">
        <v>657</v>
      </c>
      <c r="J2" s="260">
        <v>1</v>
      </c>
      <c r="K2" s="259" t="s">
        <v>658</v>
      </c>
      <c r="L2" s="261">
        <v>6462.61</v>
      </c>
      <c r="M2" s="260">
        <v>0</v>
      </c>
      <c r="N2" s="260">
        <v>0</v>
      </c>
      <c r="O2" s="261">
        <v>452.38</v>
      </c>
      <c r="P2" s="261">
        <v>1357.15</v>
      </c>
      <c r="Q2" s="261">
        <v>8272.14</v>
      </c>
    </row>
    <row r="3" spans="1:17" hidden="1">
      <c r="A3" s="259" t="s">
        <v>659</v>
      </c>
      <c r="B3" s="259" t="s">
        <v>656</v>
      </c>
      <c r="C3" s="260">
        <v>500</v>
      </c>
      <c r="D3" s="260">
        <v>1611886</v>
      </c>
      <c r="E3" s="259"/>
      <c r="F3" s="260">
        <v>74357098226128</v>
      </c>
      <c r="G3" s="259" t="s">
        <v>7</v>
      </c>
      <c r="H3" s="263">
        <v>30654118767</v>
      </c>
      <c r="I3" s="259" t="s">
        <v>660</v>
      </c>
      <c r="J3" s="260">
        <v>1</v>
      </c>
      <c r="K3" s="259" t="s">
        <v>658</v>
      </c>
      <c r="L3" s="261">
        <v>89554.36</v>
      </c>
      <c r="M3" s="260">
        <v>0</v>
      </c>
      <c r="N3" s="260">
        <v>0</v>
      </c>
      <c r="O3" s="260">
        <v>0</v>
      </c>
      <c r="P3" s="261">
        <v>18806.419999999998</v>
      </c>
      <c r="Q3" s="261">
        <v>112850.92</v>
      </c>
    </row>
    <row r="4" spans="1:17" hidden="1">
      <c r="A4" s="259" t="s">
        <v>659</v>
      </c>
      <c r="B4" s="259" t="s">
        <v>656</v>
      </c>
      <c r="C4" s="260">
        <v>1</v>
      </c>
      <c r="D4" s="260">
        <v>4517</v>
      </c>
      <c r="E4" s="259"/>
      <c r="F4" s="260">
        <v>74361573927319</v>
      </c>
      <c r="G4" s="259" t="s">
        <v>7</v>
      </c>
      <c r="H4" s="263">
        <v>30715141201</v>
      </c>
      <c r="I4" s="259" t="s">
        <v>661</v>
      </c>
      <c r="J4" s="260">
        <v>1</v>
      </c>
      <c r="K4" s="259" t="s">
        <v>658</v>
      </c>
      <c r="L4" s="260">
        <v>1216380</v>
      </c>
      <c r="M4" s="260">
        <v>0</v>
      </c>
      <c r="N4" s="260">
        <v>0</v>
      </c>
      <c r="O4" s="260">
        <v>0</v>
      </c>
      <c r="P4" s="259">
        <v>255439.8</v>
      </c>
      <c r="Q4" s="259">
        <v>1471819.8</v>
      </c>
    </row>
    <row r="5" spans="1:17" hidden="1">
      <c r="A5" s="259" t="s">
        <v>659</v>
      </c>
      <c r="B5" s="259" t="s">
        <v>656</v>
      </c>
      <c r="C5" s="260">
        <v>5</v>
      </c>
      <c r="D5" s="260">
        <v>158399</v>
      </c>
      <c r="E5" s="259"/>
      <c r="F5" s="260">
        <v>74363528156508</v>
      </c>
      <c r="G5" s="259" t="s">
        <v>7</v>
      </c>
      <c r="H5" s="263">
        <v>30598960093</v>
      </c>
      <c r="I5" s="259" t="s">
        <v>662</v>
      </c>
      <c r="J5" s="260">
        <v>1</v>
      </c>
      <c r="K5" s="259" t="s">
        <v>658</v>
      </c>
      <c r="L5" s="259">
        <v>2376294.2000000002</v>
      </c>
      <c r="M5" s="260">
        <v>0</v>
      </c>
      <c r="N5" s="260">
        <v>0</v>
      </c>
      <c r="O5" s="260">
        <v>0</v>
      </c>
      <c r="P5" s="261">
        <v>337808.56</v>
      </c>
      <c r="Q5" s="261">
        <v>2832917.47</v>
      </c>
    </row>
    <row r="6" spans="1:17" hidden="1">
      <c r="A6" s="259" t="s">
        <v>659</v>
      </c>
      <c r="B6" s="259" t="s">
        <v>656</v>
      </c>
      <c r="C6" s="260">
        <v>17</v>
      </c>
      <c r="D6" s="260">
        <v>2245</v>
      </c>
      <c r="E6" s="259"/>
      <c r="F6" s="260">
        <v>74361547632750</v>
      </c>
      <c r="G6" s="259" t="s">
        <v>7</v>
      </c>
      <c r="H6" s="263">
        <v>30711764921</v>
      </c>
      <c r="I6" s="259" t="s">
        <v>663</v>
      </c>
      <c r="J6" s="260">
        <v>1</v>
      </c>
      <c r="K6" s="259" t="s">
        <v>658</v>
      </c>
      <c r="L6" s="260">
        <v>93973</v>
      </c>
      <c r="M6" s="260">
        <v>0</v>
      </c>
      <c r="N6" s="260">
        <v>0</v>
      </c>
      <c r="O6" s="260">
        <v>0</v>
      </c>
      <c r="P6" s="261">
        <v>19734.330000000002</v>
      </c>
      <c r="Q6" s="261">
        <v>113707.33</v>
      </c>
    </row>
    <row r="7" spans="1:17" hidden="1">
      <c r="A7" s="259" t="s">
        <v>659</v>
      </c>
      <c r="B7" s="259" t="s">
        <v>656</v>
      </c>
      <c r="C7" s="260">
        <v>3051</v>
      </c>
      <c r="D7" s="260">
        <v>801967</v>
      </c>
      <c r="E7" s="259"/>
      <c r="F7" s="260">
        <v>74367703518446</v>
      </c>
      <c r="G7" s="259" t="s">
        <v>7</v>
      </c>
      <c r="H7" s="263">
        <v>30678814357</v>
      </c>
      <c r="I7" s="259" t="s">
        <v>664</v>
      </c>
      <c r="J7" s="260">
        <v>1</v>
      </c>
      <c r="K7" s="259" t="s">
        <v>658</v>
      </c>
      <c r="L7" s="260">
        <v>14407</v>
      </c>
      <c r="M7" s="260">
        <v>0</v>
      </c>
      <c r="N7" s="260">
        <v>0</v>
      </c>
      <c r="O7" s="260">
        <v>0</v>
      </c>
      <c r="P7" s="261">
        <v>3889.89</v>
      </c>
      <c r="Q7" s="261">
        <v>20245.61</v>
      </c>
    </row>
    <row r="8" spans="1:17" hidden="1">
      <c r="A8" s="259" t="s">
        <v>659</v>
      </c>
      <c r="B8" s="259" t="s">
        <v>656</v>
      </c>
      <c r="C8" s="260">
        <v>2</v>
      </c>
      <c r="D8" s="260">
        <v>248</v>
      </c>
      <c r="E8" s="259"/>
      <c r="F8" s="260">
        <v>74363494027429</v>
      </c>
      <c r="G8" s="259" t="s">
        <v>7</v>
      </c>
      <c r="H8" s="263">
        <v>27144282383</v>
      </c>
      <c r="I8" s="259" t="s">
        <v>665</v>
      </c>
      <c r="J8" s="260">
        <v>1</v>
      </c>
      <c r="K8" s="259" t="s">
        <v>658</v>
      </c>
      <c r="L8" s="260">
        <v>160000</v>
      </c>
      <c r="M8" s="260">
        <v>0</v>
      </c>
      <c r="N8" s="260">
        <v>0</v>
      </c>
      <c r="O8" s="260">
        <v>0</v>
      </c>
      <c r="P8" s="260">
        <v>33600</v>
      </c>
      <c r="Q8" s="260">
        <v>193600</v>
      </c>
    </row>
    <row r="9" spans="1:17" hidden="1">
      <c r="A9" s="259" t="s">
        <v>659</v>
      </c>
      <c r="B9" s="259" t="s">
        <v>656</v>
      </c>
      <c r="C9" s="260">
        <v>5</v>
      </c>
      <c r="D9" s="260">
        <v>102</v>
      </c>
      <c r="E9" s="259"/>
      <c r="F9" s="260">
        <v>74367559790009</v>
      </c>
      <c r="G9" s="259" t="s">
        <v>7</v>
      </c>
      <c r="H9" s="263">
        <v>27329449357</v>
      </c>
      <c r="I9" s="259" t="s">
        <v>666</v>
      </c>
      <c r="J9" s="260">
        <v>1</v>
      </c>
      <c r="K9" s="259" t="s">
        <v>658</v>
      </c>
      <c r="L9" s="260">
        <v>64100</v>
      </c>
      <c r="M9" s="260">
        <v>16400</v>
      </c>
      <c r="N9" s="260">
        <v>0</v>
      </c>
      <c r="O9" s="260">
        <v>0</v>
      </c>
      <c r="P9" s="260">
        <v>13461</v>
      </c>
      <c r="Q9" s="260">
        <v>93961</v>
      </c>
    </row>
    <row r="10" spans="1:17" hidden="1">
      <c r="A10" s="259" t="s">
        <v>659</v>
      </c>
      <c r="B10" s="259" t="s">
        <v>667</v>
      </c>
      <c r="C10" s="260">
        <v>3</v>
      </c>
      <c r="D10" s="260">
        <v>874</v>
      </c>
      <c r="E10" s="259"/>
      <c r="F10" s="260">
        <v>74363563144286</v>
      </c>
      <c r="G10" s="259" t="s">
        <v>7</v>
      </c>
      <c r="H10" s="263">
        <v>20086277523</v>
      </c>
      <c r="I10" s="259" t="s">
        <v>37</v>
      </c>
      <c r="J10" s="260">
        <v>1</v>
      </c>
      <c r="K10" s="259" t="s">
        <v>658</v>
      </c>
      <c r="L10" s="259"/>
      <c r="M10" s="259"/>
      <c r="N10" s="259"/>
      <c r="O10" s="260">
        <v>0</v>
      </c>
      <c r="P10" s="259"/>
      <c r="Q10" s="260">
        <v>275500</v>
      </c>
    </row>
    <row r="11" spans="1:17" hidden="1">
      <c r="A11" s="259" t="s">
        <v>659</v>
      </c>
      <c r="B11" s="259" t="s">
        <v>667</v>
      </c>
      <c r="C11" s="260">
        <v>2</v>
      </c>
      <c r="D11" s="260">
        <v>302</v>
      </c>
      <c r="E11" s="259"/>
      <c r="F11" s="260">
        <v>74368278674869</v>
      </c>
      <c r="G11" s="259" t="s">
        <v>7</v>
      </c>
      <c r="H11" s="263">
        <v>27265832178</v>
      </c>
      <c r="I11" s="259" t="s">
        <v>478</v>
      </c>
      <c r="J11" s="260">
        <v>1</v>
      </c>
      <c r="K11" s="259" t="s">
        <v>658</v>
      </c>
      <c r="L11" s="259"/>
      <c r="M11" s="259"/>
      <c r="N11" s="259"/>
      <c r="O11" s="260">
        <v>0</v>
      </c>
      <c r="P11" s="259"/>
      <c r="Q11" s="260">
        <v>250000</v>
      </c>
    </row>
    <row r="12" spans="1:17" hidden="1">
      <c r="A12" s="259" t="s">
        <v>668</v>
      </c>
      <c r="B12" s="259" t="s">
        <v>656</v>
      </c>
      <c r="C12" s="260">
        <v>629</v>
      </c>
      <c r="D12" s="260">
        <v>5407463</v>
      </c>
      <c r="E12" s="259"/>
      <c r="F12" s="260">
        <v>34353802937243</v>
      </c>
      <c r="G12" s="259" t="s">
        <v>7</v>
      </c>
      <c r="H12" s="263">
        <v>30663498513</v>
      </c>
      <c r="I12" s="259" t="s">
        <v>669</v>
      </c>
      <c r="J12" s="260">
        <v>1</v>
      </c>
      <c r="K12" s="259" t="s">
        <v>658</v>
      </c>
      <c r="L12" s="261">
        <v>2121.64</v>
      </c>
      <c r="M12" s="260">
        <v>0</v>
      </c>
      <c r="N12" s="260">
        <v>0</v>
      </c>
      <c r="O12" s="260">
        <v>0</v>
      </c>
      <c r="P12" s="261">
        <v>445.54</v>
      </c>
      <c r="Q12" s="261">
        <v>2673.26</v>
      </c>
    </row>
    <row r="13" spans="1:17" hidden="1">
      <c r="A13" s="259" t="s">
        <v>668</v>
      </c>
      <c r="B13" s="259" t="s">
        <v>656</v>
      </c>
      <c r="C13" s="260">
        <v>711</v>
      </c>
      <c r="D13" s="260">
        <v>6097149</v>
      </c>
      <c r="E13" s="259"/>
      <c r="F13" s="260">
        <v>34359489663246</v>
      </c>
      <c r="G13" s="259" t="s">
        <v>7</v>
      </c>
      <c r="H13" s="263">
        <v>30677237119</v>
      </c>
      <c r="I13" s="259" t="s">
        <v>670</v>
      </c>
      <c r="J13" s="260">
        <v>1</v>
      </c>
      <c r="K13" s="259" t="s">
        <v>658</v>
      </c>
      <c r="L13" s="261">
        <v>7715.05</v>
      </c>
      <c r="M13" s="260">
        <v>0</v>
      </c>
      <c r="N13" s="261">
        <v>231.45</v>
      </c>
      <c r="O13" s="260">
        <v>0</v>
      </c>
      <c r="P13" s="261">
        <v>1620.16</v>
      </c>
      <c r="Q13" s="261">
        <v>9952.41</v>
      </c>
    </row>
    <row r="14" spans="1:17" hidden="1">
      <c r="A14" s="259" t="s">
        <v>668</v>
      </c>
      <c r="B14" s="259" t="s">
        <v>656</v>
      </c>
      <c r="C14" s="260">
        <v>2635</v>
      </c>
      <c r="D14" s="260">
        <v>1369</v>
      </c>
      <c r="E14" s="259"/>
      <c r="F14" s="260">
        <v>34359844249451</v>
      </c>
      <c r="G14" s="259" t="s">
        <v>7</v>
      </c>
      <c r="H14" s="263">
        <v>33699685459</v>
      </c>
      <c r="I14" s="259" t="s">
        <v>332</v>
      </c>
      <c r="J14" s="260">
        <v>1</v>
      </c>
      <c r="K14" s="259" t="s">
        <v>658</v>
      </c>
      <c r="L14" s="259">
        <v>12449.6</v>
      </c>
      <c r="M14" s="260">
        <v>0</v>
      </c>
      <c r="N14" s="260">
        <v>0</v>
      </c>
      <c r="O14" s="260">
        <v>0</v>
      </c>
      <c r="P14" s="261">
        <v>2614.42</v>
      </c>
      <c r="Q14" s="261">
        <v>15064.02</v>
      </c>
    </row>
    <row r="15" spans="1:17" hidden="1">
      <c r="A15" s="259" t="s">
        <v>668</v>
      </c>
      <c r="B15" s="259" t="s">
        <v>656</v>
      </c>
      <c r="C15" s="260">
        <v>2</v>
      </c>
      <c r="D15" s="260">
        <v>216</v>
      </c>
      <c r="E15" s="259"/>
      <c r="F15" s="260">
        <v>74362687536018</v>
      </c>
      <c r="G15" s="259" t="s">
        <v>7</v>
      </c>
      <c r="H15" s="263">
        <v>30605344352</v>
      </c>
      <c r="I15" s="259" t="s">
        <v>671</v>
      </c>
      <c r="J15" s="260">
        <v>1</v>
      </c>
      <c r="K15" s="259" t="s">
        <v>658</v>
      </c>
      <c r="L15" s="260">
        <v>834000</v>
      </c>
      <c r="M15" s="260">
        <v>0</v>
      </c>
      <c r="N15" s="260">
        <v>0</v>
      </c>
      <c r="O15" s="260">
        <v>0</v>
      </c>
      <c r="P15" s="260">
        <v>175140</v>
      </c>
      <c r="Q15" s="260">
        <v>1009140</v>
      </c>
    </row>
    <row r="16" spans="1:17" hidden="1">
      <c r="A16" s="259" t="s">
        <v>672</v>
      </c>
      <c r="B16" s="259" t="s">
        <v>656</v>
      </c>
      <c r="C16" s="260">
        <v>17</v>
      </c>
      <c r="D16" s="260">
        <v>2255</v>
      </c>
      <c r="E16" s="259"/>
      <c r="F16" s="260">
        <v>74361803741207</v>
      </c>
      <c r="G16" s="259" t="s">
        <v>7</v>
      </c>
      <c r="H16" s="263">
        <v>30711764921</v>
      </c>
      <c r="I16" s="259" t="s">
        <v>663</v>
      </c>
      <c r="J16" s="260">
        <v>1</v>
      </c>
      <c r="K16" s="259" t="s">
        <v>658</v>
      </c>
      <c r="L16" s="260">
        <v>527580</v>
      </c>
      <c r="M16" s="260">
        <v>0</v>
      </c>
      <c r="N16" s="260">
        <v>0</v>
      </c>
      <c r="O16" s="260">
        <v>0</v>
      </c>
      <c r="P16" s="259">
        <v>110791.8</v>
      </c>
      <c r="Q16" s="259">
        <v>638371.80000000005</v>
      </c>
    </row>
    <row r="17" spans="1:17" hidden="1">
      <c r="A17" s="259" t="s">
        <v>672</v>
      </c>
      <c r="B17" s="259" t="s">
        <v>656</v>
      </c>
      <c r="C17" s="260">
        <v>2</v>
      </c>
      <c r="D17" s="260">
        <v>50685</v>
      </c>
      <c r="E17" s="259"/>
      <c r="F17" s="260">
        <v>74365825946417</v>
      </c>
      <c r="G17" s="259" t="s">
        <v>7</v>
      </c>
      <c r="H17" s="263">
        <v>30595553535</v>
      </c>
      <c r="I17" s="259" t="s">
        <v>673</v>
      </c>
      <c r="J17" s="260">
        <v>1</v>
      </c>
      <c r="K17" s="259" t="s">
        <v>658</v>
      </c>
      <c r="L17" s="261">
        <v>4793.3900000000003</v>
      </c>
      <c r="M17" s="260">
        <v>0</v>
      </c>
      <c r="N17" s="260">
        <v>0</v>
      </c>
      <c r="O17" s="260">
        <v>0</v>
      </c>
      <c r="P17" s="261">
        <v>1006.61</v>
      </c>
      <c r="Q17" s="260">
        <v>5800</v>
      </c>
    </row>
    <row r="18" spans="1:17" hidden="1">
      <c r="A18" s="259" t="s">
        <v>672</v>
      </c>
      <c r="B18" s="259" t="s">
        <v>656</v>
      </c>
      <c r="C18" s="260">
        <v>120</v>
      </c>
      <c r="D18" s="260">
        <v>4949</v>
      </c>
      <c r="E18" s="259"/>
      <c r="F18" s="260">
        <v>74365804898856</v>
      </c>
      <c r="G18" s="259" t="s">
        <v>7</v>
      </c>
      <c r="H18" s="263">
        <v>30587197215</v>
      </c>
      <c r="I18" s="259" t="s">
        <v>493</v>
      </c>
      <c r="J18" s="260">
        <v>1</v>
      </c>
      <c r="K18" s="259" t="s">
        <v>658</v>
      </c>
      <c r="L18" s="261">
        <v>68595.039999999994</v>
      </c>
      <c r="M18" s="260">
        <v>0</v>
      </c>
      <c r="N18" s="260">
        <v>0</v>
      </c>
      <c r="O18" s="260">
        <v>0</v>
      </c>
      <c r="P18" s="261">
        <v>14404.96</v>
      </c>
      <c r="Q18" s="261">
        <v>86429.75</v>
      </c>
    </row>
    <row r="19" spans="1:17" hidden="1">
      <c r="A19" s="259" t="s">
        <v>672</v>
      </c>
      <c r="B19" s="259" t="s">
        <v>656</v>
      </c>
      <c r="C19" s="260">
        <v>7</v>
      </c>
      <c r="D19" s="260">
        <v>3241</v>
      </c>
      <c r="E19" s="259"/>
      <c r="F19" s="260">
        <v>74364799883128</v>
      </c>
      <c r="G19" s="259" t="s">
        <v>7</v>
      </c>
      <c r="H19" s="263">
        <v>20284183534</v>
      </c>
      <c r="I19" s="259" t="s">
        <v>448</v>
      </c>
      <c r="J19" s="260">
        <v>1</v>
      </c>
      <c r="K19" s="259" t="s">
        <v>658</v>
      </c>
      <c r="L19" s="259">
        <v>4545.5</v>
      </c>
      <c r="M19" s="260">
        <v>0</v>
      </c>
      <c r="N19" s="260">
        <v>0</v>
      </c>
      <c r="O19" s="260">
        <v>0</v>
      </c>
      <c r="P19" s="261">
        <v>954.56</v>
      </c>
      <c r="Q19" s="261">
        <v>5500.06</v>
      </c>
    </row>
    <row r="20" spans="1:17" hidden="1">
      <c r="A20" s="259" t="s">
        <v>672</v>
      </c>
      <c r="B20" s="259" t="s">
        <v>656</v>
      </c>
      <c r="C20" s="260">
        <v>120</v>
      </c>
      <c r="D20" s="260">
        <v>4948</v>
      </c>
      <c r="E20" s="259"/>
      <c r="F20" s="260">
        <v>74365800262038</v>
      </c>
      <c r="G20" s="259" t="s">
        <v>7</v>
      </c>
      <c r="H20" s="263">
        <v>30587197215</v>
      </c>
      <c r="I20" s="259" t="s">
        <v>493</v>
      </c>
      <c r="J20" s="260">
        <v>1</v>
      </c>
      <c r="K20" s="259" t="s">
        <v>658</v>
      </c>
      <c r="L20" s="261">
        <v>68595.039999999994</v>
      </c>
      <c r="M20" s="260">
        <v>0</v>
      </c>
      <c r="N20" s="260">
        <v>0</v>
      </c>
      <c r="O20" s="260">
        <v>0</v>
      </c>
      <c r="P20" s="261">
        <v>14404.96</v>
      </c>
      <c r="Q20" s="261">
        <v>86429.75</v>
      </c>
    </row>
    <row r="21" spans="1:17" hidden="1">
      <c r="A21" s="259" t="s">
        <v>672</v>
      </c>
      <c r="B21" s="259" t="s">
        <v>656</v>
      </c>
      <c r="C21" s="260">
        <v>401</v>
      </c>
      <c r="D21" s="260">
        <v>66</v>
      </c>
      <c r="E21" s="259"/>
      <c r="F21" s="260">
        <v>74364797895464</v>
      </c>
      <c r="G21" s="259" t="s">
        <v>7</v>
      </c>
      <c r="H21" s="263">
        <v>30716234114</v>
      </c>
      <c r="I21" s="259" t="s">
        <v>674</v>
      </c>
      <c r="J21" s="260">
        <v>1305</v>
      </c>
      <c r="K21" s="259" t="s">
        <v>675</v>
      </c>
      <c r="L21" s="259">
        <v>129.30000000000001</v>
      </c>
      <c r="M21" s="260">
        <v>0</v>
      </c>
      <c r="N21" s="260">
        <v>0</v>
      </c>
      <c r="O21" s="260">
        <v>0</v>
      </c>
      <c r="P21" s="261">
        <v>27.15</v>
      </c>
      <c r="Q21" s="261">
        <v>156.44999999999999</v>
      </c>
    </row>
    <row r="22" spans="1:17" hidden="1">
      <c r="A22" s="259" t="s">
        <v>676</v>
      </c>
      <c r="B22" s="259" t="s">
        <v>656</v>
      </c>
      <c r="C22" s="260">
        <v>2</v>
      </c>
      <c r="D22" s="260">
        <v>760</v>
      </c>
      <c r="E22" s="259"/>
      <c r="F22" s="260">
        <v>74369961703669</v>
      </c>
      <c r="G22" s="259" t="s">
        <v>7</v>
      </c>
      <c r="H22" s="263">
        <v>20272865869</v>
      </c>
      <c r="I22" s="259" t="s">
        <v>625</v>
      </c>
      <c r="J22" s="260">
        <v>1</v>
      </c>
      <c r="K22" s="259" t="s">
        <v>658</v>
      </c>
      <c r="L22" s="260">
        <v>84450</v>
      </c>
      <c r="M22" s="260">
        <v>0</v>
      </c>
      <c r="N22" s="260">
        <v>0</v>
      </c>
      <c r="O22" s="260">
        <v>0</v>
      </c>
      <c r="P22" s="259">
        <v>17734.5</v>
      </c>
      <c r="Q22" s="259">
        <v>102184.5</v>
      </c>
    </row>
    <row r="23" spans="1:17" hidden="1">
      <c r="A23" s="259" t="s">
        <v>676</v>
      </c>
      <c r="B23" s="259" t="s">
        <v>656</v>
      </c>
      <c r="C23" s="260">
        <v>5</v>
      </c>
      <c r="D23" s="260">
        <v>5331</v>
      </c>
      <c r="E23" s="259"/>
      <c r="F23" s="260">
        <v>74363959099503</v>
      </c>
      <c r="G23" s="259" t="s">
        <v>7</v>
      </c>
      <c r="H23" s="263">
        <v>30715833243</v>
      </c>
      <c r="I23" s="259" t="s">
        <v>677</v>
      </c>
      <c r="J23" s="260">
        <v>1</v>
      </c>
      <c r="K23" s="259" t="s">
        <v>658</v>
      </c>
      <c r="L23" s="261">
        <v>22238.59</v>
      </c>
      <c r="M23" s="260">
        <v>0</v>
      </c>
      <c r="N23" s="260">
        <v>0</v>
      </c>
      <c r="O23" s="260">
        <v>0</v>
      </c>
      <c r="P23" s="259">
        <v>4670.1000000000004</v>
      </c>
      <c r="Q23" s="261">
        <v>26908.69</v>
      </c>
    </row>
    <row r="24" spans="1:17" hidden="1">
      <c r="A24" s="259" t="s">
        <v>676</v>
      </c>
      <c r="B24" s="259" t="s">
        <v>656</v>
      </c>
      <c r="C24" s="260">
        <v>5</v>
      </c>
      <c r="D24" s="260">
        <v>5332</v>
      </c>
      <c r="E24" s="259"/>
      <c r="F24" s="260">
        <v>74363959206879</v>
      </c>
      <c r="G24" s="259" t="s">
        <v>7</v>
      </c>
      <c r="H24" s="263">
        <v>30715833243</v>
      </c>
      <c r="I24" s="259" t="s">
        <v>677</v>
      </c>
      <c r="J24" s="260">
        <v>1</v>
      </c>
      <c r="K24" s="259" t="s">
        <v>658</v>
      </c>
      <c r="L24" s="261">
        <v>44477.18</v>
      </c>
      <c r="M24" s="260">
        <v>0</v>
      </c>
      <c r="N24" s="260">
        <v>0</v>
      </c>
      <c r="O24" s="260">
        <v>0</v>
      </c>
      <c r="P24" s="261">
        <v>9340.2099999999991</v>
      </c>
      <c r="Q24" s="261">
        <v>53817.39</v>
      </c>
    </row>
    <row r="25" spans="1:17" hidden="1">
      <c r="A25" s="259" t="s">
        <v>676</v>
      </c>
      <c r="B25" s="259" t="s">
        <v>656</v>
      </c>
      <c r="C25" s="260">
        <v>5</v>
      </c>
      <c r="D25" s="260">
        <v>5328</v>
      </c>
      <c r="E25" s="259"/>
      <c r="F25" s="260">
        <v>74363948247842</v>
      </c>
      <c r="G25" s="259" t="s">
        <v>7</v>
      </c>
      <c r="H25" s="263">
        <v>30715833243</v>
      </c>
      <c r="I25" s="259" t="s">
        <v>677</v>
      </c>
      <c r="J25" s="260">
        <v>1</v>
      </c>
      <c r="K25" s="259" t="s">
        <v>658</v>
      </c>
      <c r="L25" s="261">
        <v>205349.64</v>
      </c>
      <c r="M25" s="260">
        <v>0</v>
      </c>
      <c r="N25" s="260">
        <v>0</v>
      </c>
      <c r="O25" s="260">
        <v>0</v>
      </c>
      <c r="P25" s="261">
        <v>43123.42</v>
      </c>
      <c r="Q25" s="261">
        <v>248473.06</v>
      </c>
    </row>
    <row r="26" spans="1:17" hidden="1">
      <c r="A26" s="259" t="s">
        <v>676</v>
      </c>
      <c r="B26" s="259" t="s">
        <v>678</v>
      </c>
      <c r="C26" s="260">
        <v>5</v>
      </c>
      <c r="D26" s="260">
        <v>803</v>
      </c>
      <c r="E26" s="259"/>
      <c r="F26" s="260">
        <v>74363959149539</v>
      </c>
      <c r="G26" s="259" t="s">
        <v>7</v>
      </c>
      <c r="H26" s="263">
        <v>30715833243</v>
      </c>
      <c r="I26" s="259" t="s">
        <v>677</v>
      </c>
      <c r="J26" s="260">
        <v>1</v>
      </c>
      <c r="K26" s="259" t="s">
        <v>658</v>
      </c>
      <c r="L26" s="261">
        <v>22238.59</v>
      </c>
      <c r="M26" s="260">
        <v>0</v>
      </c>
      <c r="N26" s="260">
        <v>0</v>
      </c>
      <c r="O26" s="260">
        <v>0</v>
      </c>
      <c r="P26" s="259">
        <v>4670.1000000000004</v>
      </c>
      <c r="Q26" s="261">
        <v>26908.69</v>
      </c>
    </row>
    <row r="27" spans="1:17" hidden="1">
      <c r="A27" s="259" t="s">
        <v>679</v>
      </c>
      <c r="B27" s="259" t="s">
        <v>656</v>
      </c>
      <c r="C27" s="260">
        <v>8</v>
      </c>
      <c r="D27" s="260">
        <v>306</v>
      </c>
      <c r="E27" s="259"/>
      <c r="F27" s="260">
        <v>74364088350892</v>
      </c>
      <c r="G27" s="259" t="s">
        <v>7</v>
      </c>
      <c r="H27" s="263">
        <v>30643518364</v>
      </c>
      <c r="I27" s="259" t="s">
        <v>680</v>
      </c>
      <c r="J27" s="260">
        <v>1</v>
      </c>
      <c r="K27" s="259" t="s">
        <v>658</v>
      </c>
      <c r="L27" s="260">
        <v>188610</v>
      </c>
      <c r="M27" s="260">
        <v>0</v>
      </c>
      <c r="N27" s="260">
        <v>0</v>
      </c>
      <c r="O27" s="260">
        <v>0</v>
      </c>
      <c r="P27" s="259">
        <v>39608.1</v>
      </c>
      <c r="Q27" s="259">
        <v>228218.1</v>
      </c>
    </row>
    <row r="28" spans="1:17" hidden="1">
      <c r="A28" s="259" t="s">
        <v>679</v>
      </c>
      <c r="B28" s="259" t="s">
        <v>656</v>
      </c>
      <c r="C28" s="260">
        <v>5</v>
      </c>
      <c r="D28" s="260">
        <v>1901</v>
      </c>
      <c r="E28" s="259"/>
      <c r="F28" s="260">
        <v>74366066637327</v>
      </c>
      <c r="G28" s="259" t="s">
        <v>7</v>
      </c>
      <c r="H28" s="263">
        <v>30712187316</v>
      </c>
      <c r="I28" s="259" t="s">
        <v>68</v>
      </c>
      <c r="J28" s="260">
        <v>1</v>
      </c>
      <c r="K28" s="259" t="s">
        <v>658</v>
      </c>
      <c r="L28" s="261">
        <v>293619.94</v>
      </c>
      <c r="M28" s="260">
        <v>0</v>
      </c>
      <c r="N28" s="260">
        <v>0</v>
      </c>
      <c r="O28" s="260">
        <v>0</v>
      </c>
      <c r="P28" s="261">
        <v>61660.19</v>
      </c>
      <c r="Q28" s="261">
        <v>355280.13</v>
      </c>
    </row>
    <row r="29" spans="1:17" hidden="1">
      <c r="A29" s="259" t="s">
        <v>679</v>
      </c>
      <c r="B29" s="259" t="s">
        <v>656</v>
      </c>
      <c r="C29" s="260">
        <v>700</v>
      </c>
      <c r="D29" s="260">
        <v>1905419</v>
      </c>
      <c r="E29" s="259"/>
      <c r="F29" s="260">
        <v>74372577628576</v>
      </c>
      <c r="G29" s="259" t="s">
        <v>7</v>
      </c>
      <c r="H29" s="263">
        <v>30715804812</v>
      </c>
      <c r="I29" s="259" t="s">
        <v>681</v>
      </c>
      <c r="J29" s="260">
        <v>1</v>
      </c>
      <c r="K29" s="259" t="s">
        <v>658</v>
      </c>
      <c r="L29" s="261">
        <v>3818.92</v>
      </c>
      <c r="M29" s="260">
        <v>0</v>
      </c>
      <c r="N29" s="260">
        <v>0</v>
      </c>
      <c r="O29" s="260">
        <v>0</v>
      </c>
      <c r="P29" s="261">
        <v>801.98</v>
      </c>
      <c r="Q29" s="261">
        <v>4811.8500000000004</v>
      </c>
    </row>
    <row r="30" spans="1:17" hidden="1">
      <c r="A30" s="259" t="s">
        <v>682</v>
      </c>
      <c r="B30" s="259" t="s">
        <v>656</v>
      </c>
      <c r="C30" s="260">
        <v>5015</v>
      </c>
      <c r="D30" s="260">
        <v>643182</v>
      </c>
      <c r="E30" s="259"/>
      <c r="F30" s="260">
        <v>74364287628815</v>
      </c>
      <c r="G30" s="259" t="s">
        <v>7</v>
      </c>
      <c r="H30" s="263">
        <v>30574876474</v>
      </c>
      <c r="I30" s="259" t="s">
        <v>683</v>
      </c>
      <c r="J30" s="260">
        <v>1</v>
      </c>
      <c r="K30" s="259" t="s">
        <v>658</v>
      </c>
      <c r="L30" s="261">
        <v>14073.49</v>
      </c>
      <c r="M30" s="260">
        <v>0</v>
      </c>
      <c r="N30" s="260">
        <v>0</v>
      </c>
      <c r="O30" s="260">
        <v>0</v>
      </c>
      <c r="P30" s="261">
        <v>2955.43</v>
      </c>
      <c r="Q30" s="261">
        <v>18858.47</v>
      </c>
    </row>
    <row r="31" spans="1:17">
      <c r="A31" s="290" t="s">
        <v>682</v>
      </c>
      <c r="B31" s="290" t="s">
        <v>656</v>
      </c>
      <c r="C31" s="291">
        <v>12</v>
      </c>
      <c r="D31" s="291">
        <v>1770378</v>
      </c>
      <c r="E31" s="290"/>
      <c r="F31" s="291">
        <v>74374364009998</v>
      </c>
      <c r="G31" s="290" t="s">
        <v>7</v>
      </c>
      <c r="H31" s="291">
        <v>30709776564</v>
      </c>
      <c r="I31" s="290" t="s">
        <v>684</v>
      </c>
      <c r="J31" s="260">
        <v>1</v>
      </c>
      <c r="K31" s="259" t="s">
        <v>658</v>
      </c>
      <c r="L31" s="260">
        <v>129241</v>
      </c>
      <c r="M31" s="260">
        <v>0</v>
      </c>
      <c r="N31" s="260">
        <v>0</v>
      </c>
      <c r="O31" s="260">
        <v>0</v>
      </c>
      <c r="P31" s="261">
        <v>27140.61</v>
      </c>
      <c r="Q31" s="261">
        <v>162843.68</v>
      </c>
    </row>
    <row r="32" spans="1:17" hidden="1">
      <c r="A32" s="259" t="s">
        <v>685</v>
      </c>
      <c r="B32" s="259" t="s">
        <v>656</v>
      </c>
      <c r="C32" s="260">
        <v>6</v>
      </c>
      <c r="D32" s="260">
        <v>54121</v>
      </c>
      <c r="E32" s="259"/>
      <c r="F32" s="260">
        <v>74378439780493</v>
      </c>
      <c r="G32" s="259" t="s">
        <v>7</v>
      </c>
      <c r="H32" s="263">
        <v>30710177658</v>
      </c>
      <c r="I32" s="259" t="s">
        <v>686</v>
      </c>
      <c r="J32" s="260">
        <v>1</v>
      </c>
      <c r="K32" s="259" t="s">
        <v>658</v>
      </c>
      <c r="L32" s="259">
        <v>700742.4</v>
      </c>
      <c r="M32" s="260">
        <v>0</v>
      </c>
      <c r="N32" s="260">
        <v>0</v>
      </c>
      <c r="O32" s="260">
        <v>0</v>
      </c>
      <c r="P32" s="259">
        <v>147155.9</v>
      </c>
      <c r="Q32" s="259">
        <v>847898.3</v>
      </c>
    </row>
    <row r="33" spans="1:17" hidden="1">
      <c r="A33" s="259" t="s">
        <v>685</v>
      </c>
      <c r="B33" s="259" t="s">
        <v>656</v>
      </c>
      <c r="C33" s="260">
        <v>5</v>
      </c>
      <c r="D33" s="260">
        <v>1908</v>
      </c>
      <c r="E33" s="259"/>
      <c r="F33" s="260">
        <v>74376416790528</v>
      </c>
      <c r="G33" s="259" t="s">
        <v>7</v>
      </c>
      <c r="H33" s="263">
        <v>30712187316</v>
      </c>
      <c r="I33" s="259" t="s">
        <v>68</v>
      </c>
      <c r="J33" s="260">
        <v>1</v>
      </c>
      <c r="K33" s="259" t="s">
        <v>658</v>
      </c>
      <c r="L33" s="261">
        <v>265780.37</v>
      </c>
      <c r="M33" s="260">
        <v>0</v>
      </c>
      <c r="N33" s="260">
        <v>0</v>
      </c>
      <c r="O33" s="260">
        <v>0</v>
      </c>
      <c r="P33" s="261">
        <v>55813.88</v>
      </c>
      <c r="Q33" s="261">
        <v>321594.25</v>
      </c>
    </row>
    <row r="34" spans="1:17" hidden="1">
      <c r="A34" s="259" t="s">
        <v>685</v>
      </c>
      <c r="B34" s="259" t="s">
        <v>656</v>
      </c>
      <c r="C34" s="260">
        <v>3101</v>
      </c>
      <c r="D34" s="260">
        <v>161895</v>
      </c>
      <c r="E34" s="259"/>
      <c r="F34" s="260">
        <v>74377575713159</v>
      </c>
      <c r="G34" s="259" t="s">
        <v>7</v>
      </c>
      <c r="H34" s="263">
        <v>30678814357</v>
      </c>
      <c r="I34" s="259" t="s">
        <v>664</v>
      </c>
      <c r="J34" s="260">
        <v>1</v>
      </c>
      <c r="K34" s="259" t="s">
        <v>658</v>
      </c>
      <c r="L34" s="261">
        <v>58748.38</v>
      </c>
      <c r="M34" s="260">
        <v>0</v>
      </c>
      <c r="N34" s="260">
        <v>0</v>
      </c>
      <c r="O34" s="260">
        <v>0</v>
      </c>
      <c r="P34" s="261">
        <v>15862.06</v>
      </c>
      <c r="Q34" s="261">
        <v>79310.31</v>
      </c>
    </row>
    <row r="35" spans="1:17" hidden="1">
      <c r="A35" s="259" t="s">
        <v>685</v>
      </c>
      <c r="B35" s="259" t="s">
        <v>678</v>
      </c>
      <c r="C35" s="260">
        <v>5</v>
      </c>
      <c r="D35" s="260">
        <v>192</v>
      </c>
      <c r="E35" s="259"/>
      <c r="F35" s="260">
        <v>74376416376753</v>
      </c>
      <c r="G35" s="259" t="s">
        <v>7</v>
      </c>
      <c r="H35" s="263">
        <v>30712187316</v>
      </c>
      <c r="I35" s="259" t="s">
        <v>68</v>
      </c>
      <c r="J35" s="260">
        <v>1</v>
      </c>
      <c r="K35" s="259" t="s">
        <v>658</v>
      </c>
      <c r="L35" s="261">
        <v>293619.94</v>
      </c>
      <c r="M35" s="260">
        <v>0</v>
      </c>
      <c r="N35" s="260">
        <v>0</v>
      </c>
      <c r="O35" s="260">
        <v>0</v>
      </c>
      <c r="P35" s="261">
        <v>61660.19</v>
      </c>
      <c r="Q35" s="261">
        <v>355280.13</v>
      </c>
    </row>
    <row r="36" spans="1:17" hidden="1">
      <c r="A36" s="259" t="s">
        <v>685</v>
      </c>
      <c r="B36" s="259" t="s">
        <v>667</v>
      </c>
      <c r="C36" s="260">
        <v>1</v>
      </c>
      <c r="D36" s="260">
        <v>148</v>
      </c>
      <c r="E36" s="259"/>
      <c r="F36" s="260">
        <v>74370408397319</v>
      </c>
      <c r="G36" s="259" t="s">
        <v>7</v>
      </c>
      <c r="H36" s="263">
        <v>27338342840</v>
      </c>
      <c r="I36" s="259" t="s">
        <v>432</v>
      </c>
      <c r="J36" s="260">
        <v>1</v>
      </c>
      <c r="K36" s="259" t="s">
        <v>658</v>
      </c>
      <c r="L36" s="259"/>
      <c r="M36" s="259"/>
      <c r="N36" s="259"/>
      <c r="O36" s="260">
        <v>0</v>
      </c>
      <c r="P36" s="259"/>
      <c r="Q36" s="260">
        <v>276800</v>
      </c>
    </row>
    <row r="37" spans="1:17" hidden="1">
      <c r="A37" s="259" t="s">
        <v>687</v>
      </c>
      <c r="B37" s="259" t="s">
        <v>656</v>
      </c>
      <c r="C37" s="260">
        <v>2</v>
      </c>
      <c r="D37" s="260">
        <v>8403</v>
      </c>
      <c r="E37" s="259"/>
      <c r="F37" s="260">
        <v>74372567359059</v>
      </c>
      <c r="G37" s="259" t="s">
        <v>7</v>
      </c>
      <c r="H37" s="263">
        <v>27363810182</v>
      </c>
      <c r="I37" s="259" t="s">
        <v>688</v>
      </c>
      <c r="J37" s="260">
        <v>1</v>
      </c>
      <c r="K37" s="259" t="s">
        <v>658</v>
      </c>
      <c r="L37" s="261">
        <v>3635.54</v>
      </c>
      <c r="M37" s="260">
        <v>0</v>
      </c>
      <c r="N37" s="260">
        <v>0</v>
      </c>
      <c r="O37" s="260">
        <v>0</v>
      </c>
      <c r="P37" s="261">
        <v>763.46</v>
      </c>
      <c r="Q37" s="260">
        <v>4399</v>
      </c>
    </row>
    <row r="38" spans="1:17" hidden="1">
      <c r="A38" s="259" t="s">
        <v>687</v>
      </c>
      <c r="B38" s="259" t="s">
        <v>656</v>
      </c>
      <c r="C38" s="260">
        <v>5</v>
      </c>
      <c r="D38" s="260">
        <v>31858</v>
      </c>
      <c r="E38" s="259"/>
      <c r="F38" s="260">
        <v>74370525870493</v>
      </c>
      <c r="G38" s="259" t="s">
        <v>7</v>
      </c>
      <c r="H38" s="263">
        <v>30710804830</v>
      </c>
      <c r="I38" s="259" t="s">
        <v>689</v>
      </c>
      <c r="J38" s="260">
        <v>1</v>
      </c>
      <c r="K38" s="259" t="s">
        <v>658</v>
      </c>
      <c r="L38" s="261">
        <v>29410.86</v>
      </c>
      <c r="M38" s="260">
        <v>0</v>
      </c>
      <c r="N38" s="260">
        <v>0</v>
      </c>
      <c r="O38" s="260">
        <v>0</v>
      </c>
      <c r="P38" s="261">
        <v>3088.14</v>
      </c>
      <c r="Q38" s="260">
        <v>32499</v>
      </c>
    </row>
    <row r="39" spans="1:17" hidden="1">
      <c r="A39" s="259" t="s">
        <v>687</v>
      </c>
      <c r="B39" s="259" t="s">
        <v>656</v>
      </c>
      <c r="C39" s="260">
        <v>8</v>
      </c>
      <c r="D39" s="260">
        <v>1684</v>
      </c>
      <c r="E39" s="259"/>
      <c r="F39" s="260">
        <v>74371529941038</v>
      </c>
      <c r="G39" s="259" t="s">
        <v>7</v>
      </c>
      <c r="H39" s="263">
        <v>30708973501</v>
      </c>
      <c r="I39" s="259" t="s">
        <v>690</v>
      </c>
      <c r="J39" s="260">
        <v>1</v>
      </c>
      <c r="K39" s="259" t="s">
        <v>658</v>
      </c>
      <c r="L39" s="260">
        <v>740255</v>
      </c>
      <c r="M39" s="260">
        <v>0</v>
      </c>
      <c r="N39" s="260">
        <v>0</v>
      </c>
      <c r="O39" s="260">
        <v>0</v>
      </c>
      <c r="P39" s="261">
        <v>155453.54999999999</v>
      </c>
      <c r="Q39" s="261">
        <v>895708.55</v>
      </c>
    </row>
    <row r="40" spans="1:17" hidden="1">
      <c r="A40" s="259" t="s">
        <v>687</v>
      </c>
      <c r="B40" s="259" t="s">
        <v>656</v>
      </c>
      <c r="C40" s="260">
        <v>3</v>
      </c>
      <c r="D40" s="260">
        <v>4250</v>
      </c>
      <c r="E40" s="259"/>
      <c r="F40" s="260">
        <v>74378552751950</v>
      </c>
      <c r="G40" s="259" t="s">
        <v>7</v>
      </c>
      <c r="H40" s="263">
        <v>20184052858</v>
      </c>
      <c r="I40" s="259" t="s">
        <v>691</v>
      </c>
      <c r="J40" s="260">
        <v>1</v>
      </c>
      <c r="K40" s="259" t="s">
        <v>658</v>
      </c>
      <c r="L40" s="261">
        <v>16859.48</v>
      </c>
      <c r="M40" s="260">
        <v>0</v>
      </c>
      <c r="N40" s="260">
        <v>0</v>
      </c>
      <c r="O40" s="260">
        <v>0</v>
      </c>
      <c r="P40" s="261">
        <v>3540.49</v>
      </c>
      <c r="Q40" s="261">
        <v>20399.95</v>
      </c>
    </row>
    <row r="41" spans="1:17" hidden="1">
      <c r="A41" s="259" t="s">
        <v>687</v>
      </c>
      <c r="B41" s="259" t="s">
        <v>667</v>
      </c>
      <c r="C41" s="260">
        <v>3</v>
      </c>
      <c r="D41" s="260">
        <v>986</v>
      </c>
      <c r="E41" s="259"/>
      <c r="F41" s="260">
        <v>74379527477577</v>
      </c>
      <c r="G41" s="259" t="s">
        <v>7</v>
      </c>
      <c r="H41" s="263">
        <v>20216451679</v>
      </c>
      <c r="I41" s="259" t="s">
        <v>477</v>
      </c>
      <c r="J41" s="260">
        <v>1</v>
      </c>
      <c r="K41" s="259" t="s">
        <v>658</v>
      </c>
      <c r="L41" s="259"/>
      <c r="M41" s="259"/>
      <c r="N41" s="259"/>
      <c r="O41" s="260">
        <v>0</v>
      </c>
      <c r="P41" s="259"/>
      <c r="Q41" s="260">
        <v>86000</v>
      </c>
    </row>
    <row r="42" spans="1:17" hidden="1">
      <c r="A42" s="259" t="s">
        <v>692</v>
      </c>
      <c r="B42" s="259" t="s">
        <v>656</v>
      </c>
      <c r="C42" s="260">
        <v>1</v>
      </c>
      <c r="D42" s="260">
        <v>2468</v>
      </c>
      <c r="E42" s="259"/>
      <c r="F42" s="260">
        <v>74379681409704</v>
      </c>
      <c r="G42" s="259" t="s">
        <v>7</v>
      </c>
      <c r="H42" s="263">
        <v>30717179389</v>
      </c>
      <c r="I42" s="259" t="s">
        <v>693</v>
      </c>
      <c r="J42" s="260">
        <v>1</v>
      </c>
      <c r="K42" s="259" t="s">
        <v>658</v>
      </c>
      <c r="L42" s="261">
        <v>82644.62</v>
      </c>
      <c r="M42" s="260">
        <v>0</v>
      </c>
      <c r="N42" s="260">
        <v>0</v>
      </c>
      <c r="O42" s="260">
        <v>0</v>
      </c>
      <c r="P42" s="261">
        <v>17355.37</v>
      </c>
      <c r="Q42" s="261">
        <v>99999.99</v>
      </c>
    </row>
    <row r="43" spans="1:17">
      <c r="A43" s="290" t="s">
        <v>692</v>
      </c>
      <c r="B43" s="290" t="s">
        <v>656</v>
      </c>
      <c r="C43" s="291">
        <v>5</v>
      </c>
      <c r="D43" s="291">
        <v>3378</v>
      </c>
      <c r="E43" s="290"/>
      <c r="F43" s="291">
        <v>74379704726153</v>
      </c>
      <c r="G43" s="290" t="s">
        <v>7</v>
      </c>
      <c r="H43" s="291">
        <v>30717179389</v>
      </c>
      <c r="I43" s="290" t="s">
        <v>693</v>
      </c>
      <c r="J43" s="291">
        <v>1</v>
      </c>
      <c r="K43" s="290" t="s">
        <v>658</v>
      </c>
      <c r="L43" s="292">
        <v>82644.63</v>
      </c>
      <c r="M43" s="260">
        <v>0</v>
      </c>
      <c r="N43" s="260">
        <v>0</v>
      </c>
      <c r="O43" s="260">
        <v>0</v>
      </c>
      <c r="P43" s="261">
        <v>17355.37</v>
      </c>
      <c r="Q43" s="260">
        <v>100000</v>
      </c>
    </row>
    <row r="44" spans="1:17" hidden="1">
      <c r="A44" s="259" t="s">
        <v>692</v>
      </c>
      <c r="B44" s="259" t="s">
        <v>656</v>
      </c>
      <c r="C44" s="260">
        <v>3</v>
      </c>
      <c r="D44" s="260">
        <v>7676</v>
      </c>
      <c r="E44" s="259"/>
      <c r="F44" s="260">
        <v>74379686794320</v>
      </c>
      <c r="G44" s="259" t="s">
        <v>7</v>
      </c>
      <c r="H44" s="263">
        <v>33708218699</v>
      </c>
      <c r="I44" s="259" t="s">
        <v>694</v>
      </c>
      <c r="J44" s="260">
        <v>1</v>
      </c>
      <c r="K44" s="259" t="s">
        <v>658</v>
      </c>
      <c r="L44" s="260">
        <v>15000</v>
      </c>
      <c r="M44" s="260">
        <v>0</v>
      </c>
      <c r="N44" s="260">
        <v>0</v>
      </c>
      <c r="O44" s="260">
        <v>0</v>
      </c>
      <c r="P44" s="260">
        <v>3150</v>
      </c>
      <c r="Q44" s="260">
        <v>18150</v>
      </c>
    </row>
    <row r="45" spans="1:17" hidden="1">
      <c r="A45" s="259" t="s">
        <v>692</v>
      </c>
      <c r="B45" s="259" t="s">
        <v>667</v>
      </c>
      <c r="C45" s="260">
        <v>1</v>
      </c>
      <c r="D45" s="260">
        <v>9</v>
      </c>
      <c r="E45" s="259"/>
      <c r="F45" s="260">
        <v>74373677716509</v>
      </c>
      <c r="G45" s="259" t="s">
        <v>7</v>
      </c>
      <c r="H45" s="263">
        <v>20464199633</v>
      </c>
      <c r="I45" s="259" t="s">
        <v>695</v>
      </c>
      <c r="J45" s="260">
        <v>1</v>
      </c>
      <c r="K45" s="259" t="s">
        <v>658</v>
      </c>
      <c r="L45" s="259"/>
      <c r="M45" s="259"/>
      <c r="N45" s="259"/>
      <c r="O45" s="260">
        <v>0</v>
      </c>
      <c r="P45" s="259"/>
      <c r="Q45" s="260">
        <v>499950</v>
      </c>
    </row>
    <row r="46" spans="1:17" hidden="1">
      <c r="A46" s="259" t="s">
        <v>696</v>
      </c>
      <c r="B46" s="259" t="s">
        <v>656</v>
      </c>
      <c r="C46" s="260">
        <v>2</v>
      </c>
      <c r="D46" s="260">
        <v>778</v>
      </c>
      <c r="E46" s="259"/>
      <c r="F46" s="260">
        <v>74379814460759</v>
      </c>
      <c r="G46" s="259" t="s">
        <v>7</v>
      </c>
      <c r="H46" s="263">
        <v>20272865869</v>
      </c>
      <c r="I46" s="259" t="s">
        <v>625</v>
      </c>
      <c r="J46" s="260">
        <v>1</v>
      </c>
      <c r="K46" s="259" t="s">
        <v>658</v>
      </c>
      <c r="L46" s="260">
        <v>128100</v>
      </c>
      <c r="M46" s="260">
        <v>0</v>
      </c>
      <c r="N46" s="260">
        <v>0</v>
      </c>
      <c r="O46" s="260">
        <v>0</v>
      </c>
      <c r="P46" s="260">
        <v>26901</v>
      </c>
      <c r="Q46" s="260">
        <v>155001</v>
      </c>
    </row>
    <row r="47" spans="1:17" hidden="1">
      <c r="A47" s="259" t="s">
        <v>696</v>
      </c>
      <c r="B47" s="259" t="s">
        <v>656</v>
      </c>
      <c r="C47" s="260">
        <v>4</v>
      </c>
      <c r="D47" s="260">
        <v>38394</v>
      </c>
      <c r="E47" s="259"/>
      <c r="F47" s="260">
        <v>74379814609856</v>
      </c>
      <c r="G47" s="259" t="s">
        <v>7</v>
      </c>
      <c r="H47" s="263">
        <v>20289111329</v>
      </c>
      <c r="I47" s="259" t="s">
        <v>697</v>
      </c>
      <c r="J47" s="260">
        <v>1</v>
      </c>
      <c r="K47" s="259" t="s">
        <v>658</v>
      </c>
      <c r="L47" s="259">
        <v>585730.80000000005</v>
      </c>
      <c r="M47" s="260">
        <v>0</v>
      </c>
      <c r="N47" s="260">
        <v>0</v>
      </c>
      <c r="O47" s="260">
        <v>0</v>
      </c>
      <c r="P47" s="261">
        <v>123003.47</v>
      </c>
      <c r="Q47" s="261">
        <v>708734.27</v>
      </c>
    </row>
    <row r="48" spans="1:17" hidden="1">
      <c r="A48" s="259" t="s">
        <v>696</v>
      </c>
      <c r="B48" s="259" t="s">
        <v>656</v>
      </c>
      <c r="C48" s="260">
        <v>5</v>
      </c>
      <c r="D48" s="260">
        <v>1915</v>
      </c>
      <c r="E48" s="259"/>
      <c r="F48" s="260">
        <v>74376761404173</v>
      </c>
      <c r="G48" s="259" t="s">
        <v>7</v>
      </c>
      <c r="H48" s="263">
        <v>30712187316</v>
      </c>
      <c r="I48" s="259" t="s">
        <v>68</v>
      </c>
      <c r="J48" s="260">
        <v>1</v>
      </c>
      <c r="K48" s="259" t="s">
        <v>658</v>
      </c>
      <c r="L48" s="261">
        <v>254033.05</v>
      </c>
      <c r="M48" s="260">
        <v>0</v>
      </c>
      <c r="N48" s="260">
        <v>0</v>
      </c>
      <c r="O48" s="260">
        <v>0</v>
      </c>
      <c r="P48" s="261">
        <v>53346.94</v>
      </c>
      <c r="Q48" s="261">
        <v>307379.99</v>
      </c>
    </row>
    <row r="49" spans="1:17" hidden="1">
      <c r="A49" s="259" t="s">
        <v>696</v>
      </c>
      <c r="B49" s="259" t="s">
        <v>656</v>
      </c>
      <c r="C49" s="260">
        <v>5</v>
      </c>
      <c r="D49" s="260">
        <v>1916</v>
      </c>
      <c r="E49" s="259"/>
      <c r="F49" s="260">
        <v>74376766353942</v>
      </c>
      <c r="G49" s="259" t="s">
        <v>7</v>
      </c>
      <c r="H49" s="263">
        <v>30712187316</v>
      </c>
      <c r="I49" s="259" t="s">
        <v>68</v>
      </c>
      <c r="J49" s="260">
        <v>1</v>
      </c>
      <c r="K49" s="259" t="s">
        <v>658</v>
      </c>
      <c r="L49" s="261">
        <v>472751.65</v>
      </c>
      <c r="M49" s="260">
        <v>0</v>
      </c>
      <c r="N49" s="260">
        <v>0</v>
      </c>
      <c r="O49" s="260">
        <v>0</v>
      </c>
      <c r="P49" s="261">
        <v>99277.85</v>
      </c>
      <c r="Q49" s="259">
        <v>572029.5</v>
      </c>
    </row>
    <row r="50" spans="1:17" hidden="1">
      <c r="A50" s="259" t="s">
        <v>698</v>
      </c>
      <c r="B50" s="259" t="s">
        <v>656</v>
      </c>
      <c r="C50" s="260">
        <v>1</v>
      </c>
      <c r="D50" s="260">
        <v>4620</v>
      </c>
      <c r="E50" s="259"/>
      <c r="F50" s="260">
        <v>74371942773283</v>
      </c>
      <c r="G50" s="259" t="s">
        <v>7</v>
      </c>
      <c r="H50" s="263">
        <v>30715141201</v>
      </c>
      <c r="I50" s="259" t="s">
        <v>661</v>
      </c>
      <c r="J50" s="260">
        <v>1</v>
      </c>
      <c r="K50" s="259" t="s">
        <v>658</v>
      </c>
      <c r="L50" s="260">
        <v>29295</v>
      </c>
      <c r="M50" s="260">
        <v>0</v>
      </c>
      <c r="N50" s="260">
        <v>0</v>
      </c>
      <c r="O50" s="260">
        <v>0</v>
      </c>
      <c r="P50" s="261">
        <v>6151.95</v>
      </c>
      <c r="Q50" s="261">
        <v>35446.949999999997</v>
      </c>
    </row>
    <row r="51" spans="1:17" hidden="1">
      <c r="A51" s="259" t="s">
        <v>698</v>
      </c>
      <c r="B51" s="259" t="s">
        <v>656</v>
      </c>
      <c r="C51" s="260">
        <v>5</v>
      </c>
      <c r="D51" s="260">
        <v>1920</v>
      </c>
      <c r="E51" s="259"/>
      <c r="F51" s="260">
        <v>74376932362480</v>
      </c>
      <c r="G51" s="259" t="s">
        <v>7</v>
      </c>
      <c r="H51" s="263">
        <v>30712187316</v>
      </c>
      <c r="I51" s="259" t="s">
        <v>68</v>
      </c>
      <c r="J51" s="260">
        <v>1</v>
      </c>
      <c r="K51" s="259" t="s">
        <v>658</v>
      </c>
      <c r="L51" s="259">
        <v>34718.6</v>
      </c>
      <c r="M51" s="260">
        <v>0</v>
      </c>
      <c r="N51" s="260">
        <v>0</v>
      </c>
      <c r="O51" s="260">
        <v>0</v>
      </c>
      <c r="P51" s="261">
        <v>7290.91</v>
      </c>
      <c r="Q51" s="261">
        <v>42009.51</v>
      </c>
    </row>
    <row r="52" spans="1:17" hidden="1">
      <c r="A52" s="259" t="s">
        <v>698</v>
      </c>
      <c r="B52" s="259" t="s">
        <v>656</v>
      </c>
      <c r="C52" s="260">
        <v>2</v>
      </c>
      <c r="D52" s="260">
        <v>783</v>
      </c>
      <c r="E52" s="259"/>
      <c r="F52" s="260">
        <v>74379875047216</v>
      </c>
      <c r="G52" s="259" t="s">
        <v>7</v>
      </c>
      <c r="H52" s="263">
        <v>20272865869</v>
      </c>
      <c r="I52" s="259" t="s">
        <v>625</v>
      </c>
      <c r="J52" s="260">
        <v>1</v>
      </c>
      <c r="K52" s="259" t="s">
        <v>658</v>
      </c>
      <c r="L52" s="260">
        <v>9950</v>
      </c>
      <c r="M52" s="260">
        <v>0</v>
      </c>
      <c r="N52" s="260">
        <v>0</v>
      </c>
      <c r="O52" s="260">
        <v>0</v>
      </c>
      <c r="P52" s="259">
        <v>2089.5</v>
      </c>
      <c r="Q52" s="259">
        <v>12039.5</v>
      </c>
    </row>
    <row r="53" spans="1:17" hidden="1">
      <c r="A53" s="259" t="s">
        <v>698</v>
      </c>
      <c r="B53" s="259" t="s">
        <v>656</v>
      </c>
      <c r="C53" s="260">
        <v>1</v>
      </c>
      <c r="D53" s="260">
        <v>4613</v>
      </c>
      <c r="E53" s="259"/>
      <c r="F53" s="260">
        <v>74371932408480</v>
      </c>
      <c r="G53" s="259" t="s">
        <v>7</v>
      </c>
      <c r="H53" s="263">
        <v>30715141201</v>
      </c>
      <c r="I53" s="259" t="s">
        <v>661</v>
      </c>
      <c r="J53" s="260">
        <v>1</v>
      </c>
      <c r="K53" s="259" t="s">
        <v>658</v>
      </c>
      <c r="L53" s="259">
        <v>3648847.5</v>
      </c>
      <c r="M53" s="260">
        <v>0</v>
      </c>
      <c r="N53" s="260">
        <v>0</v>
      </c>
      <c r="O53" s="260">
        <v>0</v>
      </c>
      <c r="P53" s="261">
        <v>766257.98</v>
      </c>
      <c r="Q53" s="261">
        <v>4415105.4800000004</v>
      </c>
    </row>
    <row r="54" spans="1:17">
      <c r="A54" s="290" t="s">
        <v>698</v>
      </c>
      <c r="B54" s="290" t="s">
        <v>656</v>
      </c>
      <c r="C54" s="291">
        <v>503</v>
      </c>
      <c r="D54" s="291">
        <v>1469491</v>
      </c>
      <c r="E54" s="290"/>
      <c r="F54" s="291">
        <v>74372992481197</v>
      </c>
      <c r="G54" s="290" t="s">
        <v>7</v>
      </c>
      <c r="H54" s="291">
        <v>30639935872</v>
      </c>
      <c r="I54" s="290" t="s">
        <v>699</v>
      </c>
      <c r="J54" s="291">
        <v>1</v>
      </c>
      <c r="K54" s="259" t="s">
        <v>658</v>
      </c>
      <c r="L54" s="261">
        <v>2934.75</v>
      </c>
      <c r="M54" s="260">
        <v>0</v>
      </c>
      <c r="N54" s="260">
        <v>0</v>
      </c>
      <c r="O54" s="260">
        <v>0</v>
      </c>
      <c r="P54" s="259">
        <v>616.29999999999995</v>
      </c>
      <c r="Q54" s="261">
        <v>3697.79</v>
      </c>
    </row>
    <row r="55" spans="1:17" hidden="1">
      <c r="A55" s="259" t="s">
        <v>698</v>
      </c>
      <c r="B55" s="259" t="s">
        <v>656</v>
      </c>
      <c r="C55" s="260">
        <v>2</v>
      </c>
      <c r="D55" s="260">
        <v>4940</v>
      </c>
      <c r="E55" s="259"/>
      <c r="F55" s="260">
        <v>74375873241825</v>
      </c>
      <c r="G55" s="259" t="s">
        <v>7</v>
      </c>
      <c r="H55" s="263">
        <v>27117233745</v>
      </c>
      <c r="I55" s="259" t="s">
        <v>700</v>
      </c>
      <c r="J55" s="260">
        <v>1</v>
      </c>
      <c r="K55" s="259" t="s">
        <v>658</v>
      </c>
      <c r="L55" s="260">
        <v>585519</v>
      </c>
      <c r="M55" s="260">
        <v>0</v>
      </c>
      <c r="N55" s="260">
        <v>0</v>
      </c>
      <c r="O55" s="260">
        <v>0</v>
      </c>
      <c r="P55" s="261">
        <v>122958.99</v>
      </c>
      <c r="Q55" s="261">
        <v>708477.99</v>
      </c>
    </row>
    <row r="56" spans="1:17" hidden="1">
      <c r="A56" s="259" t="s">
        <v>698</v>
      </c>
      <c r="B56" s="259" t="s">
        <v>656</v>
      </c>
      <c r="C56" s="260">
        <v>3</v>
      </c>
      <c r="D56" s="260">
        <v>170</v>
      </c>
      <c r="E56" s="259"/>
      <c r="F56" s="260">
        <v>74383333330765</v>
      </c>
      <c r="G56" s="259" t="s">
        <v>7</v>
      </c>
      <c r="H56" s="263">
        <v>20334976433</v>
      </c>
      <c r="I56" s="259" t="s">
        <v>498</v>
      </c>
      <c r="J56" s="260">
        <v>1</v>
      </c>
      <c r="K56" s="259" t="s">
        <v>658</v>
      </c>
      <c r="L56" s="260">
        <v>188330</v>
      </c>
      <c r="M56" s="260">
        <v>0</v>
      </c>
      <c r="N56" s="260">
        <v>0</v>
      </c>
      <c r="O56" s="260">
        <v>0</v>
      </c>
      <c r="P56" s="259">
        <v>39549.300000000003</v>
      </c>
      <c r="Q56" s="259">
        <v>227879.3</v>
      </c>
    </row>
    <row r="57" spans="1:17" hidden="1">
      <c r="A57" s="259" t="s">
        <v>698</v>
      </c>
      <c r="B57" s="259" t="s">
        <v>656</v>
      </c>
      <c r="C57" s="260">
        <v>3</v>
      </c>
      <c r="D57" s="260">
        <v>171</v>
      </c>
      <c r="E57" s="259"/>
      <c r="F57" s="260">
        <v>74383357920263</v>
      </c>
      <c r="G57" s="259" t="s">
        <v>7</v>
      </c>
      <c r="H57" s="263">
        <v>20334976433</v>
      </c>
      <c r="I57" s="259" t="s">
        <v>498</v>
      </c>
      <c r="J57" s="260">
        <v>1</v>
      </c>
      <c r="K57" s="259" t="s">
        <v>658</v>
      </c>
      <c r="L57" s="260">
        <v>153000</v>
      </c>
      <c r="M57" s="260">
        <v>0</v>
      </c>
      <c r="N57" s="260">
        <v>0</v>
      </c>
      <c r="O57" s="260">
        <v>0</v>
      </c>
      <c r="P57" s="260">
        <v>32130</v>
      </c>
      <c r="Q57" s="260">
        <v>185130</v>
      </c>
    </row>
    <row r="58" spans="1:17" hidden="1">
      <c r="A58" s="259" t="s">
        <v>698</v>
      </c>
      <c r="B58" s="259" t="s">
        <v>678</v>
      </c>
      <c r="C58" s="260">
        <v>3</v>
      </c>
      <c r="D58" s="260">
        <v>17</v>
      </c>
      <c r="E58" s="259"/>
      <c r="F58" s="260">
        <v>74383351889267</v>
      </c>
      <c r="G58" s="259" t="s">
        <v>7</v>
      </c>
      <c r="H58" s="263">
        <v>20334976433</v>
      </c>
      <c r="I58" s="259" t="s">
        <v>498</v>
      </c>
      <c r="J58" s="260">
        <v>1</v>
      </c>
      <c r="K58" s="259" t="s">
        <v>658</v>
      </c>
      <c r="L58" s="260">
        <v>188330</v>
      </c>
      <c r="M58" s="260">
        <v>0</v>
      </c>
      <c r="N58" s="260">
        <v>0</v>
      </c>
      <c r="O58" s="260">
        <v>0</v>
      </c>
      <c r="P58" s="259">
        <v>39549.300000000003</v>
      </c>
      <c r="Q58" s="259">
        <v>227879.3</v>
      </c>
    </row>
    <row r="59" spans="1:17">
      <c r="A59" s="290" t="s">
        <v>701</v>
      </c>
      <c r="B59" s="290" t="s">
        <v>656</v>
      </c>
      <c r="C59" s="291">
        <v>104</v>
      </c>
      <c r="D59" s="291">
        <v>6699395</v>
      </c>
      <c r="E59" s="290"/>
      <c r="F59" s="291">
        <v>74372033897848</v>
      </c>
      <c r="G59" s="290" t="s">
        <v>7</v>
      </c>
      <c r="H59" s="291">
        <v>30715804812</v>
      </c>
      <c r="I59" s="290" t="s">
        <v>681</v>
      </c>
      <c r="J59" s="260">
        <v>1</v>
      </c>
      <c r="K59" s="259" t="s">
        <v>658</v>
      </c>
      <c r="L59" s="259">
        <v>1675.3</v>
      </c>
      <c r="M59" s="260">
        <v>0</v>
      </c>
      <c r="N59" s="260">
        <v>0</v>
      </c>
      <c r="O59" s="260">
        <v>0</v>
      </c>
      <c r="P59" s="261">
        <v>351.81</v>
      </c>
      <c r="Q59" s="261">
        <v>2110.88</v>
      </c>
    </row>
    <row r="60" spans="1:17">
      <c r="A60" s="290" t="s">
        <v>702</v>
      </c>
      <c r="B60" s="290" t="s">
        <v>656</v>
      </c>
      <c r="C60" s="291">
        <v>113</v>
      </c>
      <c r="D60" s="291">
        <v>3802250</v>
      </c>
      <c r="E60" s="290"/>
      <c r="F60" s="291">
        <v>74380483594334</v>
      </c>
      <c r="G60" s="290" t="s">
        <v>7</v>
      </c>
      <c r="H60" s="291">
        <v>30577207190</v>
      </c>
      <c r="I60" s="290" t="s">
        <v>703</v>
      </c>
      <c r="J60" s="291">
        <v>1</v>
      </c>
      <c r="K60" s="259" t="s">
        <v>658</v>
      </c>
      <c r="L60" s="261">
        <v>2975.21</v>
      </c>
      <c r="M60" s="260">
        <v>0</v>
      </c>
      <c r="N60" s="260">
        <v>0</v>
      </c>
      <c r="O60" s="260">
        <v>0</v>
      </c>
      <c r="P60" s="261">
        <v>624.79</v>
      </c>
      <c r="Q60" s="261">
        <v>3689.26</v>
      </c>
    </row>
    <row r="61" spans="1:17">
      <c r="A61" s="290" t="s">
        <v>702</v>
      </c>
      <c r="B61" s="290" t="s">
        <v>667</v>
      </c>
      <c r="C61" s="291">
        <v>5</v>
      </c>
      <c r="D61" s="291">
        <v>168</v>
      </c>
      <c r="E61" s="290"/>
      <c r="F61" s="291">
        <v>74379160231271</v>
      </c>
      <c r="G61" s="290" t="s">
        <v>7</v>
      </c>
      <c r="H61" s="291">
        <v>27062343449</v>
      </c>
      <c r="I61" s="290" t="s">
        <v>404</v>
      </c>
      <c r="J61" s="260">
        <v>1</v>
      </c>
      <c r="K61" s="259" t="s">
        <v>658</v>
      </c>
      <c r="L61" s="259"/>
      <c r="M61" s="259"/>
      <c r="N61" s="259"/>
      <c r="O61" s="260">
        <v>0</v>
      </c>
      <c r="P61" s="259"/>
      <c r="Q61" s="260">
        <v>260000</v>
      </c>
    </row>
    <row r="62" spans="1:17">
      <c r="A62" s="290" t="s">
        <v>702</v>
      </c>
      <c r="B62" s="290" t="s">
        <v>667</v>
      </c>
      <c r="C62" s="291">
        <v>5</v>
      </c>
      <c r="D62" s="291">
        <v>169</v>
      </c>
      <c r="E62" s="290"/>
      <c r="F62" s="291">
        <v>74379160368355</v>
      </c>
      <c r="G62" s="290" t="s">
        <v>7</v>
      </c>
      <c r="H62" s="291">
        <v>27062343449</v>
      </c>
      <c r="I62" s="290" t="s">
        <v>404</v>
      </c>
      <c r="J62" s="260">
        <v>1</v>
      </c>
      <c r="K62" s="259" t="s">
        <v>658</v>
      </c>
      <c r="L62" s="259"/>
      <c r="M62" s="259"/>
      <c r="N62" s="259"/>
      <c r="O62" s="260">
        <v>0</v>
      </c>
      <c r="P62" s="259"/>
      <c r="Q62" s="260">
        <v>35000</v>
      </c>
    </row>
    <row r="63" spans="1:17" hidden="1">
      <c r="A63" s="259" t="s">
        <v>704</v>
      </c>
      <c r="B63" s="259" t="s">
        <v>656</v>
      </c>
      <c r="C63" s="260">
        <v>5015</v>
      </c>
      <c r="D63" s="260">
        <v>644558</v>
      </c>
      <c r="E63" s="259"/>
      <c r="F63" s="260">
        <v>74384236665042</v>
      </c>
      <c r="G63" s="259" t="s">
        <v>7</v>
      </c>
      <c r="H63" s="263">
        <v>30574876474</v>
      </c>
      <c r="I63" s="259" t="s">
        <v>683</v>
      </c>
      <c r="J63" s="260">
        <v>1</v>
      </c>
      <c r="K63" s="259" t="s">
        <v>658</v>
      </c>
      <c r="L63" s="261">
        <v>12702.19</v>
      </c>
      <c r="M63" s="260">
        <v>0</v>
      </c>
      <c r="N63" s="260">
        <v>0</v>
      </c>
      <c r="O63" s="260">
        <v>0</v>
      </c>
      <c r="P63" s="261">
        <v>2667.45</v>
      </c>
      <c r="Q63" s="261">
        <v>17020.919999999998</v>
      </c>
    </row>
    <row r="64" spans="1:17" hidden="1">
      <c r="A64" s="259" t="s">
        <v>704</v>
      </c>
      <c r="B64" s="259" t="s">
        <v>656</v>
      </c>
      <c r="C64" s="260">
        <v>6</v>
      </c>
      <c r="D64" s="260">
        <v>40318</v>
      </c>
      <c r="E64" s="259"/>
      <c r="F64" s="260">
        <v>74389250556652</v>
      </c>
      <c r="G64" s="259" t="s">
        <v>7</v>
      </c>
      <c r="H64" s="263">
        <v>30709459399</v>
      </c>
      <c r="I64" s="259" t="s">
        <v>705</v>
      </c>
      <c r="J64" s="260">
        <v>1</v>
      </c>
      <c r="K64" s="259" t="s">
        <v>658</v>
      </c>
      <c r="L64" s="261">
        <v>11807.44</v>
      </c>
      <c r="M64" s="260">
        <v>0</v>
      </c>
      <c r="N64" s="260">
        <v>0</v>
      </c>
      <c r="O64" s="260">
        <v>0</v>
      </c>
      <c r="P64" s="261">
        <v>2479.56</v>
      </c>
      <c r="Q64" s="260">
        <v>14287</v>
      </c>
    </row>
    <row r="65" spans="1:17" hidden="1">
      <c r="A65" s="259" t="s">
        <v>704</v>
      </c>
      <c r="B65" s="259" t="s">
        <v>656</v>
      </c>
      <c r="C65" s="260">
        <v>2002</v>
      </c>
      <c r="D65" s="260">
        <v>72231</v>
      </c>
      <c r="E65" s="259"/>
      <c r="F65" s="260">
        <v>74385199526054</v>
      </c>
      <c r="G65" s="259" t="s">
        <v>7</v>
      </c>
      <c r="H65" s="263">
        <v>30716425165</v>
      </c>
      <c r="I65" s="259" t="s">
        <v>706</v>
      </c>
      <c r="J65" s="260">
        <v>1</v>
      </c>
      <c r="K65" s="259" t="s">
        <v>658</v>
      </c>
      <c r="L65" s="261">
        <v>13842.98</v>
      </c>
      <c r="M65" s="260">
        <v>0</v>
      </c>
      <c r="N65" s="260">
        <v>0</v>
      </c>
      <c r="O65" s="260">
        <v>0</v>
      </c>
      <c r="P65" s="261">
        <v>2907.03</v>
      </c>
      <c r="Q65" s="260">
        <v>16750</v>
      </c>
    </row>
    <row r="66" spans="1:17" hidden="1">
      <c r="A66" s="259" t="s">
        <v>704</v>
      </c>
      <c r="B66" s="259" t="s">
        <v>656</v>
      </c>
      <c r="C66" s="260">
        <v>2</v>
      </c>
      <c r="D66" s="260">
        <v>249</v>
      </c>
      <c r="E66" s="259"/>
      <c r="F66" s="260">
        <v>74383195124025</v>
      </c>
      <c r="G66" s="259" t="s">
        <v>7</v>
      </c>
      <c r="H66" s="263">
        <v>27144282383</v>
      </c>
      <c r="I66" s="259" t="s">
        <v>665</v>
      </c>
      <c r="J66" s="260">
        <v>1</v>
      </c>
      <c r="K66" s="259" t="s">
        <v>658</v>
      </c>
      <c r="L66" s="260">
        <v>320000</v>
      </c>
      <c r="M66" s="260">
        <v>0</v>
      </c>
      <c r="N66" s="260">
        <v>0</v>
      </c>
      <c r="O66" s="260">
        <v>0</v>
      </c>
      <c r="P66" s="260">
        <v>67200</v>
      </c>
      <c r="Q66" s="260">
        <v>387200</v>
      </c>
    </row>
    <row r="67" spans="1:17" hidden="1">
      <c r="A67" s="259" t="s">
        <v>707</v>
      </c>
      <c r="B67" s="259" t="s">
        <v>656</v>
      </c>
      <c r="C67" s="260">
        <v>7</v>
      </c>
      <c r="D67" s="260">
        <v>524</v>
      </c>
      <c r="E67" s="259"/>
      <c r="F67" s="260">
        <v>74380369713013</v>
      </c>
      <c r="G67" s="259" t="s">
        <v>7</v>
      </c>
      <c r="H67" s="263">
        <v>30715630040</v>
      </c>
      <c r="I67" s="259" t="s">
        <v>708</v>
      </c>
      <c r="J67" s="260">
        <v>1</v>
      </c>
      <c r="K67" s="259" t="s">
        <v>658</v>
      </c>
      <c r="L67" s="261">
        <v>3517469.42</v>
      </c>
      <c r="M67" s="260">
        <v>0</v>
      </c>
      <c r="N67" s="260">
        <v>0</v>
      </c>
      <c r="O67" s="260">
        <v>0</v>
      </c>
      <c r="P67" s="261">
        <v>738668.58</v>
      </c>
      <c r="Q67" s="260">
        <v>4256138</v>
      </c>
    </row>
    <row r="68" spans="1:17" hidden="1">
      <c r="A68" s="259" t="s">
        <v>707</v>
      </c>
      <c r="B68" s="259" t="s">
        <v>656</v>
      </c>
      <c r="C68" s="260">
        <v>711</v>
      </c>
      <c r="D68" s="260">
        <v>6155254</v>
      </c>
      <c r="E68" s="259"/>
      <c r="F68" s="260">
        <v>34379169789485</v>
      </c>
      <c r="G68" s="259" t="s">
        <v>7</v>
      </c>
      <c r="H68" s="263">
        <v>30677237119</v>
      </c>
      <c r="I68" s="259" t="s">
        <v>670</v>
      </c>
      <c r="J68" s="260">
        <v>1</v>
      </c>
      <c r="K68" s="259" t="s">
        <v>658</v>
      </c>
      <c r="L68" s="259">
        <v>5515.3</v>
      </c>
      <c r="M68" s="260">
        <v>0</v>
      </c>
      <c r="N68" s="261">
        <v>165.46</v>
      </c>
      <c r="O68" s="260">
        <v>0</v>
      </c>
      <c r="P68" s="261">
        <v>1158.23</v>
      </c>
      <c r="Q68" s="261">
        <v>7114.76</v>
      </c>
    </row>
    <row r="69" spans="1:17" hidden="1">
      <c r="A69" s="259" t="s">
        <v>707</v>
      </c>
      <c r="B69" s="259" t="s">
        <v>656</v>
      </c>
      <c r="C69" s="260">
        <v>629</v>
      </c>
      <c r="D69" s="260">
        <v>5447412</v>
      </c>
      <c r="E69" s="259"/>
      <c r="F69" s="260">
        <v>34373728816629</v>
      </c>
      <c r="G69" s="259" t="s">
        <v>7</v>
      </c>
      <c r="H69" s="263">
        <v>30663498513</v>
      </c>
      <c r="I69" s="259" t="s">
        <v>669</v>
      </c>
      <c r="J69" s="260">
        <v>1</v>
      </c>
      <c r="K69" s="259" t="s">
        <v>658</v>
      </c>
      <c r="L69" s="261">
        <v>3440.74</v>
      </c>
      <c r="M69" s="260">
        <v>0</v>
      </c>
      <c r="N69" s="260">
        <v>0</v>
      </c>
      <c r="O69" s="260">
        <v>0</v>
      </c>
      <c r="P69" s="261">
        <v>722.56</v>
      </c>
      <c r="Q69" s="261">
        <v>4335.34</v>
      </c>
    </row>
    <row r="70" spans="1:17" hidden="1">
      <c r="A70" s="259" t="s">
        <v>707</v>
      </c>
      <c r="B70" s="259" t="s">
        <v>656</v>
      </c>
      <c r="C70" s="260">
        <v>4264</v>
      </c>
      <c r="D70" s="260">
        <v>4388001</v>
      </c>
      <c r="E70" s="259"/>
      <c r="F70" s="260">
        <v>74388498673820</v>
      </c>
      <c r="G70" s="259" t="s">
        <v>7</v>
      </c>
      <c r="H70" s="263">
        <v>30639453738</v>
      </c>
      <c r="I70" s="259" t="s">
        <v>709</v>
      </c>
      <c r="J70" s="260">
        <v>1</v>
      </c>
      <c r="K70" s="259" t="s">
        <v>658</v>
      </c>
      <c r="L70" s="261">
        <v>24142.14</v>
      </c>
      <c r="M70" s="260">
        <v>0</v>
      </c>
      <c r="N70" s="260">
        <v>0</v>
      </c>
      <c r="O70" s="260">
        <v>0</v>
      </c>
      <c r="P70" s="261">
        <v>5069.8500000000004</v>
      </c>
      <c r="Q70" s="261">
        <v>30901.93</v>
      </c>
    </row>
    <row r="71" spans="1:17" hidden="1">
      <c r="A71" s="259" t="s">
        <v>707</v>
      </c>
      <c r="B71" s="259" t="s">
        <v>667</v>
      </c>
      <c r="C71" s="260">
        <v>1</v>
      </c>
      <c r="D71" s="260">
        <v>248</v>
      </c>
      <c r="E71" s="259"/>
      <c r="F71" s="260">
        <v>74395443070489</v>
      </c>
      <c r="G71" s="259" t="s">
        <v>7</v>
      </c>
      <c r="H71" s="263">
        <v>27217606255</v>
      </c>
      <c r="I71" s="259" t="s">
        <v>359</v>
      </c>
      <c r="J71" s="260">
        <v>1</v>
      </c>
      <c r="K71" s="259" t="s">
        <v>658</v>
      </c>
      <c r="L71" s="259"/>
      <c r="M71" s="259"/>
      <c r="N71" s="259"/>
      <c r="O71" s="260">
        <v>0</v>
      </c>
      <c r="P71" s="259"/>
      <c r="Q71" s="261">
        <v>50223.03</v>
      </c>
    </row>
    <row r="72" spans="1:17" hidden="1">
      <c r="A72" s="259" t="s">
        <v>707</v>
      </c>
      <c r="B72" s="259" t="s">
        <v>667</v>
      </c>
      <c r="C72" s="260">
        <v>1</v>
      </c>
      <c r="D72" s="260">
        <v>247</v>
      </c>
      <c r="E72" s="259"/>
      <c r="F72" s="260">
        <v>74395442076201</v>
      </c>
      <c r="G72" s="259" t="s">
        <v>7</v>
      </c>
      <c r="H72" s="263">
        <v>27217606255</v>
      </c>
      <c r="I72" s="259" t="s">
        <v>359</v>
      </c>
      <c r="J72" s="260">
        <v>1</v>
      </c>
      <c r="K72" s="259" t="s">
        <v>658</v>
      </c>
      <c r="L72" s="259"/>
      <c r="M72" s="259"/>
      <c r="N72" s="259"/>
      <c r="O72" s="260">
        <v>0</v>
      </c>
      <c r="P72" s="259"/>
      <c r="Q72" s="261">
        <v>56703.42</v>
      </c>
    </row>
    <row r="73" spans="1:17" hidden="1">
      <c r="A73" s="259" t="s">
        <v>710</v>
      </c>
      <c r="B73" s="259" t="s">
        <v>656</v>
      </c>
      <c r="C73" s="260">
        <v>2</v>
      </c>
      <c r="D73" s="260">
        <v>4942</v>
      </c>
      <c r="E73" s="259"/>
      <c r="F73" s="260">
        <v>74385474906338</v>
      </c>
      <c r="G73" s="259" t="s">
        <v>7</v>
      </c>
      <c r="H73" s="263">
        <v>27117233745</v>
      </c>
      <c r="I73" s="259" t="s">
        <v>700</v>
      </c>
      <c r="J73" s="260">
        <v>1</v>
      </c>
      <c r="K73" s="259" t="s">
        <v>658</v>
      </c>
      <c r="L73" s="260">
        <v>585519</v>
      </c>
      <c r="M73" s="260">
        <v>0</v>
      </c>
      <c r="N73" s="260">
        <v>0</v>
      </c>
      <c r="O73" s="260">
        <v>0</v>
      </c>
      <c r="P73" s="261">
        <v>122958.99</v>
      </c>
      <c r="Q73" s="261">
        <v>708477.99</v>
      </c>
    </row>
    <row r="74" spans="1:17" hidden="1">
      <c r="A74" s="259" t="s">
        <v>710</v>
      </c>
      <c r="B74" s="259" t="s">
        <v>667</v>
      </c>
      <c r="C74" s="260">
        <v>1</v>
      </c>
      <c r="D74" s="260">
        <v>70</v>
      </c>
      <c r="E74" s="259"/>
      <c r="F74" s="260">
        <v>74384470115890</v>
      </c>
      <c r="G74" s="259" t="s">
        <v>7</v>
      </c>
      <c r="H74" s="263">
        <v>23281233084</v>
      </c>
      <c r="I74" s="259" t="s">
        <v>184</v>
      </c>
      <c r="J74" s="260">
        <v>1</v>
      </c>
      <c r="K74" s="259" t="s">
        <v>658</v>
      </c>
      <c r="L74" s="259"/>
      <c r="M74" s="259"/>
      <c r="N74" s="259"/>
      <c r="O74" s="260">
        <v>0</v>
      </c>
      <c r="P74" s="259"/>
      <c r="Q74" s="260">
        <v>215000</v>
      </c>
    </row>
    <row r="75" spans="1:17" hidden="1">
      <c r="A75" s="259" t="s">
        <v>710</v>
      </c>
      <c r="B75" s="259" t="s">
        <v>667</v>
      </c>
      <c r="C75" s="260">
        <v>1</v>
      </c>
      <c r="D75" s="260">
        <v>71</v>
      </c>
      <c r="E75" s="259"/>
      <c r="F75" s="260">
        <v>74384470845746</v>
      </c>
      <c r="G75" s="259" t="s">
        <v>7</v>
      </c>
      <c r="H75" s="263">
        <v>23281233084</v>
      </c>
      <c r="I75" s="259" t="s">
        <v>184</v>
      </c>
      <c r="J75" s="260">
        <v>1</v>
      </c>
      <c r="K75" s="259" t="s">
        <v>658</v>
      </c>
      <c r="L75" s="259"/>
      <c r="M75" s="259"/>
      <c r="N75" s="259"/>
      <c r="O75" s="260">
        <v>0</v>
      </c>
      <c r="P75" s="259"/>
      <c r="Q75" s="260">
        <v>215000</v>
      </c>
    </row>
    <row r="76" spans="1:17" hidden="1">
      <c r="A76" s="259" t="s">
        <v>710</v>
      </c>
      <c r="B76" s="259" t="s">
        <v>667</v>
      </c>
      <c r="C76" s="260">
        <v>1</v>
      </c>
      <c r="D76" s="260">
        <v>249</v>
      </c>
      <c r="E76" s="259"/>
      <c r="F76" s="260">
        <v>74395443331023</v>
      </c>
      <c r="G76" s="259" t="s">
        <v>7</v>
      </c>
      <c r="H76" s="263">
        <v>27217606255</v>
      </c>
      <c r="I76" s="259" t="s">
        <v>359</v>
      </c>
      <c r="J76" s="260">
        <v>1</v>
      </c>
      <c r="K76" s="259" t="s">
        <v>658</v>
      </c>
      <c r="L76" s="259"/>
      <c r="M76" s="259"/>
      <c r="N76" s="259"/>
      <c r="O76" s="260">
        <v>0</v>
      </c>
      <c r="P76" s="259"/>
      <c r="Q76" s="261">
        <v>55083.32</v>
      </c>
    </row>
    <row r="77" spans="1:17" hidden="1">
      <c r="A77" s="259" t="s">
        <v>710</v>
      </c>
      <c r="B77" s="259" t="s">
        <v>667</v>
      </c>
      <c r="C77" s="260">
        <v>1</v>
      </c>
      <c r="D77" s="260">
        <v>250</v>
      </c>
      <c r="E77" s="259"/>
      <c r="F77" s="260">
        <v>74395444517785</v>
      </c>
      <c r="G77" s="259" t="s">
        <v>7</v>
      </c>
      <c r="H77" s="263">
        <v>27217606255</v>
      </c>
      <c r="I77" s="259" t="s">
        <v>359</v>
      </c>
      <c r="J77" s="260">
        <v>1</v>
      </c>
      <c r="K77" s="259" t="s">
        <v>658</v>
      </c>
      <c r="L77" s="259"/>
      <c r="M77" s="259"/>
      <c r="N77" s="259"/>
      <c r="O77" s="260">
        <v>0</v>
      </c>
      <c r="P77" s="259"/>
      <c r="Q77" s="261">
        <v>148916.68</v>
      </c>
    </row>
    <row r="78" spans="1:17" hidden="1">
      <c r="A78" s="259" t="s">
        <v>711</v>
      </c>
      <c r="B78" s="259" t="s">
        <v>656</v>
      </c>
      <c r="C78" s="260">
        <v>2</v>
      </c>
      <c r="D78" s="260">
        <v>796</v>
      </c>
      <c r="E78" s="259"/>
      <c r="F78" s="260">
        <v>74389604255613</v>
      </c>
      <c r="G78" s="259" t="s">
        <v>7</v>
      </c>
      <c r="H78" s="263">
        <v>20272865869</v>
      </c>
      <c r="I78" s="259" t="s">
        <v>625</v>
      </c>
      <c r="J78" s="260">
        <v>1</v>
      </c>
      <c r="K78" s="259" t="s">
        <v>658</v>
      </c>
      <c r="L78" s="260">
        <v>253100</v>
      </c>
      <c r="M78" s="260">
        <v>0</v>
      </c>
      <c r="N78" s="260">
        <v>0</v>
      </c>
      <c r="O78" s="260">
        <v>0</v>
      </c>
      <c r="P78" s="260">
        <v>53151</v>
      </c>
      <c r="Q78" s="260">
        <v>306251</v>
      </c>
    </row>
    <row r="79" spans="1:17" hidden="1">
      <c r="A79" s="259" t="s">
        <v>711</v>
      </c>
      <c r="B79" s="259" t="s">
        <v>656</v>
      </c>
      <c r="C79" s="260">
        <v>7</v>
      </c>
      <c r="D79" s="260">
        <v>6066</v>
      </c>
      <c r="E79" s="259"/>
      <c r="F79" s="260">
        <v>74386569455318</v>
      </c>
      <c r="G79" s="259" t="s">
        <v>7</v>
      </c>
      <c r="H79" s="263">
        <v>20131067446</v>
      </c>
      <c r="I79" s="259" t="s">
        <v>417</v>
      </c>
      <c r="J79" s="260">
        <v>1</v>
      </c>
      <c r="K79" s="259" t="s">
        <v>658</v>
      </c>
      <c r="L79" s="259">
        <v>278865.59999999998</v>
      </c>
      <c r="M79" s="260">
        <v>0</v>
      </c>
      <c r="N79" s="260">
        <v>0</v>
      </c>
      <c r="O79" s="260">
        <v>0</v>
      </c>
      <c r="P79" s="261">
        <v>58561.78</v>
      </c>
      <c r="Q79" s="261">
        <v>337427.38</v>
      </c>
    </row>
    <row r="80" spans="1:17">
      <c r="A80" s="290" t="s">
        <v>711</v>
      </c>
      <c r="B80" s="290" t="s">
        <v>656</v>
      </c>
      <c r="C80" s="291">
        <v>11</v>
      </c>
      <c r="D80" s="291">
        <v>91964</v>
      </c>
      <c r="E80" s="290"/>
      <c r="F80" s="291">
        <v>74384582154669</v>
      </c>
      <c r="G80" s="290" t="s">
        <v>7</v>
      </c>
      <c r="H80" s="291">
        <v>30526582884</v>
      </c>
      <c r="I80" s="290" t="s">
        <v>712</v>
      </c>
      <c r="J80" s="260">
        <v>1</v>
      </c>
      <c r="K80" s="259" t="s">
        <v>658</v>
      </c>
      <c r="L80" s="261">
        <v>4462.8100000000004</v>
      </c>
      <c r="M80" s="260">
        <v>0</v>
      </c>
      <c r="N80" s="260">
        <v>0</v>
      </c>
      <c r="O80" s="260">
        <v>0</v>
      </c>
      <c r="P80" s="261">
        <v>937.19</v>
      </c>
      <c r="Q80" s="260">
        <v>5400</v>
      </c>
    </row>
    <row r="81" spans="1:17" hidden="1">
      <c r="A81" s="259" t="s">
        <v>711</v>
      </c>
      <c r="B81" s="259" t="s">
        <v>667</v>
      </c>
      <c r="C81" s="260">
        <v>3</v>
      </c>
      <c r="D81" s="260">
        <v>991</v>
      </c>
      <c r="E81" s="259"/>
      <c r="F81" s="260">
        <v>74389582435775</v>
      </c>
      <c r="G81" s="259" t="s">
        <v>7</v>
      </c>
      <c r="H81" s="263">
        <v>20216451679</v>
      </c>
      <c r="I81" s="259" t="s">
        <v>477</v>
      </c>
      <c r="J81" s="260">
        <v>1</v>
      </c>
      <c r="K81" s="259" t="s">
        <v>658</v>
      </c>
      <c r="L81" s="259"/>
      <c r="M81" s="259"/>
      <c r="N81" s="259"/>
      <c r="O81" s="260">
        <v>0</v>
      </c>
      <c r="P81" s="259"/>
      <c r="Q81" s="260">
        <v>160000</v>
      </c>
    </row>
    <row r="82" spans="1:17" hidden="1">
      <c r="A82" s="259" t="s">
        <v>711</v>
      </c>
      <c r="B82" s="259" t="s">
        <v>667</v>
      </c>
      <c r="C82" s="260">
        <v>1</v>
      </c>
      <c r="D82" s="260">
        <v>251</v>
      </c>
      <c r="E82" s="259"/>
      <c r="F82" s="260">
        <v>74395444759490</v>
      </c>
      <c r="G82" s="259" t="s">
        <v>7</v>
      </c>
      <c r="H82" s="263">
        <v>27217606255</v>
      </c>
      <c r="I82" s="259" t="s">
        <v>359</v>
      </c>
      <c r="J82" s="260">
        <v>1</v>
      </c>
      <c r="K82" s="259" t="s">
        <v>658</v>
      </c>
      <c r="L82" s="259"/>
      <c r="M82" s="259"/>
      <c r="N82" s="259"/>
      <c r="O82" s="260">
        <v>0</v>
      </c>
      <c r="P82" s="259"/>
      <c r="Q82" s="261">
        <v>96357.85</v>
      </c>
    </row>
    <row r="83" spans="1:17" hidden="1">
      <c r="A83" s="259" t="s">
        <v>711</v>
      </c>
      <c r="B83" s="259" t="s">
        <v>667</v>
      </c>
      <c r="C83" s="260">
        <v>1</v>
      </c>
      <c r="D83" s="260">
        <v>252</v>
      </c>
      <c r="E83" s="259"/>
      <c r="F83" s="260">
        <v>74395445013622</v>
      </c>
      <c r="G83" s="259" t="s">
        <v>7</v>
      </c>
      <c r="H83" s="263">
        <v>27217606255</v>
      </c>
      <c r="I83" s="259" t="s">
        <v>359</v>
      </c>
      <c r="J83" s="260">
        <v>1</v>
      </c>
      <c r="K83" s="259" t="s">
        <v>658</v>
      </c>
      <c r="L83" s="259"/>
      <c r="M83" s="259"/>
      <c r="N83" s="259"/>
      <c r="O83" s="260">
        <v>0</v>
      </c>
      <c r="P83" s="259"/>
      <c r="Q83" s="261">
        <v>105117.66</v>
      </c>
    </row>
    <row r="84" spans="1:17">
      <c r="A84" s="290" t="s">
        <v>713</v>
      </c>
      <c r="B84" s="290" t="s">
        <v>656</v>
      </c>
      <c r="C84" s="291">
        <v>2171</v>
      </c>
      <c r="D84" s="291">
        <v>6478</v>
      </c>
      <c r="E84" s="290"/>
      <c r="F84" s="291">
        <v>74386729481785</v>
      </c>
      <c r="G84" s="290" t="s">
        <v>7</v>
      </c>
      <c r="H84" s="291">
        <v>30548083156</v>
      </c>
      <c r="I84" s="290" t="s">
        <v>657</v>
      </c>
      <c r="J84" s="260">
        <v>1</v>
      </c>
      <c r="K84" s="259" t="s">
        <v>658</v>
      </c>
      <c r="L84" s="261">
        <v>4109.47</v>
      </c>
      <c r="M84" s="260">
        <v>0</v>
      </c>
      <c r="N84" s="260">
        <v>0</v>
      </c>
      <c r="O84" s="261">
        <v>328.75</v>
      </c>
      <c r="P84" s="261">
        <v>862.99</v>
      </c>
      <c r="Q84" s="261">
        <v>5301.21</v>
      </c>
    </row>
    <row r="85" spans="1:17" hidden="1">
      <c r="A85" s="259" t="s">
        <v>713</v>
      </c>
      <c r="B85" s="259" t="s">
        <v>656</v>
      </c>
      <c r="C85" s="260">
        <v>17</v>
      </c>
      <c r="D85" s="260">
        <v>2312</v>
      </c>
      <c r="E85" s="259"/>
      <c r="F85" s="260">
        <v>74381728297239</v>
      </c>
      <c r="G85" s="259" t="s">
        <v>7</v>
      </c>
      <c r="H85" s="263">
        <v>30711764921</v>
      </c>
      <c r="I85" s="259" t="s">
        <v>663</v>
      </c>
      <c r="J85" s="260">
        <v>1</v>
      </c>
      <c r="K85" s="259" t="s">
        <v>658</v>
      </c>
      <c r="L85" s="260">
        <v>21394</v>
      </c>
      <c r="M85" s="260">
        <v>0</v>
      </c>
      <c r="N85" s="260">
        <v>0</v>
      </c>
      <c r="O85" s="260">
        <v>0</v>
      </c>
      <c r="P85" s="261">
        <v>4492.74</v>
      </c>
      <c r="Q85" s="261">
        <v>25886.74</v>
      </c>
    </row>
    <row r="86" spans="1:17" hidden="1">
      <c r="A86" s="259" t="s">
        <v>713</v>
      </c>
      <c r="B86" s="259" t="s">
        <v>656</v>
      </c>
      <c r="C86" s="260">
        <v>5</v>
      </c>
      <c r="D86" s="260">
        <v>3877</v>
      </c>
      <c r="E86" s="259"/>
      <c r="F86" s="260">
        <v>74380716025151</v>
      </c>
      <c r="G86" s="259" t="s">
        <v>7</v>
      </c>
      <c r="H86" s="263">
        <v>20348485580</v>
      </c>
      <c r="I86" s="259" t="s">
        <v>714</v>
      </c>
      <c r="J86" s="260">
        <v>1</v>
      </c>
      <c r="K86" s="259" t="s">
        <v>658</v>
      </c>
      <c r="L86" s="261">
        <v>29099.82</v>
      </c>
      <c r="M86" s="260">
        <v>0</v>
      </c>
      <c r="N86" s="260">
        <v>0</v>
      </c>
      <c r="O86" s="260">
        <v>0</v>
      </c>
      <c r="P86" s="261">
        <v>6110.96</v>
      </c>
      <c r="Q86" s="261">
        <v>35210.78</v>
      </c>
    </row>
    <row r="87" spans="1:17" hidden="1">
      <c r="A87" s="259" t="s">
        <v>713</v>
      </c>
      <c r="B87" s="259" t="s">
        <v>656</v>
      </c>
      <c r="C87" s="260">
        <v>5</v>
      </c>
      <c r="D87" s="260">
        <v>1937</v>
      </c>
      <c r="E87" s="259"/>
      <c r="F87" s="260">
        <v>74386708279049</v>
      </c>
      <c r="G87" s="259" t="s">
        <v>7</v>
      </c>
      <c r="H87" s="263">
        <v>30712187316</v>
      </c>
      <c r="I87" s="259" t="s">
        <v>68</v>
      </c>
      <c r="J87" s="260">
        <v>1</v>
      </c>
      <c r="K87" s="259" t="s">
        <v>658</v>
      </c>
      <c r="L87" s="261">
        <v>213988.29</v>
      </c>
      <c r="M87" s="260">
        <v>0</v>
      </c>
      <c r="N87" s="260">
        <v>0</v>
      </c>
      <c r="O87" s="260">
        <v>0</v>
      </c>
      <c r="P87" s="261">
        <v>44937.54</v>
      </c>
      <c r="Q87" s="261">
        <v>258925.83</v>
      </c>
    </row>
    <row r="88" spans="1:17" hidden="1">
      <c r="A88" s="259" t="s">
        <v>713</v>
      </c>
      <c r="B88" s="259" t="s">
        <v>656</v>
      </c>
      <c r="C88" s="260">
        <v>2</v>
      </c>
      <c r="D88" s="260">
        <v>250</v>
      </c>
      <c r="E88" s="259"/>
      <c r="F88" s="260">
        <v>74383655585682</v>
      </c>
      <c r="G88" s="259" t="s">
        <v>7</v>
      </c>
      <c r="H88" s="263">
        <v>27144282383</v>
      </c>
      <c r="I88" s="259" t="s">
        <v>665</v>
      </c>
      <c r="J88" s="260">
        <v>1</v>
      </c>
      <c r="K88" s="259" t="s">
        <v>658</v>
      </c>
      <c r="L88" s="260">
        <v>320000</v>
      </c>
      <c r="M88" s="260">
        <v>0</v>
      </c>
      <c r="N88" s="260">
        <v>0</v>
      </c>
      <c r="O88" s="260">
        <v>0</v>
      </c>
      <c r="P88" s="260">
        <v>67200</v>
      </c>
      <c r="Q88" s="260">
        <v>387200</v>
      </c>
    </row>
    <row r="89" spans="1:17" hidden="1">
      <c r="A89" s="259" t="s">
        <v>713</v>
      </c>
      <c r="B89" s="259" t="s">
        <v>656</v>
      </c>
      <c r="C89" s="260">
        <v>4</v>
      </c>
      <c r="D89" s="260">
        <v>136</v>
      </c>
      <c r="E89" s="259"/>
      <c r="F89" s="260">
        <v>74386719534162</v>
      </c>
      <c r="G89" s="259" t="s">
        <v>7</v>
      </c>
      <c r="H89" s="263">
        <v>20317488476</v>
      </c>
      <c r="I89" s="259" t="s">
        <v>256</v>
      </c>
      <c r="J89" s="260">
        <v>1</v>
      </c>
      <c r="K89" s="259" t="s">
        <v>658</v>
      </c>
      <c r="L89" s="260">
        <v>1870000</v>
      </c>
      <c r="M89" s="260">
        <v>0</v>
      </c>
      <c r="N89" s="260">
        <v>0</v>
      </c>
      <c r="O89" s="260">
        <v>0</v>
      </c>
      <c r="P89" s="260">
        <v>392700</v>
      </c>
      <c r="Q89" s="260">
        <v>2262700</v>
      </c>
    </row>
    <row r="90" spans="1:17" hidden="1">
      <c r="A90" s="259" t="s">
        <v>713</v>
      </c>
      <c r="B90" s="259" t="s">
        <v>667</v>
      </c>
      <c r="C90" s="260">
        <v>1</v>
      </c>
      <c r="D90" s="260">
        <v>253</v>
      </c>
      <c r="E90" s="259"/>
      <c r="F90" s="260">
        <v>74395446386733</v>
      </c>
      <c r="G90" s="259" t="s">
        <v>7</v>
      </c>
      <c r="H90" s="263">
        <v>27217606255</v>
      </c>
      <c r="I90" s="259" t="s">
        <v>359</v>
      </c>
      <c r="J90" s="260">
        <v>1</v>
      </c>
      <c r="K90" s="259" t="s">
        <v>658</v>
      </c>
      <c r="L90" s="259"/>
      <c r="M90" s="259"/>
      <c r="N90" s="259"/>
      <c r="O90" s="260">
        <v>0</v>
      </c>
      <c r="P90" s="259"/>
      <c r="Q90" s="261">
        <v>87598.05</v>
      </c>
    </row>
    <row r="91" spans="1:17" hidden="1">
      <c r="A91" s="259" t="s">
        <v>715</v>
      </c>
      <c r="B91" s="259" t="s">
        <v>667</v>
      </c>
      <c r="C91" s="260">
        <v>1</v>
      </c>
      <c r="D91" s="260">
        <v>14</v>
      </c>
      <c r="E91" s="259"/>
      <c r="F91" s="260">
        <v>74395449158811</v>
      </c>
      <c r="G91" s="259" t="s">
        <v>7</v>
      </c>
      <c r="H91" s="263">
        <v>27443612705</v>
      </c>
      <c r="I91" s="259" t="s">
        <v>716</v>
      </c>
      <c r="J91" s="260">
        <v>1</v>
      </c>
      <c r="K91" s="259" t="s">
        <v>658</v>
      </c>
      <c r="L91" s="259"/>
      <c r="M91" s="259"/>
      <c r="N91" s="259"/>
      <c r="O91" s="260">
        <v>0</v>
      </c>
      <c r="P91" s="259"/>
      <c r="Q91" s="260">
        <v>600000</v>
      </c>
    </row>
    <row r="92" spans="1:17" hidden="1">
      <c r="A92" s="259" t="s">
        <v>717</v>
      </c>
      <c r="B92" s="259" t="s">
        <v>656</v>
      </c>
      <c r="C92" s="260">
        <v>5</v>
      </c>
      <c r="D92" s="260">
        <v>3128526</v>
      </c>
      <c r="E92" s="259"/>
      <c r="F92" s="260">
        <v>74395012609092</v>
      </c>
      <c r="G92" s="259" t="s">
        <v>7</v>
      </c>
      <c r="H92" s="263">
        <v>30702652975</v>
      </c>
      <c r="I92" s="259" t="s">
        <v>718</v>
      </c>
      <c r="J92" s="260">
        <v>1</v>
      </c>
      <c r="K92" s="259" t="s">
        <v>658</v>
      </c>
      <c r="L92" s="261">
        <v>28530.17</v>
      </c>
      <c r="M92" s="260">
        <v>0</v>
      </c>
      <c r="N92" s="260">
        <v>0</v>
      </c>
      <c r="O92" s="260">
        <v>0</v>
      </c>
      <c r="P92" s="261">
        <v>5991.34</v>
      </c>
      <c r="Q92" s="261">
        <v>35948.01</v>
      </c>
    </row>
    <row r="93" spans="1:17" hidden="1">
      <c r="A93" s="259" t="s">
        <v>717</v>
      </c>
      <c r="B93" s="259" t="s">
        <v>656</v>
      </c>
      <c r="C93" s="260">
        <v>5015</v>
      </c>
      <c r="D93" s="260">
        <v>648091</v>
      </c>
      <c r="E93" s="259"/>
      <c r="F93" s="260">
        <v>74394947432580</v>
      </c>
      <c r="G93" s="259" t="s">
        <v>7</v>
      </c>
      <c r="H93" s="263">
        <v>30574876474</v>
      </c>
      <c r="I93" s="259" t="s">
        <v>683</v>
      </c>
      <c r="J93" s="260">
        <v>1</v>
      </c>
      <c r="K93" s="259" t="s">
        <v>658</v>
      </c>
      <c r="L93" s="261">
        <v>17107.75</v>
      </c>
      <c r="M93" s="260">
        <v>0</v>
      </c>
      <c r="N93" s="260">
        <v>0</v>
      </c>
      <c r="O93" s="260">
        <v>0</v>
      </c>
      <c r="P93" s="261">
        <v>3592.62</v>
      </c>
      <c r="Q93" s="261">
        <v>22924.37</v>
      </c>
    </row>
    <row r="94" spans="1:17" hidden="1">
      <c r="A94" s="259" t="s">
        <v>717</v>
      </c>
      <c r="B94" s="259" t="s">
        <v>656</v>
      </c>
      <c r="C94" s="260">
        <v>700</v>
      </c>
      <c r="D94" s="260">
        <v>1936359</v>
      </c>
      <c r="E94" s="259"/>
      <c r="F94" s="260">
        <v>74392989880786</v>
      </c>
      <c r="G94" s="259" t="s">
        <v>7</v>
      </c>
      <c r="H94" s="263">
        <v>30715804812</v>
      </c>
      <c r="I94" s="259" t="s">
        <v>681</v>
      </c>
      <c r="J94" s="260">
        <v>1</v>
      </c>
      <c r="K94" s="259" t="s">
        <v>658</v>
      </c>
      <c r="L94" s="261">
        <v>6246.93</v>
      </c>
      <c r="M94" s="260">
        <v>0</v>
      </c>
      <c r="N94" s="260">
        <v>0</v>
      </c>
      <c r="O94" s="260">
        <v>0</v>
      </c>
      <c r="P94" s="261">
        <v>1311.86</v>
      </c>
      <c r="Q94" s="261">
        <v>7871.14</v>
      </c>
    </row>
    <row r="95" spans="1:17">
      <c r="A95" s="290" t="s">
        <v>717</v>
      </c>
      <c r="B95" s="290" t="s">
        <v>656</v>
      </c>
      <c r="C95" s="291">
        <v>700</v>
      </c>
      <c r="D95" s="291">
        <v>1936360</v>
      </c>
      <c r="E95" s="290"/>
      <c r="F95" s="291">
        <v>74392989880804</v>
      </c>
      <c r="G95" s="290" t="s">
        <v>7</v>
      </c>
      <c r="H95" s="291">
        <v>30715804812</v>
      </c>
      <c r="I95" s="290" t="s">
        <v>681</v>
      </c>
      <c r="J95" s="260">
        <v>1</v>
      </c>
      <c r="K95" s="259" t="s">
        <v>658</v>
      </c>
      <c r="L95" s="261">
        <v>728.62</v>
      </c>
      <c r="M95" s="260">
        <v>0</v>
      </c>
      <c r="N95" s="260">
        <v>0</v>
      </c>
      <c r="O95" s="260">
        <v>0</v>
      </c>
      <c r="P95" s="261">
        <v>153.01</v>
      </c>
      <c r="Q95" s="261">
        <v>881.63</v>
      </c>
    </row>
    <row r="96" spans="1:17" hidden="1">
      <c r="A96" s="259" t="s">
        <v>717</v>
      </c>
      <c r="B96" s="259" t="s">
        <v>656</v>
      </c>
      <c r="C96" s="260">
        <v>6</v>
      </c>
      <c r="D96" s="260">
        <v>85435</v>
      </c>
      <c r="E96" s="259"/>
      <c r="F96" s="260">
        <v>74394006853805</v>
      </c>
      <c r="G96" s="259" t="s">
        <v>7</v>
      </c>
      <c r="H96" s="263">
        <v>30711553564</v>
      </c>
      <c r="I96" s="259" t="s">
        <v>236</v>
      </c>
      <c r="J96" s="260">
        <v>1</v>
      </c>
      <c r="K96" s="259" t="s">
        <v>658</v>
      </c>
      <c r="L96" s="260">
        <v>999126</v>
      </c>
      <c r="M96" s="260">
        <v>0</v>
      </c>
      <c r="N96" s="260">
        <v>0</v>
      </c>
      <c r="O96" s="260">
        <v>0</v>
      </c>
      <c r="P96" s="261">
        <v>209816.46</v>
      </c>
      <c r="Q96" s="261">
        <v>1208942.46</v>
      </c>
    </row>
    <row r="97" spans="1:17" hidden="1">
      <c r="A97" s="259" t="s">
        <v>717</v>
      </c>
      <c r="B97" s="259" t="s">
        <v>656</v>
      </c>
      <c r="C97" s="260">
        <v>6</v>
      </c>
      <c r="D97" s="260">
        <v>54307</v>
      </c>
      <c r="E97" s="259"/>
      <c r="F97" s="260">
        <v>74398009565100</v>
      </c>
      <c r="G97" s="259" t="s">
        <v>7</v>
      </c>
      <c r="H97" s="263">
        <v>30710177658</v>
      </c>
      <c r="I97" s="259" t="s">
        <v>686</v>
      </c>
      <c r="J97" s="260">
        <v>1</v>
      </c>
      <c r="K97" s="259" t="s">
        <v>658</v>
      </c>
      <c r="L97" s="261">
        <v>122080.32000000001</v>
      </c>
      <c r="M97" s="260">
        <v>0</v>
      </c>
      <c r="N97" s="260">
        <v>0</v>
      </c>
      <c r="O97" s="260">
        <v>0</v>
      </c>
      <c r="P97" s="261">
        <v>25636.86</v>
      </c>
      <c r="Q97" s="261">
        <v>147717.18</v>
      </c>
    </row>
    <row r="98" spans="1:17" hidden="1">
      <c r="A98" s="259" t="s">
        <v>719</v>
      </c>
      <c r="B98" s="259" t="s">
        <v>656</v>
      </c>
      <c r="C98" s="260">
        <v>1055</v>
      </c>
      <c r="D98" s="260">
        <v>854</v>
      </c>
      <c r="E98" s="259"/>
      <c r="F98" s="260">
        <v>74391072835510</v>
      </c>
      <c r="G98" s="259" t="s">
        <v>7</v>
      </c>
      <c r="H98" s="263">
        <v>30685849751</v>
      </c>
      <c r="I98" s="259" t="s">
        <v>720</v>
      </c>
      <c r="J98" s="260">
        <v>1</v>
      </c>
      <c r="K98" s="259" t="s">
        <v>658</v>
      </c>
      <c r="L98" s="261">
        <v>6165.28</v>
      </c>
      <c r="M98" s="260">
        <v>0</v>
      </c>
      <c r="N98" s="260">
        <v>0</v>
      </c>
      <c r="O98" s="260">
        <v>0</v>
      </c>
      <c r="P98" s="261">
        <v>1294.71</v>
      </c>
      <c r="Q98" s="261">
        <v>7768.25</v>
      </c>
    </row>
    <row r="99" spans="1:17" hidden="1">
      <c r="A99" s="259" t="s">
        <v>719</v>
      </c>
      <c r="B99" s="259" t="s">
        <v>656</v>
      </c>
      <c r="C99" s="260">
        <v>2</v>
      </c>
      <c r="D99" s="260">
        <v>25</v>
      </c>
      <c r="E99" s="259"/>
      <c r="F99" s="260">
        <v>74395124728024</v>
      </c>
      <c r="G99" s="259" t="s">
        <v>7</v>
      </c>
      <c r="H99" s="263">
        <v>27243660535</v>
      </c>
      <c r="I99" s="259" t="s">
        <v>721</v>
      </c>
      <c r="J99" s="260">
        <v>1</v>
      </c>
      <c r="K99" s="259" t="s">
        <v>658</v>
      </c>
      <c r="L99" s="260">
        <v>360000</v>
      </c>
      <c r="M99" s="260">
        <v>0</v>
      </c>
      <c r="N99" s="260">
        <v>0</v>
      </c>
      <c r="O99" s="260">
        <v>0</v>
      </c>
      <c r="P99" s="260">
        <v>75600</v>
      </c>
      <c r="Q99" s="260">
        <v>435600</v>
      </c>
    </row>
    <row r="100" spans="1:17" hidden="1">
      <c r="A100" s="259" t="s">
        <v>722</v>
      </c>
      <c r="B100" s="259" t="s">
        <v>656</v>
      </c>
      <c r="C100" s="260">
        <v>6</v>
      </c>
      <c r="D100" s="260">
        <v>54346</v>
      </c>
      <c r="E100" s="259"/>
      <c r="F100" s="260">
        <v>74398248406433</v>
      </c>
      <c r="G100" s="259" t="s">
        <v>7</v>
      </c>
      <c r="H100" s="263">
        <v>30710177658</v>
      </c>
      <c r="I100" s="259" t="s">
        <v>686</v>
      </c>
      <c r="J100" s="260">
        <v>1</v>
      </c>
      <c r="K100" s="259" t="s">
        <v>658</v>
      </c>
      <c r="L100" s="261">
        <v>356854.44</v>
      </c>
      <c r="M100" s="260">
        <v>0</v>
      </c>
      <c r="N100" s="260">
        <v>0</v>
      </c>
      <c r="O100" s="260">
        <v>0</v>
      </c>
      <c r="P100" s="261">
        <v>74939.44</v>
      </c>
      <c r="Q100" s="261">
        <v>431793.88</v>
      </c>
    </row>
    <row r="101" spans="1:17" hidden="1">
      <c r="A101" s="259" t="s">
        <v>722</v>
      </c>
      <c r="B101" s="259" t="s">
        <v>656</v>
      </c>
      <c r="C101" s="260">
        <v>4</v>
      </c>
      <c r="D101" s="260">
        <v>71892</v>
      </c>
      <c r="E101" s="259"/>
      <c r="F101" s="260">
        <v>74399186438923</v>
      </c>
      <c r="G101" s="259" t="s">
        <v>7</v>
      </c>
      <c r="H101" s="263">
        <v>33709738459</v>
      </c>
      <c r="I101" s="259" t="s">
        <v>62</v>
      </c>
      <c r="J101" s="260">
        <v>1</v>
      </c>
      <c r="K101" s="259" t="s">
        <v>658</v>
      </c>
      <c r="L101" s="261">
        <v>655324.52</v>
      </c>
      <c r="M101" s="260">
        <v>0</v>
      </c>
      <c r="N101" s="260">
        <v>0</v>
      </c>
      <c r="O101" s="260">
        <v>0</v>
      </c>
      <c r="P101" s="261">
        <v>137618.15</v>
      </c>
      <c r="Q101" s="261">
        <v>792942.67</v>
      </c>
    </row>
    <row r="102" spans="1:17" hidden="1">
      <c r="A102" s="259" t="s">
        <v>722</v>
      </c>
      <c r="B102" s="259" t="s">
        <v>656</v>
      </c>
      <c r="C102" s="260">
        <v>4</v>
      </c>
      <c r="D102" s="260">
        <v>137</v>
      </c>
      <c r="E102" s="259"/>
      <c r="F102" s="260">
        <v>74396233311030</v>
      </c>
      <c r="G102" s="259" t="s">
        <v>7</v>
      </c>
      <c r="H102" s="263">
        <v>20317488476</v>
      </c>
      <c r="I102" s="259" t="s">
        <v>256</v>
      </c>
      <c r="J102" s="260">
        <v>1</v>
      </c>
      <c r="K102" s="259" t="s">
        <v>658</v>
      </c>
      <c r="L102" s="260">
        <v>105000</v>
      </c>
      <c r="M102" s="260">
        <v>0</v>
      </c>
      <c r="N102" s="260">
        <v>0</v>
      </c>
      <c r="O102" s="260">
        <v>0</v>
      </c>
      <c r="P102" s="260">
        <v>22050</v>
      </c>
      <c r="Q102" s="260">
        <v>127050</v>
      </c>
    </row>
    <row r="103" spans="1:17" hidden="1">
      <c r="A103" s="259" t="s">
        <v>723</v>
      </c>
      <c r="B103" s="259" t="s">
        <v>656</v>
      </c>
      <c r="C103" s="260">
        <v>6</v>
      </c>
      <c r="D103" s="260">
        <v>54365</v>
      </c>
      <c r="E103" s="259"/>
      <c r="F103" s="260">
        <v>74398371535029</v>
      </c>
      <c r="G103" s="259" t="s">
        <v>7</v>
      </c>
      <c r="H103" s="263">
        <v>30710177658</v>
      </c>
      <c r="I103" s="259" t="s">
        <v>686</v>
      </c>
      <c r="J103" s="260">
        <v>1</v>
      </c>
      <c r="K103" s="259" t="s">
        <v>658</v>
      </c>
      <c r="L103" s="260">
        <v>682125</v>
      </c>
      <c r="M103" s="260">
        <v>0</v>
      </c>
      <c r="N103" s="260">
        <v>0</v>
      </c>
      <c r="O103" s="260">
        <v>0</v>
      </c>
      <c r="P103" s="261">
        <v>143246.25</v>
      </c>
      <c r="Q103" s="261">
        <v>825371.25</v>
      </c>
    </row>
    <row r="104" spans="1:17" hidden="1">
      <c r="A104" s="259" t="s">
        <v>723</v>
      </c>
      <c r="B104" s="259" t="s">
        <v>656</v>
      </c>
      <c r="C104" s="260">
        <v>2</v>
      </c>
      <c r="D104" s="260">
        <v>814</v>
      </c>
      <c r="E104" s="259"/>
      <c r="F104" s="260">
        <v>74399376744950</v>
      </c>
      <c r="G104" s="259" t="s">
        <v>7</v>
      </c>
      <c r="H104" s="263">
        <v>20272865869</v>
      </c>
      <c r="I104" s="259" t="s">
        <v>625</v>
      </c>
      <c r="J104" s="260">
        <v>1</v>
      </c>
      <c r="K104" s="259" t="s">
        <v>658</v>
      </c>
      <c r="L104" s="260">
        <v>149150</v>
      </c>
      <c r="M104" s="260">
        <v>0</v>
      </c>
      <c r="N104" s="260">
        <v>0</v>
      </c>
      <c r="O104" s="260">
        <v>0</v>
      </c>
      <c r="P104" s="259">
        <v>31321.5</v>
      </c>
      <c r="Q104" s="259">
        <v>180471.5</v>
      </c>
    </row>
    <row r="105" spans="1:17" hidden="1">
      <c r="A105" s="259" t="s">
        <v>723</v>
      </c>
      <c r="B105" s="259" t="s">
        <v>656</v>
      </c>
      <c r="C105" s="260">
        <v>7</v>
      </c>
      <c r="D105" s="260">
        <v>3292</v>
      </c>
      <c r="E105" s="259"/>
      <c r="F105" s="260">
        <v>74394347552429</v>
      </c>
      <c r="G105" s="259" t="s">
        <v>7</v>
      </c>
      <c r="H105" s="263">
        <v>20284183534</v>
      </c>
      <c r="I105" s="259" t="s">
        <v>448</v>
      </c>
      <c r="J105" s="260">
        <v>1</v>
      </c>
      <c r="K105" s="259" t="s">
        <v>658</v>
      </c>
      <c r="L105" s="261">
        <v>9504.1299999999992</v>
      </c>
      <c r="M105" s="260">
        <v>0</v>
      </c>
      <c r="N105" s="260">
        <v>0</v>
      </c>
      <c r="O105" s="260">
        <v>0</v>
      </c>
      <c r="P105" s="261">
        <v>1995.87</v>
      </c>
      <c r="Q105" s="260">
        <v>11500</v>
      </c>
    </row>
    <row r="106" spans="1:17" hidden="1">
      <c r="A106" s="259" t="s">
        <v>723</v>
      </c>
      <c r="B106" s="259" t="s">
        <v>656</v>
      </c>
      <c r="C106" s="260">
        <v>4</v>
      </c>
      <c r="D106" s="260">
        <v>751</v>
      </c>
      <c r="E106" s="259"/>
      <c r="F106" s="260">
        <v>74399321763743</v>
      </c>
      <c r="G106" s="259" t="s">
        <v>7</v>
      </c>
      <c r="H106" s="263">
        <v>33715005129</v>
      </c>
      <c r="I106" s="259" t="s">
        <v>724</v>
      </c>
      <c r="J106" s="260">
        <v>1</v>
      </c>
      <c r="K106" s="259" t="s">
        <v>658</v>
      </c>
      <c r="L106" s="261">
        <v>51074.38</v>
      </c>
      <c r="M106" s="260">
        <v>0</v>
      </c>
      <c r="N106" s="260">
        <v>0</v>
      </c>
      <c r="O106" s="260">
        <v>0</v>
      </c>
      <c r="P106" s="261">
        <v>10725.62</v>
      </c>
      <c r="Q106" s="260">
        <v>61800</v>
      </c>
    </row>
    <row r="107" spans="1:17" hidden="1">
      <c r="A107" s="259" t="s">
        <v>723</v>
      </c>
      <c r="B107" s="259" t="s">
        <v>656</v>
      </c>
      <c r="C107" s="260">
        <v>2</v>
      </c>
      <c r="D107" s="260">
        <v>252</v>
      </c>
      <c r="E107" s="259"/>
      <c r="F107" s="260">
        <v>74393341884634</v>
      </c>
      <c r="G107" s="259" t="s">
        <v>7</v>
      </c>
      <c r="H107" s="263">
        <v>27144282383</v>
      </c>
      <c r="I107" s="259" t="s">
        <v>665</v>
      </c>
      <c r="J107" s="260">
        <v>1</v>
      </c>
      <c r="K107" s="259" t="s">
        <v>658</v>
      </c>
      <c r="L107" s="260">
        <v>300000</v>
      </c>
      <c r="M107" s="260">
        <v>0</v>
      </c>
      <c r="N107" s="260">
        <v>0</v>
      </c>
      <c r="O107" s="260">
        <v>0</v>
      </c>
      <c r="P107" s="260">
        <v>63000</v>
      </c>
      <c r="Q107" s="260">
        <v>363000</v>
      </c>
    </row>
    <row r="108" spans="1:17" hidden="1">
      <c r="A108" s="259" t="s">
        <v>723</v>
      </c>
      <c r="B108" s="259" t="s">
        <v>656</v>
      </c>
      <c r="C108" s="260">
        <v>5</v>
      </c>
      <c r="D108" s="260">
        <v>32</v>
      </c>
      <c r="E108" s="259"/>
      <c r="F108" s="260">
        <v>74393302801751</v>
      </c>
      <c r="G108" s="259" t="s">
        <v>7</v>
      </c>
      <c r="H108" s="263">
        <v>20929183143</v>
      </c>
      <c r="I108" s="259" t="s">
        <v>469</v>
      </c>
      <c r="J108" s="260">
        <v>1</v>
      </c>
      <c r="K108" s="259" t="s">
        <v>658</v>
      </c>
      <c r="L108" s="260">
        <v>50000</v>
      </c>
      <c r="M108" s="260">
        <v>0</v>
      </c>
      <c r="N108" s="260">
        <v>0</v>
      </c>
      <c r="O108" s="260">
        <v>0</v>
      </c>
      <c r="P108" s="260">
        <v>10500</v>
      </c>
      <c r="Q108" s="260">
        <v>60500</v>
      </c>
    </row>
    <row r="109" spans="1:17" hidden="1">
      <c r="A109" s="259" t="s">
        <v>723</v>
      </c>
      <c r="B109" s="259" t="s">
        <v>656</v>
      </c>
      <c r="C109" s="260">
        <v>3</v>
      </c>
      <c r="D109" s="260">
        <v>172</v>
      </c>
      <c r="E109" s="259"/>
      <c r="F109" s="260">
        <v>74393306239268</v>
      </c>
      <c r="G109" s="259" t="s">
        <v>7</v>
      </c>
      <c r="H109" s="263">
        <v>20334976433</v>
      </c>
      <c r="I109" s="259" t="s">
        <v>498</v>
      </c>
      <c r="J109" s="260">
        <v>1</v>
      </c>
      <c r="K109" s="259" t="s">
        <v>658</v>
      </c>
      <c r="L109" s="260">
        <v>90000</v>
      </c>
      <c r="M109" s="260">
        <v>0</v>
      </c>
      <c r="N109" s="260">
        <v>0</v>
      </c>
      <c r="O109" s="260">
        <v>0</v>
      </c>
      <c r="P109" s="260">
        <v>18900</v>
      </c>
      <c r="Q109" s="260">
        <v>108900</v>
      </c>
    </row>
    <row r="110" spans="1:17" hidden="1">
      <c r="A110" s="259" t="s">
        <v>725</v>
      </c>
      <c r="B110" s="259" t="s">
        <v>656</v>
      </c>
      <c r="C110" s="260">
        <v>2</v>
      </c>
      <c r="D110" s="260">
        <v>816</v>
      </c>
      <c r="E110" s="259"/>
      <c r="F110" s="260">
        <v>74399426462758</v>
      </c>
      <c r="G110" s="259" t="s">
        <v>7</v>
      </c>
      <c r="H110" s="263">
        <v>20272865869</v>
      </c>
      <c r="I110" s="259" t="s">
        <v>625</v>
      </c>
      <c r="J110" s="260">
        <v>1</v>
      </c>
      <c r="K110" s="259" t="s">
        <v>658</v>
      </c>
      <c r="L110" s="260">
        <v>9800</v>
      </c>
      <c r="M110" s="260">
        <v>0</v>
      </c>
      <c r="N110" s="260">
        <v>0</v>
      </c>
      <c r="O110" s="260">
        <v>0</v>
      </c>
      <c r="P110" s="260">
        <v>2058</v>
      </c>
      <c r="Q110" s="260">
        <v>11858</v>
      </c>
    </row>
    <row r="111" spans="1:17" hidden="1">
      <c r="A111" s="259" t="s">
        <v>725</v>
      </c>
      <c r="B111" s="259" t="s">
        <v>656</v>
      </c>
      <c r="C111" s="260">
        <v>3</v>
      </c>
      <c r="D111" s="260">
        <v>7702</v>
      </c>
      <c r="E111" s="259"/>
      <c r="F111" s="260">
        <v>74391443967683</v>
      </c>
      <c r="G111" s="259" t="s">
        <v>7</v>
      </c>
      <c r="H111" s="263">
        <v>30526492281</v>
      </c>
      <c r="I111" s="259" t="s">
        <v>726</v>
      </c>
      <c r="J111" s="260">
        <v>1</v>
      </c>
      <c r="K111" s="259" t="s">
        <v>658</v>
      </c>
      <c r="L111" s="260">
        <v>149600</v>
      </c>
      <c r="M111" s="260">
        <v>0</v>
      </c>
      <c r="N111" s="260">
        <v>0</v>
      </c>
      <c r="O111" s="260">
        <v>0</v>
      </c>
      <c r="P111" s="260">
        <v>31416</v>
      </c>
      <c r="Q111" s="260">
        <v>181016</v>
      </c>
    </row>
    <row r="112" spans="1:17" hidden="1">
      <c r="A112" s="259" t="s">
        <v>725</v>
      </c>
      <c r="B112" s="259" t="s">
        <v>656</v>
      </c>
      <c r="C112" s="260">
        <v>2</v>
      </c>
      <c r="D112" s="260">
        <v>819</v>
      </c>
      <c r="E112" s="259"/>
      <c r="F112" s="260">
        <v>74399429730188</v>
      </c>
      <c r="G112" s="259" t="s">
        <v>7</v>
      </c>
      <c r="H112" s="263">
        <v>20272865869</v>
      </c>
      <c r="I112" s="259" t="s">
        <v>625</v>
      </c>
      <c r="J112" s="260">
        <v>1</v>
      </c>
      <c r="K112" s="259" t="s">
        <v>658</v>
      </c>
      <c r="L112" s="260">
        <v>105000</v>
      </c>
      <c r="M112" s="260">
        <v>0</v>
      </c>
      <c r="N112" s="260">
        <v>0</v>
      </c>
      <c r="O112" s="260">
        <v>0</v>
      </c>
      <c r="P112" s="260">
        <v>22050</v>
      </c>
      <c r="Q112" s="260">
        <v>127050</v>
      </c>
    </row>
    <row r="113" spans="1:17" hidden="1">
      <c r="A113" s="259" t="s">
        <v>725</v>
      </c>
      <c r="B113" s="259" t="s">
        <v>667</v>
      </c>
      <c r="C113" s="260">
        <v>3</v>
      </c>
      <c r="D113" s="260">
        <v>995</v>
      </c>
      <c r="E113" s="259"/>
      <c r="F113" s="260">
        <v>74399453320296</v>
      </c>
      <c r="G113" s="259" t="s">
        <v>7</v>
      </c>
      <c r="H113" s="263">
        <v>20216451679</v>
      </c>
      <c r="I113" s="259" t="s">
        <v>477</v>
      </c>
      <c r="J113" s="260">
        <v>1</v>
      </c>
      <c r="K113" s="259" t="s">
        <v>658</v>
      </c>
      <c r="L113" s="259"/>
      <c r="M113" s="259"/>
      <c r="N113" s="259"/>
      <c r="O113" s="260">
        <v>0</v>
      </c>
      <c r="P113" s="259"/>
      <c r="Q113" s="260">
        <v>160000</v>
      </c>
    </row>
    <row r="114" spans="1:17">
      <c r="A114" s="290" t="s">
        <v>727</v>
      </c>
      <c r="B114" s="290" t="s">
        <v>656</v>
      </c>
      <c r="C114" s="291">
        <v>2189</v>
      </c>
      <c r="D114" s="291">
        <v>77373</v>
      </c>
      <c r="E114" s="290"/>
      <c r="F114" s="291">
        <v>74396609730132</v>
      </c>
      <c r="G114" s="290" t="s">
        <v>7</v>
      </c>
      <c r="H114" s="291">
        <v>30548083156</v>
      </c>
      <c r="I114" s="290" t="s">
        <v>657</v>
      </c>
      <c r="J114" s="260">
        <v>1</v>
      </c>
      <c r="K114" s="259" t="s">
        <v>658</v>
      </c>
      <c r="L114" s="261">
        <v>3905.09</v>
      </c>
      <c r="M114" s="260">
        <v>0</v>
      </c>
      <c r="N114" s="260">
        <v>0</v>
      </c>
      <c r="O114" s="259">
        <v>312.39999999999998</v>
      </c>
      <c r="P114" s="261">
        <v>820.07</v>
      </c>
      <c r="Q114" s="261">
        <v>5037.5600000000004</v>
      </c>
    </row>
    <row r="115" spans="1:17" hidden="1">
      <c r="A115" s="259" t="s">
        <v>727</v>
      </c>
      <c r="B115" s="259" t="s">
        <v>656</v>
      </c>
      <c r="C115" s="260">
        <v>2</v>
      </c>
      <c r="D115" s="260">
        <v>336</v>
      </c>
      <c r="E115" s="259"/>
      <c r="F115" s="260">
        <v>74409928953266</v>
      </c>
      <c r="G115" s="259" t="s">
        <v>7</v>
      </c>
      <c r="H115" s="263">
        <v>27251962559</v>
      </c>
      <c r="I115" s="259" t="s">
        <v>728</v>
      </c>
      <c r="J115" s="260">
        <v>1</v>
      </c>
      <c r="K115" s="259" t="s">
        <v>658</v>
      </c>
      <c r="L115" s="261">
        <v>42396.71</v>
      </c>
      <c r="M115" s="260">
        <v>0</v>
      </c>
      <c r="N115" s="260">
        <v>0</v>
      </c>
      <c r="O115" s="260">
        <v>0</v>
      </c>
      <c r="P115" s="261">
        <v>8903.31</v>
      </c>
      <c r="Q115" s="261">
        <v>51300.01</v>
      </c>
    </row>
    <row r="116" spans="1:17" hidden="1">
      <c r="A116" s="259" t="s">
        <v>729</v>
      </c>
      <c r="B116" s="259" t="s">
        <v>656</v>
      </c>
      <c r="C116" s="260">
        <v>25</v>
      </c>
      <c r="D116" s="260">
        <v>2868796</v>
      </c>
      <c r="E116" s="259"/>
      <c r="F116" s="260">
        <v>74404735015283</v>
      </c>
      <c r="G116" s="259" t="s">
        <v>7</v>
      </c>
      <c r="H116" s="263">
        <v>30703088534</v>
      </c>
      <c r="I116" s="259" t="s">
        <v>730</v>
      </c>
      <c r="J116" s="260">
        <v>1</v>
      </c>
      <c r="K116" s="259" t="s">
        <v>658</v>
      </c>
      <c r="L116" s="261">
        <v>37574.04</v>
      </c>
      <c r="M116" s="260">
        <v>0</v>
      </c>
      <c r="N116" s="260">
        <v>0</v>
      </c>
      <c r="O116" s="261">
        <v>3005.92</v>
      </c>
      <c r="P116" s="261">
        <v>7890.55</v>
      </c>
      <c r="Q116" s="261">
        <v>48470.51</v>
      </c>
    </row>
    <row r="117" spans="1:17">
      <c r="A117" s="290" t="s">
        <v>731</v>
      </c>
      <c r="B117" s="290" t="s">
        <v>656</v>
      </c>
      <c r="C117" s="291">
        <v>6</v>
      </c>
      <c r="D117" s="291">
        <v>17452146</v>
      </c>
      <c r="E117" s="290"/>
      <c r="F117" s="291">
        <v>74397511039418</v>
      </c>
      <c r="G117" s="290" t="s">
        <v>7</v>
      </c>
      <c r="H117" s="291">
        <v>30620177497</v>
      </c>
      <c r="I117" s="290" t="s">
        <v>732</v>
      </c>
      <c r="J117" s="260">
        <v>1</v>
      </c>
      <c r="K117" s="259" t="s">
        <v>658</v>
      </c>
      <c r="L117" s="260">
        <v>0</v>
      </c>
      <c r="M117" s="260">
        <v>0</v>
      </c>
      <c r="N117" s="260">
        <v>0</v>
      </c>
      <c r="O117" s="260">
        <v>0</v>
      </c>
      <c r="P117" s="260">
        <v>0</v>
      </c>
      <c r="Q117" s="260">
        <v>0</v>
      </c>
    </row>
    <row r="118" spans="1:17">
      <c r="A118" s="290" t="s">
        <v>731</v>
      </c>
      <c r="B118" s="290" t="s">
        <v>656</v>
      </c>
      <c r="C118" s="291">
        <v>6</v>
      </c>
      <c r="D118" s="291">
        <v>17599524</v>
      </c>
      <c r="E118" s="290"/>
      <c r="F118" s="291">
        <v>74397542581741</v>
      </c>
      <c r="G118" s="290" t="s">
        <v>7</v>
      </c>
      <c r="H118" s="291">
        <v>30620177497</v>
      </c>
      <c r="I118" s="290" t="s">
        <v>732</v>
      </c>
      <c r="J118" s="260">
        <v>1</v>
      </c>
      <c r="K118" s="259" t="s">
        <v>658</v>
      </c>
      <c r="L118" s="261">
        <v>26164.14</v>
      </c>
      <c r="M118" s="260">
        <v>0</v>
      </c>
      <c r="N118" s="260">
        <v>0</v>
      </c>
      <c r="O118" s="260">
        <v>0</v>
      </c>
      <c r="P118" s="261">
        <v>5494.47</v>
      </c>
      <c r="Q118" s="261">
        <v>33751.74</v>
      </c>
    </row>
    <row r="119" spans="1:17" hidden="1">
      <c r="A119" s="259" t="s">
        <v>731</v>
      </c>
      <c r="B119" s="259" t="s">
        <v>656</v>
      </c>
      <c r="C119" s="260">
        <v>5015</v>
      </c>
      <c r="D119" s="260">
        <v>650706</v>
      </c>
      <c r="E119" s="259"/>
      <c r="F119" s="260">
        <v>74404997363928</v>
      </c>
      <c r="G119" s="259" t="s">
        <v>7</v>
      </c>
      <c r="H119" s="263">
        <v>30574876474</v>
      </c>
      <c r="I119" s="259" t="s">
        <v>683</v>
      </c>
      <c r="J119" s="260">
        <v>1</v>
      </c>
      <c r="K119" s="259" t="s">
        <v>658</v>
      </c>
      <c r="L119" s="261">
        <v>24879.27</v>
      </c>
      <c r="M119" s="260">
        <v>0</v>
      </c>
      <c r="N119" s="260">
        <v>0</v>
      </c>
      <c r="O119" s="260">
        <v>0</v>
      </c>
      <c r="P119" s="261">
        <v>5224.63</v>
      </c>
      <c r="Q119" s="259">
        <v>33338.199999999997</v>
      </c>
    </row>
    <row r="120" spans="1:17" hidden="1">
      <c r="A120" s="259" t="s">
        <v>731</v>
      </c>
      <c r="B120" s="259" t="s">
        <v>656</v>
      </c>
      <c r="C120" s="260">
        <v>20</v>
      </c>
      <c r="D120" s="260">
        <v>197792</v>
      </c>
      <c r="E120" s="259"/>
      <c r="F120" s="260">
        <v>74402907225580</v>
      </c>
      <c r="G120" s="259" t="s">
        <v>7</v>
      </c>
      <c r="H120" s="263">
        <v>30696850972</v>
      </c>
      <c r="I120" s="259" t="s">
        <v>733</v>
      </c>
      <c r="J120" s="260">
        <v>1</v>
      </c>
      <c r="K120" s="259" t="s">
        <v>658</v>
      </c>
      <c r="L120" s="261">
        <v>19732.580000000002</v>
      </c>
      <c r="M120" s="260">
        <v>0</v>
      </c>
      <c r="N120" s="260">
        <v>0</v>
      </c>
      <c r="O120" s="260">
        <v>0</v>
      </c>
      <c r="P120" s="259">
        <v>5327.8</v>
      </c>
      <c r="Q120" s="261">
        <v>26047.02</v>
      </c>
    </row>
    <row r="121" spans="1:17" hidden="1">
      <c r="A121" s="259" t="s">
        <v>731</v>
      </c>
      <c r="B121" s="259" t="s">
        <v>656</v>
      </c>
      <c r="C121" s="260">
        <v>1</v>
      </c>
      <c r="D121" s="260">
        <v>591606</v>
      </c>
      <c r="E121" s="259"/>
      <c r="F121" s="260">
        <v>74409955268089</v>
      </c>
      <c r="G121" s="259" t="s">
        <v>7</v>
      </c>
      <c r="H121" s="263">
        <v>33716307749</v>
      </c>
      <c r="I121" s="259" t="s">
        <v>734</v>
      </c>
      <c r="J121" s="260">
        <v>1</v>
      </c>
      <c r="K121" s="259" t="s">
        <v>658</v>
      </c>
      <c r="L121" s="260">
        <v>318999</v>
      </c>
      <c r="M121" s="260">
        <v>0</v>
      </c>
      <c r="N121" s="260">
        <v>0</v>
      </c>
      <c r="O121" s="260">
        <v>0</v>
      </c>
      <c r="P121" s="261">
        <v>66989.789999999994</v>
      </c>
      <c r="Q121" s="261">
        <v>401938.74</v>
      </c>
    </row>
    <row r="122" spans="1:17" hidden="1">
      <c r="A122" s="259" t="s">
        <v>731</v>
      </c>
      <c r="B122" s="259" t="s">
        <v>656</v>
      </c>
      <c r="C122" s="260">
        <v>3</v>
      </c>
      <c r="D122" s="260">
        <v>4276</v>
      </c>
      <c r="E122" s="259"/>
      <c r="F122" s="260">
        <v>74408785825637</v>
      </c>
      <c r="G122" s="259" t="s">
        <v>7</v>
      </c>
      <c r="H122" s="263">
        <v>20184052858</v>
      </c>
      <c r="I122" s="259" t="s">
        <v>691</v>
      </c>
      <c r="J122" s="260">
        <v>1</v>
      </c>
      <c r="K122" s="259" t="s">
        <v>658</v>
      </c>
      <c r="L122" s="261">
        <v>71074.33</v>
      </c>
      <c r="M122" s="260">
        <v>0</v>
      </c>
      <c r="N122" s="260">
        <v>0</v>
      </c>
      <c r="O122" s="260">
        <v>0</v>
      </c>
      <c r="P122" s="261">
        <v>14925.61</v>
      </c>
      <c r="Q122" s="261">
        <v>85999.91</v>
      </c>
    </row>
    <row r="123" spans="1:17" hidden="1">
      <c r="A123" s="259" t="s">
        <v>731</v>
      </c>
      <c r="B123" s="259" t="s">
        <v>656</v>
      </c>
      <c r="C123" s="260">
        <v>2</v>
      </c>
      <c r="D123" s="260">
        <v>3548</v>
      </c>
      <c r="E123" s="259"/>
      <c r="F123" s="260">
        <v>74405740571811</v>
      </c>
      <c r="G123" s="259" t="s">
        <v>7</v>
      </c>
      <c r="H123" s="263">
        <v>30661498575</v>
      </c>
      <c r="I123" s="259" t="s">
        <v>201</v>
      </c>
      <c r="J123" s="260">
        <v>1</v>
      </c>
      <c r="K123" s="259" t="s">
        <v>658</v>
      </c>
      <c r="L123" s="261">
        <v>132396.71</v>
      </c>
      <c r="M123" s="260">
        <v>0</v>
      </c>
      <c r="N123" s="260">
        <v>0</v>
      </c>
      <c r="O123" s="260">
        <v>0</v>
      </c>
      <c r="P123" s="261">
        <v>27803.31</v>
      </c>
      <c r="Q123" s="260">
        <v>160200</v>
      </c>
    </row>
    <row r="124" spans="1:17">
      <c r="A124" s="290" t="s">
        <v>731</v>
      </c>
      <c r="B124" s="290" t="s">
        <v>656</v>
      </c>
      <c r="C124" s="291">
        <v>6</v>
      </c>
      <c r="D124" s="291">
        <v>804</v>
      </c>
      <c r="E124" s="290"/>
      <c r="F124" s="291">
        <v>74407826876177</v>
      </c>
      <c r="G124" s="290" t="s">
        <v>7</v>
      </c>
      <c r="H124" s="291">
        <v>20214946867</v>
      </c>
      <c r="I124" s="290" t="s">
        <v>735</v>
      </c>
      <c r="J124" s="260">
        <v>1</v>
      </c>
      <c r="K124" s="259" t="s">
        <v>658</v>
      </c>
      <c r="L124" s="261">
        <v>37189.24</v>
      </c>
      <c r="M124" s="260">
        <v>0</v>
      </c>
      <c r="N124" s="260">
        <v>0</v>
      </c>
      <c r="O124" s="260">
        <v>0</v>
      </c>
      <c r="P124" s="261">
        <v>7809.74</v>
      </c>
      <c r="Q124" s="260">
        <v>44999</v>
      </c>
    </row>
  </sheetData>
  <autoFilter ref="A1:Q124">
    <filterColumn colId="8">
      <colorFilter dxfId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79" t="s">
        <v>925</v>
      </c>
      <c r="B1" s="279"/>
      <c r="C1" s="279"/>
      <c r="D1" s="279"/>
    </row>
    <row r="4" spans="1:7">
      <c r="A4" s="267" t="s">
        <v>102</v>
      </c>
      <c r="B4" s="267" t="s">
        <v>737</v>
      </c>
      <c r="C4" s="267" t="s">
        <v>738</v>
      </c>
      <c r="D4" s="267" t="s">
        <v>739</v>
      </c>
      <c r="E4" s="267" t="s">
        <v>740</v>
      </c>
      <c r="F4" s="267" t="s">
        <v>741</v>
      </c>
      <c r="G4" s="267" t="s">
        <v>742</v>
      </c>
    </row>
    <row r="5" spans="1:7" hidden="1">
      <c r="A5" s="282" t="s">
        <v>659</v>
      </c>
      <c r="B5" s="275" t="s">
        <v>767</v>
      </c>
      <c r="C5" s="273" t="s">
        <v>37</v>
      </c>
      <c r="D5" s="273" t="s">
        <v>766</v>
      </c>
      <c r="E5" s="273">
        <v>20086277523</v>
      </c>
      <c r="F5" s="283">
        <v>0</v>
      </c>
      <c r="G5" s="283">
        <v>275500</v>
      </c>
    </row>
    <row r="6" spans="1:7" hidden="1">
      <c r="A6" s="274" t="s">
        <v>659</v>
      </c>
      <c r="B6" s="276">
        <v>874</v>
      </c>
      <c r="C6" s="274" t="s">
        <v>37</v>
      </c>
      <c r="D6" s="274"/>
      <c r="E6" s="276">
        <v>20086277523</v>
      </c>
      <c r="F6" s="274"/>
      <c r="G6" s="274"/>
    </row>
    <row r="7" spans="1:7" hidden="1">
      <c r="A7" s="282" t="s">
        <v>711</v>
      </c>
      <c r="B7" s="275" t="s">
        <v>875</v>
      </c>
      <c r="C7" s="273" t="s">
        <v>876</v>
      </c>
      <c r="D7" s="273" t="s">
        <v>750</v>
      </c>
      <c r="E7" s="273">
        <v>20131067446</v>
      </c>
      <c r="F7" s="283">
        <v>278865.59999999998</v>
      </c>
      <c r="G7" s="283">
        <v>0</v>
      </c>
    </row>
    <row r="8" spans="1:7" hidden="1">
      <c r="A8" s="274" t="s">
        <v>711</v>
      </c>
      <c r="B8" s="276">
        <v>6066</v>
      </c>
      <c r="C8" s="274" t="s">
        <v>417</v>
      </c>
      <c r="D8" s="274"/>
      <c r="E8" s="276">
        <v>20131067446</v>
      </c>
      <c r="F8" s="274">
        <v>278865.59999999998</v>
      </c>
      <c r="G8" s="276">
        <v>0</v>
      </c>
    </row>
    <row r="9" spans="1:7" hidden="1">
      <c r="A9" s="282" t="s">
        <v>687</v>
      </c>
      <c r="B9" s="275" t="s">
        <v>817</v>
      </c>
      <c r="C9" s="273" t="s">
        <v>818</v>
      </c>
      <c r="D9" s="273" t="s">
        <v>750</v>
      </c>
      <c r="E9" s="273">
        <v>20184052858</v>
      </c>
      <c r="F9" s="283">
        <v>16859.46</v>
      </c>
      <c r="G9" s="283">
        <v>0</v>
      </c>
    </row>
    <row r="10" spans="1:7" hidden="1">
      <c r="A10" s="282" t="s">
        <v>731</v>
      </c>
      <c r="B10" s="275" t="s">
        <v>922</v>
      </c>
      <c r="C10" s="273" t="s">
        <v>818</v>
      </c>
      <c r="D10" s="273" t="s">
        <v>750</v>
      </c>
      <c r="E10" s="273">
        <v>20184052858</v>
      </c>
      <c r="F10" s="283">
        <v>71074.3</v>
      </c>
      <c r="G10" s="283">
        <v>0</v>
      </c>
    </row>
    <row r="11" spans="1:7" hidden="1">
      <c r="A11" s="274" t="s">
        <v>687</v>
      </c>
      <c r="B11" s="276">
        <v>4250</v>
      </c>
      <c r="C11" s="274" t="s">
        <v>691</v>
      </c>
      <c r="D11" s="274"/>
      <c r="E11" s="276">
        <v>20184052858</v>
      </c>
      <c r="F11" s="284">
        <v>16859.48</v>
      </c>
      <c r="G11" s="276">
        <v>0</v>
      </c>
    </row>
    <row r="12" spans="1:7" hidden="1">
      <c r="A12" s="274" t="s">
        <v>731</v>
      </c>
      <c r="B12" s="276">
        <v>4276</v>
      </c>
      <c r="C12" s="274" t="s">
        <v>691</v>
      </c>
      <c r="D12" s="274"/>
      <c r="E12" s="276">
        <v>20184052858</v>
      </c>
      <c r="F12" s="284">
        <v>71074.33</v>
      </c>
      <c r="G12" s="276">
        <v>0</v>
      </c>
    </row>
    <row r="13" spans="1:7">
      <c r="A13" s="277" t="s">
        <v>731</v>
      </c>
      <c r="B13" s="278">
        <v>804</v>
      </c>
      <c r="C13" s="277" t="s">
        <v>735</v>
      </c>
      <c r="D13" s="277"/>
      <c r="E13" s="278">
        <v>20214946867</v>
      </c>
      <c r="F13" s="281">
        <v>37189.24</v>
      </c>
      <c r="G13" s="278">
        <v>0</v>
      </c>
    </row>
    <row r="14" spans="1:7" hidden="1">
      <c r="A14" s="282" t="s">
        <v>687</v>
      </c>
      <c r="B14" s="275" t="s">
        <v>815</v>
      </c>
      <c r="C14" s="273" t="s">
        <v>816</v>
      </c>
      <c r="D14" s="273" t="s">
        <v>766</v>
      </c>
      <c r="E14" s="273">
        <v>20216451679</v>
      </c>
      <c r="F14" s="283">
        <v>0</v>
      </c>
      <c r="G14" s="283">
        <v>86000</v>
      </c>
    </row>
    <row r="15" spans="1:7" hidden="1">
      <c r="A15" s="282" t="s">
        <v>725</v>
      </c>
      <c r="B15" s="275" t="s">
        <v>914</v>
      </c>
      <c r="C15" s="273" t="s">
        <v>816</v>
      </c>
      <c r="D15" s="273" t="s">
        <v>766</v>
      </c>
      <c r="E15" s="273">
        <v>20216451679</v>
      </c>
      <c r="F15" s="283">
        <v>0</v>
      </c>
      <c r="G15" s="283">
        <v>160000</v>
      </c>
    </row>
    <row r="16" spans="1:7" hidden="1">
      <c r="A16" s="274" t="s">
        <v>687</v>
      </c>
      <c r="B16" s="276">
        <v>986</v>
      </c>
      <c r="C16" s="274" t="s">
        <v>477</v>
      </c>
      <c r="D16" s="274"/>
      <c r="E16" s="276">
        <v>20216451679</v>
      </c>
      <c r="F16" s="274"/>
      <c r="G16" s="274"/>
    </row>
    <row r="17" spans="1:7" hidden="1">
      <c r="A17" s="274" t="s">
        <v>711</v>
      </c>
      <c r="B17" s="276">
        <v>991</v>
      </c>
      <c r="C17" s="274" t="s">
        <v>477</v>
      </c>
      <c r="D17" s="274"/>
      <c r="E17" s="276">
        <v>20216451679</v>
      </c>
      <c r="F17" s="274"/>
      <c r="G17" s="274"/>
    </row>
    <row r="18" spans="1:7" hidden="1">
      <c r="A18" s="274" t="s">
        <v>725</v>
      </c>
      <c r="B18" s="276">
        <v>995</v>
      </c>
      <c r="C18" s="274" t="s">
        <v>477</v>
      </c>
      <c r="D18" s="274"/>
      <c r="E18" s="276">
        <v>20216451679</v>
      </c>
      <c r="F18" s="274"/>
      <c r="G18" s="274"/>
    </row>
    <row r="19" spans="1:7" hidden="1">
      <c r="A19" s="268" t="s">
        <v>696</v>
      </c>
      <c r="B19" s="275" t="s">
        <v>828</v>
      </c>
      <c r="C19" s="223" t="s">
        <v>829</v>
      </c>
      <c r="D19" s="223" t="s">
        <v>750</v>
      </c>
      <c r="E19" s="271">
        <v>20272865869</v>
      </c>
      <c r="F19" s="272">
        <v>128100</v>
      </c>
      <c r="G19" s="272">
        <v>0</v>
      </c>
    </row>
    <row r="20" spans="1:7" hidden="1">
      <c r="A20" s="268" t="s">
        <v>698</v>
      </c>
      <c r="B20" s="275" t="s">
        <v>840</v>
      </c>
      <c r="C20" s="223" t="s">
        <v>829</v>
      </c>
      <c r="D20" s="223" t="s">
        <v>750</v>
      </c>
      <c r="E20" s="271">
        <v>20272865869</v>
      </c>
      <c r="F20" s="272">
        <v>9950</v>
      </c>
      <c r="G20" s="272">
        <v>0</v>
      </c>
    </row>
    <row r="21" spans="1:7" hidden="1">
      <c r="A21" s="268" t="s">
        <v>711</v>
      </c>
      <c r="B21" s="275" t="s">
        <v>872</v>
      </c>
      <c r="C21" s="223" t="s">
        <v>829</v>
      </c>
      <c r="D21" s="223" t="s">
        <v>750</v>
      </c>
      <c r="E21" s="271">
        <v>20272865869</v>
      </c>
      <c r="F21" s="272">
        <v>253100</v>
      </c>
      <c r="G21" s="272">
        <v>0</v>
      </c>
    </row>
    <row r="22" spans="1:7" hidden="1">
      <c r="A22" s="268" t="s">
        <v>725</v>
      </c>
      <c r="B22" s="275" t="s">
        <v>912</v>
      </c>
      <c r="C22" s="223" t="s">
        <v>829</v>
      </c>
      <c r="D22" s="223" t="s">
        <v>750</v>
      </c>
      <c r="E22" s="271">
        <v>20272865869</v>
      </c>
      <c r="F22" s="272">
        <v>9800</v>
      </c>
      <c r="G22" s="272">
        <v>0</v>
      </c>
    </row>
    <row r="23" spans="1:7" hidden="1">
      <c r="A23" s="268" t="s">
        <v>725</v>
      </c>
      <c r="B23" s="275" t="s">
        <v>913</v>
      </c>
      <c r="C23" s="223" t="s">
        <v>829</v>
      </c>
      <c r="D23" s="223" t="s">
        <v>750</v>
      </c>
      <c r="E23" s="271">
        <v>20272865869</v>
      </c>
      <c r="F23" s="272">
        <v>105000</v>
      </c>
      <c r="G23" s="272">
        <v>0</v>
      </c>
    </row>
    <row r="24" spans="1:7" hidden="1">
      <c r="A24" s="268" t="s">
        <v>731</v>
      </c>
      <c r="B24" s="275" t="s">
        <v>921</v>
      </c>
      <c r="C24" s="223" t="s">
        <v>829</v>
      </c>
      <c r="D24" s="223" t="s">
        <v>750</v>
      </c>
      <c r="E24" s="271">
        <v>20272865869</v>
      </c>
      <c r="F24" s="272">
        <v>149150</v>
      </c>
      <c r="G24" s="272">
        <v>0</v>
      </c>
    </row>
    <row r="25" spans="1:7" hidden="1">
      <c r="A25" s="274" t="s">
        <v>676</v>
      </c>
      <c r="B25" s="276">
        <v>760</v>
      </c>
      <c r="C25" s="274" t="s">
        <v>625</v>
      </c>
      <c r="D25" s="274"/>
      <c r="E25" s="276">
        <v>20272865869</v>
      </c>
      <c r="F25" s="276">
        <v>84450</v>
      </c>
      <c r="G25" s="276">
        <v>0</v>
      </c>
    </row>
    <row r="26" spans="1:7" hidden="1">
      <c r="A26" s="270" t="s">
        <v>696</v>
      </c>
      <c r="B26" s="276">
        <v>778</v>
      </c>
      <c r="C26" s="270" t="s">
        <v>625</v>
      </c>
      <c r="D26" s="270"/>
      <c r="E26" s="269">
        <v>20272865869</v>
      </c>
      <c r="F26" s="269">
        <v>128100</v>
      </c>
      <c r="G26" s="269">
        <v>0</v>
      </c>
    </row>
    <row r="27" spans="1:7" hidden="1">
      <c r="A27" s="270" t="s">
        <v>698</v>
      </c>
      <c r="B27" s="276">
        <v>783</v>
      </c>
      <c r="C27" s="270" t="s">
        <v>625</v>
      </c>
      <c r="D27" s="270"/>
      <c r="E27" s="269">
        <v>20272865869</v>
      </c>
      <c r="F27" s="269">
        <v>9950</v>
      </c>
      <c r="G27" s="269">
        <v>0</v>
      </c>
    </row>
    <row r="28" spans="1:7" hidden="1">
      <c r="A28" s="270" t="s">
        <v>711</v>
      </c>
      <c r="B28" s="276">
        <v>796</v>
      </c>
      <c r="C28" s="270" t="s">
        <v>625</v>
      </c>
      <c r="D28" s="270"/>
      <c r="E28" s="269">
        <v>20272865869</v>
      </c>
      <c r="F28" s="269">
        <v>253100</v>
      </c>
      <c r="G28" s="269">
        <v>0</v>
      </c>
    </row>
    <row r="29" spans="1:7" hidden="1">
      <c r="A29" s="270" t="s">
        <v>723</v>
      </c>
      <c r="B29" s="276">
        <v>814</v>
      </c>
      <c r="C29" s="270" t="s">
        <v>625</v>
      </c>
      <c r="D29" s="270"/>
      <c r="E29" s="269">
        <v>20272865869</v>
      </c>
      <c r="F29" s="269">
        <v>149150</v>
      </c>
      <c r="G29" s="269">
        <v>0</v>
      </c>
    </row>
    <row r="30" spans="1:7" hidden="1">
      <c r="A30" s="270" t="s">
        <v>725</v>
      </c>
      <c r="B30" s="276">
        <v>816</v>
      </c>
      <c r="C30" s="270" t="s">
        <v>625</v>
      </c>
      <c r="D30" s="270"/>
      <c r="E30" s="269">
        <v>20272865869</v>
      </c>
      <c r="F30" s="269">
        <v>9800</v>
      </c>
      <c r="G30" s="269">
        <v>0</v>
      </c>
    </row>
    <row r="31" spans="1:7" hidden="1">
      <c r="A31" s="270" t="s">
        <v>725</v>
      </c>
      <c r="B31" s="276">
        <v>819</v>
      </c>
      <c r="C31" s="270" t="s">
        <v>625</v>
      </c>
      <c r="D31" s="270"/>
      <c r="E31" s="269">
        <v>20272865869</v>
      </c>
      <c r="F31" s="269">
        <v>105000</v>
      </c>
      <c r="G31" s="269">
        <v>0</v>
      </c>
    </row>
    <row r="32" spans="1:7" hidden="1">
      <c r="A32" s="282" t="s">
        <v>672</v>
      </c>
      <c r="B32" s="275" t="s">
        <v>788</v>
      </c>
      <c r="C32" s="273" t="s">
        <v>789</v>
      </c>
      <c r="D32" s="273" t="s">
        <v>750</v>
      </c>
      <c r="E32" s="273">
        <v>20284183534</v>
      </c>
      <c r="F32" s="283">
        <v>4545.5</v>
      </c>
      <c r="G32" s="283">
        <v>0</v>
      </c>
    </row>
    <row r="33" spans="1:7" hidden="1">
      <c r="A33" s="282" t="s">
        <v>723</v>
      </c>
      <c r="B33" s="275" t="s">
        <v>910</v>
      </c>
      <c r="C33" s="273" t="s">
        <v>789</v>
      </c>
      <c r="D33" s="273" t="s">
        <v>750</v>
      </c>
      <c r="E33" s="273">
        <v>20284183534</v>
      </c>
      <c r="F33" s="283">
        <v>9504.130000000001</v>
      </c>
      <c r="G33" s="283">
        <v>0</v>
      </c>
    </row>
    <row r="34" spans="1:7" hidden="1">
      <c r="A34" s="274" t="s">
        <v>672</v>
      </c>
      <c r="B34" s="276">
        <v>3241</v>
      </c>
      <c r="C34" s="274" t="s">
        <v>448</v>
      </c>
      <c r="D34" s="274"/>
      <c r="E34" s="276">
        <v>20284183534</v>
      </c>
      <c r="F34" s="274">
        <v>4545.5</v>
      </c>
      <c r="G34" s="276">
        <v>0</v>
      </c>
    </row>
    <row r="35" spans="1:7" hidden="1">
      <c r="A35" s="274" t="s">
        <v>723</v>
      </c>
      <c r="B35" s="276">
        <v>3292</v>
      </c>
      <c r="C35" s="274" t="s">
        <v>448</v>
      </c>
      <c r="D35" s="274"/>
      <c r="E35" s="276">
        <v>20284183534</v>
      </c>
      <c r="F35" s="284">
        <v>9504.1299999999992</v>
      </c>
      <c r="G35" s="276">
        <v>0</v>
      </c>
    </row>
    <row r="36" spans="1:7" hidden="1">
      <c r="A36" s="282" t="s">
        <v>696</v>
      </c>
      <c r="B36" s="275" t="s">
        <v>830</v>
      </c>
      <c r="C36" s="273" t="s">
        <v>831</v>
      </c>
      <c r="D36" s="273" t="s">
        <v>750</v>
      </c>
      <c r="E36" s="273">
        <v>20289111329</v>
      </c>
      <c r="F36" s="283">
        <v>585730.80000000005</v>
      </c>
      <c r="G36" s="283">
        <v>0</v>
      </c>
    </row>
    <row r="37" spans="1:7" hidden="1">
      <c r="A37" s="274" t="s">
        <v>696</v>
      </c>
      <c r="B37" s="276">
        <v>38394</v>
      </c>
      <c r="C37" s="274" t="s">
        <v>697</v>
      </c>
      <c r="D37" s="274"/>
      <c r="E37" s="276">
        <v>20289111329</v>
      </c>
      <c r="F37" s="274">
        <v>585730.80000000005</v>
      </c>
      <c r="G37" s="276">
        <v>0</v>
      </c>
    </row>
    <row r="38" spans="1:7" hidden="1">
      <c r="A38" s="282" t="s">
        <v>713</v>
      </c>
      <c r="B38" s="275" t="s">
        <v>879</v>
      </c>
      <c r="C38" s="273" t="s">
        <v>880</v>
      </c>
      <c r="D38" s="273" t="s">
        <v>750</v>
      </c>
      <c r="E38" s="273">
        <v>20317488476</v>
      </c>
      <c r="F38" s="283">
        <v>1870000</v>
      </c>
      <c r="G38" s="283">
        <v>0</v>
      </c>
    </row>
    <row r="39" spans="1:7" hidden="1">
      <c r="A39" s="282" t="s">
        <v>722</v>
      </c>
      <c r="B39" s="275" t="s">
        <v>902</v>
      </c>
      <c r="C39" s="273" t="s">
        <v>880</v>
      </c>
      <c r="D39" s="273" t="s">
        <v>750</v>
      </c>
      <c r="E39" s="273">
        <v>20317488476</v>
      </c>
      <c r="F39" s="283">
        <v>105000</v>
      </c>
      <c r="G39" s="283">
        <v>0</v>
      </c>
    </row>
    <row r="40" spans="1:7" hidden="1">
      <c r="A40" s="274" t="s">
        <v>713</v>
      </c>
      <c r="B40" s="276">
        <v>136</v>
      </c>
      <c r="C40" s="274" t="s">
        <v>256</v>
      </c>
      <c r="D40" s="274"/>
      <c r="E40" s="276">
        <v>20317488476</v>
      </c>
      <c r="F40" s="276">
        <v>1870000</v>
      </c>
      <c r="G40" s="276">
        <v>0</v>
      </c>
    </row>
    <row r="41" spans="1:7" hidden="1">
      <c r="A41" s="274" t="s">
        <v>722</v>
      </c>
      <c r="B41" s="276">
        <v>137</v>
      </c>
      <c r="C41" s="274" t="s">
        <v>256</v>
      </c>
      <c r="D41" s="274"/>
      <c r="E41" s="276">
        <v>20317488476</v>
      </c>
      <c r="F41" s="276">
        <v>105000</v>
      </c>
      <c r="G41" s="276">
        <v>0</v>
      </c>
    </row>
    <row r="42" spans="1:7" hidden="1">
      <c r="A42" s="282" t="s">
        <v>698</v>
      </c>
      <c r="B42" s="275" t="s">
        <v>843</v>
      </c>
      <c r="C42" s="273" t="s">
        <v>844</v>
      </c>
      <c r="D42" s="273" t="s">
        <v>750</v>
      </c>
      <c r="E42" s="273">
        <v>20334976433</v>
      </c>
      <c r="F42" s="283">
        <v>-188330</v>
      </c>
      <c r="G42" s="283">
        <v>0</v>
      </c>
    </row>
    <row r="43" spans="1:7" hidden="1">
      <c r="A43" s="282" t="s">
        <v>698</v>
      </c>
      <c r="B43" s="275" t="s">
        <v>845</v>
      </c>
      <c r="C43" s="273" t="s">
        <v>844</v>
      </c>
      <c r="D43" s="273" t="s">
        <v>750</v>
      </c>
      <c r="E43" s="273">
        <v>20334976433</v>
      </c>
      <c r="F43" s="283">
        <v>188330</v>
      </c>
      <c r="G43" s="283">
        <v>0</v>
      </c>
    </row>
    <row r="44" spans="1:7" hidden="1">
      <c r="A44" s="282" t="s">
        <v>698</v>
      </c>
      <c r="B44" s="275" t="s">
        <v>846</v>
      </c>
      <c r="C44" s="273" t="s">
        <v>844</v>
      </c>
      <c r="D44" s="273" t="s">
        <v>750</v>
      </c>
      <c r="E44" s="273">
        <v>20334976433</v>
      </c>
      <c r="F44" s="283">
        <v>153000</v>
      </c>
      <c r="G44" s="283">
        <v>0</v>
      </c>
    </row>
    <row r="45" spans="1:7" hidden="1">
      <c r="A45" s="282" t="s">
        <v>723</v>
      </c>
      <c r="B45" s="275" t="s">
        <v>907</v>
      </c>
      <c r="C45" s="273" t="s">
        <v>844</v>
      </c>
      <c r="D45" s="273" t="s">
        <v>750</v>
      </c>
      <c r="E45" s="273">
        <v>20334976433</v>
      </c>
      <c r="F45" s="283">
        <v>90000</v>
      </c>
      <c r="G45" s="283">
        <v>0</v>
      </c>
    </row>
    <row r="46" spans="1:7" hidden="1">
      <c r="A46" s="274" t="s">
        <v>698</v>
      </c>
      <c r="B46" s="276">
        <v>170</v>
      </c>
      <c r="C46" s="274" t="s">
        <v>498</v>
      </c>
      <c r="D46" s="274"/>
      <c r="E46" s="276">
        <v>20334976433</v>
      </c>
      <c r="F46" s="276">
        <v>188330</v>
      </c>
      <c r="G46" s="276">
        <v>0</v>
      </c>
    </row>
    <row r="47" spans="1:7" hidden="1">
      <c r="A47" s="274" t="s">
        <v>698</v>
      </c>
      <c r="B47" s="276">
        <v>171</v>
      </c>
      <c r="C47" s="274" t="s">
        <v>498</v>
      </c>
      <c r="D47" s="274"/>
      <c r="E47" s="276">
        <v>20334976433</v>
      </c>
      <c r="F47" s="276">
        <v>153000</v>
      </c>
      <c r="G47" s="276">
        <v>0</v>
      </c>
    </row>
    <row r="48" spans="1:7" hidden="1">
      <c r="A48" s="274" t="s">
        <v>698</v>
      </c>
      <c r="B48" s="276">
        <v>17</v>
      </c>
      <c r="C48" s="274" t="s">
        <v>498</v>
      </c>
      <c r="D48" s="274"/>
      <c r="E48" s="276">
        <v>20334976433</v>
      </c>
      <c r="F48" s="276">
        <v>188330</v>
      </c>
      <c r="G48" s="276">
        <v>0</v>
      </c>
    </row>
    <row r="49" spans="1:7" hidden="1">
      <c r="A49" s="274" t="s">
        <v>723</v>
      </c>
      <c r="B49" s="276">
        <v>172</v>
      </c>
      <c r="C49" s="274" t="s">
        <v>498</v>
      </c>
      <c r="D49" s="274"/>
      <c r="E49" s="276">
        <v>20334976433</v>
      </c>
      <c r="F49" s="276">
        <v>90000</v>
      </c>
      <c r="G49" s="276">
        <v>0</v>
      </c>
    </row>
    <row r="50" spans="1:7" hidden="1">
      <c r="A50" s="282" t="s">
        <v>713</v>
      </c>
      <c r="B50" s="275" t="s">
        <v>882</v>
      </c>
      <c r="C50" s="273" t="s">
        <v>714</v>
      </c>
      <c r="D50" s="273" t="s">
        <v>750</v>
      </c>
      <c r="E50" s="273">
        <v>20348485580</v>
      </c>
      <c r="F50" s="283">
        <v>29099.82</v>
      </c>
      <c r="G50" s="283">
        <v>0</v>
      </c>
    </row>
    <row r="51" spans="1:7" hidden="1">
      <c r="A51" s="274" t="s">
        <v>713</v>
      </c>
      <c r="B51" s="276">
        <v>3877</v>
      </c>
      <c r="C51" s="274" t="s">
        <v>714</v>
      </c>
      <c r="D51" s="274"/>
      <c r="E51" s="276">
        <v>20348485580</v>
      </c>
      <c r="F51" s="284">
        <v>29099.82</v>
      </c>
      <c r="G51" s="276">
        <v>0</v>
      </c>
    </row>
    <row r="52" spans="1:7" hidden="1">
      <c r="A52" s="282" t="s">
        <v>692</v>
      </c>
      <c r="B52" s="275" t="s">
        <v>822</v>
      </c>
      <c r="C52" s="273" t="s">
        <v>823</v>
      </c>
      <c r="D52" s="273" t="s">
        <v>766</v>
      </c>
      <c r="E52" s="273">
        <v>20464199633</v>
      </c>
      <c r="F52" s="283">
        <v>0</v>
      </c>
      <c r="G52" s="283">
        <v>499950</v>
      </c>
    </row>
    <row r="53" spans="1:7" hidden="1">
      <c r="A53" s="274" t="s">
        <v>692</v>
      </c>
      <c r="B53" s="276">
        <v>9</v>
      </c>
      <c r="C53" s="274" t="s">
        <v>695</v>
      </c>
      <c r="D53" s="274"/>
      <c r="E53" s="276">
        <v>20464199633</v>
      </c>
      <c r="F53" s="274"/>
      <c r="G53" s="274"/>
    </row>
    <row r="54" spans="1:7" hidden="1">
      <c r="A54" s="282" t="s">
        <v>723</v>
      </c>
      <c r="B54" s="275" t="s">
        <v>908</v>
      </c>
      <c r="C54" s="273" t="s">
        <v>469</v>
      </c>
      <c r="D54" s="273" t="s">
        <v>750</v>
      </c>
      <c r="E54" s="273">
        <v>20929183143</v>
      </c>
      <c r="F54" s="283">
        <v>50000</v>
      </c>
      <c r="G54" s="283">
        <v>0</v>
      </c>
    </row>
    <row r="55" spans="1:7" hidden="1">
      <c r="A55" s="274" t="s">
        <v>723</v>
      </c>
      <c r="B55" s="276">
        <v>32</v>
      </c>
      <c r="C55" s="274" t="s">
        <v>469</v>
      </c>
      <c r="D55" s="274"/>
      <c r="E55" s="276">
        <v>20929183143</v>
      </c>
      <c r="F55" s="276">
        <v>50000</v>
      </c>
      <c r="G55" s="276">
        <v>0</v>
      </c>
    </row>
    <row r="56" spans="1:7" hidden="1">
      <c r="A56" s="282" t="s">
        <v>710</v>
      </c>
      <c r="B56" s="275" t="s">
        <v>863</v>
      </c>
      <c r="C56" s="273" t="s">
        <v>864</v>
      </c>
      <c r="D56" s="273" t="s">
        <v>766</v>
      </c>
      <c r="E56" s="273">
        <v>23281233084</v>
      </c>
      <c r="F56" s="283">
        <v>0</v>
      </c>
      <c r="G56" s="283">
        <v>215000</v>
      </c>
    </row>
    <row r="57" spans="1:7" hidden="1">
      <c r="A57" s="282" t="s">
        <v>710</v>
      </c>
      <c r="B57" s="275" t="s">
        <v>865</v>
      </c>
      <c r="C57" s="273" t="s">
        <v>864</v>
      </c>
      <c r="D57" s="273" t="s">
        <v>766</v>
      </c>
      <c r="E57" s="273">
        <v>23281233084</v>
      </c>
      <c r="F57" s="283">
        <v>0</v>
      </c>
      <c r="G57" s="283">
        <v>215000</v>
      </c>
    </row>
    <row r="58" spans="1:7" hidden="1">
      <c r="A58" s="274" t="s">
        <v>710</v>
      </c>
      <c r="B58" s="276">
        <v>70</v>
      </c>
      <c r="C58" s="274" t="s">
        <v>184</v>
      </c>
      <c r="D58" s="274"/>
      <c r="E58" s="276">
        <v>23281233084</v>
      </c>
      <c r="F58" s="274"/>
      <c r="G58" s="274"/>
    </row>
    <row r="59" spans="1:7" hidden="1">
      <c r="A59" s="274" t="s">
        <v>710</v>
      </c>
      <c r="B59" s="276">
        <v>71</v>
      </c>
      <c r="C59" s="274" t="s">
        <v>184</v>
      </c>
      <c r="D59" s="274"/>
      <c r="E59" s="276">
        <v>23281233084</v>
      </c>
      <c r="F59" s="274"/>
      <c r="G59" s="274"/>
    </row>
    <row r="60" spans="1:7">
      <c r="A60" s="277" t="s">
        <v>702</v>
      </c>
      <c r="B60" s="278">
        <v>168</v>
      </c>
      <c r="C60" s="277" t="s">
        <v>404</v>
      </c>
      <c r="D60" s="277"/>
      <c r="E60" s="278">
        <v>27062343449</v>
      </c>
      <c r="F60" s="277"/>
      <c r="G60" s="277"/>
    </row>
    <row r="61" spans="1:7">
      <c r="A61" s="277" t="s">
        <v>702</v>
      </c>
      <c r="B61" s="278">
        <v>169</v>
      </c>
      <c r="C61" s="277" t="s">
        <v>404</v>
      </c>
      <c r="D61" s="277"/>
      <c r="E61" s="278">
        <v>27062343449</v>
      </c>
      <c r="F61" s="277"/>
      <c r="G61" s="277"/>
    </row>
    <row r="62" spans="1:7" hidden="1">
      <c r="A62" s="282" t="s">
        <v>751</v>
      </c>
      <c r="B62" s="275" t="s">
        <v>752</v>
      </c>
      <c r="C62" s="273" t="s">
        <v>753</v>
      </c>
      <c r="D62" s="273" t="s">
        <v>750</v>
      </c>
      <c r="E62" s="273">
        <v>27114789033</v>
      </c>
      <c r="F62" s="283">
        <v>56363.64</v>
      </c>
      <c r="G62" s="283">
        <v>0</v>
      </c>
    </row>
    <row r="63" spans="1:7" hidden="1">
      <c r="A63" s="282" t="s">
        <v>754</v>
      </c>
      <c r="B63" s="275" t="s">
        <v>755</v>
      </c>
      <c r="C63" s="273" t="s">
        <v>753</v>
      </c>
      <c r="D63" s="273" t="s">
        <v>750</v>
      </c>
      <c r="E63" s="273">
        <v>27114789033</v>
      </c>
      <c r="F63" s="283">
        <v>10991.74</v>
      </c>
      <c r="G63" s="283">
        <v>0</v>
      </c>
    </row>
    <row r="64" spans="1:7" hidden="1">
      <c r="A64" s="282" t="s">
        <v>698</v>
      </c>
      <c r="B64" s="275" t="s">
        <v>841</v>
      </c>
      <c r="C64" s="273" t="s">
        <v>842</v>
      </c>
      <c r="D64" s="273" t="s">
        <v>750</v>
      </c>
      <c r="E64" s="273">
        <v>27117233745</v>
      </c>
      <c r="F64" s="283">
        <v>585519</v>
      </c>
      <c r="G64" s="283">
        <v>0</v>
      </c>
    </row>
    <row r="65" spans="1:7" hidden="1">
      <c r="A65" s="282" t="s">
        <v>710</v>
      </c>
      <c r="B65" s="275" t="s">
        <v>868</v>
      </c>
      <c r="C65" s="273" t="s">
        <v>842</v>
      </c>
      <c r="D65" s="273" t="s">
        <v>750</v>
      </c>
      <c r="E65" s="273">
        <v>27117233745</v>
      </c>
      <c r="F65" s="283">
        <v>585519</v>
      </c>
      <c r="G65" s="283">
        <v>0</v>
      </c>
    </row>
    <row r="66" spans="1:7" hidden="1">
      <c r="A66" s="274" t="s">
        <v>698</v>
      </c>
      <c r="B66" s="276">
        <v>4940</v>
      </c>
      <c r="C66" s="274" t="s">
        <v>700</v>
      </c>
      <c r="D66" s="274"/>
      <c r="E66" s="276">
        <v>27117233745</v>
      </c>
      <c r="F66" s="276">
        <v>585519</v>
      </c>
      <c r="G66" s="276">
        <v>0</v>
      </c>
    </row>
    <row r="67" spans="1:7" hidden="1">
      <c r="A67" s="274" t="s">
        <v>710</v>
      </c>
      <c r="B67" s="276">
        <v>4942</v>
      </c>
      <c r="C67" s="274" t="s">
        <v>700</v>
      </c>
      <c r="D67" s="274"/>
      <c r="E67" s="276">
        <v>27117233745</v>
      </c>
      <c r="F67" s="276">
        <v>585519</v>
      </c>
      <c r="G67" s="276">
        <v>0</v>
      </c>
    </row>
    <row r="68" spans="1:7" hidden="1">
      <c r="A68" s="282" t="s">
        <v>659</v>
      </c>
      <c r="B68" s="275" t="s">
        <v>762</v>
      </c>
      <c r="C68" s="273" t="s">
        <v>763</v>
      </c>
      <c r="D68" s="273" t="s">
        <v>750</v>
      </c>
      <c r="E68" s="273">
        <v>27144282383</v>
      </c>
      <c r="F68" s="283">
        <v>160000</v>
      </c>
      <c r="G68" s="283">
        <v>0</v>
      </c>
    </row>
    <row r="69" spans="1:7" hidden="1">
      <c r="A69" s="282" t="s">
        <v>704</v>
      </c>
      <c r="B69" s="275" t="s">
        <v>848</v>
      </c>
      <c r="C69" s="273" t="s">
        <v>763</v>
      </c>
      <c r="D69" s="273" t="s">
        <v>750</v>
      </c>
      <c r="E69" s="273">
        <v>27144282383</v>
      </c>
      <c r="F69" s="283">
        <v>320000</v>
      </c>
      <c r="G69" s="283">
        <v>0</v>
      </c>
    </row>
    <row r="70" spans="1:7" hidden="1">
      <c r="A70" s="282" t="s">
        <v>713</v>
      </c>
      <c r="B70" s="275" t="s">
        <v>878</v>
      </c>
      <c r="C70" s="273" t="s">
        <v>763</v>
      </c>
      <c r="D70" s="273" t="s">
        <v>750</v>
      </c>
      <c r="E70" s="273">
        <v>27144282383</v>
      </c>
      <c r="F70" s="283">
        <v>320000</v>
      </c>
      <c r="G70" s="283">
        <v>0</v>
      </c>
    </row>
    <row r="71" spans="1:7" hidden="1">
      <c r="A71" s="282" t="s">
        <v>723</v>
      </c>
      <c r="B71" s="275" t="s">
        <v>906</v>
      </c>
      <c r="C71" s="273" t="s">
        <v>763</v>
      </c>
      <c r="D71" s="273" t="s">
        <v>750</v>
      </c>
      <c r="E71" s="273">
        <v>27144282383</v>
      </c>
      <c r="F71" s="283">
        <v>300000</v>
      </c>
      <c r="G71" s="283">
        <v>0</v>
      </c>
    </row>
    <row r="72" spans="1:7" hidden="1">
      <c r="A72" s="274" t="s">
        <v>659</v>
      </c>
      <c r="B72" s="276">
        <v>248</v>
      </c>
      <c r="C72" s="274" t="s">
        <v>665</v>
      </c>
      <c r="D72" s="274"/>
      <c r="E72" s="276">
        <v>27144282383</v>
      </c>
      <c r="F72" s="276">
        <v>160000</v>
      </c>
      <c r="G72" s="276">
        <v>0</v>
      </c>
    </row>
    <row r="73" spans="1:7" hidden="1">
      <c r="A73" s="274" t="s">
        <v>704</v>
      </c>
      <c r="B73" s="276">
        <v>249</v>
      </c>
      <c r="C73" s="274" t="s">
        <v>665</v>
      </c>
      <c r="D73" s="274"/>
      <c r="E73" s="276">
        <v>27144282383</v>
      </c>
      <c r="F73" s="276">
        <v>320000</v>
      </c>
      <c r="G73" s="276">
        <v>0</v>
      </c>
    </row>
    <row r="74" spans="1:7" hidden="1">
      <c r="A74" s="274" t="s">
        <v>713</v>
      </c>
      <c r="B74" s="276">
        <v>250</v>
      </c>
      <c r="C74" s="274" t="s">
        <v>665</v>
      </c>
      <c r="D74" s="274"/>
      <c r="E74" s="276">
        <v>27144282383</v>
      </c>
      <c r="F74" s="276">
        <v>320000</v>
      </c>
      <c r="G74" s="276">
        <v>0</v>
      </c>
    </row>
    <row r="75" spans="1:7" hidden="1">
      <c r="A75" s="274" t="s">
        <v>723</v>
      </c>
      <c r="B75" s="276">
        <v>252</v>
      </c>
      <c r="C75" s="274" t="s">
        <v>665</v>
      </c>
      <c r="D75" s="274"/>
      <c r="E75" s="276">
        <v>27144282383</v>
      </c>
      <c r="F75" s="276">
        <v>300000</v>
      </c>
      <c r="G75" s="276">
        <v>0</v>
      </c>
    </row>
    <row r="76" spans="1:7" hidden="1">
      <c r="A76" s="282" t="s">
        <v>707</v>
      </c>
      <c r="B76" s="275" t="s">
        <v>854</v>
      </c>
      <c r="C76" s="273" t="s">
        <v>855</v>
      </c>
      <c r="D76" s="273" t="s">
        <v>766</v>
      </c>
      <c r="E76" s="273">
        <v>27217606255</v>
      </c>
      <c r="F76" s="283">
        <v>0</v>
      </c>
      <c r="G76" s="283">
        <v>56703.42</v>
      </c>
    </row>
    <row r="77" spans="1:7" hidden="1">
      <c r="A77" s="282" t="s">
        <v>707</v>
      </c>
      <c r="B77" s="275" t="s">
        <v>856</v>
      </c>
      <c r="C77" s="273" t="s">
        <v>855</v>
      </c>
      <c r="D77" s="273" t="s">
        <v>766</v>
      </c>
      <c r="E77" s="273">
        <v>27217606255</v>
      </c>
      <c r="F77" s="283">
        <v>0</v>
      </c>
      <c r="G77" s="283">
        <v>50223.03</v>
      </c>
    </row>
    <row r="78" spans="1:7" hidden="1">
      <c r="A78" s="282" t="s">
        <v>710</v>
      </c>
      <c r="B78" s="275" t="s">
        <v>866</v>
      </c>
      <c r="C78" s="273" t="s">
        <v>855</v>
      </c>
      <c r="D78" s="273" t="s">
        <v>766</v>
      </c>
      <c r="E78" s="273">
        <v>27217606255</v>
      </c>
      <c r="F78" s="283">
        <v>0</v>
      </c>
      <c r="G78" s="283">
        <v>55083.32</v>
      </c>
    </row>
    <row r="79" spans="1:7" hidden="1">
      <c r="A79" s="282" t="s">
        <v>710</v>
      </c>
      <c r="B79" s="275" t="s">
        <v>867</v>
      </c>
      <c r="C79" s="273" t="s">
        <v>855</v>
      </c>
      <c r="D79" s="273" t="s">
        <v>766</v>
      </c>
      <c r="E79" s="273">
        <v>27217606255</v>
      </c>
      <c r="F79" s="283">
        <v>0</v>
      </c>
      <c r="G79" s="283">
        <v>148916.68</v>
      </c>
    </row>
    <row r="80" spans="1:7" hidden="1">
      <c r="A80" s="282" t="s">
        <v>711</v>
      </c>
      <c r="B80" s="275" t="s">
        <v>870</v>
      </c>
      <c r="C80" s="273" t="s">
        <v>855</v>
      </c>
      <c r="D80" s="273" t="s">
        <v>766</v>
      </c>
      <c r="E80" s="273">
        <v>27217606255</v>
      </c>
      <c r="F80" s="283">
        <v>0</v>
      </c>
      <c r="G80" s="283">
        <v>96357.85</v>
      </c>
    </row>
    <row r="81" spans="1:7" hidden="1">
      <c r="A81" s="282" t="s">
        <v>711</v>
      </c>
      <c r="B81" s="275" t="s">
        <v>871</v>
      </c>
      <c r="C81" s="273" t="s">
        <v>855</v>
      </c>
      <c r="D81" s="273" t="s">
        <v>766</v>
      </c>
      <c r="E81" s="273">
        <v>27217606255</v>
      </c>
      <c r="F81" s="283">
        <v>0</v>
      </c>
      <c r="G81" s="283">
        <v>105117.66</v>
      </c>
    </row>
    <row r="82" spans="1:7" hidden="1">
      <c r="A82" s="282" t="s">
        <v>713</v>
      </c>
      <c r="B82" s="275" t="s">
        <v>877</v>
      </c>
      <c r="C82" s="273" t="s">
        <v>855</v>
      </c>
      <c r="D82" s="273" t="s">
        <v>766</v>
      </c>
      <c r="E82" s="273">
        <v>27217606255</v>
      </c>
      <c r="F82" s="283">
        <v>0</v>
      </c>
      <c r="G82" s="283">
        <v>87598.05</v>
      </c>
    </row>
    <row r="83" spans="1:7" hidden="1">
      <c r="A83" s="274" t="s">
        <v>707</v>
      </c>
      <c r="B83" s="276">
        <v>248</v>
      </c>
      <c r="C83" s="274" t="s">
        <v>359</v>
      </c>
      <c r="D83" s="274"/>
      <c r="E83" s="276">
        <v>27217606255</v>
      </c>
      <c r="F83" s="274"/>
      <c r="G83" s="274"/>
    </row>
    <row r="84" spans="1:7" hidden="1">
      <c r="A84" s="274" t="s">
        <v>707</v>
      </c>
      <c r="B84" s="276">
        <v>247</v>
      </c>
      <c r="C84" s="274" t="s">
        <v>359</v>
      </c>
      <c r="D84" s="274"/>
      <c r="E84" s="276">
        <v>27217606255</v>
      </c>
      <c r="F84" s="274"/>
      <c r="G84" s="274"/>
    </row>
    <row r="85" spans="1:7" hidden="1">
      <c r="A85" s="274" t="s">
        <v>710</v>
      </c>
      <c r="B85" s="276">
        <v>249</v>
      </c>
      <c r="C85" s="274" t="s">
        <v>359</v>
      </c>
      <c r="D85" s="274"/>
      <c r="E85" s="276">
        <v>27217606255</v>
      </c>
      <c r="F85" s="274"/>
      <c r="G85" s="274"/>
    </row>
    <row r="86" spans="1:7" hidden="1">
      <c r="A86" s="274" t="s">
        <v>710</v>
      </c>
      <c r="B86" s="276">
        <v>250</v>
      </c>
      <c r="C86" s="274" t="s">
        <v>359</v>
      </c>
      <c r="D86" s="274"/>
      <c r="E86" s="276">
        <v>27217606255</v>
      </c>
      <c r="F86" s="274"/>
      <c r="G86" s="274"/>
    </row>
    <row r="87" spans="1:7" hidden="1">
      <c r="A87" s="274" t="s">
        <v>711</v>
      </c>
      <c r="B87" s="276">
        <v>251</v>
      </c>
      <c r="C87" s="274" t="s">
        <v>359</v>
      </c>
      <c r="D87" s="274"/>
      <c r="E87" s="276">
        <v>27217606255</v>
      </c>
      <c r="F87" s="274"/>
      <c r="G87" s="274"/>
    </row>
    <row r="88" spans="1:7" hidden="1">
      <c r="A88" s="274" t="s">
        <v>711</v>
      </c>
      <c r="B88" s="276">
        <v>252</v>
      </c>
      <c r="C88" s="274" t="s">
        <v>359</v>
      </c>
      <c r="D88" s="274"/>
      <c r="E88" s="276">
        <v>27217606255</v>
      </c>
      <c r="F88" s="274"/>
      <c r="G88" s="274"/>
    </row>
    <row r="89" spans="1:7" hidden="1">
      <c r="A89" s="274" t="s">
        <v>713</v>
      </c>
      <c r="B89" s="276">
        <v>253</v>
      </c>
      <c r="C89" s="274" t="s">
        <v>359</v>
      </c>
      <c r="D89" s="274"/>
      <c r="E89" s="276">
        <v>27217606255</v>
      </c>
      <c r="F89" s="274"/>
      <c r="G89" s="274"/>
    </row>
    <row r="90" spans="1:7" hidden="1">
      <c r="A90" s="282" t="s">
        <v>719</v>
      </c>
      <c r="B90" s="275" t="s">
        <v>898</v>
      </c>
      <c r="C90" s="273" t="s">
        <v>899</v>
      </c>
      <c r="D90" s="273" t="s">
        <v>750</v>
      </c>
      <c r="E90" s="273">
        <v>27243660535</v>
      </c>
      <c r="F90" s="283">
        <v>360000</v>
      </c>
      <c r="G90" s="283">
        <v>0</v>
      </c>
    </row>
    <row r="91" spans="1:7" hidden="1">
      <c r="A91" s="274" t="s">
        <v>719</v>
      </c>
      <c r="B91" s="276">
        <v>25</v>
      </c>
      <c r="C91" s="274" t="s">
        <v>721</v>
      </c>
      <c r="D91" s="274"/>
      <c r="E91" s="276">
        <v>27243660535</v>
      </c>
      <c r="F91" s="276">
        <v>360000</v>
      </c>
      <c r="G91" s="276">
        <v>0</v>
      </c>
    </row>
    <row r="92" spans="1:7" hidden="1">
      <c r="A92" s="274" t="s">
        <v>727</v>
      </c>
      <c r="B92" s="276">
        <v>336</v>
      </c>
      <c r="C92" s="274" t="s">
        <v>728</v>
      </c>
      <c r="D92" s="274"/>
      <c r="E92" s="276">
        <v>27251962559</v>
      </c>
      <c r="F92" s="284">
        <v>42396.71</v>
      </c>
      <c r="G92" s="276">
        <v>0</v>
      </c>
    </row>
    <row r="93" spans="1:7" hidden="1">
      <c r="A93" s="282" t="s">
        <v>659</v>
      </c>
      <c r="B93" s="275" t="s">
        <v>764</v>
      </c>
      <c r="C93" s="273" t="s">
        <v>765</v>
      </c>
      <c r="D93" s="273" t="s">
        <v>766</v>
      </c>
      <c r="E93" s="273">
        <v>27265832178</v>
      </c>
      <c r="F93" s="283">
        <v>0</v>
      </c>
      <c r="G93" s="283">
        <v>250000</v>
      </c>
    </row>
    <row r="94" spans="1:7" hidden="1">
      <c r="A94" s="274" t="s">
        <v>659</v>
      </c>
      <c r="B94" s="276">
        <v>302</v>
      </c>
      <c r="C94" s="274" t="s">
        <v>478</v>
      </c>
      <c r="D94" s="274"/>
      <c r="E94" s="276">
        <v>27265832178</v>
      </c>
      <c r="F94" s="274"/>
      <c r="G94" s="274"/>
    </row>
    <row r="95" spans="1:7" hidden="1">
      <c r="A95" s="282" t="s">
        <v>659</v>
      </c>
      <c r="B95" s="275" t="s">
        <v>768</v>
      </c>
      <c r="C95" s="273" t="s">
        <v>769</v>
      </c>
      <c r="D95" s="273" t="s">
        <v>750</v>
      </c>
      <c r="E95" s="273">
        <v>27329449357</v>
      </c>
      <c r="F95" s="283">
        <v>64100</v>
      </c>
      <c r="G95" s="283">
        <v>16400</v>
      </c>
    </row>
    <row r="96" spans="1:7" hidden="1">
      <c r="A96" s="274" t="s">
        <v>659</v>
      </c>
      <c r="B96" s="276">
        <v>102</v>
      </c>
      <c r="C96" s="274" t="s">
        <v>666</v>
      </c>
      <c r="D96" s="274"/>
      <c r="E96" s="276">
        <v>27329449357</v>
      </c>
      <c r="F96" s="276">
        <v>64100</v>
      </c>
      <c r="G96" s="276">
        <v>16400</v>
      </c>
    </row>
    <row r="97" spans="1:7" hidden="1">
      <c r="A97" s="282" t="s">
        <v>685</v>
      </c>
      <c r="B97" s="275" t="s">
        <v>806</v>
      </c>
      <c r="C97" s="273" t="s">
        <v>807</v>
      </c>
      <c r="D97" s="273" t="s">
        <v>766</v>
      </c>
      <c r="E97" s="273">
        <v>27338342840</v>
      </c>
      <c r="F97" s="283">
        <v>0</v>
      </c>
      <c r="G97" s="283">
        <v>276800</v>
      </c>
    </row>
    <row r="98" spans="1:7" hidden="1">
      <c r="A98" s="274" t="s">
        <v>685</v>
      </c>
      <c r="B98" s="276">
        <v>148</v>
      </c>
      <c r="C98" s="274" t="s">
        <v>432</v>
      </c>
      <c r="D98" s="274"/>
      <c r="E98" s="276">
        <v>27338342840</v>
      </c>
      <c r="F98" s="274"/>
      <c r="G98" s="274"/>
    </row>
    <row r="99" spans="1:7" hidden="1">
      <c r="A99" s="282" t="s">
        <v>687</v>
      </c>
      <c r="B99" s="275" t="s">
        <v>813</v>
      </c>
      <c r="C99" s="273" t="s">
        <v>814</v>
      </c>
      <c r="D99" s="273" t="s">
        <v>750</v>
      </c>
      <c r="E99" s="273">
        <v>27363810182</v>
      </c>
      <c r="F99" s="283">
        <v>3635.54</v>
      </c>
      <c r="G99" s="283">
        <v>0</v>
      </c>
    </row>
    <row r="100" spans="1:7" hidden="1">
      <c r="A100" s="274" t="s">
        <v>687</v>
      </c>
      <c r="B100" s="276">
        <v>8403</v>
      </c>
      <c r="C100" s="274" t="s">
        <v>688</v>
      </c>
      <c r="D100" s="274"/>
      <c r="E100" s="276">
        <v>27363810182</v>
      </c>
      <c r="F100" s="284">
        <v>3635.54</v>
      </c>
      <c r="G100" s="276">
        <v>0</v>
      </c>
    </row>
    <row r="101" spans="1:7" hidden="1">
      <c r="A101" s="282" t="s">
        <v>715</v>
      </c>
      <c r="B101" s="275" t="s">
        <v>884</v>
      </c>
      <c r="C101" s="273" t="s">
        <v>885</v>
      </c>
      <c r="D101" s="273" t="s">
        <v>766</v>
      </c>
      <c r="E101" s="273">
        <v>27443612705</v>
      </c>
      <c r="F101" s="283">
        <v>0</v>
      </c>
      <c r="G101" s="283">
        <v>600000</v>
      </c>
    </row>
    <row r="102" spans="1:7" hidden="1">
      <c r="A102" s="274" t="s">
        <v>715</v>
      </c>
      <c r="B102" s="276">
        <v>14</v>
      </c>
      <c r="C102" s="274" t="s">
        <v>716</v>
      </c>
      <c r="D102" s="274"/>
      <c r="E102" s="276">
        <v>27443612705</v>
      </c>
      <c r="F102" s="274"/>
      <c r="G102" s="274"/>
    </row>
    <row r="103" spans="1:7" hidden="1">
      <c r="A103" s="282" t="s">
        <v>725</v>
      </c>
      <c r="B103" s="275" t="s">
        <v>915</v>
      </c>
      <c r="C103" s="273" t="s">
        <v>916</v>
      </c>
      <c r="D103" s="273" t="s">
        <v>750</v>
      </c>
      <c r="E103" s="273">
        <v>30526492281</v>
      </c>
      <c r="F103" s="283">
        <v>149600</v>
      </c>
      <c r="G103" s="283">
        <v>0</v>
      </c>
    </row>
    <row r="104" spans="1:7" hidden="1">
      <c r="A104" s="274" t="s">
        <v>725</v>
      </c>
      <c r="B104" s="276">
        <v>7702</v>
      </c>
      <c r="C104" s="274" t="s">
        <v>726</v>
      </c>
      <c r="D104" s="274"/>
      <c r="E104" s="276">
        <v>30526492281</v>
      </c>
      <c r="F104" s="276">
        <v>149600</v>
      </c>
      <c r="G104" s="276">
        <v>0</v>
      </c>
    </row>
    <row r="105" spans="1:7">
      <c r="A105" s="277" t="s">
        <v>711</v>
      </c>
      <c r="B105" s="278">
        <v>91964</v>
      </c>
      <c r="C105" s="277" t="s">
        <v>712</v>
      </c>
      <c r="D105" s="277"/>
      <c r="E105" s="278">
        <v>30526582884</v>
      </c>
      <c r="F105" s="281">
        <v>4462.8100000000004</v>
      </c>
      <c r="G105" s="278">
        <v>0</v>
      </c>
    </row>
    <row r="106" spans="1:7" hidden="1">
      <c r="A106" s="282" t="s">
        <v>655</v>
      </c>
      <c r="B106" s="275" t="s">
        <v>758</v>
      </c>
      <c r="C106" s="273" t="s">
        <v>759</v>
      </c>
      <c r="D106" s="273" t="s">
        <v>750</v>
      </c>
      <c r="E106" s="273">
        <v>30548083156</v>
      </c>
      <c r="F106" s="283">
        <v>6462.61</v>
      </c>
      <c r="G106" s="283">
        <v>0</v>
      </c>
    </row>
    <row r="107" spans="1:7" hidden="1">
      <c r="A107" s="274" t="s">
        <v>655</v>
      </c>
      <c r="B107" s="276">
        <v>75919</v>
      </c>
      <c r="C107" s="274" t="s">
        <v>657</v>
      </c>
      <c r="D107" s="274"/>
      <c r="E107" s="276">
        <v>30548083156</v>
      </c>
      <c r="F107" s="284">
        <v>6462.61</v>
      </c>
      <c r="G107" s="276">
        <v>0</v>
      </c>
    </row>
    <row r="108" spans="1:7">
      <c r="A108" s="277" t="s">
        <v>713</v>
      </c>
      <c r="B108" s="278">
        <v>6478</v>
      </c>
      <c r="C108" s="277" t="s">
        <v>657</v>
      </c>
      <c r="D108" s="277"/>
      <c r="E108" s="278">
        <v>30548083156</v>
      </c>
      <c r="F108" s="281">
        <v>4109.47</v>
      </c>
      <c r="G108" s="278">
        <v>0</v>
      </c>
    </row>
    <row r="109" spans="1:7">
      <c r="A109" s="277" t="s">
        <v>727</v>
      </c>
      <c r="B109" s="278">
        <v>77373</v>
      </c>
      <c r="C109" s="277" t="s">
        <v>657</v>
      </c>
      <c r="D109" s="277"/>
      <c r="E109" s="278">
        <v>30548083156</v>
      </c>
      <c r="F109" s="281">
        <v>3905.09</v>
      </c>
      <c r="G109" s="278">
        <v>0</v>
      </c>
    </row>
    <row r="110" spans="1:7" hidden="1">
      <c r="A110" s="282" t="s">
        <v>682</v>
      </c>
      <c r="B110" s="275" t="s">
        <v>804</v>
      </c>
      <c r="C110" s="273" t="s">
        <v>805</v>
      </c>
      <c r="D110" s="273" t="s">
        <v>750</v>
      </c>
      <c r="E110" s="273">
        <v>30574876474</v>
      </c>
      <c r="F110" s="283">
        <v>14073.48</v>
      </c>
      <c r="G110" s="283">
        <v>1.000000000021828E-2</v>
      </c>
    </row>
    <row r="111" spans="1:7" hidden="1">
      <c r="A111" s="282" t="s">
        <v>704</v>
      </c>
      <c r="B111" s="275" t="s">
        <v>853</v>
      </c>
      <c r="C111" s="273" t="s">
        <v>805</v>
      </c>
      <c r="D111" s="273" t="s">
        <v>750</v>
      </c>
      <c r="E111" s="273">
        <v>30574876474</v>
      </c>
      <c r="F111" s="283">
        <v>12702.14</v>
      </c>
      <c r="G111" s="283">
        <v>5.0000000001091394E-2</v>
      </c>
    </row>
    <row r="112" spans="1:7" hidden="1">
      <c r="A112" s="282" t="s">
        <v>717</v>
      </c>
      <c r="B112" s="275" t="s">
        <v>897</v>
      </c>
      <c r="C112" s="273" t="s">
        <v>805</v>
      </c>
      <c r="D112" s="273" t="s">
        <v>750</v>
      </c>
      <c r="E112" s="273">
        <v>30574876474</v>
      </c>
      <c r="F112" s="283">
        <v>17107.72</v>
      </c>
      <c r="G112" s="283">
        <v>2.999999999883585E-2</v>
      </c>
    </row>
    <row r="113" spans="1:7" hidden="1">
      <c r="A113" s="274" t="s">
        <v>682</v>
      </c>
      <c r="B113" s="276">
        <v>643182</v>
      </c>
      <c r="C113" s="274" t="s">
        <v>683</v>
      </c>
      <c r="D113" s="274"/>
      <c r="E113" s="276">
        <v>30574876474</v>
      </c>
      <c r="F113" s="284">
        <v>14073.49</v>
      </c>
      <c r="G113" s="276">
        <v>0</v>
      </c>
    </row>
    <row r="114" spans="1:7" hidden="1">
      <c r="A114" s="274" t="s">
        <v>704</v>
      </c>
      <c r="B114" s="276">
        <v>644558</v>
      </c>
      <c r="C114" s="274" t="s">
        <v>683</v>
      </c>
      <c r="D114" s="274"/>
      <c r="E114" s="276">
        <v>30574876474</v>
      </c>
      <c r="F114" s="284">
        <v>12702.19</v>
      </c>
      <c r="G114" s="276">
        <v>0</v>
      </c>
    </row>
    <row r="115" spans="1:7" hidden="1">
      <c r="A115" s="274" t="s">
        <v>717</v>
      </c>
      <c r="B115" s="276">
        <v>648091</v>
      </c>
      <c r="C115" s="274" t="s">
        <v>683</v>
      </c>
      <c r="D115" s="274"/>
      <c r="E115" s="276">
        <v>30574876474</v>
      </c>
      <c r="F115" s="284">
        <v>17107.75</v>
      </c>
      <c r="G115" s="276">
        <v>0</v>
      </c>
    </row>
    <row r="116" spans="1:7" hidden="1">
      <c r="A116" s="274" t="s">
        <v>731</v>
      </c>
      <c r="B116" s="276">
        <v>650706</v>
      </c>
      <c r="C116" s="274" t="s">
        <v>683</v>
      </c>
      <c r="D116" s="274"/>
      <c r="E116" s="276">
        <v>30574876474</v>
      </c>
      <c r="F116" s="284">
        <v>24879.27</v>
      </c>
      <c r="G116" s="276">
        <v>0</v>
      </c>
    </row>
    <row r="117" spans="1:7">
      <c r="A117" s="277" t="s">
        <v>702</v>
      </c>
      <c r="B117" s="278">
        <v>3802250</v>
      </c>
      <c r="C117" s="277" t="s">
        <v>703</v>
      </c>
      <c r="D117" s="277"/>
      <c r="E117" s="278">
        <v>30577207190</v>
      </c>
      <c r="F117" s="281">
        <v>2975.21</v>
      </c>
      <c r="G117" s="278">
        <v>0</v>
      </c>
    </row>
    <row r="118" spans="1:7" hidden="1">
      <c r="A118" s="282" t="s">
        <v>672</v>
      </c>
      <c r="B118" s="275" t="s">
        <v>791</v>
      </c>
      <c r="C118" s="273" t="s">
        <v>792</v>
      </c>
      <c r="D118" s="285" t="s">
        <v>750</v>
      </c>
      <c r="E118" s="273">
        <v>30587197215</v>
      </c>
      <c r="F118" s="283">
        <v>68595.040000000008</v>
      </c>
      <c r="G118" s="283">
        <v>0</v>
      </c>
    </row>
    <row r="119" spans="1:7" hidden="1">
      <c r="A119" s="282" t="s">
        <v>672</v>
      </c>
      <c r="B119" s="275" t="s">
        <v>793</v>
      </c>
      <c r="C119" s="273" t="s">
        <v>792</v>
      </c>
      <c r="D119" s="285" t="s">
        <v>750</v>
      </c>
      <c r="E119" s="273">
        <v>30587197215</v>
      </c>
      <c r="F119" s="283">
        <v>68595.040000000008</v>
      </c>
      <c r="G119" s="283">
        <v>0</v>
      </c>
    </row>
    <row r="120" spans="1:7" hidden="1">
      <c r="A120" s="274" t="s">
        <v>672</v>
      </c>
      <c r="B120" s="276">
        <v>4949</v>
      </c>
      <c r="C120" s="274" t="s">
        <v>493</v>
      </c>
      <c r="D120" s="286"/>
      <c r="E120" s="276">
        <v>30587197215</v>
      </c>
      <c r="F120" s="284">
        <v>68595.039999999994</v>
      </c>
      <c r="G120" s="276">
        <v>0</v>
      </c>
    </row>
    <row r="121" spans="1:7" hidden="1">
      <c r="A121" s="274" t="s">
        <v>672</v>
      </c>
      <c r="B121" s="276">
        <v>4948</v>
      </c>
      <c r="C121" s="274" t="s">
        <v>493</v>
      </c>
      <c r="D121" s="286"/>
      <c r="E121" s="276">
        <v>30587197215</v>
      </c>
      <c r="F121" s="284">
        <v>68595.039999999994</v>
      </c>
      <c r="G121" s="276">
        <v>0</v>
      </c>
    </row>
    <row r="122" spans="1:7" hidden="1">
      <c r="A122" s="282" t="s">
        <v>672</v>
      </c>
      <c r="B122" s="275" t="s">
        <v>786</v>
      </c>
      <c r="C122" s="273" t="s">
        <v>787</v>
      </c>
      <c r="D122" s="285" t="s">
        <v>750</v>
      </c>
      <c r="E122" s="273">
        <v>30595553535</v>
      </c>
      <c r="F122" s="283">
        <v>4793.3900000000003</v>
      </c>
      <c r="G122" s="283">
        <v>0</v>
      </c>
    </row>
    <row r="123" spans="1:7" hidden="1">
      <c r="A123" s="274" t="s">
        <v>672</v>
      </c>
      <c r="B123" s="276">
        <v>50685</v>
      </c>
      <c r="C123" s="274" t="s">
        <v>673</v>
      </c>
      <c r="D123" s="286"/>
      <c r="E123" s="276">
        <v>30595553535</v>
      </c>
      <c r="F123" s="284">
        <v>4793.3900000000003</v>
      </c>
      <c r="G123" s="276">
        <v>0</v>
      </c>
    </row>
    <row r="124" spans="1:7" hidden="1">
      <c r="A124" s="282" t="s">
        <v>659</v>
      </c>
      <c r="B124" s="275" t="s">
        <v>770</v>
      </c>
      <c r="C124" s="273" t="s">
        <v>771</v>
      </c>
      <c r="D124" s="285" t="s">
        <v>750</v>
      </c>
      <c r="E124" s="273">
        <v>30598960093</v>
      </c>
      <c r="F124" s="283">
        <v>2376294.19</v>
      </c>
      <c r="G124" s="283">
        <v>0</v>
      </c>
    </row>
    <row r="125" spans="1:7" hidden="1">
      <c r="A125" s="274" t="s">
        <v>659</v>
      </c>
      <c r="B125" s="276">
        <v>158399</v>
      </c>
      <c r="C125" s="274" t="s">
        <v>662</v>
      </c>
      <c r="D125" s="286"/>
      <c r="E125" s="276">
        <v>30598960093</v>
      </c>
      <c r="F125" s="274">
        <v>2376294.2000000002</v>
      </c>
      <c r="G125" s="276">
        <v>0</v>
      </c>
    </row>
    <row r="126" spans="1:7" hidden="1">
      <c r="A126" s="282" t="s">
        <v>668</v>
      </c>
      <c r="B126" s="275" t="s">
        <v>778</v>
      </c>
      <c r="C126" s="273" t="s">
        <v>779</v>
      </c>
      <c r="D126" s="285" t="s">
        <v>750</v>
      </c>
      <c r="E126" s="273">
        <v>30605344352</v>
      </c>
      <c r="F126" s="283">
        <v>834000</v>
      </c>
      <c r="G126" s="283">
        <v>0</v>
      </c>
    </row>
    <row r="127" spans="1:7" hidden="1">
      <c r="A127" s="274" t="s">
        <v>668</v>
      </c>
      <c r="B127" s="276">
        <v>216</v>
      </c>
      <c r="C127" s="274" t="s">
        <v>671</v>
      </c>
      <c r="D127" s="286"/>
      <c r="E127" s="276">
        <v>30605344352</v>
      </c>
      <c r="F127" s="276">
        <v>834000</v>
      </c>
      <c r="G127" s="276">
        <v>0</v>
      </c>
    </row>
    <row r="128" spans="1:7">
      <c r="A128" s="277" t="s">
        <v>731</v>
      </c>
      <c r="B128" s="278">
        <v>17452146</v>
      </c>
      <c r="C128" s="277" t="s">
        <v>732</v>
      </c>
      <c r="D128" s="280"/>
      <c r="E128" s="278">
        <v>30620177497</v>
      </c>
      <c r="F128" s="278">
        <v>0</v>
      </c>
      <c r="G128" s="278">
        <v>0</v>
      </c>
    </row>
    <row r="129" spans="1:7">
      <c r="A129" s="277" t="s">
        <v>731</v>
      </c>
      <c r="B129" s="278">
        <v>17599524</v>
      </c>
      <c r="C129" s="277" t="s">
        <v>732</v>
      </c>
      <c r="D129" s="280"/>
      <c r="E129" s="278">
        <v>30620177497</v>
      </c>
      <c r="F129" s="281">
        <v>26164.14</v>
      </c>
      <c r="G129" s="278">
        <v>0</v>
      </c>
    </row>
    <row r="130" spans="1:7" hidden="1">
      <c r="A130" s="282" t="s">
        <v>707</v>
      </c>
      <c r="B130" s="275" t="s">
        <v>861</v>
      </c>
      <c r="C130" s="273" t="s">
        <v>862</v>
      </c>
      <c r="D130" s="285" t="s">
        <v>750</v>
      </c>
      <c r="E130" s="273">
        <v>30639453738</v>
      </c>
      <c r="F130" s="283">
        <v>24142.14</v>
      </c>
      <c r="G130" s="283">
        <v>0</v>
      </c>
    </row>
    <row r="131" spans="1:7" hidden="1">
      <c r="A131" s="274" t="s">
        <v>707</v>
      </c>
      <c r="B131" s="276">
        <v>4388001</v>
      </c>
      <c r="C131" s="274" t="s">
        <v>709</v>
      </c>
      <c r="D131" s="286"/>
      <c r="E131" s="276">
        <v>30639453738</v>
      </c>
      <c r="F131" s="284">
        <v>24142.14</v>
      </c>
      <c r="G131" s="276">
        <v>0</v>
      </c>
    </row>
    <row r="132" spans="1:7">
      <c r="A132" s="277" t="s">
        <v>698</v>
      </c>
      <c r="B132" s="278">
        <v>1469491</v>
      </c>
      <c r="C132" s="277" t="s">
        <v>699</v>
      </c>
      <c r="D132" s="280"/>
      <c r="E132" s="278">
        <v>30639935872</v>
      </c>
      <c r="F132" s="281">
        <v>2934.75</v>
      </c>
      <c r="G132" s="278">
        <v>0</v>
      </c>
    </row>
    <row r="133" spans="1:7" hidden="1">
      <c r="A133" s="282" t="s">
        <v>679</v>
      </c>
      <c r="B133" s="275" t="s">
        <v>799</v>
      </c>
      <c r="C133" s="273" t="s">
        <v>800</v>
      </c>
      <c r="D133" s="285" t="s">
        <v>750</v>
      </c>
      <c r="E133" s="273">
        <v>30643518364</v>
      </c>
      <c r="F133" s="283">
        <v>188610</v>
      </c>
      <c r="G133" s="283">
        <v>0</v>
      </c>
    </row>
    <row r="134" spans="1:7" hidden="1">
      <c r="A134" s="274" t="s">
        <v>679</v>
      </c>
      <c r="B134" s="276">
        <v>306</v>
      </c>
      <c r="C134" s="274" t="s">
        <v>680</v>
      </c>
      <c r="D134" s="286"/>
      <c r="E134" s="276">
        <v>30643518364</v>
      </c>
      <c r="F134" s="276">
        <v>188610</v>
      </c>
      <c r="G134" s="276">
        <v>0</v>
      </c>
    </row>
    <row r="135" spans="1:7" hidden="1">
      <c r="A135" s="282" t="s">
        <v>659</v>
      </c>
      <c r="B135" s="275" t="s">
        <v>774</v>
      </c>
      <c r="C135" s="273" t="s">
        <v>775</v>
      </c>
      <c r="D135" s="285" t="s">
        <v>750</v>
      </c>
      <c r="E135" s="273">
        <v>30654118767</v>
      </c>
      <c r="F135" s="283">
        <v>89554.36</v>
      </c>
      <c r="G135" s="283">
        <v>0</v>
      </c>
    </row>
    <row r="136" spans="1:7" hidden="1">
      <c r="A136" s="274" t="s">
        <v>659</v>
      </c>
      <c r="B136" s="276">
        <v>1611886</v>
      </c>
      <c r="C136" s="274" t="s">
        <v>660</v>
      </c>
      <c r="D136" s="286"/>
      <c r="E136" s="276">
        <v>30654118767</v>
      </c>
      <c r="F136" s="284">
        <v>89554.36</v>
      </c>
      <c r="G136" s="276">
        <v>0</v>
      </c>
    </row>
    <row r="137" spans="1:7" hidden="1">
      <c r="A137" s="274" t="s">
        <v>731</v>
      </c>
      <c r="B137" s="276">
        <v>3548</v>
      </c>
      <c r="C137" s="274" t="s">
        <v>201</v>
      </c>
      <c r="D137" s="286"/>
      <c r="E137" s="276">
        <v>30661498575</v>
      </c>
      <c r="F137" s="284">
        <v>132396.71</v>
      </c>
      <c r="G137" s="276">
        <v>0</v>
      </c>
    </row>
    <row r="138" spans="1:7" hidden="1">
      <c r="A138" s="282" t="s">
        <v>668</v>
      </c>
      <c r="B138" s="275" t="s">
        <v>780</v>
      </c>
      <c r="C138" s="273" t="s">
        <v>781</v>
      </c>
      <c r="D138" s="285" t="s">
        <v>750</v>
      </c>
      <c r="E138" s="273">
        <v>30663498513</v>
      </c>
      <c r="F138" s="283">
        <v>2121.64</v>
      </c>
      <c r="G138" s="283">
        <v>0</v>
      </c>
    </row>
    <row r="139" spans="1:7" hidden="1">
      <c r="A139" s="282" t="s">
        <v>707</v>
      </c>
      <c r="B139" s="275" t="s">
        <v>859</v>
      </c>
      <c r="C139" s="273" t="s">
        <v>781</v>
      </c>
      <c r="D139" s="285" t="s">
        <v>750</v>
      </c>
      <c r="E139" s="273">
        <v>30663498513</v>
      </c>
      <c r="F139" s="283">
        <v>3440.74</v>
      </c>
      <c r="G139" s="283">
        <v>0</v>
      </c>
    </row>
    <row r="140" spans="1:7" hidden="1">
      <c r="A140" s="274" t="s">
        <v>668</v>
      </c>
      <c r="B140" s="276">
        <v>5407463</v>
      </c>
      <c r="C140" s="274" t="s">
        <v>669</v>
      </c>
      <c r="D140" s="286"/>
      <c r="E140" s="276">
        <v>30663498513</v>
      </c>
      <c r="F140" s="284">
        <v>2121.64</v>
      </c>
      <c r="G140" s="276">
        <v>0</v>
      </c>
    </row>
    <row r="141" spans="1:7" hidden="1">
      <c r="A141" s="274" t="s">
        <v>707</v>
      </c>
      <c r="B141" s="276">
        <v>5447412</v>
      </c>
      <c r="C141" s="274" t="s">
        <v>669</v>
      </c>
      <c r="D141" s="286"/>
      <c r="E141" s="276">
        <v>30663498513</v>
      </c>
      <c r="F141" s="284">
        <v>3440.74</v>
      </c>
      <c r="G141" s="276">
        <v>0</v>
      </c>
    </row>
    <row r="142" spans="1:7" hidden="1">
      <c r="A142" s="282" t="s">
        <v>668</v>
      </c>
      <c r="B142" s="275" t="s">
        <v>782</v>
      </c>
      <c r="C142" s="273" t="s">
        <v>783</v>
      </c>
      <c r="D142" s="285" t="s">
        <v>750</v>
      </c>
      <c r="E142" s="273">
        <v>30677237119</v>
      </c>
      <c r="F142" s="283">
        <v>7715.05</v>
      </c>
      <c r="G142" s="283">
        <v>0</v>
      </c>
    </row>
    <row r="143" spans="1:7" hidden="1">
      <c r="A143" s="282" t="s">
        <v>707</v>
      </c>
      <c r="B143" s="275" t="s">
        <v>860</v>
      </c>
      <c r="C143" s="273" t="s">
        <v>783</v>
      </c>
      <c r="D143" s="285" t="s">
        <v>750</v>
      </c>
      <c r="E143" s="273">
        <v>30677237119</v>
      </c>
      <c r="F143" s="283">
        <v>5515.3</v>
      </c>
      <c r="G143" s="283">
        <v>0</v>
      </c>
    </row>
    <row r="144" spans="1:7" hidden="1">
      <c r="A144" s="274" t="s">
        <v>668</v>
      </c>
      <c r="B144" s="276">
        <v>6097149</v>
      </c>
      <c r="C144" s="274" t="s">
        <v>670</v>
      </c>
      <c r="D144" s="286"/>
      <c r="E144" s="276">
        <v>30677237119</v>
      </c>
      <c r="F144" s="284">
        <v>7715.05</v>
      </c>
      <c r="G144" s="276">
        <v>0</v>
      </c>
    </row>
    <row r="145" spans="1:7" hidden="1">
      <c r="A145" s="274" t="s">
        <v>707</v>
      </c>
      <c r="B145" s="276">
        <v>6155254</v>
      </c>
      <c r="C145" s="274" t="s">
        <v>670</v>
      </c>
      <c r="D145" s="286"/>
      <c r="E145" s="276">
        <v>30677237119</v>
      </c>
      <c r="F145" s="274">
        <v>5515.3</v>
      </c>
      <c r="G145" s="276">
        <v>0</v>
      </c>
    </row>
    <row r="146" spans="1:7" hidden="1">
      <c r="A146" s="282" t="s">
        <v>659</v>
      </c>
      <c r="B146" s="275" t="s">
        <v>776</v>
      </c>
      <c r="C146" s="273" t="s">
        <v>777</v>
      </c>
      <c r="D146" s="285" t="s">
        <v>750</v>
      </c>
      <c r="E146" s="273">
        <v>30678814357</v>
      </c>
      <c r="F146" s="283">
        <v>14407</v>
      </c>
      <c r="G146" s="283">
        <v>0</v>
      </c>
    </row>
    <row r="147" spans="1:7" hidden="1">
      <c r="A147" s="282" t="s">
        <v>685</v>
      </c>
      <c r="B147" s="275" t="s">
        <v>812</v>
      </c>
      <c r="C147" s="273" t="s">
        <v>777</v>
      </c>
      <c r="D147" s="285" t="s">
        <v>750</v>
      </c>
      <c r="E147" s="273">
        <v>30678814357</v>
      </c>
      <c r="F147" s="283">
        <v>58748.37</v>
      </c>
      <c r="G147" s="283">
        <v>0</v>
      </c>
    </row>
    <row r="148" spans="1:7" hidden="1">
      <c r="A148" s="274" t="s">
        <v>659</v>
      </c>
      <c r="B148" s="276">
        <v>801967</v>
      </c>
      <c r="C148" s="274" t="s">
        <v>664</v>
      </c>
      <c r="D148" s="286"/>
      <c r="E148" s="276">
        <v>30678814357</v>
      </c>
      <c r="F148" s="276">
        <v>14407</v>
      </c>
      <c r="G148" s="276">
        <v>0</v>
      </c>
    </row>
    <row r="149" spans="1:7" hidden="1">
      <c r="A149" s="274" t="s">
        <v>685</v>
      </c>
      <c r="B149" s="276">
        <v>161895</v>
      </c>
      <c r="C149" s="274" t="s">
        <v>664</v>
      </c>
      <c r="D149" s="286"/>
      <c r="E149" s="276">
        <v>30678814357</v>
      </c>
      <c r="F149" s="284">
        <v>58748.38</v>
      </c>
      <c r="G149" s="276">
        <v>0</v>
      </c>
    </row>
    <row r="150" spans="1:7" hidden="1">
      <c r="A150" s="282" t="s">
        <v>719</v>
      </c>
      <c r="B150" s="275" t="s">
        <v>900</v>
      </c>
      <c r="C150" s="273" t="s">
        <v>901</v>
      </c>
      <c r="D150" s="285" t="s">
        <v>750</v>
      </c>
      <c r="E150" s="273">
        <v>30685849751</v>
      </c>
      <c r="F150" s="283">
        <v>6165.28</v>
      </c>
      <c r="G150" s="283">
        <v>0</v>
      </c>
    </row>
    <row r="151" spans="1:7" hidden="1">
      <c r="A151" s="274" t="s">
        <v>719</v>
      </c>
      <c r="B151" s="276">
        <v>854</v>
      </c>
      <c r="C151" s="274" t="s">
        <v>720</v>
      </c>
      <c r="D151" s="286"/>
      <c r="E151" s="276">
        <v>30685849751</v>
      </c>
      <c r="F151" s="284">
        <v>6165.28</v>
      </c>
      <c r="G151" s="276">
        <v>0</v>
      </c>
    </row>
    <row r="152" spans="1:7" hidden="1">
      <c r="A152" s="274" t="s">
        <v>731</v>
      </c>
      <c r="B152" s="276">
        <v>197792</v>
      </c>
      <c r="C152" s="274" t="s">
        <v>733</v>
      </c>
      <c r="D152" s="286"/>
      <c r="E152" s="276">
        <v>30696850972</v>
      </c>
      <c r="F152" s="284">
        <v>19732.580000000002</v>
      </c>
      <c r="G152" s="276">
        <v>0</v>
      </c>
    </row>
    <row r="153" spans="1:7" hidden="1">
      <c r="A153" s="282" t="s">
        <v>717</v>
      </c>
      <c r="B153" s="275" t="s">
        <v>886</v>
      </c>
      <c r="C153" s="273" t="s">
        <v>887</v>
      </c>
      <c r="D153" s="285" t="s">
        <v>750</v>
      </c>
      <c r="E153" s="273">
        <v>30702652975</v>
      </c>
      <c r="F153" s="283">
        <v>28530.17</v>
      </c>
      <c r="G153" s="283">
        <v>0</v>
      </c>
    </row>
    <row r="154" spans="1:7" hidden="1">
      <c r="A154" s="274" t="s">
        <v>717</v>
      </c>
      <c r="B154" s="276">
        <v>3128526</v>
      </c>
      <c r="C154" s="274" t="s">
        <v>718</v>
      </c>
      <c r="D154" s="286"/>
      <c r="E154" s="276">
        <v>30702652975</v>
      </c>
      <c r="F154" s="284">
        <v>28530.17</v>
      </c>
      <c r="G154" s="276">
        <v>0</v>
      </c>
    </row>
    <row r="155" spans="1:7" hidden="1">
      <c r="A155" s="274" t="s">
        <v>729</v>
      </c>
      <c r="B155" s="276">
        <v>2868796</v>
      </c>
      <c r="C155" s="274" t="s">
        <v>730</v>
      </c>
      <c r="D155" s="286"/>
      <c r="E155" s="276">
        <v>30703088534</v>
      </c>
      <c r="F155" s="284">
        <v>37574.04</v>
      </c>
      <c r="G155" s="276">
        <v>0</v>
      </c>
    </row>
    <row r="156" spans="1:7" hidden="1">
      <c r="A156" s="282" t="s">
        <v>655</v>
      </c>
      <c r="B156" s="275" t="s">
        <v>756</v>
      </c>
      <c r="C156" s="273" t="s">
        <v>757</v>
      </c>
      <c r="D156" s="285" t="s">
        <v>750</v>
      </c>
      <c r="E156" s="273">
        <v>30705740670</v>
      </c>
      <c r="F156" s="283">
        <v>69787.520000000004</v>
      </c>
      <c r="G156" s="283">
        <v>0</v>
      </c>
    </row>
    <row r="157" spans="1:7" hidden="1">
      <c r="A157" s="282" t="s">
        <v>731</v>
      </c>
      <c r="B157" s="275" t="s">
        <v>924</v>
      </c>
      <c r="C157" s="273" t="s">
        <v>757</v>
      </c>
      <c r="D157" s="285" t="s">
        <v>750</v>
      </c>
      <c r="E157" s="273">
        <v>30705740670</v>
      </c>
      <c r="F157" s="283">
        <v>32023.57</v>
      </c>
      <c r="G157" s="283">
        <v>0</v>
      </c>
    </row>
    <row r="158" spans="1:7" hidden="1">
      <c r="A158" s="282" t="s">
        <v>696</v>
      </c>
      <c r="B158" s="275" t="s">
        <v>836</v>
      </c>
      <c r="C158" s="273" t="s">
        <v>837</v>
      </c>
      <c r="D158" s="285" t="s">
        <v>750</v>
      </c>
      <c r="E158" s="273">
        <v>30708421983</v>
      </c>
      <c r="F158" s="283">
        <v>51735.54</v>
      </c>
      <c r="G158" s="283">
        <v>0</v>
      </c>
    </row>
    <row r="159" spans="1:7" hidden="1">
      <c r="A159" s="282" t="s">
        <v>717</v>
      </c>
      <c r="B159" s="275" t="s">
        <v>896</v>
      </c>
      <c r="C159" s="273" t="s">
        <v>187</v>
      </c>
      <c r="D159" s="285" t="s">
        <v>750</v>
      </c>
      <c r="E159" s="273">
        <v>30708574836</v>
      </c>
      <c r="F159" s="283">
        <v>0</v>
      </c>
      <c r="G159" s="283">
        <v>13800</v>
      </c>
    </row>
    <row r="160" spans="1:7" hidden="1">
      <c r="A160" s="282" t="s">
        <v>687</v>
      </c>
      <c r="B160" s="275" t="s">
        <v>821</v>
      </c>
      <c r="C160" s="273" t="s">
        <v>63</v>
      </c>
      <c r="D160" s="285" t="s">
        <v>750</v>
      </c>
      <c r="E160" s="273">
        <v>30708973501</v>
      </c>
      <c r="F160" s="283">
        <v>740255</v>
      </c>
      <c r="G160" s="283">
        <v>0</v>
      </c>
    </row>
    <row r="161" spans="1:7" hidden="1">
      <c r="A161" s="274" t="s">
        <v>687</v>
      </c>
      <c r="B161" s="276">
        <v>1684</v>
      </c>
      <c r="C161" s="274" t="s">
        <v>690</v>
      </c>
      <c r="D161" s="286"/>
      <c r="E161" s="276">
        <v>30708973501</v>
      </c>
      <c r="F161" s="276">
        <v>740255</v>
      </c>
      <c r="G161" s="276">
        <v>0</v>
      </c>
    </row>
    <row r="162" spans="1:7" hidden="1">
      <c r="A162" s="282" t="s">
        <v>704</v>
      </c>
      <c r="B162" s="275" t="s">
        <v>849</v>
      </c>
      <c r="C162" s="273" t="s">
        <v>850</v>
      </c>
      <c r="D162" s="285" t="s">
        <v>750</v>
      </c>
      <c r="E162" s="273">
        <v>30709459399</v>
      </c>
      <c r="F162" s="283">
        <v>11807.44</v>
      </c>
      <c r="G162" s="283">
        <v>0</v>
      </c>
    </row>
    <row r="163" spans="1:7" hidden="1">
      <c r="A163" s="274" t="s">
        <v>704</v>
      </c>
      <c r="B163" s="276">
        <v>40318</v>
      </c>
      <c r="C163" s="274" t="s">
        <v>705</v>
      </c>
      <c r="D163" s="286"/>
      <c r="E163" s="276">
        <v>30709459399</v>
      </c>
      <c r="F163" s="284">
        <v>11807.44</v>
      </c>
      <c r="G163" s="276">
        <v>0</v>
      </c>
    </row>
    <row r="164" spans="1:7">
      <c r="A164" s="277" t="s">
        <v>682</v>
      </c>
      <c r="B164" s="278">
        <v>1770378</v>
      </c>
      <c r="C164" s="277" t="s">
        <v>684</v>
      </c>
      <c r="D164" s="280"/>
      <c r="E164" s="278">
        <v>30709776564</v>
      </c>
      <c r="F164" s="278">
        <v>129241</v>
      </c>
      <c r="G164" s="278">
        <v>0</v>
      </c>
    </row>
    <row r="165" spans="1:7" hidden="1">
      <c r="A165" s="282" t="s">
        <v>685</v>
      </c>
      <c r="B165" s="275" t="s">
        <v>810</v>
      </c>
      <c r="C165" s="273" t="s">
        <v>811</v>
      </c>
      <c r="D165" s="285" t="s">
        <v>750</v>
      </c>
      <c r="E165" s="273">
        <v>30710177658</v>
      </c>
      <c r="F165" s="283">
        <v>700742.4</v>
      </c>
      <c r="G165" s="283">
        <v>0</v>
      </c>
    </row>
    <row r="166" spans="1:7" hidden="1">
      <c r="A166" s="282" t="s">
        <v>717</v>
      </c>
      <c r="B166" s="275" t="s">
        <v>889</v>
      </c>
      <c r="C166" s="273" t="s">
        <v>890</v>
      </c>
      <c r="D166" s="285" t="s">
        <v>750</v>
      </c>
      <c r="E166" s="273">
        <v>30710177658</v>
      </c>
      <c r="F166" s="283">
        <v>122080.32000000001</v>
      </c>
      <c r="G166" s="283">
        <v>0</v>
      </c>
    </row>
    <row r="167" spans="1:7" hidden="1">
      <c r="A167" s="282" t="s">
        <v>722</v>
      </c>
      <c r="B167" s="275" t="s">
        <v>905</v>
      </c>
      <c r="C167" s="273" t="s">
        <v>890</v>
      </c>
      <c r="D167" s="285" t="s">
        <v>750</v>
      </c>
      <c r="E167" s="273">
        <v>30710177658</v>
      </c>
      <c r="F167" s="283">
        <v>356854.44</v>
      </c>
      <c r="G167" s="283">
        <v>0</v>
      </c>
    </row>
    <row r="168" spans="1:7" hidden="1">
      <c r="A168" s="282" t="s">
        <v>723</v>
      </c>
      <c r="B168" s="275" t="s">
        <v>909</v>
      </c>
      <c r="C168" s="273" t="s">
        <v>811</v>
      </c>
      <c r="D168" s="285" t="s">
        <v>750</v>
      </c>
      <c r="E168" s="273">
        <v>30710177658</v>
      </c>
      <c r="F168" s="283">
        <v>682125</v>
      </c>
      <c r="G168" s="283">
        <v>0</v>
      </c>
    </row>
    <row r="169" spans="1:7" hidden="1">
      <c r="A169" s="274" t="s">
        <v>685</v>
      </c>
      <c r="B169" s="276">
        <v>54121</v>
      </c>
      <c r="C169" s="274" t="s">
        <v>686</v>
      </c>
      <c r="D169" s="286"/>
      <c r="E169" s="276">
        <v>30710177658</v>
      </c>
      <c r="F169" s="274">
        <v>700742.4</v>
      </c>
      <c r="G169" s="276">
        <v>0</v>
      </c>
    </row>
    <row r="170" spans="1:7" hidden="1">
      <c r="A170" s="274" t="s">
        <v>717</v>
      </c>
      <c r="B170" s="276">
        <v>54307</v>
      </c>
      <c r="C170" s="274" t="s">
        <v>686</v>
      </c>
      <c r="D170" s="286"/>
      <c r="E170" s="276">
        <v>30710177658</v>
      </c>
      <c r="F170" s="284">
        <v>122080.32000000001</v>
      </c>
      <c r="G170" s="276">
        <v>0</v>
      </c>
    </row>
    <row r="171" spans="1:7" hidden="1">
      <c r="A171" s="274" t="s">
        <v>722</v>
      </c>
      <c r="B171" s="276">
        <v>54346</v>
      </c>
      <c r="C171" s="274" t="s">
        <v>686</v>
      </c>
      <c r="D171" s="286"/>
      <c r="E171" s="276">
        <v>30710177658</v>
      </c>
      <c r="F171" s="284">
        <v>356854.44</v>
      </c>
      <c r="G171" s="276">
        <v>0</v>
      </c>
    </row>
    <row r="172" spans="1:7" hidden="1">
      <c r="A172" s="274" t="s">
        <v>723</v>
      </c>
      <c r="B172" s="276">
        <v>54365</v>
      </c>
      <c r="C172" s="274" t="s">
        <v>686</v>
      </c>
      <c r="D172" s="286"/>
      <c r="E172" s="276">
        <v>30710177658</v>
      </c>
      <c r="F172" s="276">
        <v>682125</v>
      </c>
      <c r="G172" s="276">
        <v>0</v>
      </c>
    </row>
    <row r="173" spans="1:7" hidden="1">
      <c r="A173" s="282" t="s">
        <v>687</v>
      </c>
      <c r="B173" s="275" t="s">
        <v>819</v>
      </c>
      <c r="C173" s="273" t="s">
        <v>820</v>
      </c>
      <c r="D173" s="285" t="s">
        <v>750</v>
      </c>
      <c r="E173" s="273">
        <v>30710804830</v>
      </c>
      <c r="F173" s="283">
        <v>29410.86</v>
      </c>
      <c r="G173" s="283">
        <v>0</v>
      </c>
    </row>
    <row r="174" spans="1:7" hidden="1">
      <c r="A174" s="274" t="s">
        <v>687</v>
      </c>
      <c r="B174" s="276">
        <v>31858</v>
      </c>
      <c r="C174" s="274" t="s">
        <v>689</v>
      </c>
      <c r="D174" s="286"/>
      <c r="E174" s="276">
        <v>30710804830</v>
      </c>
      <c r="F174" s="284">
        <v>29410.86</v>
      </c>
      <c r="G174" s="276">
        <v>0</v>
      </c>
    </row>
    <row r="175" spans="1:7" hidden="1">
      <c r="A175" s="282" t="s">
        <v>717</v>
      </c>
      <c r="B175" s="275" t="s">
        <v>891</v>
      </c>
      <c r="C175" s="273" t="s">
        <v>892</v>
      </c>
      <c r="D175" s="285" t="s">
        <v>750</v>
      </c>
      <c r="E175" s="273">
        <v>30711553564</v>
      </c>
      <c r="F175" s="283">
        <v>999126</v>
      </c>
      <c r="G175" s="283">
        <v>0</v>
      </c>
    </row>
    <row r="176" spans="1:7" hidden="1">
      <c r="A176" s="274" t="s">
        <v>717</v>
      </c>
      <c r="B176" s="276">
        <v>85435</v>
      </c>
      <c r="C176" s="274" t="s">
        <v>236</v>
      </c>
      <c r="D176" s="286"/>
      <c r="E176" s="276">
        <v>30711553564</v>
      </c>
      <c r="F176" s="276">
        <v>999126</v>
      </c>
      <c r="G176" s="276">
        <v>0</v>
      </c>
    </row>
    <row r="177" spans="1:7" hidden="1">
      <c r="A177" s="282" t="s">
        <v>659</v>
      </c>
      <c r="B177" s="275" t="s">
        <v>772</v>
      </c>
      <c r="C177" s="273" t="s">
        <v>773</v>
      </c>
      <c r="D177" s="285" t="s">
        <v>750</v>
      </c>
      <c r="E177" s="273">
        <v>30711764921</v>
      </c>
      <c r="F177" s="283">
        <v>93973</v>
      </c>
      <c r="G177" s="283">
        <v>0</v>
      </c>
    </row>
    <row r="178" spans="1:7" hidden="1">
      <c r="A178" s="282" t="s">
        <v>672</v>
      </c>
      <c r="B178" s="275" t="s">
        <v>790</v>
      </c>
      <c r="C178" s="273" t="s">
        <v>773</v>
      </c>
      <c r="D178" s="285" t="s">
        <v>750</v>
      </c>
      <c r="E178" s="273">
        <v>30711764921</v>
      </c>
      <c r="F178" s="283">
        <v>527580</v>
      </c>
      <c r="G178" s="283">
        <v>0</v>
      </c>
    </row>
    <row r="179" spans="1:7" hidden="1">
      <c r="A179" s="282" t="s">
        <v>713</v>
      </c>
      <c r="B179" s="275" t="s">
        <v>883</v>
      </c>
      <c r="C179" s="273" t="s">
        <v>773</v>
      </c>
      <c r="D179" s="285" t="s">
        <v>750</v>
      </c>
      <c r="E179" s="273">
        <v>30711764921</v>
      </c>
      <c r="F179" s="283">
        <v>21394</v>
      </c>
      <c r="G179" s="283">
        <v>0</v>
      </c>
    </row>
    <row r="180" spans="1:7" hidden="1">
      <c r="A180" s="274" t="s">
        <v>659</v>
      </c>
      <c r="B180" s="276">
        <v>2245</v>
      </c>
      <c r="C180" s="274" t="s">
        <v>663</v>
      </c>
      <c r="D180" s="286"/>
      <c r="E180" s="276">
        <v>30711764921</v>
      </c>
      <c r="F180" s="276">
        <v>93973</v>
      </c>
      <c r="G180" s="276">
        <v>0</v>
      </c>
    </row>
    <row r="181" spans="1:7" hidden="1">
      <c r="A181" s="274" t="s">
        <v>672</v>
      </c>
      <c r="B181" s="276">
        <v>2255</v>
      </c>
      <c r="C181" s="274" t="s">
        <v>663</v>
      </c>
      <c r="D181" s="286"/>
      <c r="E181" s="276">
        <v>30711764921</v>
      </c>
      <c r="F181" s="276">
        <v>527580</v>
      </c>
      <c r="G181" s="276">
        <v>0</v>
      </c>
    </row>
    <row r="182" spans="1:7" hidden="1">
      <c r="A182" s="274" t="s">
        <v>713</v>
      </c>
      <c r="B182" s="276">
        <v>2312</v>
      </c>
      <c r="C182" s="274" t="s">
        <v>663</v>
      </c>
      <c r="D182" s="286"/>
      <c r="E182" s="276">
        <v>30711764921</v>
      </c>
      <c r="F182" s="276">
        <v>21394</v>
      </c>
      <c r="G182" s="276">
        <v>0</v>
      </c>
    </row>
    <row r="183" spans="1:7" hidden="1">
      <c r="A183" s="282" t="s">
        <v>717</v>
      </c>
      <c r="B183" s="275" t="s">
        <v>893</v>
      </c>
      <c r="C183" s="273" t="s">
        <v>894</v>
      </c>
      <c r="D183" s="285" t="s">
        <v>750</v>
      </c>
      <c r="E183" s="273">
        <v>30712155694</v>
      </c>
      <c r="F183" s="283">
        <v>24285.71</v>
      </c>
      <c r="G183" s="283">
        <v>0</v>
      </c>
    </row>
    <row r="184" spans="1:7" hidden="1">
      <c r="A184" s="282" t="s">
        <v>685</v>
      </c>
      <c r="B184" s="275" t="s">
        <v>808</v>
      </c>
      <c r="C184" s="273" t="s">
        <v>809</v>
      </c>
      <c r="D184" s="285" t="s">
        <v>750</v>
      </c>
      <c r="E184" s="273">
        <v>30712187316</v>
      </c>
      <c r="F184" s="283">
        <v>265780.37</v>
      </c>
      <c r="G184" s="283">
        <v>0</v>
      </c>
    </row>
    <row r="185" spans="1:7" hidden="1">
      <c r="A185" s="282" t="s">
        <v>696</v>
      </c>
      <c r="B185" s="275" t="s">
        <v>832</v>
      </c>
      <c r="C185" s="273" t="s">
        <v>809</v>
      </c>
      <c r="D185" s="285" t="s">
        <v>750</v>
      </c>
      <c r="E185" s="273">
        <v>30712187316</v>
      </c>
      <c r="F185" s="283">
        <v>254033.05</v>
      </c>
      <c r="G185" s="283">
        <v>0</v>
      </c>
    </row>
    <row r="186" spans="1:7" hidden="1">
      <c r="A186" s="282" t="s">
        <v>696</v>
      </c>
      <c r="B186" s="275" t="s">
        <v>833</v>
      </c>
      <c r="C186" s="273" t="s">
        <v>809</v>
      </c>
      <c r="D186" s="285" t="s">
        <v>750</v>
      </c>
      <c r="E186" s="273">
        <v>30712187316</v>
      </c>
      <c r="F186" s="283">
        <v>472751.65</v>
      </c>
      <c r="G186" s="283">
        <v>0</v>
      </c>
    </row>
    <row r="187" spans="1:7" hidden="1">
      <c r="A187" s="282" t="s">
        <v>698</v>
      </c>
      <c r="B187" s="275" t="s">
        <v>847</v>
      </c>
      <c r="C187" s="273" t="s">
        <v>809</v>
      </c>
      <c r="D187" s="285" t="s">
        <v>750</v>
      </c>
      <c r="E187" s="273">
        <v>30712187316</v>
      </c>
      <c r="F187" s="283">
        <v>34718.6</v>
      </c>
      <c r="G187" s="283">
        <v>0</v>
      </c>
    </row>
    <row r="188" spans="1:7" hidden="1">
      <c r="A188" s="282" t="s">
        <v>713</v>
      </c>
      <c r="B188" s="275" t="s">
        <v>881</v>
      </c>
      <c r="C188" s="273" t="s">
        <v>809</v>
      </c>
      <c r="D188" s="285" t="s">
        <v>750</v>
      </c>
      <c r="E188" s="273">
        <v>30712187316</v>
      </c>
      <c r="F188" s="283">
        <v>213988.29</v>
      </c>
      <c r="G188" s="283">
        <v>0</v>
      </c>
    </row>
    <row r="189" spans="1:7" hidden="1">
      <c r="A189" s="274" t="s">
        <v>679</v>
      </c>
      <c r="B189" s="276">
        <v>1901</v>
      </c>
      <c r="C189" s="274" t="s">
        <v>68</v>
      </c>
      <c r="D189" s="286"/>
      <c r="E189" s="276">
        <v>30712187316</v>
      </c>
      <c r="F189" s="284">
        <v>293619.94</v>
      </c>
      <c r="G189" s="276">
        <v>0</v>
      </c>
    </row>
    <row r="190" spans="1:7" hidden="1">
      <c r="A190" s="274" t="s">
        <v>685</v>
      </c>
      <c r="B190" s="276">
        <v>1908</v>
      </c>
      <c r="C190" s="274" t="s">
        <v>68</v>
      </c>
      <c r="D190" s="286"/>
      <c r="E190" s="276">
        <v>30712187316</v>
      </c>
      <c r="F190" s="284">
        <v>265780.37</v>
      </c>
      <c r="G190" s="276">
        <v>0</v>
      </c>
    </row>
    <row r="191" spans="1:7" hidden="1">
      <c r="A191" s="274" t="s">
        <v>685</v>
      </c>
      <c r="B191" s="276">
        <v>192</v>
      </c>
      <c r="C191" s="274" t="s">
        <v>68</v>
      </c>
      <c r="D191" s="286"/>
      <c r="E191" s="276">
        <v>30712187316</v>
      </c>
      <c r="F191" s="284">
        <v>-293619.94</v>
      </c>
      <c r="G191" s="276">
        <v>0</v>
      </c>
    </row>
    <row r="192" spans="1:7" hidden="1">
      <c r="A192" s="274" t="s">
        <v>696</v>
      </c>
      <c r="B192" s="276">
        <v>1915</v>
      </c>
      <c r="C192" s="274" t="s">
        <v>68</v>
      </c>
      <c r="D192" s="286"/>
      <c r="E192" s="276">
        <v>30712187316</v>
      </c>
      <c r="F192" s="284">
        <v>254033.05</v>
      </c>
      <c r="G192" s="276">
        <v>0</v>
      </c>
    </row>
    <row r="193" spans="1:7" hidden="1">
      <c r="A193" s="274" t="s">
        <v>696</v>
      </c>
      <c r="B193" s="276">
        <v>1916</v>
      </c>
      <c r="C193" s="274" t="s">
        <v>68</v>
      </c>
      <c r="D193" s="286"/>
      <c r="E193" s="276">
        <v>30712187316</v>
      </c>
      <c r="F193" s="284">
        <v>472751.65</v>
      </c>
      <c r="G193" s="276">
        <v>0</v>
      </c>
    </row>
    <row r="194" spans="1:7" hidden="1">
      <c r="A194" s="274" t="s">
        <v>698</v>
      </c>
      <c r="B194" s="276">
        <v>1920</v>
      </c>
      <c r="C194" s="274" t="s">
        <v>68</v>
      </c>
      <c r="D194" s="286"/>
      <c r="E194" s="276">
        <v>30712187316</v>
      </c>
      <c r="F194" s="274">
        <v>34718.6</v>
      </c>
      <c r="G194" s="276">
        <v>0</v>
      </c>
    </row>
    <row r="195" spans="1:7" hidden="1">
      <c r="A195" s="274" t="s">
        <v>713</v>
      </c>
      <c r="B195" s="276">
        <v>1937</v>
      </c>
      <c r="C195" s="274" t="s">
        <v>68</v>
      </c>
      <c r="D195" s="286"/>
      <c r="E195" s="276">
        <v>30712187316</v>
      </c>
      <c r="F195" s="284">
        <v>213988.29</v>
      </c>
      <c r="G195" s="276">
        <v>0</v>
      </c>
    </row>
    <row r="196" spans="1:7" hidden="1">
      <c r="A196" s="282" t="s">
        <v>727</v>
      </c>
      <c r="B196" s="275" t="s">
        <v>917</v>
      </c>
      <c r="C196" s="273" t="s">
        <v>918</v>
      </c>
      <c r="D196" s="285" t="s">
        <v>750</v>
      </c>
      <c r="E196" s="273">
        <v>30714333093</v>
      </c>
      <c r="F196" s="283">
        <v>61652.89</v>
      </c>
      <c r="G196" s="283">
        <v>0</v>
      </c>
    </row>
    <row r="197" spans="1:7" hidden="1">
      <c r="A197" s="282" t="s">
        <v>729</v>
      </c>
      <c r="B197" s="275" t="s">
        <v>919</v>
      </c>
      <c r="C197" s="273" t="s">
        <v>920</v>
      </c>
      <c r="D197" s="285" t="s">
        <v>750</v>
      </c>
      <c r="E197" s="273">
        <v>30714333093</v>
      </c>
      <c r="F197" s="283">
        <v>63139.65</v>
      </c>
      <c r="G197" s="283">
        <v>0</v>
      </c>
    </row>
    <row r="198" spans="1:7" hidden="1">
      <c r="A198" s="282" t="s">
        <v>659</v>
      </c>
      <c r="B198" s="275" t="s">
        <v>760</v>
      </c>
      <c r="C198" s="273" t="s">
        <v>761</v>
      </c>
      <c r="D198" s="285" t="s">
        <v>750</v>
      </c>
      <c r="E198" s="273">
        <v>30715141201</v>
      </c>
      <c r="F198" s="283">
        <v>1216380</v>
      </c>
      <c r="G198" s="283">
        <v>0</v>
      </c>
    </row>
    <row r="199" spans="1:7" hidden="1">
      <c r="A199" s="282" t="s">
        <v>698</v>
      </c>
      <c r="B199" s="275" t="s">
        <v>838</v>
      </c>
      <c r="C199" s="273" t="s">
        <v>761</v>
      </c>
      <c r="D199" s="285" t="s">
        <v>750</v>
      </c>
      <c r="E199" s="273">
        <v>30715141201</v>
      </c>
      <c r="F199" s="283">
        <v>3648847.5</v>
      </c>
      <c r="G199" s="283">
        <v>0</v>
      </c>
    </row>
    <row r="200" spans="1:7" hidden="1">
      <c r="A200" s="282" t="s">
        <v>698</v>
      </c>
      <c r="B200" s="275" t="s">
        <v>839</v>
      </c>
      <c r="C200" s="273" t="s">
        <v>761</v>
      </c>
      <c r="D200" s="285" t="s">
        <v>750</v>
      </c>
      <c r="E200" s="273">
        <v>30715141201</v>
      </c>
      <c r="F200" s="283">
        <v>29295</v>
      </c>
      <c r="G200" s="283">
        <v>0</v>
      </c>
    </row>
    <row r="201" spans="1:7" hidden="1">
      <c r="A201" s="274" t="s">
        <v>659</v>
      </c>
      <c r="B201" s="276">
        <v>4517</v>
      </c>
      <c r="C201" s="274" t="s">
        <v>661</v>
      </c>
      <c r="D201" s="286"/>
      <c r="E201" s="276">
        <v>30715141201</v>
      </c>
      <c r="F201" s="276">
        <v>1216380</v>
      </c>
      <c r="G201" s="276">
        <v>0</v>
      </c>
    </row>
    <row r="202" spans="1:7" hidden="1">
      <c r="A202" s="274" t="s">
        <v>698</v>
      </c>
      <c r="B202" s="276">
        <v>4620</v>
      </c>
      <c r="C202" s="274" t="s">
        <v>661</v>
      </c>
      <c r="D202" s="286"/>
      <c r="E202" s="276">
        <v>30715141201</v>
      </c>
      <c r="F202" s="276">
        <v>29295</v>
      </c>
      <c r="G202" s="276">
        <v>0</v>
      </c>
    </row>
    <row r="203" spans="1:7" hidden="1">
      <c r="A203" s="274" t="s">
        <v>698</v>
      </c>
      <c r="B203" s="276">
        <v>4613</v>
      </c>
      <c r="C203" s="274" t="s">
        <v>661</v>
      </c>
      <c r="D203" s="286"/>
      <c r="E203" s="276">
        <v>30715141201</v>
      </c>
      <c r="F203" s="274">
        <v>3648847.5</v>
      </c>
      <c r="G203" s="276">
        <v>0</v>
      </c>
    </row>
    <row r="204" spans="1:7" hidden="1">
      <c r="A204" s="282" t="s">
        <v>707</v>
      </c>
      <c r="B204" s="275" t="s">
        <v>857</v>
      </c>
      <c r="C204" s="273" t="s">
        <v>858</v>
      </c>
      <c r="D204" s="285" t="s">
        <v>750</v>
      </c>
      <c r="E204" s="273">
        <v>30715630040</v>
      </c>
      <c r="F204" s="283">
        <v>3517469.41</v>
      </c>
      <c r="G204" s="283">
        <v>0</v>
      </c>
    </row>
    <row r="205" spans="1:7" hidden="1">
      <c r="A205" s="274" t="s">
        <v>707</v>
      </c>
      <c r="B205" s="276">
        <v>524</v>
      </c>
      <c r="C205" s="274" t="s">
        <v>708</v>
      </c>
      <c r="D205" s="286"/>
      <c r="E205" s="276">
        <v>30715630040</v>
      </c>
      <c r="F205" s="284">
        <v>3517469.42</v>
      </c>
      <c r="G205" s="276">
        <v>0</v>
      </c>
    </row>
    <row r="206" spans="1:7" hidden="1">
      <c r="A206" s="282" t="s">
        <v>747</v>
      </c>
      <c r="B206" s="275" t="s">
        <v>748</v>
      </c>
      <c r="C206" s="273" t="s">
        <v>749</v>
      </c>
      <c r="D206" s="285" t="s">
        <v>750</v>
      </c>
      <c r="E206" s="273">
        <v>30715804812</v>
      </c>
      <c r="F206" s="283">
        <v>867.94</v>
      </c>
      <c r="G206" s="283">
        <v>0</v>
      </c>
    </row>
    <row r="207" spans="1:7" hidden="1">
      <c r="A207" s="282" t="s">
        <v>679</v>
      </c>
      <c r="B207" s="275" t="s">
        <v>803</v>
      </c>
      <c r="C207" s="273" t="s">
        <v>749</v>
      </c>
      <c r="D207" s="285" t="s">
        <v>750</v>
      </c>
      <c r="E207" s="273">
        <v>30715804812</v>
      </c>
      <c r="F207" s="283">
        <v>3818.92</v>
      </c>
      <c r="G207" s="283">
        <v>0</v>
      </c>
    </row>
    <row r="208" spans="1:7" hidden="1">
      <c r="A208" s="282" t="s">
        <v>717</v>
      </c>
      <c r="B208" s="275" t="s">
        <v>895</v>
      </c>
      <c r="C208" s="273" t="s">
        <v>749</v>
      </c>
      <c r="D208" s="285" t="s">
        <v>750</v>
      </c>
      <c r="E208" s="273">
        <v>30715804812</v>
      </c>
      <c r="F208" s="283">
        <v>6246.93</v>
      </c>
      <c r="G208" s="283">
        <v>0</v>
      </c>
    </row>
    <row r="209" spans="1:7" hidden="1">
      <c r="A209" s="274" t="s">
        <v>679</v>
      </c>
      <c r="B209" s="276">
        <v>1905419</v>
      </c>
      <c r="C209" s="274" t="s">
        <v>681</v>
      </c>
      <c r="D209" s="286"/>
      <c r="E209" s="276">
        <v>30715804812</v>
      </c>
      <c r="F209" s="284">
        <v>3818.92</v>
      </c>
      <c r="G209" s="276">
        <v>0</v>
      </c>
    </row>
    <row r="210" spans="1:7">
      <c r="A210" s="277" t="s">
        <v>701</v>
      </c>
      <c r="B210" s="278">
        <v>6699395</v>
      </c>
      <c r="C210" s="277" t="s">
        <v>681</v>
      </c>
      <c r="D210" s="280"/>
      <c r="E210" s="278">
        <v>30715804812</v>
      </c>
      <c r="F210" s="277">
        <v>1675.3</v>
      </c>
      <c r="G210" s="278">
        <v>0</v>
      </c>
    </row>
    <row r="211" spans="1:7" hidden="1">
      <c r="A211" s="274" t="s">
        <v>717</v>
      </c>
      <c r="B211" s="276">
        <v>1936359</v>
      </c>
      <c r="C211" s="274" t="s">
        <v>681</v>
      </c>
      <c r="D211" s="286"/>
      <c r="E211" s="276">
        <v>30715804812</v>
      </c>
      <c r="F211" s="284">
        <v>6246.93</v>
      </c>
      <c r="G211" s="276">
        <v>0</v>
      </c>
    </row>
    <row r="212" spans="1:7">
      <c r="A212" s="277" t="s">
        <v>717</v>
      </c>
      <c r="B212" s="278">
        <v>1936360</v>
      </c>
      <c r="C212" s="277" t="s">
        <v>681</v>
      </c>
      <c r="D212" s="280"/>
      <c r="E212" s="278">
        <v>30715804812</v>
      </c>
      <c r="F212" s="281">
        <v>728.62</v>
      </c>
      <c r="G212" s="278">
        <v>0</v>
      </c>
    </row>
    <row r="213" spans="1:7" hidden="1">
      <c r="A213" s="282" t="s">
        <v>676</v>
      </c>
      <c r="B213" s="275" t="s">
        <v>796</v>
      </c>
      <c r="C213" s="273" t="s">
        <v>797</v>
      </c>
      <c r="D213" s="285" t="s">
        <v>750</v>
      </c>
      <c r="E213" s="273">
        <v>30715833243</v>
      </c>
      <c r="F213" s="283">
        <v>205349.64</v>
      </c>
      <c r="G213" s="283">
        <v>0</v>
      </c>
    </row>
    <row r="214" spans="1:7" hidden="1">
      <c r="A214" s="282" t="s">
        <v>676</v>
      </c>
      <c r="B214" s="275" t="s">
        <v>798</v>
      </c>
      <c r="C214" s="273" t="s">
        <v>797</v>
      </c>
      <c r="D214" s="285" t="s">
        <v>750</v>
      </c>
      <c r="E214" s="273">
        <v>30715833243</v>
      </c>
      <c r="F214" s="283">
        <v>44477.18</v>
      </c>
      <c r="G214" s="283">
        <v>0</v>
      </c>
    </row>
    <row r="215" spans="1:7" hidden="1">
      <c r="A215" s="274" t="s">
        <v>676</v>
      </c>
      <c r="B215" s="276">
        <v>5331</v>
      </c>
      <c r="C215" s="274" t="s">
        <v>677</v>
      </c>
      <c r="D215" s="286"/>
      <c r="E215" s="276">
        <v>30715833243</v>
      </c>
      <c r="F215" s="284">
        <v>22238.59</v>
      </c>
      <c r="G215" s="276">
        <v>0</v>
      </c>
    </row>
    <row r="216" spans="1:7" hidden="1">
      <c r="A216" s="274" t="s">
        <v>676</v>
      </c>
      <c r="B216" s="276">
        <v>5332</v>
      </c>
      <c r="C216" s="274" t="s">
        <v>677</v>
      </c>
      <c r="D216" s="286"/>
      <c r="E216" s="276">
        <v>30715833243</v>
      </c>
      <c r="F216" s="284">
        <v>44477.18</v>
      </c>
      <c r="G216" s="276">
        <v>0</v>
      </c>
    </row>
    <row r="217" spans="1:7" hidden="1">
      <c r="A217" s="274" t="s">
        <v>676</v>
      </c>
      <c r="B217" s="276">
        <v>5328</v>
      </c>
      <c r="C217" s="274" t="s">
        <v>677</v>
      </c>
      <c r="D217" s="286"/>
      <c r="E217" s="276">
        <v>30715833243</v>
      </c>
      <c r="F217" s="284">
        <v>205349.64</v>
      </c>
      <c r="G217" s="276">
        <v>0</v>
      </c>
    </row>
    <row r="218" spans="1:7" hidden="1">
      <c r="A218" s="274" t="s">
        <v>676</v>
      </c>
      <c r="B218" s="276">
        <v>803</v>
      </c>
      <c r="C218" s="274" t="s">
        <v>677</v>
      </c>
      <c r="D218" s="286"/>
      <c r="E218" s="276">
        <v>30715833243</v>
      </c>
      <c r="F218" s="284">
        <v>22238.59</v>
      </c>
      <c r="G218" s="276">
        <v>0</v>
      </c>
    </row>
    <row r="219" spans="1:7" hidden="1">
      <c r="A219" s="282" t="s">
        <v>672</v>
      </c>
      <c r="B219" s="275" t="s">
        <v>794</v>
      </c>
      <c r="C219" s="273" t="s">
        <v>795</v>
      </c>
      <c r="D219" s="285" t="s">
        <v>750</v>
      </c>
      <c r="E219" s="273">
        <v>30716234114</v>
      </c>
      <c r="F219" s="283">
        <v>168736.5</v>
      </c>
      <c r="G219" s="283">
        <v>0</v>
      </c>
    </row>
    <row r="220" spans="1:7" hidden="1">
      <c r="A220" s="274" t="s">
        <v>672</v>
      </c>
      <c r="B220" s="276">
        <v>66</v>
      </c>
      <c r="C220" s="274" t="s">
        <v>674</v>
      </c>
      <c r="D220" s="286"/>
      <c r="E220" s="276">
        <v>30716234114</v>
      </c>
      <c r="F220" s="274">
        <v>129.30000000000001</v>
      </c>
      <c r="G220" s="276">
        <v>0</v>
      </c>
    </row>
    <row r="221" spans="1:7" hidden="1">
      <c r="A221" s="282" t="s">
        <v>704</v>
      </c>
      <c r="B221" s="275" t="s">
        <v>851</v>
      </c>
      <c r="C221" s="273" t="s">
        <v>852</v>
      </c>
      <c r="D221" s="285" t="s">
        <v>750</v>
      </c>
      <c r="E221" s="273">
        <v>30716425165</v>
      </c>
      <c r="F221" s="283">
        <v>13842.98</v>
      </c>
      <c r="G221" s="283">
        <v>0</v>
      </c>
    </row>
    <row r="222" spans="1:7" hidden="1">
      <c r="A222" s="274" t="s">
        <v>704</v>
      </c>
      <c r="B222" s="276">
        <v>72231</v>
      </c>
      <c r="C222" s="274" t="s">
        <v>706</v>
      </c>
      <c r="D222" s="286"/>
      <c r="E222" s="276">
        <v>30716425165</v>
      </c>
      <c r="F222" s="284">
        <v>13842.98</v>
      </c>
      <c r="G222" s="276">
        <v>0</v>
      </c>
    </row>
    <row r="223" spans="1:7" hidden="1">
      <c r="A223" s="282" t="s">
        <v>711</v>
      </c>
      <c r="B223" s="275" t="s">
        <v>873</v>
      </c>
      <c r="C223" s="273" t="s">
        <v>874</v>
      </c>
      <c r="D223" s="285" t="s">
        <v>750</v>
      </c>
      <c r="E223" s="273">
        <v>30716815710</v>
      </c>
      <c r="F223" s="283">
        <v>8500</v>
      </c>
      <c r="G223" s="283">
        <v>0</v>
      </c>
    </row>
    <row r="224" spans="1:7" hidden="1">
      <c r="A224" s="282" t="s">
        <v>692</v>
      </c>
      <c r="B224" s="275" t="s">
        <v>824</v>
      </c>
      <c r="C224" s="273" t="s">
        <v>825</v>
      </c>
      <c r="D224" s="285" t="s">
        <v>750</v>
      </c>
      <c r="E224" s="273">
        <v>30717179389</v>
      </c>
      <c r="F224" s="283">
        <v>82644.62</v>
      </c>
      <c r="G224" s="283">
        <v>0</v>
      </c>
    </row>
    <row r="225" spans="1:7" hidden="1">
      <c r="A225" s="274" t="s">
        <v>692</v>
      </c>
      <c r="B225" s="276">
        <v>2468</v>
      </c>
      <c r="C225" s="274" t="s">
        <v>693</v>
      </c>
      <c r="D225" s="286"/>
      <c r="E225" s="276">
        <v>30717179389</v>
      </c>
      <c r="F225" s="284">
        <v>82644.62</v>
      </c>
      <c r="G225" s="276">
        <v>0</v>
      </c>
    </row>
    <row r="226" spans="1:7">
      <c r="A226" s="277" t="s">
        <v>692</v>
      </c>
      <c r="B226" s="278">
        <v>3378</v>
      </c>
      <c r="C226" s="277" t="s">
        <v>693</v>
      </c>
      <c r="D226" s="280"/>
      <c r="E226" s="278">
        <v>30717179389</v>
      </c>
      <c r="F226" s="281">
        <v>82644.63</v>
      </c>
      <c r="G226" s="278">
        <v>0</v>
      </c>
    </row>
    <row r="227" spans="1:7" hidden="1">
      <c r="A227" s="282" t="s">
        <v>668</v>
      </c>
      <c r="B227" s="275" t="s">
        <v>784</v>
      </c>
      <c r="C227" s="273" t="s">
        <v>785</v>
      </c>
      <c r="D227" s="285" t="s">
        <v>750</v>
      </c>
      <c r="E227" s="273">
        <v>33699685459</v>
      </c>
      <c r="F227" s="283">
        <v>12449.6</v>
      </c>
      <c r="G227" s="283">
        <v>0</v>
      </c>
    </row>
    <row r="228" spans="1:7" hidden="1">
      <c r="A228" s="274" t="s">
        <v>668</v>
      </c>
      <c r="B228" s="276">
        <v>1369</v>
      </c>
      <c r="C228" s="274" t="s">
        <v>332</v>
      </c>
      <c r="D228" s="286"/>
      <c r="E228" s="276">
        <v>33699685459</v>
      </c>
      <c r="F228" s="274">
        <v>12449.6</v>
      </c>
      <c r="G228" s="276">
        <v>0</v>
      </c>
    </row>
    <row r="229" spans="1:7" hidden="1">
      <c r="A229" s="282" t="s">
        <v>692</v>
      </c>
      <c r="B229" s="275" t="s">
        <v>826</v>
      </c>
      <c r="C229" s="273" t="s">
        <v>827</v>
      </c>
      <c r="D229" s="285" t="s">
        <v>750</v>
      </c>
      <c r="E229" s="273">
        <v>33708218699</v>
      </c>
      <c r="F229" s="283">
        <v>15000</v>
      </c>
      <c r="G229" s="283">
        <v>0</v>
      </c>
    </row>
    <row r="230" spans="1:7" hidden="1">
      <c r="A230" s="274" t="s">
        <v>692</v>
      </c>
      <c r="B230" s="276">
        <v>7676</v>
      </c>
      <c r="C230" s="274" t="s">
        <v>694</v>
      </c>
      <c r="D230" s="286"/>
      <c r="E230" s="276">
        <v>33708218699</v>
      </c>
      <c r="F230" s="276">
        <v>15000</v>
      </c>
      <c r="G230" s="276">
        <v>0</v>
      </c>
    </row>
    <row r="231" spans="1:7" hidden="1">
      <c r="A231" s="282" t="s">
        <v>722</v>
      </c>
      <c r="B231" s="275" t="s">
        <v>903</v>
      </c>
      <c r="C231" s="273" t="s">
        <v>904</v>
      </c>
      <c r="D231" s="285" t="s">
        <v>750</v>
      </c>
      <c r="E231" s="273">
        <v>33709738459</v>
      </c>
      <c r="F231" s="283">
        <v>655324.52</v>
      </c>
      <c r="G231" s="283">
        <v>0</v>
      </c>
    </row>
    <row r="232" spans="1:7" hidden="1">
      <c r="A232" s="274" t="s">
        <v>722</v>
      </c>
      <c r="B232" s="276">
        <v>71892</v>
      </c>
      <c r="C232" s="274" t="s">
        <v>62</v>
      </c>
      <c r="D232" s="286"/>
      <c r="E232" s="276">
        <v>33709738459</v>
      </c>
      <c r="F232" s="284">
        <v>655324.52</v>
      </c>
      <c r="G232" s="276">
        <v>0</v>
      </c>
    </row>
    <row r="233" spans="1:7" hidden="1">
      <c r="A233" s="282" t="s">
        <v>679</v>
      </c>
      <c r="B233" s="275" t="s">
        <v>801</v>
      </c>
      <c r="C233" s="273" t="s">
        <v>802</v>
      </c>
      <c r="D233" s="285" t="s">
        <v>750</v>
      </c>
      <c r="E233" s="273">
        <v>33712276539</v>
      </c>
      <c r="F233" s="283">
        <v>71863.31</v>
      </c>
      <c r="G233" s="283">
        <v>0</v>
      </c>
    </row>
    <row r="234" spans="1:7" hidden="1">
      <c r="A234" s="282" t="s">
        <v>731</v>
      </c>
      <c r="B234" s="275" t="s">
        <v>923</v>
      </c>
      <c r="C234" s="273" t="s">
        <v>724</v>
      </c>
      <c r="D234" s="285" t="s">
        <v>750</v>
      </c>
      <c r="E234" s="273">
        <v>33715005129</v>
      </c>
      <c r="F234" s="283">
        <v>51074.38</v>
      </c>
      <c r="G234" s="283">
        <v>0</v>
      </c>
    </row>
    <row r="235" spans="1:7" hidden="1">
      <c r="A235" s="274" t="s">
        <v>723</v>
      </c>
      <c r="B235" s="276">
        <v>751</v>
      </c>
      <c r="C235" s="274" t="s">
        <v>724</v>
      </c>
      <c r="D235" s="286"/>
      <c r="E235" s="276">
        <v>33715005129</v>
      </c>
      <c r="F235" s="284">
        <v>51074.38</v>
      </c>
      <c r="G235" s="276">
        <v>0</v>
      </c>
    </row>
    <row r="236" spans="1:7" hidden="1">
      <c r="A236" s="282" t="s">
        <v>696</v>
      </c>
      <c r="B236" s="275" t="s">
        <v>834</v>
      </c>
      <c r="C236" s="273" t="s">
        <v>835</v>
      </c>
      <c r="D236" s="285" t="s">
        <v>750</v>
      </c>
      <c r="E236" s="273">
        <v>33715594949</v>
      </c>
      <c r="F236" s="283">
        <v>56204.800000000003</v>
      </c>
      <c r="G236" s="283">
        <v>0</v>
      </c>
    </row>
    <row r="237" spans="1:7" hidden="1">
      <c r="A237" s="282" t="s">
        <v>710</v>
      </c>
      <c r="B237" s="275" t="s">
        <v>869</v>
      </c>
      <c r="C237" s="273" t="s">
        <v>835</v>
      </c>
      <c r="D237" s="285" t="s">
        <v>750</v>
      </c>
      <c r="E237" s="273">
        <v>33715594949</v>
      </c>
      <c r="F237" s="283">
        <v>71317.95</v>
      </c>
      <c r="G237" s="283">
        <v>0</v>
      </c>
    </row>
    <row r="238" spans="1:7" hidden="1">
      <c r="A238" s="282" t="s">
        <v>717</v>
      </c>
      <c r="B238" s="275" t="s">
        <v>888</v>
      </c>
      <c r="C238" s="273" t="s">
        <v>835</v>
      </c>
      <c r="D238" s="285" t="s">
        <v>750</v>
      </c>
      <c r="E238" s="273">
        <v>33715594949</v>
      </c>
      <c r="F238" s="283">
        <v>59235.76</v>
      </c>
      <c r="G238" s="283">
        <v>0</v>
      </c>
    </row>
    <row r="239" spans="1:7" hidden="1">
      <c r="A239" s="282" t="s">
        <v>723</v>
      </c>
      <c r="B239" s="275" t="s">
        <v>911</v>
      </c>
      <c r="C239" s="273" t="s">
        <v>835</v>
      </c>
      <c r="D239" s="285" t="s">
        <v>750</v>
      </c>
      <c r="E239" s="273">
        <v>33715594949</v>
      </c>
      <c r="F239" s="283">
        <v>89089.35</v>
      </c>
      <c r="G239" s="283">
        <v>0</v>
      </c>
    </row>
    <row r="240" spans="1:7" hidden="1">
      <c r="A240" s="274" t="s">
        <v>731</v>
      </c>
      <c r="B240" s="276">
        <v>591606</v>
      </c>
      <c r="C240" s="274" t="s">
        <v>734</v>
      </c>
      <c r="D240" s="286"/>
      <c r="E240" s="276">
        <v>33716307749</v>
      </c>
      <c r="F240" s="276">
        <v>318999</v>
      </c>
      <c r="G240" s="276">
        <v>0</v>
      </c>
    </row>
  </sheetData>
  <autoFilter ref="A4:G240">
    <filterColumn colId="2">
      <colorFilter dxfId="0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08"/>
  <sheetViews>
    <sheetView topLeftCell="I1" workbookViewId="0">
      <selection activeCell="Q508" sqref="A6:Q508"/>
    </sheetView>
  </sheetViews>
  <sheetFormatPr baseColWidth="10" defaultRowHeight="15"/>
  <cols>
    <col min="1" max="1" width="13" customWidth="1"/>
    <col min="2" max="2" width="28.28515625" customWidth="1"/>
    <col min="3" max="3" width="8" customWidth="1"/>
    <col min="4" max="4" width="7.7109375" customWidth="1"/>
    <col min="5" max="5" width="4.7109375" customWidth="1"/>
    <col min="6" max="6" width="19" bestFit="1" customWidth="1"/>
    <col min="7" max="7" width="9.140625" customWidth="1"/>
    <col min="8" max="8" width="12.85546875" customWidth="1"/>
    <col min="9" max="9" width="39.85546875" customWidth="1"/>
    <col min="10" max="10" width="10" customWidth="1"/>
    <col min="11" max="11" width="7.85546875" customWidth="1"/>
    <col min="12" max="12" width="17.28515625" customWidth="1"/>
    <col min="13" max="13" width="8.85546875" customWidth="1"/>
    <col min="14" max="14" width="4.5703125" customWidth="1"/>
    <col min="15" max="15" width="4" customWidth="1"/>
    <col min="16" max="16" width="13" customWidth="1"/>
    <col min="17" max="17" width="14.28515625" customWidth="1"/>
  </cols>
  <sheetData>
    <row r="2" spans="1:17">
      <c r="L2" s="308">
        <f>+SUBTOTAL(109,L7:L507)</f>
        <v>57506518.580000013</v>
      </c>
    </row>
    <row r="5" spans="1:17">
      <c r="A5" s="348" t="s">
        <v>950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</row>
    <row r="6" spans="1:17">
      <c r="A6" s="262" t="s">
        <v>102</v>
      </c>
      <c r="B6" s="262" t="s">
        <v>640</v>
      </c>
      <c r="C6" s="262" t="s">
        <v>641</v>
      </c>
      <c r="D6" s="262" t="s">
        <v>642</v>
      </c>
      <c r="E6" s="262" t="s">
        <v>643</v>
      </c>
      <c r="F6" s="262" t="s">
        <v>644</v>
      </c>
      <c r="G6" s="262" t="s">
        <v>951</v>
      </c>
      <c r="H6" s="262" t="s">
        <v>952</v>
      </c>
      <c r="I6" s="262" t="s">
        <v>953</v>
      </c>
      <c r="J6" s="262" t="s">
        <v>648</v>
      </c>
      <c r="K6" s="262" t="s">
        <v>649</v>
      </c>
      <c r="L6" s="262" t="s">
        <v>650</v>
      </c>
      <c r="M6" s="262" t="s">
        <v>651</v>
      </c>
      <c r="N6" s="262" t="s">
        <v>652</v>
      </c>
      <c r="O6" s="262" t="s">
        <v>653</v>
      </c>
      <c r="P6" s="262" t="s">
        <v>3</v>
      </c>
      <c r="Q6" s="262" t="s">
        <v>654</v>
      </c>
    </row>
    <row r="7" spans="1:17">
      <c r="A7" s="259" t="s">
        <v>954</v>
      </c>
      <c r="B7" s="259" t="s">
        <v>656</v>
      </c>
      <c r="C7" s="260">
        <v>3</v>
      </c>
      <c r="D7" s="260">
        <v>2122</v>
      </c>
      <c r="E7" s="259"/>
      <c r="F7" s="260">
        <v>74408937567460</v>
      </c>
      <c r="G7" s="259" t="s">
        <v>7</v>
      </c>
      <c r="H7" s="260">
        <v>30522428163</v>
      </c>
      <c r="I7" s="259" t="s">
        <v>955</v>
      </c>
      <c r="J7" s="260">
        <v>1</v>
      </c>
      <c r="K7" s="259" t="s">
        <v>658</v>
      </c>
      <c r="L7" s="304">
        <v>166023.57</v>
      </c>
      <c r="M7" s="260">
        <v>0</v>
      </c>
      <c r="N7" s="260">
        <v>0</v>
      </c>
      <c r="O7" s="260">
        <v>0</v>
      </c>
      <c r="P7" s="304">
        <v>34864.949999999997</v>
      </c>
      <c r="Q7" s="304">
        <v>200888.54</v>
      </c>
    </row>
    <row r="8" spans="1:17">
      <c r="A8" s="259" t="s">
        <v>954</v>
      </c>
      <c r="B8" s="259" t="s">
        <v>656</v>
      </c>
      <c r="C8" s="260">
        <v>3</v>
      </c>
      <c r="D8" s="260">
        <v>2123</v>
      </c>
      <c r="E8" s="259"/>
      <c r="F8" s="260">
        <v>74408946814467</v>
      </c>
      <c r="G8" s="259" t="s">
        <v>7</v>
      </c>
      <c r="H8" s="260">
        <v>30522428163</v>
      </c>
      <c r="I8" s="259" t="s">
        <v>955</v>
      </c>
      <c r="J8" s="260">
        <v>1</v>
      </c>
      <c r="K8" s="259" t="s">
        <v>658</v>
      </c>
      <c r="L8" s="304">
        <v>122793.38</v>
      </c>
      <c r="M8" s="260">
        <v>0</v>
      </c>
      <c r="N8" s="260">
        <v>0</v>
      </c>
      <c r="O8" s="260">
        <v>0</v>
      </c>
      <c r="P8" s="304">
        <v>25786.61</v>
      </c>
      <c r="Q8" s="303">
        <v>148580</v>
      </c>
    </row>
    <row r="9" spans="1:17">
      <c r="A9" s="259" t="s">
        <v>954</v>
      </c>
      <c r="B9" s="259" t="s">
        <v>961</v>
      </c>
      <c r="C9" s="260">
        <v>3</v>
      </c>
      <c r="D9" s="260">
        <v>20</v>
      </c>
      <c r="E9" s="259"/>
      <c r="F9" s="260">
        <v>74408946246916</v>
      </c>
      <c r="G9" s="259" t="s">
        <v>7</v>
      </c>
      <c r="H9" s="260">
        <v>30522428163</v>
      </c>
      <c r="I9" s="259" t="s">
        <v>955</v>
      </c>
      <c r="J9" s="260">
        <v>1</v>
      </c>
      <c r="K9" s="259" t="s">
        <v>658</v>
      </c>
      <c r="L9" s="304">
        <v>1159994.76</v>
      </c>
      <c r="M9" s="260">
        <v>0</v>
      </c>
      <c r="N9" s="260">
        <v>0</v>
      </c>
      <c r="O9" s="260">
        <v>0</v>
      </c>
      <c r="P9" s="302">
        <v>243598.9</v>
      </c>
      <c r="Q9" s="304">
        <v>1403593.65</v>
      </c>
    </row>
    <row r="10" spans="1:17">
      <c r="A10" s="259" t="s">
        <v>954</v>
      </c>
      <c r="B10" s="259" t="s">
        <v>961</v>
      </c>
      <c r="C10" s="260">
        <v>3</v>
      </c>
      <c r="D10" s="260">
        <v>17</v>
      </c>
      <c r="E10" s="259"/>
      <c r="F10" s="260">
        <v>74408933316107</v>
      </c>
      <c r="G10" s="259" t="s">
        <v>7</v>
      </c>
      <c r="H10" s="260">
        <v>30522428163</v>
      </c>
      <c r="I10" s="259" t="s">
        <v>955</v>
      </c>
      <c r="J10" s="260">
        <v>1</v>
      </c>
      <c r="K10" s="259" t="s">
        <v>658</v>
      </c>
      <c r="L10" s="304">
        <v>9940284.6699999999</v>
      </c>
      <c r="M10" s="260">
        <v>0</v>
      </c>
      <c r="N10" s="260">
        <v>0</v>
      </c>
      <c r="O10" s="260">
        <v>0</v>
      </c>
      <c r="P10" s="304">
        <v>2087459.78</v>
      </c>
      <c r="Q10" s="304">
        <v>12027744.449999999</v>
      </c>
    </row>
    <row r="11" spans="1:17">
      <c r="A11" s="259" t="s">
        <v>954</v>
      </c>
      <c r="B11" s="259" t="s">
        <v>961</v>
      </c>
      <c r="C11" s="260">
        <v>3</v>
      </c>
      <c r="D11" s="260">
        <v>18</v>
      </c>
      <c r="E11" s="259"/>
      <c r="F11" s="260">
        <v>74408933881734</v>
      </c>
      <c r="G11" s="259" t="s">
        <v>7</v>
      </c>
      <c r="H11" s="260">
        <v>30522428163</v>
      </c>
      <c r="I11" s="259" t="s">
        <v>955</v>
      </c>
      <c r="J11" s="260">
        <v>1</v>
      </c>
      <c r="K11" s="259" t="s">
        <v>658</v>
      </c>
      <c r="L11" s="304">
        <v>1605012.14</v>
      </c>
      <c r="M11" s="260">
        <v>0</v>
      </c>
      <c r="N11" s="260">
        <v>0</v>
      </c>
      <c r="O11" s="260">
        <v>0</v>
      </c>
      <c r="P11" s="304">
        <v>337052.55</v>
      </c>
      <c r="Q11" s="304">
        <v>1942064.69</v>
      </c>
    </row>
    <row r="12" spans="1:17">
      <c r="A12" s="259" t="s">
        <v>954</v>
      </c>
      <c r="B12" s="259" t="s">
        <v>961</v>
      </c>
      <c r="C12" s="260">
        <v>3</v>
      </c>
      <c r="D12" s="260">
        <v>19</v>
      </c>
      <c r="E12" s="259"/>
      <c r="F12" s="260">
        <v>74408938388545</v>
      </c>
      <c r="G12" s="259" t="s">
        <v>7</v>
      </c>
      <c r="H12" s="260">
        <v>30522428163</v>
      </c>
      <c r="I12" s="259" t="s">
        <v>955</v>
      </c>
      <c r="J12" s="260">
        <v>1</v>
      </c>
      <c r="K12" s="259" t="s">
        <v>658</v>
      </c>
      <c r="L12" s="304">
        <v>1420287.38</v>
      </c>
      <c r="M12" s="260">
        <v>0</v>
      </c>
      <c r="N12" s="260">
        <v>0</v>
      </c>
      <c r="O12" s="260">
        <v>0</v>
      </c>
      <c r="P12" s="304">
        <v>298260.34999999998</v>
      </c>
      <c r="Q12" s="304">
        <v>1718547.74</v>
      </c>
    </row>
    <row r="13" spans="1:17">
      <c r="A13" s="259" t="s">
        <v>954</v>
      </c>
      <c r="B13" s="259" t="s">
        <v>956</v>
      </c>
      <c r="C13" s="260">
        <v>9</v>
      </c>
      <c r="D13" s="260">
        <v>1</v>
      </c>
      <c r="E13" s="259"/>
      <c r="F13" s="260">
        <v>74408943763770</v>
      </c>
      <c r="G13" s="260">
        <v>99</v>
      </c>
      <c r="H13" s="260">
        <v>0</v>
      </c>
      <c r="I13" s="259"/>
      <c r="J13" s="260">
        <v>1</v>
      </c>
      <c r="K13" s="259" t="s">
        <v>658</v>
      </c>
      <c r="L13" s="303">
        <v>1</v>
      </c>
      <c r="M13" s="260">
        <v>0</v>
      </c>
      <c r="N13" s="260">
        <v>0</v>
      </c>
      <c r="O13" s="260">
        <v>0</v>
      </c>
      <c r="P13" s="304">
        <v>0.21</v>
      </c>
      <c r="Q13" s="304">
        <v>1.21</v>
      </c>
    </row>
    <row r="14" spans="1:17">
      <c r="A14" s="259" t="s">
        <v>964</v>
      </c>
      <c r="B14" s="259" t="s">
        <v>956</v>
      </c>
      <c r="C14" s="260">
        <v>8</v>
      </c>
      <c r="D14" s="260">
        <v>1</v>
      </c>
      <c r="E14" s="259"/>
      <c r="F14" s="260">
        <v>74408170661661</v>
      </c>
      <c r="G14" s="260">
        <v>99</v>
      </c>
      <c r="H14" s="260">
        <v>0</v>
      </c>
      <c r="I14" s="259"/>
      <c r="J14" s="260">
        <v>1</v>
      </c>
      <c r="K14" s="259" t="s">
        <v>658</v>
      </c>
      <c r="L14" s="304">
        <v>8264.4599999999991</v>
      </c>
      <c r="M14" s="260">
        <v>0</v>
      </c>
      <c r="N14" s="260">
        <v>0</v>
      </c>
      <c r="O14" s="260">
        <v>0</v>
      </c>
      <c r="P14" s="304">
        <v>1735.54</v>
      </c>
      <c r="Q14" s="303">
        <v>10000</v>
      </c>
    </row>
    <row r="15" spans="1:17">
      <c r="A15" s="259" t="s">
        <v>954</v>
      </c>
      <c r="B15" s="259" t="s">
        <v>956</v>
      </c>
      <c r="C15" s="260">
        <v>9</v>
      </c>
      <c r="D15" s="260">
        <v>2</v>
      </c>
      <c r="E15" s="259"/>
      <c r="F15" s="260">
        <v>74408957430844</v>
      </c>
      <c r="G15" s="260">
        <v>99</v>
      </c>
      <c r="H15" s="260">
        <v>0</v>
      </c>
      <c r="I15" s="259"/>
      <c r="J15" s="260">
        <v>1</v>
      </c>
      <c r="K15" s="259" t="s">
        <v>658</v>
      </c>
      <c r="L15" s="304">
        <v>20661.16</v>
      </c>
      <c r="M15" s="260">
        <v>0</v>
      </c>
      <c r="N15" s="260">
        <v>0</v>
      </c>
      <c r="O15" s="260">
        <v>0</v>
      </c>
      <c r="P15" s="304">
        <v>4338.84</v>
      </c>
      <c r="Q15" s="303">
        <v>25000</v>
      </c>
    </row>
    <row r="16" spans="1:17">
      <c r="A16" s="259" t="s">
        <v>964</v>
      </c>
      <c r="B16" s="259" t="s">
        <v>956</v>
      </c>
      <c r="C16" s="260">
        <v>8</v>
      </c>
      <c r="D16" s="260">
        <v>2</v>
      </c>
      <c r="E16" s="259"/>
      <c r="F16" s="260">
        <v>74408171180167</v>
      </c>
      <c r="G16" s="260">
        <v>99</v>
      </c>
      <c r="H16" s="260">
        <v>0</v>
      </c>
      <c r="I16" s="259"/>
      <c r="J16" s="260">
        <v>1</v>
      </c>
      <c r="K16" s="259" t="s">
        <v>658</v>
      </c>
      <c r="L16" s="304">
        <v>6198.35</v>
      </c>
      <c r="M16" s="260">
        <v>0</v>
      </c>
      <c r="N16" s="260">
        <v>0</v>
      </c>
      <c r="O16" s="260">
        <v>0</v>
      </c>
      <c r="P16" s="304">
        <v>1301.6500000000001</v>
      </c>
      <c r="Q16" s="303">
        <v>7500</v>
      </c>
    </row>
    <row r="17" spans="1:17">
      <c r="A17" s="259" t="s">
        <v>962</v>
      </c>
      <c r="B17" s="259" t="s">
        <v>956</v>
      </c>
      <c r="C17" s="260">
        <v>9</v>
      </c>
      <c r="D17" s="260">
        <v>3</v>
      </c>
      <c r="E17" s="259"/>
      <c r="F17" s="260">
        <v>74408038377697</v>
      </c>
      <c r="G17" s="260">
        <v>99</v>
      </c>
      <c r="H17" s="260">
        <v>0</v>
      </c>
      <c r="I17" s="259"/>
      <c r="J17" s="260">
        <v>1</v>
      </c>
      <c r="K17" s="259" t="s">
        <v>658</v>
      </c>
      <c r="L17" s="302">
        <v>11487.6</v>
      </c>
      <c r="M17" s="260">
        <v>0</v>
      </c>
      <c r="N17" s="260">
        <v>0</v>
      </c>
      <c r="O17" s="260">
        <v>0</v>
      </c>
      <c r="P17" s="302">
        <v>2412.4</v>
      </c>
      <c r="Q17" s="303">
        <v>13900</v>
      </c>
    </row>
    <row r="18" spans="1:17">
      <c r="A18" s="259" t="s">
        <v>964</v>
      </c>
      <c r="B18" s="259" t="s">
        <v>956</v>
      </c>
      <c r="C18" s="260">
        <v>8</v>
      </c>
      <c r="D18" s="260">
        <v>3</v>
      </c>
      <c r="E18" s="259"/>
      <c r="F18" s="260">
        <v>74408175059410</v>
      </c>
      <c r="G18" s="260">
        <v>99</v>
      </c>
      <c r="H18" s="260">
        <v>0</v>
      </c>
      <c r="I18" s="259"/>
      <c r="J18" s="260">
        <v>1</v>
      </c>
      <c r="K18" s="259" t="s">
        <v>658</v>
      </c>
      <c r="L18" s="302">
        <v>21487.599999999999</v>
      </c>
      <c r="M18" s="260">
        <v>0</v>
      </c>
      <c r="N18" s="260">
        <v>0</v>
      </c>
      <c r="O18" s="260">
        <v>0</v>
      </c>
      <c r="P18" s="302">
        <v>4512.3999999999996</v>
      </c>
      <c r="Q18" s="303">
        <v>26000</v>
      </c>
    </row>
    <row r="19" spans="1:17">
      <c r="A19" s="259" t="s">
        <v>962</v>
      </c>
      <c r="B19" s="259" t="s">
        <v>956</v>
      </c>
      <c r="C19" s="260">
        <v>9</v>
      </c>
      <c r="D19" s="260">
        <v>4</v>
      </c>
      <c r="E19" s="259"/>
      <c r="F19" s="260">
        <v>74408040307745</v>
      </c>
      <c r="G19" s="260">
        <v>99</v>
      </c>
      <c r="H19" s="260">
        <v>0</v>
      </c>
      <c r="I19" s="259"/>
      <c r="J19" s="260">
        <v>1</v>
      </c>
      <c r="K19" s="259" t="s">
        <v>658</v>
      </c>
      <c r="L19" s="304">
        <v>23471.07</v>
      </c>
      <c r="M19" s="260">
        <v>0</v>
      </c>
      <c r="N19" s="260">
        <v>0</v>
      </c>
      <c r="O19" s="260">
        <v>0</v>
      </c>
      <c r="P19" s="304">
        <v>4928.93</v>
      </c>
      <c r="Q19" s="303">
        <v>28400</v>
      </c>
    </row>
    <row r="20" spans="1:17">
      <c r="A20" s="259" t="s">
        <v>964</v>
      </c>
      <c r="B20" s="259" t="s">
        <v>956</v>
      </c>
      <c r="C20" s="260">
        <v>8</v>
      </c>
      <c r="D20" s="260">
        <v>4</v>
      </c>
      <c r="E20" s="259"/>
      <c r="F20" s="260">
        <v>74408178473241</v>
      </c>
      <c r="G20" s="260">
        <v>99</v>
      </c>
      <c r="H20" s="260">
        <v>0</v>
      </c>
      <c r="I20" s="259"/>
      <c r="J20" s="260">
        <v>1</v>
      </c>
      <c r="K20" s="259" t="s">
        <v>658</v>
      </c>
      <c r="L20" s="304">
        <v>20661.16</v>
      </c>
      <c r="M20" s="260">
        <v>0</v>
      </c>
      <c r="N20" s="260">
        <v>0</v>
      </c>
      <c r="O20" s="260">
        <v>0</v>
      </c>
      <c r="P20" s="304">
        <v>4338.84</v>
      </c>
      <c r="Q20" s="303">
        <v>25000</v>
      </c>
    </row>
    <row r="21" spans="1:17">
      <c r="A21" s="259" t="s">
        <v>962</v>
      </c>
      <c r="B21" s="259" t="s">
        <v>956</v>
      </c>
      <c r="C21" s="260">
        <v>9</v>
      </c>
      <c r="D21" s="260">
        <v>5</v>
      </c>
      <c r="E21" s="259"/>
      <c r="F21" s="260">
        <v>74408041595038</v>
      </c>
      <c r="G21" s="260">
        <v>99</v>
      </c>
      <c r="H21" s="260">
        <v>0</v>
      </c>
      <c r="I21" s="259"/>
      <c r="J21" s="260">
        <v>1</v>
      </c>
      <c r="K21" s="259" t="s">
        <v>658</v>
      </c>
      <c r="L21" s="304">
        <v>23966.94</v>
      </c>
      <c r="M21" s="260">
        <v>0</v>
      </c>
      <c r="N21" s="260">
        <v>0</v>
      </c>
      <c r="O21" s="260">
        <v>0</v>
      </c>
      <c r="P21" s="304">
        <v>5033.0600000000004</v>
      </c>
      <c r="Q21" s="303">
        <v>29000</v>
      </c>
    </row>
    <row r="22" spans="1:17">
      <c r="A22" s="259" t="s">
        <v>964</v>
      </c>
      <c r="B22" s="259" t="s">
        <v>956</v>
      </c>
      <c r="C22" s="260">
        <v>8</v>
      </c>
      <c r="D22" s="260">
        <v>5</v>
      </c>
      <c r="E22" s="259"/>
      <c r="F22" s="260">
        <v>74408179334943</v>
      </c>
      <c r="G22" s="260">
        <v>99</v>
      </c>
      <c r="H22" s="260">
        <v>0</v>
      </c>
      <c r="I22" s="259"/>
      <c r="J22" s="260">
        <v>1</v>
      </c>
      <c r="K22" s="259" t="s">
        <v>658</v>
      </c>
      <c r="L22" s="304">
        <v>4462.8100000000004</v>
      </c>
      <c r="M22" s="260">
        <v>0</v>
      </c>
      <c r="N22" s="260">
        <v>0</v>
      </c>
      <c r="O22" s="260">
        <v>0</v>
      </c>
      <c r="P22" s="304">
        <v>937.19</v>
      </c>
      <c r="Q22" s="303">
        <v>5400</v>
      </c>
    </row>
    <row r="23" spans="1:17">
      <c r="A23" s="259" t="s">
        <v>962</v>
      </c>
      <c r="B23" s="259" t="s">
        <v>956</v>
      </c>
      <c r="C23" s="260">
        <v>9</v>
      </c>
      <c r="D23" s="260">
        <v>6</v>
      </c>
      <c r="E23" s="259"/>
      <c r="F23" s="260">
        <v>74408042545709</v>
      </c>
      <c r="G23" s="260">
        <v>99</v>
      </c>
      <c r="H23" s="260">
        <v>0</v>
      </c>
      <c r="I23" s="259"/>
      <c r="J23" s="260">
        <v>1</v>
      </c>
      <c r="K23" s="259" t="s">
        <v>658</v>
      </c>
      <c r="L23" s="304">
        <v>26446.28</v>
      </c>
      <c r="M23" s="260">
        <v>0</v>
      </c>
      <c r="N23" s="260">
        <v>0</v>
      </c>
      <c r="O23" s="260">
        <v>0</v>
      </c>
      <c r="P23" s="304">
        <v>5553.72</v>
      </c>
      <c r="Q23" s="303">
        <v>32000</v>
      </c>
    </row>
    <row r="24" spans="1:17">
      <c r="A24" s="259" t="s">
        <v>964</v>
      </c>
      <c r="B24" s="259" t="s">
        <v>956</v>
      </c>
      <c r="C24" s="260">
        <v>8</v>
      </c>
      <c r="D24" s="260">
        <v>6</v>
      </c>
      <c r="E24" s="259"/>
      <c r="F24" s="260">
        <v>74408181398159</v>
      </c>
      <c r="G24" s="260">
        <v>99</v>
      </c>
      <c r="H24" s="260">
        <v>0</v>
      </c>
      <c r="I24" s="259"/>
      <c r="J24" s="260">
        <v>1</v>
      </c>
      <c r="K24" s="259" t="s">
        <v>658</v>
      </c>
      <c r="L24" s="302">
        <v>21487.599999999999</v>
      </c>
      <c r="M24" s="260">
        <v>0</v>
      </c>
      <c r="N24" s="260">
        <v>0</v>
      </c>
      <c r="O24" s="260">
        <v>0</v>
      </c>
      <c r="P24" s="302">
        <v>4512.3999999999996</v>
      </c>
      <c r="Q24" s="303">
        <v>26000</v>
      </c>
    </row>
    <row r="25" spans="1:17">
      <c r="A25" s="259" t="s">
        <v>962</v>
      </c>
      <c r="B25" s="259" t="s">
        <v>956</v>
      </c>
      <c r="C25" s="260">
        <v>9</v>
      </c>
      <c r="D25" s="260">
        <v>7</v>
      </c>
      <c r="E25" s="259"/>
      <c r="F25" s="260">
        <v>74408053151515</v>
      </c>
      <c r="G25" s="260">
        <v>99</v>
      </c>
      <c r="H25" s="260">
        <v>0</v>
      </c>
      <c r="I25" s="259"/>
      <c r="J25" s="260">
        <v>1</v>
      </c>
      <c r="K25" s="259" t="s">
        <v>658</v>
      </c>
      <c r="L25" s="304">
        <v>37190.080000000002</v>
      </c>
      <c r="M25" s="260">
        <v>0</v>
      </c>
      <c r="N25" s="260">
        <v>0</v>
      </c>
      <c r="O25" s="260">
        <v>0</v>
      </c>
      <c r="P25" s="304">
        <v>7809.92</v>
      </c>
      <c r="Q25" s="303">
        <v>45000</v>
      </c>
    </row>
    <row r="26" spans="1:17">
      <c r="A26" s="259" t="s">
        <v>964</v>
      </c>
      <c r="B26" s="259" t="s">
        <v>956</v>
      </c>
      <c r="C26" s="260">
        <v>8</v>
      </c>
      <c r="D26" s="260">
        <v>7</v>
      </c>
      <c r="E26" s="259"/>
      <c r="F26" s="260">
        <v>74408184669859</v>
      </c>
      <c r="G26" s="260">
        <v>99</v>
      </c>
      <c r="H26" s="260">
        <v>0</v>
      </c>
      <c r="I26" s="259"/>
      <c r="J26" s="260">
        <v>1</v>
      </c>
      <c r="K26" s="259" t="s">
        <v>658</v>
      </c>
      <c r="L26" s="304">
        <v>8264.4599999999991</v>
      </c>
      <c r="M26" s="260">
        <v>0</v>
      </c>
      <c r="N26" s="260">
        <v>0</v>
      </c>
      <c r="O26" s="260">
        <v>0</v>
      </c>
      <c r="P26" s="304">
        <v>1735.54</v>
      </c>
      <c r="Q26" s="303">
        <v>10000</v>
      </c>
    </row>
    <row r="27" spans="1:17">
      <c r="A27" s="259" t="s">
        <v>962</v>
      </c>
      <c r="B27" s="259" t="s">
        <v>956</v>
      </c>
      <c r="C27" s="260">
        <v>9</v>
      </c>
      <c r="D27" s="260">
        <v>8</v>
      </c>
      <c r="E27" s="259"/>
      <c r="F27" s="260">
        <v>74408060707065</v>
      </c>
      <c r="G27" s="260">
        <v>99</v>
      </c>
      <c r="H27" s="260">
        <v>0</v>
      </c>
      <c r="I27" s="259"/>
      <c r="J27" s="260">
        <v>1</v>
      </c>
      <c r="K27" s="259" t="s">
        <v>658</v>
      </c>
      <c r="L27" s="304">
        <v>111570.25</v>
      </c>
      <c r="M27" s="260">
        <v>0</v>
      </c>
      <c r="N27" s="260">
        <v>0</v>
      </c>
      <c r="O27" s="260">
        <v>0</v>
      </c>
      <c r="P27" s="304">
        <v>23429.75</v>
      </c>
      <c r="Q27" s="303">
        <v>135000</v>
      </c>
    </row>
    <row r="28" spans="1:17">
      <c r="A28" s="259" t="s">
        <v>964</v>
      </c>
      <c r="B28" s="259" t="s">
        <v>956</v>
      </c>
      <c r="C28" s="260">
        <v>8</v>
      </c>
      <c r="D28" s="260">
        <v>8</v>
      </c>
      <c r="E28" s="259"/>
      <c r="F28" s="260">
        <v>74408185870905</v>
      </c>
      <c r="G28" s="260">
        <v>99</v>
      </c>
      <c r="H28" s="260">
        <v>0</v>
      </c>
      <c r="I28" s="259"/>
      <c r="J28" s="260">
        <v>1</v>
      </c>
      <c r="K28" s="259" t="s">
        <v>658</v>
      </c>
      <c r="L28" s="302">
        <v>10743.8</v>
      </c>
      <c r="M28" s="260">
        <v>0</v>
      </c>
      <c r="N28" s="260">
        <v>0</v>
      </c>
      <c r="O28" s="260">
        <v>0</v>
      </c>
      <c r="P28" s="302">
        <v>2256.1999999999998</v>
      </c>
      <c r="Q28" s="303">
        <v>13000</v>
      </c>
    </row>
    <row r="29" spans="1:17">
      <c r="A29" s="259" t="s">
        <v>962</v>
      </c>
      <c r="B29" s="259" t="s">
        <v>956</v>
      </c>
      <c r="C29" s="260">
        <v>9</v>
      </c>
      <c r="D29" s="260">
        <v>9</v>
      </c>
      <c r="E29" s="259"/>
      <c r="F29" s="260">
        <v>74408068320140</v>
      </c>
      <c r="G29" s="260">
        <v>99</v>
      </c>
      <c r="H29" s="260">
        <v>0</v>
      </c>
      <c r="I29" s="259"/>
      <c r="J29" s="260">
        <v>1</v>
      </c>
      <c r="K29" s="259" t="s">
        <v>658</v>
      </c>
      <c r="L29" s="304">
        <v>8595.0400000000009</v>
      </c>
      <c r="M29" s="260">
        <v>0</v>
      </c>
      <c r="N29" s="260">
        <v>0</v>
      </c>
      <c r="O29" s="260">
        <v>0</v>
      </c>
      <c r="P29" s="304">
        <v>1804.96</v>
      </c>
      <c r="Q29" s="303">
        <v>10400</v>
      </c>
    </row>
    <row r="30" spans="1:17">
      <c r="A30" s="259" t="s">
        <v>964</v>
      </c>
      <c r="B30" s="259" t="s">
        <v>956</v>
      </c>
      <c r="C30" s="260">
        <v>8</v>
      </c>
      <c r="D30" s="260">
        <v>9</v>
      </c>
      <c r="E30" s="259"/>
      <c r="F30" s="260">
        <v>74408188678423</v>
      </c>
      <c r="G30" s="260">
        <v>99</v>
      </c>
      <c r="H30" s="260">
        <v>0</v>
      </c>
      <c r="I30" s="259"/>
      <c r="J30" s="260">
        <v>1</v>
      </c>
      <c r="K30" s="259" t="s">
        <v>658</v>
      </c>
      <c r="L30" s="304">
        <v>8264.4599999999991</v>
      </c>
      <c r="M30" s="260">
        <v>0</v>
      </c>
      <c r="N30" s="260">
        <v>0</v>
      </c>
      <c r="O30" s="260">
        <v>0</v>
      </c>
      <c r="P30" s="304">
        <v>1735.54</v>
      </c>
      <c r="Q30" s="303">
        <v>10000</v>
      </c>
    </row>
    <row r="31" spans="1:17">
      <c r="A31" s="259" t="s">
        <v>962</v>
      </c>
      <c r="B31" s="259" t="s">
        <v>956</v>
      </c>
      <c r="C31" s="260">
        <v>9</v>
      </c>
      <c r="D31" s="260">
        <v>10</v>
      </c>
      <c r="E31" s="259"/>
      <c r="F31" s="260">
        <v>74408069094218</v>
      </c>
      <c r="G31" s="260">
        <v>99</v>
      </c>
      <c r="H31" s="260">
        <v>0</v>
      </c>
      <c r="I31" s="259"/>
      <c r="J31" s="260">
        <v>1</v>
      </c>
      <c r="K31" s="259" t="s">
        <v>658</v>
      </c>
      <c r="L31" s="304">
        <v>14669.42</v>
      </c>
      <c r="M31" s="260">
        <v>0</v>
      </c>
      <c r="N31" s="260">
        <v>0</v>
      </c>
      <c r="O31" s="260">
        <v>0</v>
      </c>
      <c r="P31" s="304">
        <v>3080.58</v>
      </c>
      <c r="Q31" s="303">
        <v>17750</v>
      </c>
    </row>
    <row r="32" spans="1:17">
      <c r="A32" s="259" t="s">
        <v>964</v>
      </c>
      <c r="B32" s="259" t="s">
        <v>956</v>
      </c>
      <c r="C32" s="260">
        <v>8</v>
      </c>
      <c r="D32" s="260">
        <v>10</v>
      </c>
      <c r="E32" s="259"/>
      <c r="F32" s="260">
        <v>74408190640944</v>
      </c>
      <c r="G32" s="260">
        <v>99</v>
      </c>
      <c r="H32" s="260">
        <v>0</v>
      </c>
      <c r="I32" s="259"/>
      <c r="J32" s="260">
        <v>1</v>
      </c>
      <c r="K32" s="259" t="s">
        <v>658</v>
      </c>
      <c r="L32" s="304">
        <v>14876.03</v>
      </c>
      <c r="M32" s="260">
        <v>0</v>
      </c>
      <c r="N32" s="260">
        <v>0</v>
      </c>
      <c r="O32" s="260">
        <v>0</v>
      </c>
      <c r="P32" s="304">
        <v>3123.97</v>
      </c>
      <c r="Q32" s="303">
        <v>18000</v>
      </c>
    </row>
    <row r="33" spans="1:17">
      <c r="A33" s="259" t="s">
        <v>962</v>
      </c>
      <c r="B33" s="259" t="s">
        <v>956</v>
      </c>
      <c r="C33" s="260">
        <v>9</v>
      </c>
      <c r="D33" s="260">
        <v>11</v>
      </c>
      <c r="E33" s="259"/>
      <c r="F33" s="260">
        <v>74408072251765</v>
      </c>
      <c r="G33" s="260">
        <v>99</v>
      </c>
      <c r="H33" s="260">
        <v>0</v>
      </c>
      <c r="I33" s="259"/>
      <c r="J33" s="260">
        <v>1</v>
      </c>
      <c r="K33" s="259" t="s">
        <v>658</v>
      </c>
      <c r="L33" s="304">
        <v>14462.81</v>
      </c>
      <c r="M33" s="260">
        <v>0</v>
      </c>
      <c r="N33" s="260">
        <v>0</v>
      </c>
      <c r="O33" s="260">
        <v>0</v>
      </c>
      <c r="P33" s="304">
        <v>3037.19</v>
      </c>
      <c r="Q33" s="303">
        <v>17500</v>
      </c>
    </row>
    <row r="34" spans="1:17">
      <c r="A34" s="259" t="s">
        <v>964</v>
      </c>
      <c r="B34" s="259" t="s">
        <v>956</v>
      </c>
      <c r="C34" s="260">
        <v>8</v>
      </c>
      <c r="D34" s="260">
        <v>11</v>
      </c>
      <c r="E34" s="259"/>
      <c r="F34" s="260">
        <v>74408192264702</v>
      </c>
      <c r="G34" s="260">
        <v>99</v>
      </c>
      <c r="H34" s="260">
        <v>0</v>
      </c>
      <c r="I34" s="259"/>
      <c r="J34" s="260">
        <v>1</v>
      </c>
      <c r="K34" s="259" t="s">
        <v>658</v>
      </c>
      <c r="L34" s="304">
        <v>20661.16</v>
      </c>
      <c r="M34" s="260">
        <v>0</v>
      </c>
      <c r="N34" s="260">
        <v>0</v>
      </c>
      <c r="O34" s="260">
        <v>0</v>
      </c>
      <c r="P34" s="304">
        <v>4338.84</v>
      </c>
      <c r="Q34" s="303">
        <v>25000</v>
      </c>
    </row>
    <row r="35" spans="1:17">
      <c r="A35" s="259" t="s">
        <v>962</v>
      </c>
      <c r="B35" s="259" t="s">
        <v>956</v>
      </c>
      <c r="C35" s="260">
        <v>9</v>
      </c>
      <c r="D35" s="260">
        <v>12</v>
      </c>
      <c r="E35" s="259"/>
      <c r="F35" s="260">
        <v>74408076346878</v>
      </c>
      <c r="G35" s="260">
        <v>99</v>
      </c>
      <c r="H35" s="260">
        <v>0</v>
      </c>
      <c r="I35" s="259"/>
      <c r="J35" s="260">
        <v>1</v>
      </c>
      <c r="K35" s="259" t="s">
        <v>658</v>
      </c>
      <c r="L35" s="304">
        <v>14669.42</v>
      </c>
      <c r="M35" s="260">
        <v>0</v>
      </c>
      <c r="N35" s="260">
        <v>0</v>
      </c>
      <c r="O35" s="260">
        <v>0</v>
      </c>
      <c r="P35" s="304">
        <v>3080.58</v>
      </c>
      <c r="Q35" s="303">
        <v>17750</v>
      </c>
    </row>
    <row r="36" spans="1:17">
      <c r="A36" s="259" t="s">
        <v>964</v>
      </c>
      <c r="B36" s="259" t="s">
        <v>956</v>
      </c>
      <c r="C36" s="260">
        <v>8</v>
      </c>
      <c r="D36" s="260">
        <v>12</v>
      </c>
      <c r="E36" s="259"/>
      <c r="F36" s="260">
        <v>74408193828935</v>
      </c>
      <c r="G36" s="260">
        <v>99</v>
      </c>
      <c r="H36" s="260">
        <v>0</v>
      </c>
      <c r="I36" s="259"/>
      <c r="J36" s="260">
        <v>1</v>
      </c>
      <c r="K36" s="259" t="s">
        <v>658</v>
      </c>
      <c r="L36" s="304">
        <v>20661.16</v>
      </c>
      <c r="M36" s="260">
        <v>0</v>
      </c>
      <c r="N36" s="260">
        <v>0</v>
      </c>
      <c r="O36" s="260">
        <v>0</v>
      </c>
      <c r="P36" s="304">
        <v>4338.84</v>
      </c>
      <c r="Q36" s="303">
        <v>25000</v>
      </c>
    </row>
    <row r="37" spans="1:17">
      <c r="A37" s="259" t="s">
        <v>962</v>
      </c>
      <c r="B37" s="259" t="s">
        <v>956</v>
      </c>
      <c r="C37" s="260">
        <v>9</v>
      </c>
      <c r="D37" s="260">
        <v>13</v>
      </c>
      <c r="E37" s="259"/>
      <c r="F37" s="260">
        <v>74408078648420</v>
      </c>
      <c r="G37" s="260">
        <v>99</v>
      </c>
      <c r="H37" s="260">
        <v>0</v>
      </c>
      <c r="I37" s="259"/>
      <c r="J37" s="260">
        <v>1</v>
      </c>
      <c r="K37" s="259" t="s">
        <v>658</v>
      </c>
      <c r="L37" s="304">
        <v>16570.25</v>
      </c>
      <c r="M37" s="260">
        <v>0</v>
      </c>
      <c r="N37" s="260">
        <v>0</v>
      </c>
      <c r="O37" s="260">
        <v>0</v>
      </c>
      <c r="P37" s="304">
        <v>3479.75</v>
      </c>
      <c r="Q37" s="303">
        <v>20050</v>
      </c>
    </row>
    <row r="38" spans="1:17">
      <c r="A38" s="259" t="s">
        <v>964</v>
      </c>
      <c r="B38" s="259" t="s">
        <v>956</v>
      </c>
      <c r="C38" s="260">
        <v>8</v>
      </c>
      <c r="D38" s="260">
        <v>13</v>
      </c>
      <c r="E38" s="259"/>
      <c r="F38" s="260">
        <v>74408204945867</v>
      </c>
      <c r="G38" s="260">
        <v>99</v>
      </c>
      <c r="H38" s="260">
        <v>0</v>
      </c>
      <c r="I38" s="259"/>
      <c r="J38" s="260">
        <v>1</v>
      </c>
      <c r="K38" s="259" t="s">
        <v>658</v>
      </c>
      <c r="L38" s="302">
        <v>10743.8</v>
      </c>
      <c r="M38" s="260">
        <v>0</v>
      </c>
      <c r="N38" s="260">
        <v>0</v>
      </c>
      <c r="O38" s="260">
        <v>0</v>
      </c>
      <c r="P38" s="302">
        <v>2256.1999999999998</v>
      </c>
      <c r="Q38" s="303">
        <v>13000</v>
      </c>
    </row>
    <row r="39" spans="1:17">
      <c r="A39" s="259" t="s">
        <v>962</v>
      </c>
      <c r="B39" s="259" t="s">
        <v>956</v>
      </c>
      <c r="C39" s="260">
        <v>9</v>
      </c>
      <c r="D39" s="260">
        <v>14</v>
      </c>
      <c r="E39" s="259"/>
      <c r="F39" s="260">
        <v>74408081173503</v>
      </c>
      <c r="G39" s="260">
        <v>99</v>
      </c>
      <c r="H39" s="260">
        <v>0</v>
      </c>
      <c r="I39" s="259"/>
      <c r="J39" s="260">
        <v>1</v>
      </c>
      <c r="K39" s="259" t="s">
        <v>658</v>
      </c>
      <c r="L39" s="304">
        <v>13471.07</v>
      </c>
      <c r="M39" s="260">
        <v>0</v>
      </c>
      <c r="N39" s="260">
        <v>0</v>
      </c>
      <c r="O39" s="260">
        <v>0</v>
      </c>
      <c r="P39" s="304">
        <v>2828.93</v>
      </c>
      <c r="Q39" s="303">
        <v>16300</v>
      </c>
    </row>
    <row r="40" spans="1:17">
      <c r="A40" s="259" t="s">
        <v>964</v>
      </c>
      <c r="B40" s="259" t="s">
        <v>956</v>
      </c>
      <c r="C40" s="260">
        <v>8</v>
      </c>
      <c r="D40" s="260">
        <v>14</v>
      </c>
      <c r="E40" s="259"/>
      <c r="F40" s="260">
        <v>74408209685177</v>
      </c>
      <c r="G40" s="260">
        <v>99</v>
      </c>
      <c r="H40" s="260">
        <v>0</v>
      </c>
      <c r="I40" s="259"/>
      <c r="J40" s="260">
        <v>1</v>
      </c>
      <c r="K40" s="259" t="s">
        <v>658</v>
      </c>
      <c r="L40" s="302">
        <v>33884.300000000003</v>
      </c>
      <c r="M40" s="260">
        <v>0</v>
      </c>
      <c r="N40" s="260">
        <v>0</v>
      </c>
      <c r="O40" s="260">
        <v>0</v>
      </c>
      <c r="P40" s="302">
        <v>7115.7</v>
      </c>
      <c r="Q40" s="303">
        <v>41000</v>
      </c>
    </row>
    <row r="41" spans="1:17">
      <c r="A41" s="259" t="s">
        <v>962</v>
      </c>
      <c r="B41" s="259" t="s">
        <v>956</v>
      </c>
      <c r="C41" s="260">
        <v>9</v>
      </c>
      <c r="D41" s="260">
        <v>15</v>
      </c>
      <c r="E41" s="259"/>
      <c r="F41" s="260">
        <v>74408084034870</v>
      </c>
      <c r="G41" s="260">
        <v>99</v>
      </c>
      <c r="H41" s="260">
        <v>0</v>
      </c>
      <c r="I41" s="259"/>
      <c r="J41" s="260">
        <v>1</v>
      </c>
      <c r="K41" s="259" t="s">
        <v>658</v>
      </c>
      <c r="L41" s="302">
        <v>10743.8</v>
      </c>
      <c r="M41" s="260">
        <v>0</v>
      </c>
      <c r="N41" s="260">
        <v>0</v>
      </c>
      <c r="O41" s="260">
        <v>0</v>
      </c>
      <c r="P41" s="302">
        <v>2256.1999999999998</v>
      </c>
      <c r="Q41" s="303">
        <v>13000</v>
      </c>
    </row>
    <row r="42" spans="1:17">
      <c r="A42" s="259" t="s">
        <v>964</v>
      </c>
      <c r="B42" s="259" t="s">
        <v>956</v>
      </c>
      <c r="C42" s="260">
        <v>8</v>
      </c>
      <c r="D42" s="260">
        <v>15</v>
      </c>
      <c r="E42" s="259"/>
      <c r="F42" s="260">
        <v>74408216038222</v>
      </c>
      <c r="G42" s="260">
        <v>99</v>
      </c>
      <c r="H42" s="260">
        <v>0</v>
      </c>
      <c r="I42" s="259"/>
      <c r="J42" s="260">
        <v>1</v>
      </c>
      <c r="K42" s="259" t="s">
        <v>658</v>
      </c>
      <c r="L42" s="302">
        <v>21487.599999999999</v>
      </c>
      <c r="M42" s="260">
        <v>0</v>
      </c>
      <c r="N42" s="260">
        <v>0</v>
      </c>
      <c r="O42" s="260">
        <v>0</v>
      </c>
      <c r="P42" s="302">
        <v>4512.3999999999996</v>
      </c>
      <c r="Q42" s="303">
        <v>26000</v>
      </c>
    </row>
    <row r="43" spans="1:17">
      <c r="A43" s="259" t="s">
        <v>962</v>
      </c>
      <c r="B43" s="259" t="s">
        <v>956</v>
      </c>
      <c r="C43" s="260">
        <v>9</v>
      </c>
      <c r="D43" s="260">
        <v>16</v>
      </c>
      <c r="E43" s="259"/>
      <c r="F43" s="260">
        <v>74408097286379</v>
      </c>
      <c r="G43" s="260">
        <v>99</v>
      </c>
      <c r="H43" s="260">
        <v>0</v>
      </c>
      <c r="I43" s="259"/>
      <c r="J43" s="260">
        <v>1</v>
      </c>
      <c r="K43" s="259" t="s">
        <v>658</v>
      </c>
      <c r="L43" s="304">
        <v>23966.94</v>
      </c>
      <c r="M43" s="260">
        <v>0</v>
      </c>
      <c r="N43" s="260">
        <v>0</v>
      </c>
      <c r="O43" s="260">
        <v>0</v>
      </c>
      <c r="P43" s="304">
        <v>5033.0600000000004</v>
      </c>
      <c r="Q43" s="303">
        <v>29000</v>
      </c>
    </row>
    <row r="44" spans="1:17">
      <c r="A44" s="259" t="s">
        <v>964</v>
      </c>
      <c r="B44" s="259" t="s">
        <v>956</v>
      </c>
      <c r="C44" s="260">
        <v>8</v>
      </c>
      <c r="D44" s="260">
        <v>16</v>
      </c>
      <c r="E44" s="259"/>
      <c r="F44" s="260">
        <v>74408216871516</v>
      </c>
      <c r="G44" s="260">
        <v>99</v>
      </c>
      <c r="H44" s="260">
        <v>0</v>
      </c>
      <c r="I44" s="259"/>
      <c r="J44" s="260">
        <v>1</v>
      </c>
      <c r="K44" s="259" t="s">
        <v>658</v>
      </c>
      <c r="L44" s="302">
        <v>10743.8</v>
      </c>
      <c r="M44" s="260">
        <v>0</v>
      </c>
      <c r="N44" s="260">
        <v>0</v>
      </c>
      <c r="O44" s="260">
        <v>0</v>
      </c>
      <c r="P44" s="302">
        <v>2256.1999999999998</v>
      </c>
      <c r="Q44" s="303">
        <v>13000</v>
      </c>
    </row>
    <row r="45" spans="1:17">
      <c r="A45" s="259" t="s">
        <v>962</v>
      </c>
      <c r="B45" s="259" t="s">
        <v>956</v>
      </c>
      <c r="C45" s="260">
        <v>9</v>
      </c>
      <c r="D45" s="260">
        <v>17</v>
      </c>
      <c r="E45" s="259"/>
      <c r="F45" s="260">
        <v>74408098195626</v>
      </c>
      <c r="G45" s="260">
        <v>99</v>
      </c>
      <c r="H45" s="260">
        <v>0</v>
      </c>
      <c r="I45" s="259"/>
      <c r="J45" s="260">
        <v>1</v>
      </c>
      <c r="K45" s="259" t="s">
        <v>658</v>
      </c>
      <c r="L45" s="304">
        <v>14669.42</v>
      </c>
      <c r="M45" s="260">
        <v>0</v>
      </c>
      <c r="N45" s="260">
        <v>0</v>
      </c>
      <c r="O45" s="260">
        <v>0</v>
      </c>
      <c r="P45" s="304">
        <v>3080.58</v>
      </c>
      <c r="Q45" s="303">
        <v>17750</v>
      </c>
    </row>
    <row r="46" spans="1:17">
      <c r="A46" s="259" t="s">
        <v>964</v>
      </c>
      <c r="B46" s="259" t="s">
        <v>956</v>
      </c>
      <c r="C46" s="260">
        <v>8</v>
      </c>
      <c r="D46" s="260">
        <v>17</v>
      </c>
      <c r="E46" s="259"/>
      <c r="F46" s="260">
        <v>74408220662810</v>
      </c>
      <c r="G46" s="260">
        <v>99</v>
      </c>
      <c r="H46" s="260">
        <v>0</v>
      </c>
      <c r="I46" s="259"/>
      <c r="J46" s="260">
        <v>1</v>
      </c>
      <c r="K46" s="259" t="s">
        <v>658</v>
      </c>
      <c r="L46" s="304">
        <v>8264.4599999999991</v>
      </c>
      <c r="M46" s="260">
        <v>0</v>
      </c>
      <c r="N46" s="260">
        <v>0</v>
      </c>
      <c r="O46" s="260">
        <v>0</v>
      </c>
      <c r="P46" s="304">
        <v>1735.54</v>
      </c>
      <c r="Q46" s="303">
        <v>10000</v>
      </c>
    </row>
    <row r="47" spans="1:17">
      <c r="A47" s="259" t="s">
        <v>964</v>
      </c>
      <c r="B47" s="259" t="s">
        <v>956</v>
      </c>
      <c r="C47" s="260">
        <v>8</v>
      </c>
      <c r="D47" s="260">
        <v>18</v>
      </c>
      <c r="E47" s="259"/>
      <c r="F47" s="260">
        <v>74408228054454</v>
      </c>
      <c r="G47" s="260">
        <v>99</v>
      </c>
      <c r="H47" s="260">
        <v>0</v>
      </c>
      <c r="I47" s="259"/>
      <c r="J47" s="260">
        <v>1</v>
      </c>
      <c r="K47" s="259" t="s">
        <v>658</v>
      </c>
      <c r="L47" s="304">
        <v>3305.79</v>
      </c>
      <c r="M47" s="260">
        <v>0</v>
      </c>
      <c r="N47" s="260">
        <v>0</v>
      </c>
      <c r="O47" s="260">
        <v>0</v>
      </c>
      <c r="P47" s="304">
        <v>694.21</v>
      </c>
      <c r="Q47" s="303">
        <v>4000</v>
      </c>
    </row>
    <row r="48" spans="1:17">
      <c r="A48" s="259" t="s">
        <v>973</v>
      </c>
      <c r="B48" s="259" t="s">
        <v>956</v>
      </c>
      <c r="C48" s="260">
        <v>9</v>
      </c>
      <c r="D48" s="260">
        <v>18</v>
      </c>
      <c r="E48" s="259"/>
      <c r="F48" s="260">
        <v>74418679178147</v>
      </c>
      <c r="G48" s="260">
        <v>99</v>
      </c>
      <c r="H48" s="260">
        <v>0</v>
      </c>
      <c r="I48" s="259"/>
      <c r="J48" s="260">
        <v>1</v>
      </c>
      <c r="K48" s="259" t="s">
        <v>658</v>
      </c>
      <c r="L48" s="304">
        <v>99173.55</v>
      </c>
      <c r="M48" s="260">
        <v>0</v>
      </c>
      <c r="N48" s="260">
        <v>0</v>
      </c>
      <c r="O48" s="260">
        <v>0</v>
      </c>
      <c r="P48" s="304">
        <v>20826.45</v>
      </c>
      <c r="Q48" s="303">
        <v>120000</v>
      </c>
    </row>
    <row r="49" spans="1:17">
      <c r="A49" s="259" t="s">
        <v>973</v>
      </c>
      <c r="B49" s="259" t="s">
        <v>956</v>
      </c>
      <c r="C49" s="260">
        <v>9</v>
      </c>
      <c r="D49" s="260">
        <v>19</v>
      </c>
      <c r="E49" s="259"/>
      <c r="F49" s="260">
        <v>74418690579066</v>
      </c>
      <c r="G49" s="260">
        <v>99</v>
      </c>
      <c r="H49" s="260">
        <v>0</v>
      </c>
      <c r="I49" s="259"/>
      <c r="J49" s="260">
        <v>1</v>
      </c>
      <c r="K49" s="259" t="s">
        <v>658</v>
      </c>
      <c r="L49" s="304">
        <v>15289.26</v>
      </c>
      <c r="M49" s="260">
        <v>0</v>
      </c>
      <c r="N49" s="260">
        <v>0</v>
      </c>
      <c r="O49" s="260">
        <v>0</v>
      </c>
      <c r="P49" s="304">
        <v>3210.74</v>
      </c>
      <c r="Q49" s="303">
        <v>18500</v>
      </c>
    </row>
    <row r="50" spans="1:17">
      <c r="A50" s="259" t="s">
        <v>1038</v>
      </c>
      <c r="B50" s="259" t="s">
        <v>956</v>
      </c>
      <c r="C50" s="260">
        <v>8</v>
      </c>
      <c r="D50" s="260">
        <v>19</v>
      </c>
      <c r="E50" s="259"/>
      <c r="F50" s="260">
        <v>74438605807968</v>
      </c>
      <c r="G50" s="260">
        <v>99</v>
      </c>
      <c r="H50" s="260">
        <v>0</v>
      </c>
      <c r="I50" s="259"/>
      <c r="J50" s="260">
        <v>1</v>
      </c>
      <c r="K50" s="259" t="s">
        <v>658</v>
      </c>
      <c r="L50" s="302">
        <v>21487.599999999999</v>
      </c>
      <c r="M50" s="260">
        <v>0</v>
      </c>
      <c r="N50" s="260">
        <v>0</v>
      </c>
      <c r="O50" s="260">
        <v>0</v>
      </c>
      <c r="P50" s="302">
        <v>4512.3999999999996</v>
      </c>
      <c r="Q50" s="303">
        <v>26000</v>
      </c>
    </row>
    <row r="51" spans="1:17">
      <c r="A51" s="259" t="s">
        <v>954</v>
      </c>
      <c r="B51" s="301" t="s">
        <v>960</v>
      </c>
      <c r="C51" s="260">
        <v>7</v>
      </c>
      <c r="D51" s="260">
        <v>160</v>
      </c>
      <c r="E51" s="259"/>
      <c r="F51" s="260">
        <v>74408958958205</v>
      </c>
      <c r="G51" s="260">
        <v>99</v>
      </c>
      <c r="H51" s="260">
        <v>0</v>
      </c>
      <c r="I51" s="259"/>
      <c r="J51" s="260">
        <v>1</v>
      </c>
      <c r="K51" s="259" t="s">
        <v>658</v>
      </c>
      <c r="L51" s="303">
        <v>-1</v>
      </c>
      <c r="M51" s="260">
        <v>0</v>
      </c>
      <c r="N51" s="260">
        <v>0</v>
      </c>
      <c r="O51" s="260">
        <v>0</v>
      </c>
      <c r="P51" s="303">
        <f>+L51*0.21</f>
        <v>-0.21</v>
      </c>
      <c r="Q51" s="303">
        <f>+SUM(L51+P51)</f>
        <v>-1.21</v>
      </c>
    </row>
    <row r="52" spans="1:17">
      <c r="A52" s="259" t="s">
        <v>962</v>
      </c>
      <c r="B52" s="259" t="s">
        <v>656</v>
      </c>
      <c r="C52" s="260">
        <v>7</v>
      </c>
      <c r="D52" s="260">
        <v>2167</v>
      </c>
      <c r="E52" s="259"/>
      <c r="F52" s="260">
        <v>74408103654758</v>
      </c>
      <c r="G52" s="259" t="s">
        <v>7</v>
      </c>
      <c r="H52" s="260">
        <v>30522428163</v>
      </c>
      <c r="I52" s="259" t="s">
        <v>955</v>
      </c>
      <c r="J52" s="260">
        <v>1</v>
      </c>
      <c r="K52" s="259" t="s">
        <v>658</v>
      </c>
      <c r="L52" s="304">
        <v>94164.44</v>
      </c>
      <c r="M52" s="260">
        <v>0</v>
      </c>
      <c r="N52" s="260">
        <v>0</v>
      </c>
      <c r="O52" s="260">
        <v>0</v>
      </c>
      <c r="P52" s="304">
        <v>19774.53</v>
      </c>
      <c r="Q52" s="304">
        <v>113938.97</v>
      </c>
    </row>
    <row r="53" spans="1:17">
      <c r="A53" s="259" t="s">
        <v>973</v>
      </c>
      <c r="B53" s="259" t="s">
        <v>956</v>
      </c>
      <c r="C53" s="260">
        <v>9</v>
      </c>
      <c r="D53" s="260">
        <v>20</v>
      </c>
      <c r="E53" s="259"/>
      <c r="F53" s="260">
        <v>74418695581613</v>
      </c>
      <c r="G53" s="260">
        <v>99</v>
      </c>
      <c r="H53" s="260">
        <v>0</v>
      </c>
      <c r="I53" s="259"/>
      <c r="J53" s="260">
        <v>1</v>
      </c>
      <c r="K53" s="259" t="s">
        <v>658</v>
      </c>
      <c r="L53" s="304">
        <v>7024.79</v>
      </c>
      <c r="M53" s="260">
        <v>0</v>
      </c>
      <c r="N53" s="260">
        <v>0</v>
      </c>
      <c r="O53" s="260">
        <v>0</v>
      </c>
      <c r="P53" s="304">
        <v>1475.21</v>
      </c>
      <c r="Q53" s="303">
        <v>8500</v>
      </c>
    </row>
    <row r="54" spans="1:17">
      <c r="A54" s="259" t="s">
        <v>1038</v>
      </c>
      <c r="B54" s="259" t="s">
        <v>956</v>
      </c>
      <c r="C54" s="260">
        <v>8</v>
      </c>
      <c r="D54" s="260">
        <v>20</v>
      </c>
      <c r="E54" s="259"/>
      <c r="F54" s="260">
        <v>74438607760579</v>
      </c>
      <c r="G54" s="260">
        <v>99</v>
      </c>
      <c r="H54" s="260">
        <v>0</v>
      </c>
      <c r="I54" s="259"/>
      <c r="J54" s="260">
        <v>1</v>
      </c>
      <c r="K54" s="259" t="s">
        <v>658</v>
      </c>
      <c r="L54" s="304">
        <v>29338.84</v>
      </c>
      <c r="M54" s="260">
        <v>0</v>
      </c>
      <c r="N54" s="260">
        <v>0</v>
      </c>
      <c r="O54" s="260">
        <v>0</v>
      </c>
      <c r="P54" s="304">
        <v>6161.16</v>
      </c>
      <c r="Q54" s="303">
        <v>35500</v>
      </c>
    </row>
    <row r="55" spans="1:17">
      <c r="A55" s="259" t="s">
        <v>973</v>
      </c>
      <c r="B55" s="259" t="s">
        <v>956</v>
      </c>
      <c r="C55" s="260">
        <v>9</v>
      </c>
      <c r="D55" s="260">
        <v>21</v>
      </c>
      <c r="E55" s="259"/>
      <c r="F55" s="260">
        <v>74418696494142</v>
      </c>
      <c r="G55" s="260">
        <v>99</v>
      </c>
      <c r="H55" s="260">
        <v>0</v>
      </c>
      <c r="I55" s="259"/>
      <c r="J55" s="260">
        <v>1</v>
      </c>
      <c r="K55" s="259" t="s">
        <v>658</v>
      </c>
      <c r="L55" s="304">
        <v>28099.17</v>
      </c>
      <c r="M55" s="260">
        <v>0</v>
      </c>
      <c r="N55" s="260">
        <v>0</v>
      </c>
      <c r="O55" s="260">
        <v>0</v>
      </c>
      <c r="P55" s="304">
        <v>5900.83</v>
      </c>
      <c r="Q55" s="303">
        <v>34000</v>
      </c>
    </row>
    <row r="56" spans="1:17">
      <c r="A56" s="259" t="s">
        <v>1038</v>
      </c>
      <c r="B56" s="259" t="s">
        <v>956</v>
      </c>
      <c r="C56" s="260">
        <v>8</v>
      </c>
      <c r="D56" s="260">
        <v>21</v>
      </c>
      <c r="E56" s="259"/>
      <c r="F56" s="260">
        <v>74438612802737</v>
      </c>
      <c r="G56" s="260">
        <v>99</v>
      </c>
      <c r="H56" s="260">
        <v>0</v>
      </c>
      <c r="I56" s="259"/>
      <c r="J56" s="260">
        <v>1</v>
      </c>
      <c r="K56" s="259" t="s">
        <v>658</v>
      </c>
      <c r="L56" s="302">
        <v>10743.8</v>
      </c>
      <c r="M56" s="260">
        <v>0</v>
      </c>
      <c r="N56" s="260">
        <v>0</v>
      </c>
      <c r="O56" s="260">
        <v>0</v>
      </c>
      <c r="P56" s="302">
        <v>2256.1999999999998</v>
      </c>
      <c r="Q56" s="303">
        <v>13000</v>
      </c>
    </row>
    <row r="57" spans="1:17">
      <c r="A57" s="259" t="s">
        <v>977</v>
      </c>
      <c r="B57" s="259" t="s">
        <v>956</v>
      </c>
      <c r="C57" s="260">
        <v>9</v>
      </c>
      <c r="D57" s="260">
        <v>22</v>
      </c>
      <c r="E57" s="259"/>
      <c r="F57" s="260">
        <v>74418764489879</v>
      </c>
      <c r="G57" s="260">
        <v>99</v>
      </c>
      <c r="H57" s="260">
        <v>0</v>
      </c>
      <c r="I57" s="259"/>
      <c r="J57" s="260">
        <v>1</v>
      </c>
      <c r="K57" s="259" t="s">
        <v>658</v>
      </c>
      <c r="L57" s="304">
        <v>8595.0400000000009</v>
      </c>
      <c r="M57" s="260">
        <v>0</v>
      </c>
      <c r="N57" s="260">
        <v>0</v>
      </c>
      <c r="O57" s="260">
        <v>0</v>
      </c>
      <c r="P57" s="304">
        <v>1804.96</v>
      </c>
      <c r="Q57" s="303">
        <v>10400</v>
      </c>
    </row>
    <row r="58" spans="1:17">
      <c r="A58" s="259" t="s">
        <v>1038</v>
      </c>
      <c r="B58" s="259" t="s">
        <v>956</v>
      </c>
      <c r="C58" s="260">
        <v>8</v>
      </c>
      <c r="D58" s="260">
        <v>22</v>
      </c>
      <c r="E58" s="259"/>
      <c r="F58" s="260">
        <v>74438617156130</v>
      </c>
      <c r="G58" s="260">
        <v>99</v>
      </c>
      <c r="H58" s="260">
        <v>0</v>
      </c>
      <c r="I58" s="259"/>
      <c r="J58" s="260">
        <v>1</v>
      </c>
      <c r="K58" s="259" t="s">
        <v>658</v>
      </c>
      <c r="L58" s="302">
        <v>11487.6</v>
      </c>
      <c r="M58" s="260">
        <v>0</v>
      </c>
      <c r="N58" s="260">
        <v>0</v>
      </c>
      <c r="O58" s="260">
        <v>0</v>
      </c>
      <c r="P58" s="302">
        <v>2412.4</v>
      </c>
      <c r="Q58" s="303">
        <v>13900</v>
      </c>
    </row>
    <row r="59" spans="1:17">
      <c r="A59" s="259" t="s">
        <v>977</v>
      </c>
      <c r="B59" s="259" t="s">
        <v>956</v>
      </c>
      <c r="C59" s="260">
        <v>9</v>
      </c>
      <c r="D59" s="260">
        <v>23</v>
      </c>
      <c r="E59" s="259"/>
      <c r="F59" s="260">
        <v>74418769740159</v>
      </c>
      <c r="G59" s="260">
        <v>99</v>
      </c>
      <c r="H59" s="260">
        <v>0</v>
      </c>
      <c r="I59" s="259"/>
      <c r="J59" s="260">
        <v>1</v>
      </c>
      <c r="K59" s="259" t="s">
        <v>658</v>
      </c>
      <c r="L59" s="302">
        <v>10743.8</v>
      </c>
      <c r="M59" s="260">
        <v>0</v>
      </c>
      <c r="N59" s="260">
        <v>0</v>
      </c>
      <c r="O59" s="260">
        <v>0</v>
      </c>
      <c r="P59" s="302">
        <v>2256.1999999999998</v>
      </c>
      <c r="Q59" s="303">
        <v>13000</v>
      </c>
    </row>
    <row r="60" spans="1:17">
      <c r="A60" s="259" t="s">
        <v>1038</v>
      </c>
      <c r="B60" s="259" t="s">
        <v>956</v>
      </c>
      <c r="C60" s="260">
        <v>8</v>
      </c>
      <c r="D60" s="260">
        <v>23</v>
      </c>
      <c r="E60" s="259"/>
      <c r="F60" s="260">
        <v>74438639281565</v>
      </c>
      <c r="G60" s="260">
        <v>99</v>
      </c>
      <c r="H60" s="260">
        <v>0</v>
      </c>
      <c r="I60" s="259"/>
      <c r="J60" s="260">
        <v>1</v>
      </c>
      <c r="K60" s="259" t="s">
        <v>658</v>
      </c>
      <c r="L60" s="304">
        <v>4958.68</v>
      </c>
      <c r="M60" s="260">
        <v>0</v>
      </c>
      <c r="N60" s="260">
        <v>0</v>
      </c>
      <c r="O60" s="260">
        <v>0</v>
      </c>
      <c r="P60" s="304">
        <v>1041.32</v>
      </c>
      <c r="Q60" s="303">
        <v>6000</v>
      </c>
    </row>
    <row r="61" spans="1:17">
      <c r="A61" s="259" t="s">
        <v>977</v>
      </c>
      <c r="B61" s="259" t="s">
        <v>956</v>
      </c>
      <c r="C61" s="260">
        <v>9</v>
      </c>
      <c r="D61" s="260">
        <v>24</v>
      </c>
      <c r="E61" s="259"/>
      <c r="F61" s="260">
        <v>74418771754336</v>
      </c>
      <c r="G61" s="260">
        <v>99</v>
      </c>
      <c r="H61" s="260">
        <v>0</v>
      </c>
      <c r="I61" s="259"/>
      <c r="J61" s="260">
        <v>1</v>
      </c>
      <c r="K61" s="259" t="s">
        <v>658</v>
      </c>
      <c r="L61" s="302">
        <v>44628.1</v>
      </c>
      <c r="M61" s="260">
        <v>0</v>
      </c>
      <c r="N61" s="260">
        <v>0</v>
      </c>
      <c r="O61" s="260">
        <v>0</v>
      </c>
      <c r="P61" s="302">
        <v>9371.9</v>
      </c>
      <c r="Q61" s="303">
        <v>54000</v>
      </c>
    </row>
    <row r="62" spans="1:17">
      <c r="A62" s="259" t="s">
        <v>1038</v>
      </c>
      <c r="B62" s="259" t="s">
        <v>956</v>
      </c>
      <c r="C62" s="260">
        <v>8</v>
      </c>
      <c r="D62" s="260">
        <v>24</v>
      </c>
      <c r="E62" s="259"/>
      <c r="F62" s="260">
        <v>74438643080056</v>
      </c>
      <c r="G62" s="260">
        <v>99</v>
      </c>
      <c r="H62" s="260">
        <v>0</v>
      </c>
      <c r="I62" s="259"/>
      <c r="J62" s="260">
        <v>1</v>
      </c>
      <c r="K62" s="259" t="s">
        <v>658</v>
      </c>
      <c r="L62" s="304">
        <v>8264.4599999999991</v>
      </c>
      <c r="M62" s="260">
        <v>0</v>
      </c>
      <c r="N62" s="260">
        <v>0</v>
      </c>
      <c r="O62" s="260">
        <v>0</v>
      </c>
      <c r="P62" s="304">
        <v>1735.54</v>
      </c>
      <c r="Q62" s="303">
        <v>10000</v>
      </c>
    </row>
    <row r="63" spans="1:17">
      <c r="A63" s="259" t="s">
        <v>977</v>
      </c>
      <c r="B63" s="259" t="s">
        <v>956</v>
      </c>
      <c r="C63" s="260">
        <v>9</v>
      </c>
      <c r="D63" s="260">
        <v>25</v>
      </c>
      <c r="E63" s="259"/>
      <c r="F63" s="260">
        <v>74418773946085</v>
      </c>
      <c r="G63" s="260">
        <v>99</v>
      </c>
      <c r="H63" s="260">
        <v>0</v>
      </c>
      <c r="I63" s="259"/>
      <c r="J63" s="260">
        <v>1</v>
      </c>
      <c r="K63" s="259" t="s">
        <v>658</v>
      </c>
      <c r="L63" s="304">
        <v>8595.0400000000009</v>
      </c>
      <c r="M63" s="260">
        <v>0</v>
      </c>
      <c r="N63" s="260">
        <v>0</v>
      </c>
      <c r="O63" s="260">
        <v>0</v>
      </c>
      <c r="P63" s="304">
        <v>1804.96</v>
      </c>
      <c r="Q63" s="303">
        <v>10400</v>
      </c>
    </row>
    <row r="64" spans="1:17">
      <c r="A64" s="259" t="s">
        <v>1038</v>
      </c>
      <c r="B64" s="259" t="s">
        <v>956</v>
      </c>
      <c r="C64" s="260">
        <v>8</v>
      </c>
      <c r="D64" s="260">
        <v>25</v>
      </c>
      <c r="E64" s="259"/>
      <c r="F64" s="260">
        <v>74438648684078</v>
      </c>
      <c r="G64" s="260">
        <v>99</v>
      </c>
      <c r="H64" s="260">
        <v>0</v>
      </c>
      <c r="I64" s="259"/>
      <c r="J64" s="260">
        <v>1</v>
      </c>
      <c r="K64" s="259" t="s">
        <v>658</v>
      </c>
      <c r="L64" s="302">
        <v>21487.599999999999</v>
      </c>
      <c r="M64" s="260">
        <v>0</v>
      </c>
      <c r="N64" s="260">
        <v>0</v>
      </c>
      <c r="O64" s="260">
        <v>0</v>
      </c>
      <c r="P64" s="302">
        <v>4512.3999999999996</v>
      </c>
      <c r="Q64" s="303">
        <v>26000</v>
      </c>
    </row>
    <row r="65" spans="1:17">
      <c r="A65" s="259" t="s">
        <v>977</v>
      </c>
      <c r="B65" s="259" t="s">
        <v>956</v>
      </c>
      <c r="C65" s="260">
        <v>9</v>
      </c>
      <c r="D65" s="260">
        <v>26</v>
      </c>
      <c r="E65" s="259"/>
      <c r="F65" s="260">
        <v>74418784244161</v>
      </c>
      <c r="G65" s="260">
        <v>99</v>
      </c>
      <c r="H65" s="260">
        <v>0</v>
      </c>
      <c r="I65" s="259"/>
      <c r="J65" s="260">
        <v>1</v>
      </c>
      <c r="K65" s="259" t="s">
        <v>658</v>
      </c>
      <c r="L65" s="304">
        <v>14669.42</v>
      </c>
      <c r="M65" s="260">
        <v>0</v>
      </c>
      <c r="N65" s="260">
        <v>0</v>
      </c>
      <c r="O65" s="260">
        <v>0</v>
      </c>
      <c r="P65" s="304">
        <v>3080.58</v>
      </c>
      <c r="Q65" s="303">
        <v>17750</v>
      </c>
    </row>
    <row r="66" spans="1:17">
      <c r="A66" s="259" t="s">
        <v>1038</v>
      </c>
      <c r="B66" s="259" t="s">
        <v>956</v>
      </c>
      <c r="C66" s="260">
        <v>8</v>
      </c>
      <c r="D66" s="260">
        <v>26</v>
      </c>
      <c r="E66" s="259"/>
      <c r="F66" s="260">
        <v>74438654923335</v>
      </c>
      <c r="G66" s="260">
        <v>99</v>
      </c>
      <c r="H66" s="260">
        <v>0</v>
      </c>
      <c r="I66" s="259"/>
      <c r="J66" s="260">
        <v>1</v>
      </c>
      <c r="K66" s="259" t="s">
        <v>658</v>
      </c>
      <c r="L66" s="302">
        <v>21487.599999999999</v>
      </c>
      <c r="M66" s="260">
        <v>0</v>
      </c>
      <c r="N66" s="260">
        <v>0</v>
      </c>
      <c r="O66" s="260">
        <v>0</v>
      </c>
      <c r="P66" s="302">
        <v>4512.3999999999996</v>
      </c>
      <c r="Q66" s="303">
        <v>26000</v>
      </c>
    </row>
    <row r="67" spans="1:17">
      <c r="A67" s="259" t="s">
        <v>977</v>
      </c>
      <c r="B67" s="259" t="s">
        <v>956</v>
      </c>
      <c r="C67" s="260">
        <v>9</v>
      </c>
      <c r="D67" s="260">
        <v>27</v>
      </c>
      <c r="E67" s="259"/>
      <c r="F67" s="260">
        <v>74418790977697</v>
      </c>
      <c r="G67" s="260">
        <v>99</v>
      </c>
      <c r="H67" s="260">
        <v>0</v>
      </c>
      <c r="I67" s="259"/>
      <c r="J67" s="260">
        <v>1</v>
      </c>
      <c r="K67" s="259" t="s">
        <v>658</v>
      </c>
      <c r="L67" s="304">
        <v>57272.73</v>
      </c>
      <c r="M67" s="260">
        <v>0</v>
      </c>
      <c r="N67" s="260">
        <v>0</v>
      </c>
      <c r="O67" s="260">
        <v>0</v>
      </c>
      <c r="P67" s="304">
        <v>12027.27</v>
      </c>
      <c r="Q67" s="303">
        <v>69300</v>
      </c>
    </row>
    <row r="68" spans="1:17">
      <c r="A68" s="259" t="s">
        <v>977</v>
      </c>
      <c r="B68" s="259" t="s">
        <v>956</v>
      </c>
      <c r="C68" s="260">
        <v>9</v>
      </c>
      <c r="D68" s="260">
        <v>28</v>
      </c>
      <c r="E68" s="259"/>
      <c r="F68" s="260">
        <v>74418808998751</v>
      </c>
      <c r="G68" s="260">
        <v>99</v>
      </c>
      <c r="H68" s="260">
        <v>0</v>
      </c>
      <c r="I68" s="259"/>
      <c r="J68" s="260">
        <v>1</v>
      </c>
      <c r="K68" s="259" t="s">
        <v>658</v>
      </c>
      <c r="L68" s="302">
        <v>10743.8</v>
      </c>
      <c r="M68" s="260">
        <v>0</v>
      </c>
      <c r="N68" s="260">
        <v>0</v>
      </c>
      <c r="O68" s="260">
        <v>0</v>
      </c>
      <c r="P68" s="302">
        <v>2256.1999999999998</v>
      </c>
      <c r="Q68" s="303">
        <v>13000</v>
      </c>
    </row>
    <row r="69" spans="1:17">
      <c r="A69" s="259" t="s">
        <v>977</v>
      </c>
      <c r="B69" s="259" t="s">
        <v>956</v>
      </c>
      <c r="C69" s="260">
        <v>9</v>
      </c>
      <c r="D69" s="260">
        <v>29</v>
      </c>
      <c r="E69" s="259"/>
      <c r="F69" s="260">
        <v>74418809564120</v>
      </c>
      <c r="G69" s="260">
        <v>99</v>
      </c>
      <c r="H69" s="260">
        <v>0</v>
      </c>
      <c r="I69" s="259"/>
      <c r="J69" s="260">
        <v>1</v>
      </c>
      <c r="K69" s="259" t="s">
        <v>658</v>
      </c>
      <c r="L69" s="304">
        <v>15702.48</v>
      </c>
      <c r="M69" s="260">
        <v>0</v>
      </c>
      <c r="N69" s="260">
        <v>0</v>
      </c>
      <c r="O69" s="260">
        <v>0</v>
      </c>
      <c r="P69" s="304">
        <v>3297.52</v>
      </c>
      <c r="Q69" s="303">
        <v>19000</v>
      </c>
    </row>
    <row r="70" spans="1:17">
      <c r="A70" s="259" t="s">
        <v>977</v>
      </c>
      <c r="B70" s="259" t="s">
        <v>956</v>
      </c>
      <c r="C70" s="260">
        <v>9</v>
      </c>
      <c r="D70" s="260">
        <v>30</v>
      </c>
      <c r="E70" s="259"/>
      <c r="F70" s="260">
        <v>74418813287321</v>
      </c>
      <c r="G70" s="260">
        <v>99</v>
      </c>
      <c r="H70" s="260">
        <v>0</v>
      </c>
      <c r="I70" s="259"/>
      <c r="J70" s="260">
        <v>1</v>
      </c>
      <c r="K70" s="259" t="s">
        <v>658</v>
      </c>
      <c r="L70" s="302">
        <v>10743.8</v>
      </c>
      <c r="M70" s="260">
        <v>0</v>
      </c>
      <c r="N70" s="260">
        <v>0</v>
      </c>
      <c r="O70" s="260">
        <v>0</v>
      </c>
      <c r="P70" s="302">
        <v>2256.1999999999998</v>
      </c>
      <c r="Q70" s="303">
        <v>13000</v>
      </c>
    </row>
    <row r="71" spans="1:17">
      <c r="A71" s="259" t="s">
        <v>977</v>
      </c>
      <c r="B71" s="259" t="s">
        <v>956</v>
      </c>
      <c r="C71" s="260">
        <v>9</v>
      </c>
      <c r="D71" s="260">
        <v>31</v>
      </c>
      <c r="E71" s="259"/>
      <c r="F71" s="260">
        <v>74418819896648</v>
      </c>
      <c r="G71" s="260">
        <v>99</v>
      </c>
      <c r="H71" s="260">
        <v>0</v>
      </c>
      <c r="I71" s="259"/>
      <c r="J71" s="260">
        <v>1</v>
      </c>
      <c r="K71" s="259" t="s">
        <v>658</v>
      </c>
      <c r="L71" s="302">
        <v>10743.8</v>
      </c>
      <c r="M71" s="260">
        <v>0</v>
      </c>
      <c r="N71" s="260">
        <v>0</v>
      </c>
      <c r="O71" s="260">
        <v>0</v>
      </c>
      <c r="P71" s="302">
        <v>2256.1999999999998</v>
      </c>
      <c r="Q71" s="303">
        <v>13000</v>
      </c>
    </row>
    <row r="72" spans="1:17">
      <c r="A72" s="259" t="s">
        <v>977</v>
      </c>
      <c r="B72" s="259" t="s">
        <v>956</v>
      </c>
      <c r="C72" s="260">
        <v>9</v>
      </c>
      <c r="D72" s="260">
        <v>32</v>
      </c>
      <c r="E72" s="259"/>
      <c r="F72" s="260">
        <v>74418827085293</v>
      </c>
      <c r="G72" s="260">
        <v>99</v>
      </c>
      <c r="H72" s="260">
        <v>0</v>
      </c>
      <c r="I72" s="259"/>
      <c r="J72" s="260">
        <v>1</v>
      </c>
      <c r="K72" s="259" t="s">
        <v>658</v>
      </c>
      <c r="L72" s="302">
        <v>10743.8</v>
      </c>
      <c r="M72" s="260">
        <v>0</v>
      </c>
      <c r="N72" s="260">
        <v>0</v>
      </c>
      <c r="O72" s="260">
        <v>0</v>
      </c>
      <c r="P72" s="302">
        <v>2256.1999999999998</v>
      </c>
      <c r="Q72" s="303">
        <v>13000</v>
      </c>
    </row>
    <row r="73" spans="1:17">
      <c r="A73" s="259" t="s">
        <v>979</v>
      </c>
      <c r="B73" s="259" t="s">
        <v>956</v>
      </c>
      <c r="C73" s="260">
        <v>9</v>
      </c>
      <c r="D73" s="260">
        <v>33</v>
      </c>
      <c r="E73" s="259"/>
      <c r="F73" s="260">
        <v>74418889669737</v>
      </c>
      <c r="G73" s="260">
        <v>99</v>
      </c>
      <c r="H73" s="260">
        <v>0</v>
      </c>
      <c r="I73" s="259"/>
      <c r="J73" s="260">
        <v>1</v>
      </c>
      <c r="K73" s="259" t="s">
        <v>658</v>
      </c>
      <c r="L73" s="304">
        <v>37190.080000000002</v>
      </c>
      <c r="M73" s="260">
        <v>0</v>
      </c>
      <c r="N73" s="260">
        <v>0</v>
      </c>
      <c r="O73" s="260">
        <v>0</v>
      </c>
      <c r="P73" s="304">
        <v>7809.92</v>
      </c>
      <c r="Q73" s="303">
        <v>45000</v>
      </c>
    </row>
    <row r="74" spans="1:17">
      <c r="A74" s="259" t="s">
        <v>979</v>
      </c>
      <c r="B74" s="259" t="s">
        <v>956</v>
      </c>
      <c r="C74" s="260">
        <v>9</v>
      </c>
      <c r="D74" s="260">
        <v>34</v>
      </c>
      <c r="E74" s="259"/>
      <c r="F74" s="260">
        <v>74418891916376</v>
      </c>
      <c r="G74" s="260">
        <v>99</v>
      </c>
      <c r="H74" s="260">
        <v>0</v>
      </c>
      <c r="I74" s="259"/>
      <c r="J74" s="260">
        <v>1</v>
      </c>
      <c r="K74" s="259" t="s">
        <v>658</v>
      </c>
      <c r="L74" s="304">
        <v>29338.84</v>
      </c>
      <c r="M74" s="260">
        <v>0</v>
      </c>
      <c r="N74" s="260">
        <v>0</v>
      </c>
      <c r="O74" s="260">
        <v>0</v>
      </c>
      <c r="P74" s="304">
        <v>6161.16</v>
      </c>
      <c r="Q74" s="303">
        <v>35500</v>
      </c>
    </row>
    <row r="75" spans="1:17">
      <c r="A75" s="259" t="s">
        <v>979</v>
      </c>
      <c r="B75" s="259" t="s">
        <v>956</v>
      </c>
      <c r="C75" s="260">
        <v>9</v>
      </c>
      <c r="D75" s="260">
        <v>35</v>
      </c>
      <c r="E75" s="259"/>
      <c r="F75" s="260">
        <v>74418895122250</v>
      </c>
      <c r="G75" s="260">
        <v>99</v>
      </c>
      <c r="H75" s="260">
        <v>0</v>
      </c>
      <c r="I75" s="259"/>
      <c r="J75" s="260">
        <v>1</v>
      </c>
      <c r="K75" s="259" t="s">
        <v>658</v>
      </c>
      <c r="L75" s="304">
        <v>11735.54</v>
      </c>
      <c r="M75" s="260">
        <v>0</v>
      </c>
      <c r="N75" s="260">
        <v>0</v>
      </c>
      <c r="O75" s="260">
        <v>0</v>
      </c>
      <c r="P75" s="304">
        <v>2464.46</v>
      </c>
      <c r="Q75" s="303">
        <v>14200</v>
      </c>
    </row>
    <row r="76" spans="1:17">
      <c r="A76" s="259" t="s">
        <v>979</v>
      </c>
      <c r="B76" s="259" t="s">
        <v>956</v>
      </c>
      <c r="C76" s="260">
        <v>9</v>
      </c>
      <c r="D76" s="260">
        <v>36</v>
      </c>
      <c r="E76" s="259"/>
      <c r="F76" s="260">
        <v>74418897566552</v>
      </c>
      <c r="G76" s="260">
        <v>99</v>
      </c>
      <c r="H76" s="260">
        <v>0</v>
      </c>
      <c r="I76" s="259"/>
      <c r="J76" s="260">
        <v>1</v>
      </c>
      <c r="K76" s="259" t="s">
        <v>658</v>
      </c>
      <c r="L76" s="304">
        <v>13966.94</v>
      </c>
      <c r="M76" s="260">
        <v>0</v>
      </c>
      <c r="N76" s="260">
        <v>0</v>
      </c>
      <c r="O76" s="260">
        <v>0</v>
      </c>
      <c r="P76" s="304">
        <v>2933.06</v>
      </c>
      <c r="Q76" s="303">
        <v>16900</v>
      </c>
    </row>
    <row r="77" spans="1:17">
      <c r="A77" s="259" t="s">
        <v>979</v>
      </c>
      <c r="B77" s="259" t="s">
        <v>956</v>
      </c>
      <c r="C77" s="260">
        <v>9</v>
      </c>
      <c r="D77" s="260">
        <v>37</v>
      </c>
      <c r="E77" s="259"/>
      <c r="F77" s="260">
        <v>74418916640733</v>
      </c>
      <c r="G77" s="260">
        <v>99</v>
      </c>
      <c r="H77" s="260">
        <v>0</v>
      </c>
      <c r="I77" s="259"/>
      <c r="J77" s="260">
        <v>1</v>
      </c>
      <c r="K77" s="259" t="s">
        <v>658</v>
      </c>
      <c r="L77" s="302">
        <v>10743.8</v>
      </c>
      <c r="M77" s="260">
        <v>0</v>
      </c>
      <c r="N77" s="260">
        <v>0</v>
      </c>
      <c r="O77" s="260">
        <v>0</v>
      </c>
      <c r="P77" s="302">
        <v>2256.1999999999998</v>
      </c>
      <c r="Q77" s="303">
        <v>13000</v>
      </c>
    </row>
    <row r="78" spans="1:17">
      <c r="A78" s="259" t="s">
        <v>979</v>
      </c>
      <c r="B78" s="259" t="s">
        <v>956</v>
      </c>
      <c r="C78" s="260">
        <v>9</v>
      </c>
      <c r="D78" s="260">
        <v>38</v>
      </c>
      <c r="E78" s="259"/>
      <c r="F78" s="260">
        <v>74418917458919</v>
      </c>
      <c r="G78" s="260">
        <v>99</v>
      </c>
      <c r="H78" s="260">
        <v>0</v>
      </c>
      <c r="I78" s="259"/>
      <c r="J78" s="260">
        <v>1</v>
      </c>
      <c r="K78" s="259" t="s">
        <v>658</v>
      </c>
      <c r="L78" s="304">
        <v>14669.42</v>
      </c>
      <c r="M78" s="260">
        <v>0</v>
      </c>
      <c r="N78" s="260">
        <v>0</v>
      </c>
      <c r="O78" s="260">
        <v>0</v>
      </c>
      <c r="P78" s="304">
        <v>3080.58</v>
      </c>
      <c r="Q78" s="303">
        <v>17750</v>
      </c>
    </row>
    <row r="79" spans="1:17">
      <c r="A79" s="259" t="s">
        <v>979</v>
      </c>
      <c r="B79" s="259" t="s">
        <v>956</v>
      </c>
      <c r="C79" s="260">
        <v>9</v>
      </c>
      <c r="D79" s="260">
        <v>39</v>
      </c>
      <c r="E79" s="259"/>
      <c r="F79" s="260">
        <v>74418923621939</v>
      </c>
      <c r="G79" s="260">
        <v>99</v>
      </c>
      <c r="H79" s="260">
        <v>0</v>
      </c>
      <c r="I79" s="259"/>
      <c r="J79" s="260">
        <v>1</v>
      </c>
      <c r="K79" s="259" t="s">
        <v>658</v>
      </c>
      <c r="L79" s="304">
        <v>28925.62</v>
      </c>
      <c r="M79" s="260">
        <v>0</v>
      </c>
      <c r="N79" s="260">
        <v>0</v>
      </c>
      <c r="O79" s="260">
        <v>0</v>
      </c>
      <c r="P79" s="304">
        <v>6074.38</v>
      </c>
      <c r="Q79" s="303">
        <v>35000</v>
      </c>
    </row>
    <row r="80" spans="1:17">
      <c r="A80" s="259" t="s">
        <v>979</v>
      </c>
      <c r="B80" s="259" t="s">
        <v>956</v>
      </c>
      <c r="C80" s="260">
        <v>9</v>
      </c>
      <c r="D80" s="260">
        <v>40</v>
      </c>
      <c r="E80" s="259"/>
      <c r="F80" s="260">
        <v>74418932404826</v>
      </c>
      <c r="G80" s="260">
        <v>99</v>
      </c>
      <c r="H80" s="260">
        <v>0</v>
      </c>
      <c r="I80" s="259"/>
      <c r="J80" s="260">
        <v>1</v>
      </c>
      <c r="K80" s="259" t="s">
        <v>658</v>
      </c>
      <c r="L80" s="302">
        <v>21487.599999999999</v>
      </c>
      <c r="M80" s="260">
        <v>0</v>
      </c>
      <c r="N80" s="260">
        <v>0</v>
      </c>
      <c r="O80" s="260">
        <v>0</v>
      </c>
      <c r="P80" s="302">
        <v>4512.3999999999996</v>
      </c>
      <c r="Q80" s="303">
        <v>26000</v>
      </c>
    </row>
    <row r="81" spans="1:17">
      <c r="A81" s="259" t="s">
        <v>979</v>
      </c>
      <c r="B81" s="259" t="s">
        <v>956</v>
      </c>
      <c r="C81" s="260">
        <v>9</v>
      </c>
      <c r="D81" s="260">
        <v>41</v>
      </c>
      <c r="E81" s="259"/>
      <c r="F81" s="260">
        <v>74418939873423</v>
      </c>
      <c r="G81" s="260">
        <v>99</v>
      </c>
      <c r="H81" s="260">
        <v>0</v>
      </c>
      <c r="I81" s="259"/>
      <c r="J81" s="260">
        <v>1</v>
      </c>
      <c r="K81" s="259" t="s">
        <v>658</v>
      </c>
      <c r="L81" s="302">
        <v>10743.8</v>
      </c>
      <c r="M81" s="260">
        <v>0</v>
      </c>
      <c r="N81" s="260">
        <v>0</v>
      </c>
      <c r="O81" s="260">
        <v>0</v>
      </c>
      <c r="P81" s="302">
        <v>2256.1999999999998</v>
      </c>
      <c r="Q81" s="303">
        <v>13000</v>
      </c>
    </row>
    <row r="82" spans="1:17">
      <c r="A82" s="259" t="s">
        <v>979</v>
      </c>
      <c r="B82" s="259" t="s">
        <v>956</v>
      </c>
      <c r="C82" s="260">
        <v>9</v>
      </c>
      <c r="D82" s="260">
        <v>42</v>
      </c>
      <c r="E82" s="259"/>
      <c r="F82" s="260">
        <v>74418943624267</v>
      </c>
      <c r="G82" s="260">
        <v>99</v>
      </c>
      <c r="H82" s="260">
        <v>0</v>
      </c>
      <c r="I82" s="259"/>
      <c r="J82" s="260">
        <v>1</v>
      </c>
      <c r="K82" s="259" t="s">
        <v>658</v>
      </c>
      <c r="L82" s="304">
        <v>29338.84</v>
      </c>
      <c r="M82" s="260">
        <v>0</v>
      </c>
      <c r="N82" s="260">
        <v>0</v>
      </c>
      <c r="O82" s="260">
        <v>0</v>
      </c>
      <c r="P82" s="304">
        <v>6161.16</v>
      </c>
      <c r="Q82" s="303">
        <v>35500</v>
      </c>
    </row>
    <row r="83" spans="1:17">
      <c r="A83" s="259" t="s">
        <v>979</v>
      </c>
      <c r="B83" s="259" t="s">
        <v>956</v>
      </c>
      <c r="C83" s="260">
        <v>9</v>
      </c>
      <c r="D83" s="260">
        <v>43</v>
      </c>
      <c r="E83" s="259"/>
      <c r="F83" s="260">
        <v>74418948732728</v>
      </c>
      <c r="G83" s="260">
        <v>99</v>
      </c>
      <c r="H83" s="260">
        <v>0</v>
      </c>
      <c r="I83" s="259"/>
      <c r="J83" s="260">
        <v>1</v>
      </c>
      <c r="K83" s="259" t="s">
        <v>658</v>
      </c>
      <c r="L83" s="304">
        <v>13966.94</v>
      </c>
      <c r="M83" s="260">
        <v>0</v>
      </c>
      <c r="N83" s="260">
        <v>0</v>
      </c>
      <c r="O83" s="260">
        <v>0</v>
      </c>
      <c r="P83" s="304">
        <v>2933.06</v>
      </c>
      <c r="Q83" s="303">
        <v>16900</v>
      </c>
    </row>
    <row r="84" spans="1:17">
      <c r="A84" s="259" t="s">
        <v>979</v>
      </c>
      <c r="B84" s="259" t="s">
        <v>956</v>
      </c>
      <c r="C84" s="260">
        <v>9</v>
      </c>
      <c r="D84" s="260">
        <v>44</v>
      </c>
      <c r="E84" s="259"/>
      <c r="F84" s="260">
        <v>74418949479366</v>
      </c>
      <c r="G84" s="260">
        <v>99</v>
      </c>
      <c r="H84" s="260">
        <v>0</v>
      </c>
      <c r="I84" s="259"/>
      <c r="J84" s="260">
        <v>1</v>
      </c>
      <c r="K84" s="259" t="s">
        <v>658</v>
      </c>
      <c r="L84" s="304">
        <v>19834.71</v>
      </c>
      <c r="M84" s="260">
        <v>0</v>
      </c>
      <c r="N84" s="260">
        <v>0</v>
      </c>
      <c r="O84" s="260">
        <v>0</v>
      </c>
      <c r="P84" s="304">
        <v>4165.29</v>
      </c>
      <c r="Q84" s="303">
        <v>24000</v>
      </c>
    </row>
    <row r="85" spans="1:17">
      <c r="A85" s="259" t="s">
        <v>979</v>
      </c>
      <c r="B85" s="259" t="s">
        <v>956</v>
      </c>
      <c r="C85" s="260">
        <v>9</v>
      </c>
      <c r="D85" s="260">
        <v>45</v>
      </c>
      <c r="E85" s="259"/>
      <c r="F85" s="260">
        <v>74418950603801</v>
      </c>
      <c r="G85" s="260">
        <v>99</v>
      </c>
      <c r="H85" s="260">
        <v>0</v>
      </c>
      <c r="I85" s="259"/>
      <c r="J85" s="260">
        <v>1</v>
      </c>
      <c r="K85" s="259" t="s">
        <v>658</v>
      </c>
      <c r="L85" s="304">
        <v>20661.16</v>
      </c>
      <c r="M85" s="260">
        <v>0</v>
      </c>
      <c r="N85" s="260">
        <v>0</v>
      </c>
      <c r="O85" s="260">
        <v>0</v>
      </c>
      <c r="P85" s="304">
        <v>4338.84</v>
      </c>
      <c r="Q85" s="303">
        <v>25000</v>
      </c>
    </row>
    <row r="86" spans="1:17">
      <c r="A86" s="259" t="s">
        <v>992</v>
      </c>
      <c r="B86" s="259" t="s">
        <v>956</v>
      </c>
      <c r="C86" s="260">
        <v>9</v>
      </c>
      <c r="D86" s="260">
        <v>46</v>
      </c>
      <c r="E86" s="259"/>
      <c r="F86" s="260">
        <v>74418028989896</v>
      </c>
      <c r="G86" s="260">
        <v>99</v>
      </c>
      <c r="H86" s="260">
        <v>0</v>
      </c>
      <c r="I86" s="259"/>
      <c r="J86" s="260">
        <v>1</v>
      </c>
      <c r="K86" s="259" t="s">
        <v>658</v>
      </c>
      <c r="L86" s="302">
        <v>41487.599999999999</v>
      </c>
      <c r="M86" s="260">
        <v>0</v>
      </c>
      <c r="N86" s="260">
        <v>0</v>
      </c>
      <c r="O86" s="260">
        <v>0</v>
      </c>
      <c r="P86" s="302">
        <v>8712.4</v>
      </c>
      <c r="Q86" s="303">
        <v>50200</v>
      </c>
    </row>
    <row r="87" spans="1:17">
      <c r="A87" s="259" t="s">
        <v>992</v>
      </c>
      <c r="B87" s="259" t="s">
        <v>956</v>
      </c>
      <c r="C87" s="260">
        <v>9</v>
      </c>
      <c r="D87" s="260">
        <v>47</v>
      </c>
      <c r="E87" s="259"/>
      <c r="F87" s="260">
        <v>74418034934630</v>
      </c>
      <c r="G87" s="260">
        <v>99</v>
      </c>
      <c r="H87" s="260">
        <v>0</v>
      </c>
      <c r="I87" s="259"/>
      <c r="J87" s="260">
        <v>1</v>
      </c>
      <c r="K87" s="259" t="s">
        <v>658</v>
      </c>
      <c r="L87" s="304">
        <v>36363.629999999997</v>
      </c>
      <c r="M87" s="260">
        <v>0</v>
      </c>
      <c r="N87" s="260">
        <v>0</v>
      </c>
      <c r="O87" s="260">
        <v>0</v>
      </c>
      <c r="P87" s="304">
        <v>7636.37</v>
      </c>
      <c r="Q87" s="303">
        <v>44000</v>
      </c>
    </row>
    <row r="88" spans="1:17">
      <c r="A88" s="259" t="s">
        <v>992</v>
      </c>
      <c r="B88" s="259" t="s">
        <v>956</v>
      </c>
      <c r="C88" s="260">
        <v>9</v>
      </c>
      <c r="D88" s="260">
        <v>48</v>
      </c>
      <c r="E88" s="259"/>
      <c r="F88" s="260">
        <v>74418040577125</v>
      </c>
      <c r="G88" s="260">
        <v>99</v>
      </c>
      <c r="H88" s="260">
        <v>0</v>
      </c>
      <c r="I88" s="259"/>
      <c r="J88" s="260">
        <v>1</v>
      </c>
      <c r="K88" s="259" t="s">
        <v>658</v>
      </c>
      <c r="L88" s="302">
        <v>10743.8</v>
      </c>
      <c r="M88" s="260">
        <v>0</v>
      </c>
      <c r="N88" s="260">
        <v>0</v>
      </c>
      <c r="O88" s="260">
        <v>0</v>
      </c>
      <c r="P88" s="302">
        <v>2256.1999999999998</v>
      </c>
      <c r="Q88" s="303">
        <v>13000</v>
      </c>
    </row>
    <row r="89" spans="1:17">
      <c r="A89" s="259" t="s">
        <v>966</v>
      </c>
      <c r="B89" s="259" t="s">
        <v>656</v>
      </c>
      <c r="C89" s="260">
        <v>7</v>
      </c>
      <c r="D89" s="260">
        <v>2168</v>
      </c>
      <c r="E89" s="259"/>
      <c r="F89" s="260">
        <v>74408316978690</v>
      </c>
      <c r="G89" s="259" t="s">
        <v>7</v>
      </c>
      <c r="H89" s="260">
        <v>30715186655</v>
      </c>
      <c r="I89" s="259" t="s">
        <v>968</v>
      </c>
      <c r="J89" s="260">
        <v>1</v>
      </c>
      <c r="K89" s="259" t="s">
        <v>658</v>
      </c>
      <c r="L89" s="304">
        <v>474097.79</v>
      </c>
      <c r="M89" s="260">
        <v>0</v>
      </c>
      <c r="N89" s="260">
        <v>0</v>
      </c>
      <c r="O89" s="260">
        <v>0</v>
      </c>
      <c r="P89" s="304">
        <v>99560.54</v>
      </c>
      <c r="Q89" s="304">
        <v>573658.32999999996</v>
      </c>
    </row>
    <row r="90" spans="1:17">
      <c r="A90" s="259" t="s">
        <v>966</v>
      </c>
      <c r="B90" s="259" t="s">
        <v>656</v>
      </c>
      <c r="C90" s="260">
        <v>7</v>
      </c>
      <c r="D90" s="260">
        <v>2169</v>
      </c>
      <c r="E90" s="259"/>
      <c r="F90" s="260">
        <v>74408319440955</v>
      </c>
      <c r="G90" s="259" t="s">
        <v>7</v>
      </c>
      <c r="H90" s="260">
        <v>30590412631</v>
      </c>
      <c r="I90" s="259" t="s">
        <v>967</v>
      </c>
      <c r="J90" s="260">
        <v>1</v>
      </c>
      <c r="K90" s="259" t="s">
        <v>658</v>
      </c>
      <c r="L90" s="304">
        <v>411570.25</v>
      </c>
      <c r="M90" s="260">
        <v>0</v>
      </c>
      <c r="N90" s="260">
        <v>0</v>
      </c>
      <c r="O90" s="260">
        <v>0</v>
      </c>
      <c r="P90" s="304">
        <v>86429.75</v>
      </c>
      <c r="Q90" s="303">
        <v>498000</v>
      </c>
    </row>
    <row r="91" spans="1:17">
      <c r="A91" s="259" t="s">
        <v>966</v>
      </c>
      <c r="B91" s="259" t="s">
        <v>656</v>
      </c>
      <c r="C91" s="260">
        <v>7</v>
      </c>
      <c r="D91" s="260">
        <v>2170</v>
      </c>
      <c r="E91" s="259"/>
      <c r="F91" s="260">
        <v>74408321803168</v>
      </c>
      <c r="G91" s="259" t="s">
        <v>7</v>
      </c>
      <c r="H91" s="260">
        <v>30500053522</v>
      </c>
      <c r="I91" s="259" t="s">
        <v>969</v>
      </c>
      <c r="J91" s="260">
        <v>1</v>
      </c>
      <c r="K91" s="259" t="s">
        <v>658</v>
      </c>
      <c r="L91" s="304">
        <v>65950.41</v>
      </c>
      <c r="M91" s="260">
        <v>0</v>
      </c>
      <c r="N91" s="260">
        <v>0</v>
      </c>
      <c r="O91" s="260">
        <v>0</v>
      </c>
      <c r="P91" s="304">
        <v>13849.59</v>
      </c>
      <c r="Q91" s="303">
        <v>79800</v>
      </c>
    </row>
    <row r="92" spans="1:17">
      <c r="A92" s="259" t="s">
        <v>966</v>
      </c>
      <c r="B92" s="259" t="s">
        <v>656</v>
      </c>
      <c r="C92" s="260">
        <v>7</v>
      </c>
      <c r="D92" s="260">
        <v>2171</v>
      </c>
      <c r="E92" s="259"/>
      <c r="F92" s="260">
        <v>74408366361334</v>
      </c>
      <c r="G92" s="259" t="s">
        <v>7</v>
      </c>
      <c r="H92" s="260">
        <v>30710538014</v>
      </c>
      <c r="I92" s="259" t="s">
        <v>970</v>
      </c>
      <c r="J92" s="260">
        <v>1</v>
      </c>
      <c r="K92" s="259" t="s">
        <v>658</v>
      </c>
      <c r="L92" s="304">
        <v>418429.75</v>
      </c>
      <c r="M92" s="260">
        <v>0</v>
      </c>
      <c r="N92" s="260">
        <v>0</v>
      </c>
      <c r="O92" s="260">
        <v>0</v>
      </c>
      <c r="P92" s="304">
        <v>87870.25</v>
      </c>
      <c r="Q92" s="303">
        <v>506300</v>
      </c>
    </row>
    <row r="93" spans="1:17">
      <c r="A93" s="259" t="s">
        <v>966</v>
      </c>
      <c r="B93" s="259" t="s">
        <v>656</v>
      </c>
      <c r="C93" s="260">
        <v>3</v>
      </c>
      <c r="D93" s="260">
        <v>2124</v>
      </c>
      <c r="E93" s="259"/>
      <c r="F93" s="260">
        <v>74408327628289</v>
      </c>
      <c r="G93" s="259" t="s">
        <v>7</v>
      </c>
      <c r="H93" s="260">
        <v>27301150801</v>
      </c>
      <c r="I93" s="259" t="s">
        <v>971</v>
      </c>
      <c r="J93" s="260">
        <v>1</v>
      </c>
      <c r="K93" s="259" t="s">
        <v>658</v>
      </c>
      <c r="L93" s="304">
        <v>21487.62</v>
      </c>
      <c r="M93" s="260">
        <v>0</v>
      </c>
      <c r="N93" s="260">
        <v>0</v>
      </c>
      <c r="O93" s="260">
        <v>0</v>
      </c>
      <c r="P93" s="302">
        <v>4512.3999999999996</v>
      </c>
      <c r="Q93" s="303">
        <v>26000</v>
      </c>
    </row>
    <row r="94" spans="1:17">
      <c r="A94" s="259" t="s">
        <v>966</v>
      </c>
      <c r="B94" s="259" t="s">
        <v>961</v>
      </c>
      <c r="C94" s="260">
        <v>6</v>
      </c>
      <c r="D94" s="260">
        <v>537</v>
      </c>
      <c r="E94" s="259"/>
      <c r="F94" s="260">
        <v>74408336991539</v>
      </c>
      <c r="G94" s="259" t="s">
        <v>7</v>
      </c>
      <c r="H94" s="260">
        <v>30683032227</v>
      </c>
      <c r="I94" s="259" t="s">
        <v>972</v>
      </c>
      <c r="J94" s="260">
        <v>1</v>
      </c>
      <c r="K94" s="259" t="s">
        <v>658</v>
      </c>
      <c r="L94" s="304">
        <v>3717071.02</v>
      </c>
      <c r="M94" s="260">
        <v>0</v>
      </c>
      <c r="N94" s="260">
        <v>0</v>
      </c>
      <c r="O94" s="260">
        <v>0</v>
      </c>
      <c r="P94" s="304">
        <v>780584.92</v>
      </c>
      <c r="Q94" s="304">
        <v>4497655.9400000004</v>
      </c>
    </row>
    <row r="95" spans="1:17">
      <c r="A95" s="259" t="s">
        <v>992</v>
      </c>
      <c r="B95" s="259" t="s">
        <v>956</v>
      </c>
      <c r="C95" s="260">
        <v>9</v>
      </c>
      <c r="D95" s="260">
        <v>49</v>
      </c>
      <c r="E95" s="259"/>
      <c r="F95" s="260">
        <v>74418041440212</v>
      </c>
      <c r="G95" s="260">
        <v>99</v>
      </c>
      <c r="H95" s="260">
        <v>0</v>
      </c>
      <c r="I95" s="259"/>
      <c r="J95" s="260">
        <v>1</v>
      </c>
      <c r="K95" s="259" t="s">
        <v>658</v>
      </c>
      <c r="L95" s="302">
        <v>10743.8</v>
      </c>
      <c r="M95" s="260">
        <v>0</v>
      </c>
      <c r="N95" s="260">
        <v>0</v>
      </c>
      <c r="O95" s="260">
        <v>0</v>
      </c>
      <c r="P95" s="302">
        <v>2256.1999999999998</v>
      </c>
      <c r="Q95" s="303">
        <v>13000</v>
      </c>
    </row>
    <row r="96" spans="1:17">
      <c r="A96" s="259" t="s">
        <v>992</v>
      </c>
      <c r="B96" s="259" t="s">
        <v>956</v>
      </c>
      <c r="C96" s="260">
        <v>9</v>
      </c>
      <c r="D96" s="260">
        <v>50</v>
      </c>
      <c r="E96" s="259"/>
      <c r="F96" s="260">
        <v>74418046197129</v>
      </c>
      <c r="G96" s="260">
        <v>99</v>
      </c>
      <c r="H96" s="260">
        <v>0</v>
      </c>
      <c r="I96" s="259"/>
      <c r="J96" s="260">
        <v>1</v>
      </c>
      <c r="K96" s="259" t="s">
        <v>658</v>
      </c>
      <c r="L96" s="304">
        <v>51239.67</v>
      </c>
      <c r="M96" s="260">
        <v>0</v>
      </c>
      <c r="N96" s="260">
        <v>0</v>
      </c>
      <c r="O96" s="260">
        <v>0</v>
      </c>
      <c r="P96" s="304">
        <v>10760.33</v>
      </c>
      <c r="Q96" s="303">
        <v>62000</v>
      </c>
    </row>
    <row r="97" spans="1:17">
      <c r="A97" s="259" t="s">
        <v>992</v>
      </c>
      <c r="B97" s="259" t="s">
        <v>956</v>
      </c>
      <c r="C97" s="260">
        <v>9</v>
      </c>
      <c r="D97" s="260">
        <v>51</v>
      </c>
      <c r="E97" s="259"/>
      <c r="F97" s="260">
        <v>74418062659277</v>
      </c>
      <c r="G97" s="260">
        <v>99</v>
      </c>
      <c r="H97" s="260">
        <v>0</v>
      </c>
      <c r="I97" s="259"/>
      <c r="J97" s="260">
        <v>1</v>
      </c>
      <c r="K97" s="259" t="s">
        <v>658</v>
      </c>
      <c r="L97" s="304">
        <v>12396.69</v>
      </c>
      <c r="M97" s="260">
        <v>0</v>
      </c>
      <c r="N97" s="260">
        <v>0</v>
      </c>
      <c r="O97" s="260">
        <v>0</v>
      </c>
      <c r="P97" s="304">
        <v>2603.31</v>
      </c>
      <c r="Q97" s="303">
        <v>15000</v>
      </c>
    </row>
    <row r="98" spans="1:17">
      <c r="A98" s="259" t="s">
        <v>992</v>
      </c>
      <c r="B98" s="259" t="s">
        <v>956</v>
      </c>
      <c r="C98" s="260">
        <v>9</v>
      </c>
      <c r="D98" s="260">
        <v>52</v>
      </c>
      <c r="E98" s="259"/>
      <c r="F98" s="260">
        <v>74418064811168</v>
      </c>
      <c r="G98" s="260">
        <v>99</v>
      </c>
      <c r="H98" s="260">
        <v>0</v>
      </c>
      <c r="I98" s="259"/>
      <c r="J98" s="260">
        <v>1</v>
      </c>
      <c r="K98" s="259" t="s">
        <v>658</v>
      </c>
      <c r="L98" s="304">
        <v>14669.42</v>
      </c>
      <c r="M98" s="260">
        <v>0</v>
      </c>
      <c r="N98" s="260">
        <v>0</v>
      </c>
      <c r="O98" s="260">
        <v>0</v>
      </c>
      <c r="P98" s="304">
        <v>3080.58</v>
      </c>
      <c r="Q98" s="303">
        <v>17750</v>
      </c>
    </row>
    <row r="99" spans="1:17">
      <c r="A99" s="259" t="s">
        <v>992</v>
      </c>
      <c r="B99" s="259" t="s">
        <v>956</v>
      </c>
      <c r="C99" s="260">
        <v>9</v>
      </c>
      <c r="D99" s="260">
        <v>53</v>
      </c>
      <c r="E99" s="259"/>
      <c r="F99" s="260">
        <v>74418070705317</v>
      </c>
      <c r="G99" s="260">
        <v>99</v>
      </c>
      <c r="H99" s="260">
        <v>0</v>
      </c>
      <c r="I99" s="259"/>
      <c r="J99" s="260">
        <v>1</v>
      </c>
      <c r="K99" s="259" t="s">
        <v>658</v>
      </c>
      <c r="L99" s="304">
        <v>14669.42</v>
      </c>
      <c r="M99" s="260">
        <v>0</v>
      </c>
      <c r="N99" s="260">
        <v>0</v>
      </c>
      <c r="O99" s="260">
        <v>0</v>
      </c>
      <c r="P99" s="304">
        <v>3080.58</v>
      </c>
      <c r="Q99" s="303">
        <v>17750</v>
      </c>
    </row>
    <row r="100" spans="1:17">
      <c r="A100" s="259" t="s">
        <v>992</v>
      </c>
      <c r="B100" s="259" t="s">
        <v>956</v>
      </c>
      <c r="C100" s="260">
        <v>9</v>
      </c>
      <c r="D100" s="260">
        <v>54</v>
      </c>
      <c r="E100" s="259"/>
      <c r="F100" s="260">
        <v>74418078402646</v>
      </c>
      <c r="G100" s="260">
        <v>99</v>
      </c>
      <c r="H100" s="260">
        <v>0</v>
      </c>
      <c r="I100" s="259"/>
      <c r="J100" s="260">
        <v>1</v>
      </c>
      <c r="K100" s="259" t="s">
        <v>658</v>
      </c>
      <c r="L100" s="304">
        <v>28925.62</v>
      </c>
      <c r="M100" s="260">
        <v>0</v>
      </c>
      <c r="N100" s="260">
        <v>0</v>
      </c>
      <c r="O100" s="260">
        <v>0</v>
      </c>
      <c r="P100" s="304">
        <v>6074.38</v>
      </c>
      <c r="Q100" s="303">
        <v>35000</v>
      </c>
    </row>
    <row r="101" spans="1:17">
      <c r="A101" s="259" t="s">
        <v>992</v>
      </c>
      <c r="B101" s="259" t="s">
        <v>956</v>
      </c>
      <c r="C101" s="260">
        <v>9</v>
      </c>
      <c r="D101" s="260">
        <v>55</v>
      </c>
      <c r="E101" s="259"/>
      <c r="F101" s="260">
        <v>74418079997217</v>
      </c>
      <c r="G101" s="260">
        <v>99</v>
      </c>
      <c r="H101" s="260">
        <v>0</v>
      </c>
      <c r="I101" s="259"/>
      <c r="J101" s="260">
        <v>1</v>
      </c>
      <c r="K101" s="259" t="s">
        <v>658</v>
      </c>
      <c r="L101" s="304">
        <v>41322.31</v>
      </c>
      <c r="M101" s="260">
        <v>0</v>
      </c>
      <c r="N101" s="260">
        <v>0</v>
      </c>
      <c r="O101" s="260">
        <v>0</v>
      </c>
      <c r="P101" s="304">
        <v>8677.69</v>
      </c>
      <c r="Q101" s="303">
        <v>50000</v>
      </c>
    </row>
    <row r="102" spans="1:17">
      <c r="A102" s="259" t="s">
        <v>992</v>
      </c>
      <c r="B102" s="259" t="s">
        <v>956</v>
      </c>
      <c r="C102" s="260">
        <v>9</v>
      </c>
      <c r="D102" s="260">
        <v>56</v>
      </c>
      <c r="E102" s="259"/>
      <c r="F102" s="260">
        <v>74418081432889</v>
      </c>
      <c r="G102" s="260">
        <v>99</v>
      </c>
      <c r="H102" s="260">
        <v>0</v>
      </c>
      <c r="I102" s="259"/>
      <c r="J102" s="260">
        <v>1</v>
      </c>
      <c r="K102" s="259" t="s">
        <v>658</v>
      </c>
      <c r="L102" s="304">
        <v>16528.93</v>
      </c>
      <c r="M102" s="260">
        <v>0</v>
      </c>
      <c r="N102" s="260">
        <v>0</v>
      </c>
      <c r="O102" s="260">
        <v>0</v>
      </c>
      <c r="P102" s="304">
        <v>3471.07</v>
      </c>
      <c r="Q102" s="303">
        <v>20000</v>
      </c>
    </row>
    <row r="103" spans="1:17">
      <c r="A103" s="259" t="s">
        <v>992</v>
      </c>
      <c r="B103" s="259" t="s">
        <v>956</v>
      </c>
      <c r="C103" s="260">
        <v>9</v>
      </c>
      <c r="D103" s="260">
        <v>57</v>
      </c>
      <c r="E103" s="259"/>
      <c r="F103" s="260">
        <v>74418083374260</v>
      </c>
      <c r="G103" s="260">
        <v>99</v>
      </c>
      <c r="H103" s="260">
        <v>0</v>
      </c>
      <c r="I103" s="259"/>
      <c r="J103" s="260">
        <v>1</v>
      </c>
      <c r="K103" s="259" t="s">
        <v>658</v>
      </c>
      <c r="L103" s="304">
        <v>28099.17</v>
      </c>
      <c r="M103" s="260">
        <v>0</v>
      </c>
      <c r="N103" s="260">
        <v>0</v>
      </c>
      <c r="O103" s="260">
        <v>0</v>
      </c>
      <c r="P103" s="304">
        <v>5900.83</v>
      </c>
      <c r="Q103" s="303">
        <v>34000</v>
      </c>
    </row>
    <row r="104" spans="1:17">
      <c r="A104" s="259" t="s">
        <v>992</v>
      </c>
      <c r="B104" s="259" t="s">
        <v>956</v>
      </c>
      <c r="C104" s="260">
        <v>9</v>
      </c>
      <c r="D104" s="260">
        <v>58</v>
      </c>
      <c r="E104" s="259"/>
      <c r="F104" s="260">
        <v>74418085503450</v>
      </c>
      <c r="G104" s="260">
        <v>99</v>
      </c>
      <c r="H104" s="260">
        <v>0</v>
      </c>
      <c r="I104" s="259"/>
      <c r="J104" s="260">
        <v>1</v>
      </c>
      <c r="K104" s="259" t="s">
        <v>658</v>
      </c>
      <c r="L104" s="304">
        <v>21900.83</v>
      </c>
      <c r="M104" s="260">
        <v>0</v>
      </c>
      <c r="N104" s="260">
        <v>0</v>
      </c>
      <c r="O104" s="260">
        <v>0</v>
      </c>
      <c r="P104" s="304">
        <v>4599.17</v>
      </c>
      <c r="Q104" s="303">
        <v>26500</v>
      </c>
    </row>
    <row r="105" spans="1:17">
      <c r="A105" s="259" t="s">
        <v>992</v>
      </c>
      <c r="B105" s="259" t="s">
        <v>956</v>
      </c>
      <c r="C105" s="260">
        <v>9</v>
      </c>
      <c r="D105" s="260">
        <v>59</v>
      </c>
      <c r="E105" s="259"/>
      <c r="F105" s="260">
        <v>74418088847324</v>
      </c>
      <c r="G105" s="260">
        <v>99</v>
      </c>
      <c r="H105" s="260">
        <v>0</v>
      </c>
      <c r="I105" s="259"/>
      <c r="J105" s="260">
        <v>1</v>
      </c>
      <c r="K105" s="259" t="s">
        <v>658</v>
      </c>
      <c r="L105" s="304">
        <v>29338.84</v>
      </c>
      <c r="M105" s="260">
        <v>0</v>
      </c>
      <c r="N105" s="260">
        <v>0</v>
      </c>
      <c r="O105" s="260">
        <v>0</v>
      </c>
      <c r="P105" s="304">
        <v>6161.16</v>
      </c>
      <c r="Q105" s="303">
        <v>35500</v>
      </c>
    </row>
    <row r="106" spans="1:17">
      <c r="A106" s="259" t="s">
        <v>999</v>
      </c>
      <c r="B106" s="259" t="s">
        <v>956</v>
      </c>
      <c r="C106" s="260">
        <v>9</v>
      </c>
      <c r="D106" s="260">
        <v>60</v>
      </c>
      <c r="E106" s="259"/>
      <c r="F106" s="260">
        <v>74428430670640</v>
      </c>
      <c r="G106" s="260">
        <v>99</v>
      </c>
      <c r="H106" s="260">
        <v>0</v>
      </c>
      <c r="I106" s="259"/>
      <c r="J106" s="260">
        <v>1</v>
      </c>
      <c r="K106" s="259" t="s">
        <v>658</v>
      </c>
      <c r="L106" s="304">
        <v>8264.4599999999991</v>
      </c>
      <c r="M106" s="260">
        <v>0</v>
      </c>
      <c r="N106" s="260">
        <v>0</v>
      </c>
      <c r="O106" s="260">
        <v>0</v>
      </c>
      <c r="P106" s="304">
        <v>1735.54</v>
      </c>
      <c r="Q106" s="303">
        <v>10000</v>
      </c>
    </row>
    <row r="107" spans="1:17">
      <c r="A107" s="259" t="s">
        <v>999</v>
      </c>
      <c r="B107" s="259" t="s">
        <v>956</v>
      </c>
      <c r="C107" s="260">
        <v>9</v>
      </c>
      <c r="D107" s="260">
        <v>61</v>
      </c>
      <c r="E107" s="259"/>
      <c r="F107" s="260">
        <v>74428432548398</v>
      </c>
      <c r="G107" s="260">
        <v>99</v>
      </c>
      <c r="H107" s="260">
        <v>0</v>
      </c>
      <c r="I107" s="259"/>
      <c r="J107" s="260">
        <v>1</v>
      </c>
      <c r="K107" s="259" t="s">
        <v>658</v>
      </c>
      <c r="L107" s="304">
        <v>20661.16</v>
      </c>
      <c r="M107" s="260">
        <v>0</v>
      </c>
      <c r="N107" s="260">
        <v>0</v>
      </c>
      <c r="O107" s="260">
        <v>0</v>
      </c>
      <c r="P107" s="304">
        <v>4338.84</v>
      </c>
      <c r="Q107" s="303">
        <v>25000</v>
      </c>
    </row>
    <row r="108" spans="1:17">
      <c r="A108" s="259" t="s">
        <v>999</v>
      </c>
      <c r="B108" s="259" t="s">
        <v>956</v>
      </c>
      <c r="C108" s="260">
        <v>9</v>
      </c>
      <c r="D108" s="260">
        <v>62</v>
      </c>
      <c r="E108" s="259"/>
      <c r="F108" s="260">
        <v>74428435261323</v>
      </c>
      <c r="G108" s="260">
        <v>99</v>
      </c>
      <c r="H108" s="260">
        <v>0</v>
      </c>
      <c r="I108" s="259"/>
      <c r="J108" s="260">
        <v>1</v>
      </c>
      <c r="K108" s="259" t="s">
        <v>658</v>
      </c>
      <c r="L108" s="304">
        <v>25413.22</v>
      </c>
      <c r="M108" s="260">
        <v>0</v>
      </c>
      <c r="N108" s="260">
        <v>0</v>
      </c>
      <c r="O108" s="260">
        <v>0</v>
      </c>
      <c r="P108" s="304">
        <v>5336.78</v>
      </c>
      <c r="Q108" s="303">
        <v>30750</v>
      </c>
    </row>
    <row r="109" spans="1:17">
      <c r="A109" s="259" t="s">
        <v>999</v>
      </c>
      <c r="B109" s="259" t="s">
        <v>956</v>
      </c>
      <c r="C109" s="260">
        <v>9</v>
      </c>
      <c r="D109" s="260">
        <v>63</v>
      </c>
      <c r="E109" s="259"/>
      <c r="F109" s="260">
        <v>74428450085565</v>
      </c>
      <c r="G109" s="260">
        <v>99</v>
      </c>
      <c r="H109" s="260">
        <v>0</v>
      </c>
      <c r="I109" s="259"/>
      <c r="J109" s="260">
        <v>1</v>
      </c>
      <c r="K109" s="259" t="s">
        <v>658</v>
      </c>
      <c r="L109" s="304">
        <v>29338.84</v>
      </c>
      <c r="M109" s="260">
        <v>0</v>
      </c>
      <c r="N109" s="260">
        <v>0</v>
      </c>
      <c r="O109" s="260">
        <v>0</v>
      </c>
      <c r="P109" s="304">
        <v>6161.16</v>
      </c>
      <c r="Q109" s="303">
        <v>35500</v>
      </c>
    </row>
    <row r="110" spans="1:17">
      <c r="A110" s="259" t="s">
        <v>999</v>
      </c>
      <c r="B110" s="259" t="s">
        <v>956</v>
      </c>
      <c r="C110" s="260">
        <v>9</v>
      </c>
      <c r="D110" s="260">
        <v>64</v>
      </c>
      <c r="E110" s="259"/>
      <c r="F110" s="260">
        <v>74428451162543</v>
      </c>
      <c r="G110" s="260">
        <v>99</v>
      </c>
      <c r="H110" s="260">
        <v>0</v>
      </c>
      <c r="I110" s="259"/>
      <c r="J110" s="260">
        <v>1</v>
      </c>
      <c r="K110" s="259" t="s">
        <v>658</v>
      </c>
      <c r="L110" s="302">
        <v>11487.6</v>
      </c>
      <c r="M110" s="260">
        <v>0</v>
      </c>
      <c r="N110" s="260">
        <v>0</v>
      </c>
      <c r="O110" s="260">
        <v>0</v>
      </c>
      <c r="P110" s="302">
        <v>2412.4</v>
      </c>
      <c r="Q110" s="303">
        <v>13900</v>
      </c>
    </row>
    <row r="111" spans="1:17">
      <c r="A111" s="259" t="s">
        <v>999</v>
      </c>
      <c r="B111" s="259" t="s">
        <v>956</v>
      </c>
      <c r="C111" s="260">
        <v>9</v>
      </c>
      <c r="D111" s="260">
        <v>65</v>
      </c>
      <c r="E111" s="259"/>
      <c r="F111" s="260">
        <v>74428454886464</v>
      </c>
      <c r="G111" s="260">
        <v>99</v>
      </c>
      <c r="H111" s="260">
        <v>0</v>
      </c>
      <c r="I111" s="259"/>
      <c r="J111" s="260">
        <v>1</v>
      </c>
      <c r="K111" s="259" t="s">
        <v>658</v>
      </c>
      <c r="L111" s="304">
        <v>22314.05</v>
      </c>
      <c r="M111" s="260">
        <v>0</v>
      </c>
      <c r="N111" s="260">
        <v>0</v>
      </c>
      <c r="O111" s="260">
        <v>0</v>
      </c>
      <c r="P111" s="304">
        <v>4685.95</v>
      </c>
      <c r="Q111" s="303">
        <v>27000</v>
      </c>
    </row>
    <row r="112" spans="1:17">
      <c r="A112" s="259" t="s">
        <v>973</v>
      </c>
      <c r="B112" s="259" t="s">
        <v>656</v>
      </c>
      <c r="C112" s="260">
        <v>7</v>
      </c>
      <c r="D112" s="260">
        <v>2172</v>
      </c>
      <c r="E112" s="259"/>
      <c r="F112" s="260">
        <v>74418647857079</v>
      </c>
      <c r="G112" s="259" t="s">
        <v>7</v>
      </c>
      <c r="H112" s="260">
        <v>30608716390</v>
      </c>
      <c r="I112" s="259" t="s">
        <v>974</v>
      </c>
      <c r="J112" s="260">
        <v>1</v>
      </c>
      <c r="K112" s="259" t="s">
        <v>658</v>
      </c>
      <c r="L112" s="304">
        <v>165289.25</v>
      </c>
      <c r="M112" s="260">
        <v>0</v>
      </c>
      <c r="N112" s="260">
        <v>0</v>
      </c>
      <c r="O112" s="260">
        <v>0</v>
      </c>
      <c r="P112" s="304">
        <v>34710.75</v>
      </c>
      <c r="Q112" s="303">
        <v>200000</v>
      </c>
    </row>
    <row r="113" spans="1:17">
      <c r="A113" s="259" t="s">
        <v>973</v>
      </c>
      <c r="B113" s="259" t="s">
        <v>656</v>
      </c>
      <c r="C113" s="260">
        <v>7</v>
      </c>
      <c r="D113" s="260">
        <v>2173</v>
      </c>
      <c r="E113" s="259"/>
      <c r="F113" s="260">
        <v>74418654117062</v>
      </c>
      <c r="G113" s="259" t="s">
        <v>7</v>
      </c>
      <c r="H113" s="260">
        <v>30546771314</v>
      </c>
      <c r="I113" s="259" t="s">
        <v>975</v>
      </c>
      <c r="J113" s="260">
        <v>1</v>
      </c>
      <c r="K113" s="259" t="s">
        <v>658</v>
      </c>
      <c r="L113" s="304">
        <v>47933.88</v>
      </c>
      <c r="M113" s="260">
        <v>0</v>
      </c>
      <c r="N113" s="260">
        <v>0</v>
      </c>
      <c r="O113" s="260">
        <v>0</v>
      </c>
      <c r="P113" s="304">
        <v>10066.120000000001</v>
      </c>
      <c r="Q113" s="303">
        <v>58000</v>
      </c>
    </row>
    <row r="114" spans="1:17">
      <c r="A114" s="259" t="s">
        <v>973</v>
      </c>
      <c r="B114" s="259" t="s">
        <v>656</v>
      </c>
      <c r="C114" s="260">
        <v>7</v>
      </c>
      <c r="D114" s="260">
        <v>2174</v>
      </c>
      <c r="E114" s="259"/>
      <c r="F114" s="260">
        <v>74418669430169</v>
      </c>
      <c r="G114" s="259" t="s">
        <v>7</v>
      </c>
      <c r="H114" s="260">
        <v>30546771314</v>
      </c>
      <c r="I114" s="259" t="s">
        <v>975</v>
      </c>
      <c r="J114" s="260">
        <v>1</v>
      </c>
      <c r="K114" s="259" t="s">
        <v>658</v>
      </c>
      <c r="L114" s="304">
        <v>400826.45</v>
      </c>
      <c r="M114" s="260">
        <v>0</v>
      </c>
      <c r="N114" s="260">
        <v>0</v>
      </c>
      <c r="O114" s="260">
        <v>0</v>
      </c>
      <c r="P114" s="304">
        <v>84173.55</v>
      </c>
      <c r="Q114" s="303">
        <v>485000</v>
      </c>
    </row>
    <row r="115" spans="1:17">
      <c r="A115" s="259" t="s">
        <v>973</v>
      </c>
      <c r="B115" s="259" t="s">
        <v>656</v>
      </c>
      <c r="C115" s="260">
        <v>7</v>
      </c>
      <c r="D115" s="260">
        <v>2175</v>
      </c>
      <c r="E115" s="259"/>
      <c r="F115" s="260">
        <v>74418675357446</v>
      </c>
      <c r="G115" s="259" t="s">
        <v>7</v>
      </c>
      <c r="H115" s="260">
        <v>30608716390</v>
      </c>
      <c r="I115" s="259" t="s">
        <v>974</v>
      </c>
      <c r="J115" s="260">
        <v>1</v>
      </c>
      <c r="K115" s="259" t="s">
        <v>658</v>
      </c>
      <c r="L115" s="304">
        <v>7913.63</v>
      </c>
      <c r="M115" s="260">
        <v>0</v>
      </c>
      <c r="N115" s="260">
        <v>0</v>
      </c>
      <c r="O115" s="260">
        <v>0</v>
      </c>
      <c r="P115" s="304">
        <v>1661.87</v>
      </c>
      <c r="Q115" s="302">
        <v>9575.5</v>
      </c>
    </row>
    <row r="116" spans="1:17">
      <c r="A116" s="259" t="s">
        <v>973</v>
      </c>
      <c r="B116" s="259" t="s">
        <v>656</v>
      </c>
      <c r="C116" s="260">
        <v>7</v>
      </c>
      <c r="D116" s="260">
        <v>2176</v>
      </c>
      <c r="E116" s="259"/>
      <c r="F116" s="260">
        <v>74418689647082</v>
      </c>
      <c r="G116" s="259" t="s">
        <v>7</v>
      </c>
      <c r="H116" s="260">
        <v>30608716390</v>
      </c>
      <c r="I116" s="259" t="s">
        <v>974</v>
      </c>
      <c r="J116" s="260">
        <v>1</v>
      </c>
      <c r="K116" s="259" t="s">
        <v>658</v>
      </c>
      <c r="L116" s="303">
        <v>15000</v>
      </c>
      <c r="M116" s="260">
        <v>0</v>
      </c>
      <c r="N116" s="260">
        <v>0</v>
      </c>
      <c r="O116" s="260">
        <v>0</v>
      </c>
      <c r="P116" s="303">
        <v>3150</v>
      </c>
      <c r="Q116" s="303">
        <v>18150</v>
      </c>
    </row>
    <row r="117" spans="1:17">
      <c r="A117" s="259" t="s">
        <v>973</v>
      </c>
      <c r="B117" s="259" t="s">
        <v>656</v>
      </c>
      <c r="C117" s="260">
        <v>7</v>
      </c>
      <c r="D117" s="260">
        <v>2177</v>
      </c>
      <c r="E117" s="259"/>
      <c r="F117" s="260">
        <v>74418691849336</v>
      </c>
      <c r="G117" s="259" t="s">
        <v>7</v>
      </c>
      <c r="H117" s="260">
        <v>30608716390</v>
      </c>
      <c r="I117" s="259" t="s">
        <v>974</v>
      </c>
      <c r="J117" s="260">
        <v>1</v>
      </c>
      <c r="K117" s="259" t="s">
        <v>658</v>
      </c>
      <c r="L117" s="304">
        <v>48801.65</v>
      </c>
      <c r="M117" s="260">
        <v>0</v>
      </c>
      <c r="N117" s="260">
        <v>0</v>
      </c>
      <c r="O117" s="260">
        <v>0</v>
      </c>
      <c r="P117" s="304">
        <v>10248.35</v>
      </c>
      <c r="Q117" s="303">
        <v>59050</v>
      </c>
    </row>
    <row r="118" spans="1:17">
      <c r="A118" s="259" t="s">
        <v>973</v>
      </c>
      <c r="B118" s="259" t="s">
        <v>961</v>
      </c>
      <c r="C118" s="260">
        <v>6</v>
      </c>
      <c r="D118" s="260">
        <v>538</v>
      </c>
      <c r="E118" s="259"/>
      <c r="F118" s="260">
        <v>74418628285020</v>
      </c>
      <c r="G118" s="259" t="s">
        <v>7</v>
      </c>
      <c r="H118" s="260">
        <v>30683032227</v>
      </c>
      <c r="I118" s="259" t="s">
        <v>972</v>
      </c>
      <c r="J118" s="260">
        <v>1</v>
      </c>
      <c r="K118" s="259" t="s">
        <v>658</v>
      </c>
      <c r="L118" s="304">
        <v>1474238.32</v>
      </c>
      <c r="M118" s="260">
        <v>0</v>
      </c>
      <c r="N118" s="260">
        <v>0</v>
      </c>
      <c r="O118" s="260">
        <v>0</v>
      </c>
      <c r="P118" s="304">
        <v>309590.05</v>
      </c>
      <c r="Q118" s="304">
        <v>1783828.37</v>
      </c>
    </row>
    <row r="119" spans="1:17">
      <c r="A119" s="259" t="s">
        <v>973</v>
      </c>
      <c r="B119" s="301" t="s">
        <v>678</v>
      </c>
      <c r="C119" s="260">
        <v>7</v>
      </c>
      <c r="D119" s="260">
        <v>158</v>
      </c>
      <c r="E119" s="259"/>
      <c r="F119" s="260">
        <v>74418694995280</v>
      </c>
      <c r="G119" s="259" t="s">
        <v>7</v>
      </c>
      <c r="H119" s="260">
        <v>30608716390</v>
      </c>
      <c r="I119" s="259" t="s">
        <v>974</v>
      </c>
      <c r="J119" s="260">
        <v>1</v>
      </c>
      <c r="K119" s="259" t="s">
        <v>658</v>
      </c>
      <c r="L119" s="304">
        <v>-1286.03</v>
      </c>
      <c r="M119" s="260">
        <v>0</v>
      </c>
      <c r="N119" s="260">
        <v>0</v>
      </c>
      <c r="O119" s="260">
        <v>0</v>
      </c>
      <c r="P119" s="303">
        <f>+L119*0.21</f>
        <v>-270.06630000000001</v>
      </c>
      <c r="Q119" s="303">
        <f>+SUM(L119+P119)</f>
        <v>-1556.0962999999999</v>
      </c>
    </row>
    <row r="120" spans="1:17">
      <c r="A120" s="259" t="s">
        <v>999</v>
      </c>
      <c r="B120" s="259" t="s">
        <v>956</v>
      </c>
      <c r="C120" s="260">
        <v>9</v>
      </c>
      <c r="D120" s="260">
        <v>66</v>
      </c>
      <c r="E120" s="259"/>
      <c r="F120" s="260">
        <v>74428458573628</v>
      </c>
      <c r="G120" s="260">
        <v>99</v>
      </c>
      <c r="H120" s="260">
        <v>0</v>
      </c>
      <c r="I120" s="259"/>
      <c r="J120" s="260">
        <v>1</v>
      </c>
      <c r="K120" s="259" t="s">
        <v>658</v>
      </c>
      <c r="L120" s="302">
        <v>10743.8</v>
      </c>
      <c r="M120" s="260">
        <v>0</v>
      </c>
      <c r="N120" s="260">
        <v>0</v>
      </c>
      <c r="O120" s="260">
        <v>0</v>
      </c>
      <c r="P120" s="302">
        <v>2256.1999999999998</v>
      </c>
      <c r="Q120" s="303">
        <v>13000</v>
      </c>
    </row>
    <row r="121" spans="1:17">
      <c r="A121" s="259" t="s">
        <v>999</v>
      </c>
      <c r="B121" s="259" t="s">
        <v>956</v>
      </c>
      <c r="C121" s="260">
        <v>9</v>
      </c>
      <c r="D121" s="260">
        <v>67</v>
      </c>
      <c r="E121" s="259"/>
      <c r="F121" s="260">
        <v>74428467881828</v>
      </c>
      <c r="G121" s="260">
        <v>99</v>
      </c>
      <c r="H121" s="260">
        <v>0</v>
      </c>
      <c r="I121" s="259"/>
      <c r="J121" s="260">
        <v>1</v>
      </c>
      <c r="K121" s="259" t="s">
        <v>658</v>
      </c>
      <c r="L121" s="302">
        <v>10743.8</v>
      </c>
      <c r="M121" s="260">
        <v>0</v>
      </c>
      <c r="N121" s="260">
        <v>0</v>
      </c>
      <c r="O121" s="260">
        <v>0</v>
      </c>
      <c r="P121" s="302">
        <v>2256.1999999999998</v>
      </c>
      <c r="Q121" s="303">
        <v>13000</v>
      </c>
    </row>
    <row r="122" spans="1:17">
      <c r="A122" s="259" t="s">
        <v>999</v>
      </c>
      <c r="B122" s="259" t="s">
        <v>956</v>
      </c>
      <c r="C122" s="260">
        <v>9</v>
      </c>
      <c r="D122" s="260">
        <v>68</v>
      </c>
      <c r="E122" s="259"/>
      <c r="F122" s="260">
        <v>74428473743686</v>
      </c>
      <c r="G122" s="260">
        <v>99</v>
      </c>
      <c r="H122" s="260">
        <v>0</v>
      </c>
      <c r="I122" s="259"/>
      <c r="J122" s="260">
        <v>1</v>
      </c>
      <c r="K122" s="259" t="s">
        <v>658</v>
      </c>
      <c r="L122" s="304">
        <v>25289.26</v>
      </c>
      <c r="M122" s="260">
        <v>0</v>
      </c>
      <c r="N122" s="260">
        <v>0</v>
      </c>
      <c r="O122" s="260">
        <v>0</v>
      </c>
      <c r="P122" s="304">
        <v>5310.74</v>
      </c>
      <c r="Q122" s="303">
        <v>30600</v>
      </c>
    </row>
    <row r="123" spans="1:17">
      <c r="A123" s="259" t="s">
        <v>999</v>
      </c>
      <c r="B123" s="259" t="s">
        <v>956</v>
      </c>
      <c r="C123" s="260">
        <v>9</v>
      </c>
      <c r="D123" s="260">
        <v>69</v>
      </c>
      <c r="E123" s="259"/>
      <c r="F123" s="260">
        <v>74428487910166</v>
      </c>
      <c r="G123" s="260">
        <v>99</v>
      </c>
      <c r="H123" s="260">
        <v>0</v>
      </c>
      <c r="I123" s="259"/>
      <c r="J123" s="260">
        <v>1</v>
      </c>
      <c r="K123" s="259" t="s">
        <v>658</v>
      </c>
      <c r="L123" s="304">
        <v>16694.21</v>
      </c>
      <c r="M123" s="260">
        <v>0</v>
      </c>
      <c r="N123" s="260">
        <v>0</v>
      </c>
      <c r="O123" s="260">
        <v>0</v>
      </c>
      <c r="P123" s="304">
        <v>3505.79</v>
      </c>
      <c r="Q123" s="303">
        <v>20200</v>
      </c>
    </row>
    <row r="124" spans="1:17">
      <c r="A124" s="259" t="s">
        <v>999</v>
      </c>
      <c r="B124" s="259" t="s">
        <v>956</v>
      </c>
      <c r="C124" s="260">
        <v>9</v>
      </c>
      <c r="D124" s="260">
        <v>70</v>
      </c>
      <c r="E124" s="259"/>
      <c r="F124" s="260">
        <v>74428489095486</v>
      </c>
      <c r="G124" s="260">
        <v>99</v>
      </c>
      <c r="H124" s="260">
        <v>0</v>
      </c>
      <c r="I124" s="259"/>
      <c r="J124" s="260">
        <v>1</v>
      </c>
      <c r="K124" s="259" t="s">
        <v>658</v>
      </c>
      <c r="L124" s="304">
        <v>13223.14</v>
      </c>
      <c r="M124" s="260">
        <v>0</v>
      </c>
      <c r="N124" s="260">
        <v>0</v>
      </c>
      <c r="O124" s="260">
        <v>0</v>
      </c>
      <c r="P124" s="304">
        <v>2776.86</v>
      </c>
      <c r="Q124" s="303">
        <v>16000</v>
      </c>
    </row>
    <row r="125" spans="1:17">
      <c r="A125" s="259" t="s">
        <v>999</v>
      </c>
      <c r="B125" s="259" t="s">
        <v>956</v>
      </c>
      <c r="C125" s="260">
        <v>9</v>
      </c>
      <c r="D125" s="260">
        <v>71</v>
      </c>
      <c r="E125" s="259"/>
      <c r="F125" s="260">
        <v>74428490731366</v>
      </c>
      <c r="G125" s="260">
        <v>99</v>
      </c>
      <c r="H125" s="260">
        <v>0</v>
      </c>
      <c r="I125" s="259"/>
      <c r="J125" s="260">
        <v>1</v>
      </c>
      <c r="K125" s="259" t="s">
        <v>658</v>
      </c>
      <c r="L125" s="302">
        <v>33884.300000000003</v>
      </c>
      <c r="M125" s="260">
        <v>0</v>
      </c>
      <c r="N125" s="260">
        <v>0</v>
      </c>
      <c r="O125" s="260">
        <v>0</v>
      </c>
      <c r="P125" s="302">
        <v>7115.7</v>
      </c>
      <c r="Q125" s="303">
        <v>41000</v>
      </c>
    </row>
    <row r="126" spans="1:17">
      <c r="A126" s="259" t="s">
        <v>999</v>
      </c>
      <c r="B126" s="259" t="s">
        <v>956</v>
      </c>
      <c r="C126" s="260">
        <v>9</v>
      </c>
      <c r="D126" s="260">
        <v>72</v>
      </c>
      <c r="E126" s="259"/>
      <c r="F126" s="260">
        <v>74428491088784</v>
      </c>
      <c r="G126" s="260">
        <v>99</v>
      </c>
      <c r="H126" s="260">
        <v>0</v>
      </c>
      <c r="I126" s="259"/>
      <c r="J126" s="260">
        <v>1</v>
      </c>
      <c r="K126" s="259" t="s">
        <v>658</v>
      </c>
      <c r="L126" s="304">
        <v>11570.25</v>
      </c>
      <c r="M126" s="260">
        <v>0</v>
      </c>
      <c r="N126" s="260">
        <v>0</v>
      </c>
      <c r="O126" s="260">
        <v>0</v>
      </c>
      <c r="P126" s="304">
        <v>2429.75</v>
      </c>
      <c r="Q126" s="303">
        <v>14000</v>
      </c>
    </row>
    <row r="127" spans="1:17">
      <c r="A127" s="259" t="s">
        <v>1005</v>
      </c>
      <c r="B127" s="259" t="s">
        <v>956</v>
      </c>
      <c r="C127" s="260">
        <v>9</v>
      </c>
      <c r="D127" s="260">
        <v>73</v>
      </c>
      <c r="E127" s="259"/>
      <c r="F127" s="260">
        <v>74428548042101</v>
      </c>
      <c r="G127" s="260">
        <v>99</v>
      </c>
      <c r="H127" s="260">
        <v>0</v>
      </c>
      <c r="I127" s="259"/>
      <c r="J127" s="260">
        <v>1</v>
      </c>
      <c r="K127" s="259" t="s">
        <v>658</v>
      </c>
      <c r="L127" s="304">
        <v>28925.62</v>
      </c>
      <c r="M127" s="260">
        <v>0</v>
      </c>
      <c r="N127" s="260">
        <v>0</v>
      </c>
      <c r="O127" s="260">
        <v>0</v>
      </c>
      <c r="P127" s="304">
        <v>6074.38</v>
      </c>
      <c r="Q127" s="303">
        <v>35000</v>
      </c>
    </row>
    <row r="128" spans="1:17">
      <c r="A128" s="259" t="s">
        <v>1005</v>
      </c>
      <c r="B128" s="259" t="s">
        <v>956</v>
      </c>
      <c r="C128" s="260">
        <v>9</v>
      </c>
      <c r="D128" s="260">
        <v>74</v>
      </c>
      <c r="E128" s="259"/>
      <c r="F128" s="260">
        <v>74428548507772</v>
      </c>
      <c r="G128" s="260">
        <v>99</v>
      </c>
      <c r="H128" s="260">
        <v>0</v>
      </c>
      <c r="I128" s="259"/>
      <c r="J128" s="260">
        <v>1</v>
      </c>
      <c r="K128" s="259" t="s">
        <v>658</v>
      </c>
      <c r="L128" s="302">
        <v>10743.8</v>
      </c>
      <c r="M128" s="260">
        <v>0</v>
      </c>
      <c r="N128" s="260">
        <v>0</v>
      </c>
      <c r="O128" s="260">
        <v>0</v>
      </c>
      <c r="P128" s="302">
        <v>2256.1999999999998</v>
      </c>
      <c r="Q128" s="303">
        <v>13000</v>
      </c>
    </row>
    <row r="129" spans="1:17">
      <c r="A129" s="259" t="s">
        <v>1005</v>
      </c>
      <c r="B129" s="259" t="s">
        <v>956</v>
      </c>
      <c r="C129" s="260">
        <v>9</v>
      </c>
      <c r="D129" s="260">
        <v>75</v>
      </c>
      <c r="E129" s="259"/>
      <c r="F129" s="260">
        <v>74428554734956</v>
      </c>
      <c r="G129" s="260">
        <v>99</v>
      </c>
      <c r="H129" s="260">
        <v>0</v>
      </c>
      <c r="I129" s="259"/>
      <c r="J129" s="260">
        <v>1</v>
      </c>
      <c r="K129" s="259" t="s">
        <v>658</v>
      </c>
      <c r="L129" s="302">
        <v>21487.599999999999</v>
      </c>
      <c r="M129" s="260">
        <v>0</v>
      </c>
      <c r="N129" s="260">
        <v>0</v>
      </c>
      <c r="O129" s="260">
        <v>0</v>
      </c>
      <c r="P129" s="302">
        <v>4512.3999999999996</v>
      </c>
      <c r="Q129" s="303">
        <v>26000</v>
      </c>
    </row>
    <row r="130" spans="1:17">
      <c r="A130" s="259" t="s">
        <v>977</v>
      </c>
      <c r="B130" s="259" t="s">
        <v>656</v>
      </c>
      <c r="C130" s="260">
        <v>7</v>
      </c>
      <c r="D130" s="260">
        <v>2178</v>
      </c>
      <c r="E130" s="259"/>
      <c r="F130" s="260">
        <v>74418832797315</v>
      </c>
      <c r="G130" s="259" t="s">
        <v>7</v>
      </c>
      <c r="H130" s="260">
        <v>30709016012</v>
      </c>
      <c r="I130" s="259" t="s">
        <v>978</v>
      </c>
      <c r="J130" s="260">
        <v>1</v>
      </c>
      <c r="K130" s="259" t="s">
        <v>658</v>
      </c>
      <c r="L130" s="304">
        <v>174660.33</v>
      </c>
      <c r="M130" s="260">
        <v>0</v>
      </c>
      <c r="N130" s="260">
        <v>0</v>
      </c>
      <c r="O130" s="260">
        <v>0</v>
      </c>
      <c r="P130" s="304">
        <v>36678.67</v>
      </c>
      <c r="Q130" s="303">
        <v>211339</v>
      </c>
    </row>
    <row r="131" spans="1:17">
      <c r="A131" s="259" t="s">
        <v>977</v>
      </c>
      <c r="B131" s="301" t="s">
        <v>678</v>
      </c>
      <c r="C131" s="260">
        <v>7</v>
      </c>
      <c r="D131" s="260">
        <v>159</v>
      </c>
      <c r="E131" s="259"/>
      <c r="F131" s="260">
        <v>74418816093167</v>
      </c>
      <c r="G131" s="259" t="s">
        <v>7</v>
      </c>
      <c r="H131" s="260">
        <v>30522428163</v>
      </c>
      <c r="I131" s="259" t="s">
        <v>955</v>
      </c>
      <c r="J131" s="260">
        <v>1</v>
      </c>
      <c r="K131" s="259" t="s">
        <v>658</v>
      </c>
      <c r="L131" s="302">
        <v>-8000.5</v>
      </c>
      <c r="M131" s="260">
        <v>0</v>
      </c>
      <c r="N131" s="260">
        <v>0</v>
      </c>
      <c r="O131" s="260">
        <v>0</v>
      </c>
      <c r="P131" s="303">
        <f t="shared" ref="P131:P136" si="0">+L131*0.21</f>
        <v>-1680.105</v>
      </c>
      <c r="Q131" s="303">
        <f t="shared" ref="Q131:Q136" si="1">+SUM(L131+P131)</f>
        <v>-9680.6049999999996</v>
      </c>
    </row>
    <row r="132" spans="1:17">
      <c r="A132" s="259" t="s">
        <v>977</v>
      </c>
      <c r="B132" s="301" t="s">
        <v>678</v>
      </c>
      <c r="C132" s="260">
        <v>7</v>
      </c>
      <c r="D132" s="260">
        <v>160</v>
      </c>
      <c r="E132" s="259"/>
      <c r="F132" s="260">
        <v>74418816402502</v>
      </c>
      <c r="G132" s="259" t="s">
        <v>7</v>
      </c>
      <c r="H132" s="260">
        <v>30522428163</v>
      </c>
      <c r="I132" s="259" t="s">
        <v>955</v>
      </c>
      <c r="J132" s="260">
        <v>1</v>
      </c>
      <c r="K132" s="259" t="s">
        <v>658</v>
      </c>
      <c r="L132" s="304">
        <v>-23853.58</v>
      </c>
      <c r="M132" s="260">
        <v>0</v>
      </c>
      <c r="N132" s="260">
        <v>0</v>
      </c>
      <c r="O132" s="260">
        <v>0</v>
      </c>
      <c r="P132" s="303">
        <f t="shared" si="0"/>
        <v>-5009.2518</v>
      </c>
      <c r="Q132" s="303">
        <f t="shared" si="1"/>
        <v>-28862.8318</v>
      </c>
    </row>
    <row r="133" spans="1:17">
      <c r="A133" s="259" t="s">
        <v>977</v>
      </c>
      <c r="B133" s="301" t="s">
        <v>678</v>
      </c>
      <c r="C133" s="260">
        <v>7</v>
      </c>
      <c r="D133" s="260">
        <v>161</v>
      </c>
      <c r="E133" s="259"/>
      <c r="F133" s="260">
        <v>74418816611485</v>
      </c>
      <c r="G133" s="259" t="s">
        <v>7</v>
      </c>
      <c r="H133" s="260">
        <v>30522428163</v>
      </c>
      <c r="I133" s="259" t="s">
        <v>955</v>
      </c>
      <c r="J133" s="260">
        <v>1</v>
      </c>
      <c r="K133" s="259" t="s">
        <v>658</v>
      </c>
      <c r="L133" s="304">
        <v>-9917.36</v>
      </c>
      <c r="M133" s="260">
        <v>0</v>
      </c>
      <c r="N133" s="260">
        <v>0</v>
      </c>
      <c r="O133" s="260">
        <v>0</v>
      </c>
      <c r="P133" s="303">
        <f t="shared" si="0"/>
        <v>-2082.6455999999998</v>
      </c>
      <c r="Q133" s="303">
        <f t="shared" si="1"/>
        <v>-12000.0056</v>
      </c>
    </row>
    <row r="134" spans="1:17">
      <c r="A134" s="259" t="s">
        <v>977</v>
      </c>
      <c r="B134" s="301" t="s">
        <v>678</v>
      </c>
      <c r="C134" s="260">
        <v>7</v>
      </c>
      <c r="D134" s="260">
        <v>162</v>
      </c>
      <c r="E134" s="259"/>
      <c r="F134" s="260">
        <v>74418816792521</v>
      </c>
      <c r="G134" s="259" t="s">
        <v>7</v>
      </c>
      <c r="H134" s="260">
        <v>30522428163</v>
      </c>
      <c r="I134" s="259" t="s">
        <v>955</v>
      </c>
      <c r="J134" s="260">
        <v>1</v>
      </c>
      <c r="K134" s="259" t="s">
        <v>658</v>
      </c>
      <c r="L134" s="302">
        <v>-12179.5</v>
      </c>
      <c r="M134" s="260">
        <v>0</v>
      </c>
      <c r="N134" s="260">
        <v>0</v>
      </c>
      <c r="O134" s="260">
        <v>0</v>
      </c>
      <c r="P134" s="303">
        <f t="shared" si="0"/>
        <v>-2557.6949999999997</v>
      </c>
      <c r="Q134" s="303">
        <f t="shared" si="1"/>
        <v>-14737.195</v>
      </c>
    </row>
    <row r="135" spans="1:17">
      <c r="A135" s="259" t="s">
        <v>977</v>
      </c>
      <c r="B135" s="301" t="s">
        <v>678</v>
      </c>
      <c r="C135" s="260">
        <v>7</v>
      </c>
      <c r="D135" s="260">
        <v>163</v>
      </c>
      <c r="E135" s="259"/>
      <c r="F135" s="260">
        <v>74418817040408</v>
      </c>
      <c r="G135" s="259" t="s">
        <v>7</v>
      </c>
      <c r="H135" s="260">
        <v>30522428163</v>
      </c>
      <c r="I135" s="259" t="s">
        <v>955</v>
      </c>
      <c r="J135" s="260">
        <v>1</v>
      </c>
      <c r="K135" s="259" t="s">
        <v>658</v>
      </c>
      <c r="L135" s="304">
        <v>-14893.82</v>
      </c>
      <c r="M135" s="260">
        <v>0</v>
      </c>
      <c r="N135" s="260">
        <v>0</v>
      </c>
      <c r="O135" s="260">
        <v>0</v>
      </c>
      <c r="P135" s="303">
        <f t="shared" si="0"/>
        <v>-3127.7021999999997</v>
      </c>
      <c r="Q135" s="303">
        <f t="shared" si="1"/>
        <v>-18021.522199999999</v>
      </c>
    </row>
    <row r="136" spans="1:17">
      <c r="A136" s="259" t="s">
        <v>977</v>
      </c>
      <c r="B136" s="301" t="s">
        <v>678</v>
      </c>
      <c r="C136" s="260">
        <v>7</v>
      </c>
      <c r="D136" s="260">
        <v>164</v>
      </c>
      <c r="E136" s="259"/>
      <c r="F136" s="260">
        <v>74418817280255</v>
      </c>
      <c r="G136" s="259" t="s">
        <v>7</v>
      </c>
      <c r="H136" s="260">
        <v>30522428163</v>
      </c>
      <c r="I136" s="259" t="s">
        <v>955</v>
      </c>
      <c r="J136" s="260">
        <v>1</v>
      </c>
      <c r="K136" s="259" t="s">
        <v>658</v>
      </c>
      <c r="L136" s="304">
        <v>-16863.25</v>
      </c>
      <c r="M136" s="260">
        <v>0</v>
      </c>
      <c r="N136" s="260">
        <v>0</v>
      </c>
      <c r="O136" s="260">
        <v>0</v>
      </c>
      <c r="P136" s="303">
        <f t="shared" si="0"/>
        <v>-3541.2824999999998</v>
      </c>
      <c r="Q136" s="303">
        <f t="shared" si="1"/>
        <v>-20404.532500000001</v>
      </c>
    </row>
    <row r="137" spans="1:17">
      <c r="A137" s="259" t="s">
        <v>1005</v>
      </c>
      <c r="B137" s="259" t="s">
        <v>956</v>
      </c>
      <c r="C137" s="260">
        <v>9</v>
      </c>
      <c r="D137" s="260">
        <v>76</v>
      </c>
      <c r="E137" s="259"/>
      <c r="F137" s="260">
        <v>74428555873303</v>
      </c>
      <c r="G137" s="260">
        <v>99</v>
      </c>
      <c r="H137" s="260">
        <v>0</v>
      </c>
      <c r="I137" s="259"/>
      <c r="J137" s="260">
        <v>1</v>
      </c>
      <c r="K137" s="259" t="s">
        <v>658</v>
      </c>
      <c r="L137" s="304">
        <v>14876.03</v>
      </c>
      <c r="M137" s="260">
        <v>0</v>
      </c>
      <c r="N137" s="260">
        <v>0</v>
      </c>
      <c r="O137" s="260">
        <v>0</v>
      </c>
      <c r="P137" s="304">
        <v>3123.97</v>
      </c>
      <c r="Q137" s="303">
        <v>18000</v>
      </c>
    </row>
    <row r="138" spans="1:17">
      <c r="A138" s="259" t="s">
        <v>1005</v>
      </c>
      <c r="B138" s="259" t="s">
        <v>956</v>
      </c>
      <c r="C138" s="260">
        <v>9</v>
      </c>
      <c r="D138" s="260">
        <v>77</v>
      </c>
      <c r="E138" s="259"/>
      <c r="F138" s="260">
        <v>74428556796814</v>
      </c>
      <c r="G138" s="260">
        <v>99</v>
      </c>
      <c r="H138" s="260">
        <v>0</v>
      </c>
      <c r="I138" s="259"/>
      <c r="J138" s="260">
        <v>1</v>
      </c>
      <c r="K138" s="259" t="s">
        <v>658</v>
      </c>
      <c r="L138" s="304">
        <v>30495.87</v>
      </c>
      <c r="M138" s="260">
        <v>0</v>
      </c>
      <c r="N138" s="260">
        <v>0</v>
      </c>
      <c r="O138" s="260">
        <v>0</v>
      </c>
      <c r="P138" s="304">
        <v>6404.13</v>
      </c>
      <c r="Q138" s="303">
        <v>36900</v>
      </c>
    </row>
    <row r="139" spans="1:17">
      <c r="A139" s="259" t="s">
        <v>1005</v>
      </c>
      <c r="B139" s="259" t="s">
        <v>956</v>
      </c>
      <c r="C139" s="260">
        <v>9</v>
      </c>
      <c r="D139" s="260">
        <v>78</v>
      </c>
      <c r="E139" s="259"/>
      <c r="F139" s="260">
        <v>74428578832060</v>
      </c>
      <c r="G139" s="260">
        <v>99</v>
      </c>
      <c r="H139" s="260">
        <v>0</v>
      </c>
      <c r="I139" s="259"/>
      <c r="J139" s="260">
        <v>1</v>
      </c>
      <c r="K139" s="259" t="s">
        <v>658</v>
      </c>
      <c r="L139" s="304">
        <v>14669.42</v>
      </c>
      <c r="M139" s="260">
        <v>0</v>
      </c>
      <c r="N139" s="260">
        <v>0</v>
      </c>
      <c r="O139" s="260">
        <v>0</v>
      </c>
      <c r="P139" s="304">
        <v>3080.58</v>
      </c>
      <c r="Q139" s="303">
        <v>17750</v>
      </c>
    </row>
    <row r="140" spans="1:17">
      <c r="A140" s="259" t="s">
        <v>1005</v>
      </c>
      <c r="B140" s="259" t="s">
        <v>956</v>
      </c>
      <c r="C140" s="260">
        <v>9</v>
      </c>
      <c r="D140" s="260">
        <v>79</v>
      </c>
      <c r="E140" s="259"/>
      <c r="F140" s="260">
        <v>74428588600696</v>
      </c>
      <c r="G140" s="260">
        <v>99</v>
      </c>
      <c r="H140" s="260">
        <v>0</v>
      </c>
      <c r="I140" s="259"/>
      <c r="J140" s="260">
        <v>1</v>
      </c>
      <c r="K140" s="259" t="s">
        <v>658</v>
      </c>
      <c r="L140" s="304">
        <v>18181.82</v>
      </c>
      <c r="M140" s="260">
        <v>0</v>
      </c>
      <c r="N140" s="260">
        <v>0</v>
      </c>
      <c r="O140" s="260">
        <v>0</v>
      </c>
      <c r="P140" s="304">
        <v>3818.18</v>
      </c>
      <c r="Q140" s="303">
        <v>22000</v>
      </c>
    </row>
    <row r="141" spans="1:17">
      <c r="A141" s="259" t="s">
        <v>1005</v>
      </c>
      <c r="B141" s="259" t="s">
        <v>956</v>
      </c>
      <c r="C141" s="260">
        <v>9</v>
      </c>
      <c r="D141" s="260">
        <v>80</v>
      </c>
      <c r="E141" s="259"/>
      <c r="F141" s="260">
        <v>74428591462137</v>
      </c>
      <c r="G141" s="260">
        <v>99</v>
      </c>
      <c r="H141" s="260">
        <v>0</v>
      </c>
      <c r="I141" s="259"/>
      <c r="J141" s="260">
        <v>1</v>
      </c>
      <c r="K141" s="259" t="s">
        <v>658</v>
      </c>
      <c r="L141" s="302">
        <v>21487.599999999999</v>
      </c>
      <c r="M141" s="260">
        <v>0</v>
      </c>
      <c r="N141" s="260">
        <v>0</v>
      </c>
      <c r="O141" s="260">
        <v>0</v>
      </c>
      <c r="P141" s="302">
        <v>4512.3999999999996</v>
      </c>
      <c r="Q141" s="303">
        <v>26000</v>
      </c>
    </row>
    <row r="142" spans="1:17">
      <c r="A142" s="259" t="s">
        <v>1005</v>
      </c>
      <c r="B142" s="259" t="s">
        <v>956</v>
      </c>
      <c r="C142" s="260">
        <v>9</v>
      </c>
      <c r="D142" s="260">
        <v>81</v>
      </c>
      <c r="E142" s="259"/>
      <c r="F142" s="260">
        <v>74428595702930</v>
      </c>
      <c r="G142" s="260">
        <v>99</v>
      </c>
      <c r="H142" s="260">
        <v>0</v>
      </c>
      <c r="I142" s="259"/>
      <c r="J142" s="260">
        <v>1</v>
      </c>
      <c r="K142" s="259" t="s">
        <v>658</v>
      </c>
      <c r="L142" s="304">
        <v>16528.93</v>
      </c>
      <c r="M142" s="260">
        <v>0</v>
      </c>
      <c r="N142" s="260">
        <v>0</v>
      </c>
      <c r="O142" s="260">
        <v>0</v>
      </c>
      <c r="P142" s="304">
        <v>3471.07</v>
      </c>
      <c r="Q142" s="303">
        <v>20000</v>
      </c>
    </row>
    <row r="143" spans="1:17">
      <c r="A143" s="259" t="s">
        <v>1005</v>
      </c>
      <c r="B143" s="259" t="s">
        <v>956</v>
      </c>
      <c r="C143" s="260">
        <v>9</v>
      </c>
      <c r="D143" s="260">
        <v>82</v>
      </c>
      <c r="E143" s="259"/>
      <c r="F143" s="260">
        <v>74428597920689</v>
      </c>
      <c r="G143" s="260">
        <v>99</v>
      </c>
      <c r="H143" s="260">
        <v>0</v>
      </c>
      <c r="I143" s="259"/>
      <c r="J143" s="260">
        <v>1</v>
      </c>
      <c r="K143" s="259" t="s">
        <v>658</v>
      </c>
      <c r="L143" s="304">
        <v>12396.69</v>
      </c>
      <c r="M143" s="260">
        <v>0</v>
      </c>
      <c r="N143" s="260">
        <v>0</v>
      </c>
      <c r="O143" s="260">
        <v>0</v>
      </c>
      <c r="P143" s="304">
        <v>2603.31</v>
      </c>
      <c r="Q143" s="303">
        <v>15000</v>
      </c>
    </row>
    <row r="144" spans="1:17">
      <c r="A144" s="259" t="s">
        <v>1011</v>
      </c>
      <c r="B144" s="259" t="s">
        <v>956</v>
      </c>
      <c r="C144" s="260">
        <v>9</v>
      </c>
      <c r="D144" s="260">
        <v>83</v>
      </c>
      <c r="E144" s="259"/>
      <c r="F144" s="260">
        <v>74428675466257</v>
      </c>
      <c r="G144" s="260">
        <v>99</v>
      </c>
      <c r="H144" s="260">
        <v>0</v>
      </c>
      <c r="I144" s="259"/>
      <c r="J144" s="260">
        <v>1</v>
      </c>
      <c r="K144" s="259" t="s">
        <v>658</v>
      </c>
      <c r="L144" s="304">
        <v>15702.48</v>
      </c>
      <c r="M144" s="260">
        <v>0</v>
      </c>
      <c r="N144" s="260">
        <v>0</v>
      </c>
      <c r="O144" s="260">
        <v>0</v>
      </c>
      <c r="P144" s="304">
        <v>3297.52</v>
      </c>
      <c r="Q144" s="303">
        <v>19000</v>
      </c>
    </row>
    <row r="145" spans="1:17">
      <c r="A145" s="259" t="s">
        <v>1011</v>
      </c>
      <c r="B145" s="259" t="s">
        <v>956</v>
      </c>
      <c r="C145" s="260">
        <v>9</v>
      </c>
      <c r="D145" s="260">
        <v>84</v>
      </c>
      <c r="E145" s="259"/>
      <c r="F145" s="260">
        <v>74428683364455</v>
      </c>
      <c r="G145" s="260">
        <v>99</v>
      </c>
      <c r="H145" s="260">
        <v>0</v>
      </c>
      <c r="I145" s="259"/>
      <c r="J145" s="260">
        <v>1</v>
      </c>
      <c r="K145" s="259" t="s">
        <v>658</v>
      </c>
      <c r="L145" s="304">
        <v>13223.14</v>
      </c>
      <c r="M145" s="260">
        <v>0</v>
      </c>
      <c r="N145" s="260">
        <v>0</v>
      </c>
      <c r="O145" s="260">
        <v>0</v>
      </c>
      <c r="P145" s="304">
        <v>2776.86</v>
      </c>
      <c r="Q145" s="303">
        <v>16000</v>
      </c>
    </row>
    <row r="146" spans="1:17">
      <c r="A146" s="259" t="s">
        <v>1011</v>
      </c>
      <c r="B146" s="259" t="s">
        <v>956</v>
      </c>
      <c r="C146" s="260">
        <v>9</v>
      </c>
      <c r="D146" s="260">
        <v>85</v>
      </c>
      <c r="E146" s="259"/>
      <c r="F146" s="260">
        <v>74428690814622</v>
      </c>
      <c r="G146" s="260">
        <v>99</v>
      </c>
      <c r="H146" s="260">
        <v>0</v>
      </c>
      <c r="I146" s="259"/>
      <c r="J146" s="260">
        <v>1</v>
      </c>
      <c r="K146" s="259" t="s">
        <v>658</v>
      </c>
      <c r="L146" s="304">
        <v>20661.16</v>
      </c>
      <c r="M146" s="260">
        <v>0</v>
      </c>
      <c r="N146" s="260">
        <v>0</v>
      </c>
      <c r="O146" s="260">
        <v>0</v>
      </c>
      <c r="P146" s="304">
        <v>4338.84</v>
      </c>
      <c r="Q146" s="303">
        <v>25000</v>
      </c>
    </row>
    <row r="147" spans="1:17">
      <c r="A147" s="259" t="s">
        <v>1011</v>
      </c>
      <c r="B147" s="259" t="s">
        <v>956</v>
      </c>
      <c r="C147" s="260">
        <v>9</v>
      </c>
      <c r="D147" s="260">
        <v>86</v>
      </c>
      <c r="E147" s="259"/>
      <c r="F147" s="260">
        <v>74428705965823</v>
      </c>
      <c r="G147" s="260">
        <v>99</v>
      </c>
      <c r="H147" s="260">
        <v>0</v>
      </c>
      <c r="I147" s="259"/>
      <c r="J147" s="260">
        <v>1</v>
      </c>
      <c r="K147" s="259" t="s">
        <v>658</v>
      </c>
      <c r="L147" s="302">
        <v>58512.4</v>
      </c>
      <c r="M147" s="260">
        <v>0</v>
      </c>
      <c r="N147" s="260">
        <v>0</v>
      </c>
      <c r="O147" s="260">
        <v>0</v>
      </c>
      <c r="P147" s="302">
        <v>12287.6</v>
      </c>
      <c r="Q147" s="303">
        <v>70800</v>
      </c>
    </row>
    <row r="148" spans="1:17">
      <c r="A148" s="259" t="s">
        <v>979</v>
      </c>
      <c r="B148" s="259" t="s">
        <v>656</v>
      </c>
      <c r="C148" s="260">
        <v>7</v>
      </c>
      <c r="D148" s="260">
        <v>2179</v>
      </c>
      <c r="E148" s="259"/>
      <c r="F148" s="260">
        <v>74418894340309</v>
      </c>
      <c r="G148" s="259" t="s">
        <v>7</v>
      </c>
      <c r="H148" s="260">
        <v>30709016012</v>
      </c>
      <c r="I148" s="259" t="s">
        <v>978</v>
      </c>
      <c r="J148" s="260">
        <v>1</v>
      </c>
      <c r="K148" s="259" t="s">
        <v>658</v>
      </c>
      <c r="L148" s="304">
        <v>550413.22</v>
      </c>
      <c r="M148" s="260">
        <v>0</v>
      </c>
      <c r="N148" s="260">
        <v>0</v>
      </c>
      <c r="O148" s="260">
        <v>0</v>
      </c>
      <c r="P148" s="304">
        <v>115586.78</v>
      </c>
      <c r="Q148" s="303">
        <v>666000</v>
      </c>
    </row>
    <row r="149" spans="1:17">
      <c r="A149" s="259" t="s">
        <v>979</v>
      </c>
      <c r="B149" s="259" t="s">
        <v>656</v>
      </c>
      <c r="C149" s="260">
        <v>7</v>
      </c>
      <c r="D149" s="260">
        <v>2180</v>
      </c>
      <c r="E149" s="259"/>
      <c r="F149" s="260">
        <v>74418927703083</v>
      </c>
      <c r="G149" s="259" t="s">
        <v>7</v>
      </c>
      <c r="H149" s="260">
        <v>30546771314</v>
      </c>
      <c r="I149" s="259" t="s">
        <v>975</v>
      </c>
      <c r="J149" s="260">
        <v>1</v>
      </c>
      <c r="K149" s="259" t="s">
        <v>658</v>
      </c>
      <c r="L149" s="304">
        <v>55900.83</v>
      </c>
      <c r="M149" s="260">
        <v>0</v>
      </c>
      <c r="N149" s="260">
        <v>0</v>
      </c>
      <c r="O149" s="260">
        <v>0</v>
      </c>
      <c r="P149" s="304">
        <v>11739.17</v>
      </c>
      <c r="Q149" s="303">
        <v>67640</v>
      </c>
    </row>
    <row r="150" spans="1:17">
      <c r="A150" s="259" t="s">
        <v>979</v>
      </c>
      <c r="B150" s="259" t="s">
        <v>656</v>
      </c>
      <c r="C150" s="260">
        <v>7</v>
      </c>
      <c r="D150" s="260">
        <v>2181</v>
      </c>
      <c r="E150" s="259"/>
      <c r="F150" s="260">
        <v>74418934233149</v>
      </c>
      <c r="G150" s="259" t="s">
        <v>7</v>
      </c>
      <c r="H150" s="260">
        <v>30608716390</v>
      </c>
      <c r="I150" s="259" t="s">
        <v>974</v>
      </c>
      <c r="J150" s="260">
        <v>1</v>
      </c>
      <c r="K150" s="259" t="s">
        <v>658</v>
      </c>
      <c r="L150" s="303">
        <v>7500</v>
      </c>
      <c r="M150" s="260">
        <v>0</v>
      </c>
      <c r="N150" s="260">
        <v>0</v>
      </c>
      <c r="O150" s="260">
        <v>0</v>
      </c>
      <c r="P150" s="303">
        <v>1575</v>
      </c>
      <c r="Q150" s="303">
        <v>9075</v>
      </c>
    </row>
    <row r="151" spans="1:17">
      <c r="A151" s="259" t="s">
        <v>979</v>
      </c>
      <c r="B151" s="259" t="s">
        <v>656</v>
      </c>
      <c r="C151" s="260">
        <v>7</v>
      </c>
      <c r="D151" s="260">
        <v>2182</v>
      </c>
      <c r="E151" s="259"/>
      <c r="F151" s="260">
        <v>74418935073436</v>
      </c>
      <c r="G151" s="259" t="s">
        <v>7</v>
      </c>
      <c r="H151" s="260">
        <v>30608716390</v>
      </c>
      <c r="I151" s="259" t="s">
        <v>974</v>
      </c>
      <c r="J151" s="260">
        <v>1</v>
      </c>
      <c r="K151" s="259" t="s">
        <v>658</v>
      </c>
      <c r="L151" s="303">
        <v>7500</v>
      </c>
      <c r="M151" s="260">
        <v>0</v>
      </c>
      <c r="N151" s="260">
        <v>0</v>
      </c>
      <c r="O151" s="260">
        <v>0</v>
      </c>
      <c r="P151" s="303">
        <v>1575</v>
      </c>
      <c r="Q151" s="303">
        <v>9075</v>
      </c>
    </row>
    <row r="152" spans="1:17">
      <c r="A152" s="259" t="s">
        <v>979</v>
      </c>
      <c r="B152" s="259" t="s">
        <v>656</v>
      </c>
      <c r="C152" s="260">
        <v>7</v>
      </c>
      <c r="D152" s="260">
        <v>2183</v>
      </c>
      <c r="E152" s="259"/>
      <c r="F152" s="260">
        <v>74418938153273</v>
      </c>
      <c r="G152" s="259" t="s">
        <v>7</v>
      </c>
      <c r="H152" s="260">
        <v>30608716390</v>
      </c>
      <c r="I152" s="259" t="s">
        <v>974</v>
      </c>
      <c r="J152" s="260">
        <v>1</v>
      </c>
      <c r="K152" s="259" t="s">
        <v>658</v>
      </c>
      <c r="L152" s="302">
        <v>6384.3</v>
      </c>
      <c r="M152" s="260">
        <v>0</v>
      </c>
      <c r="N152" s="260">
        <v>0</v>
      </c>
      <c r="O152" s="260">
        <v>0</v>
      </c>
      <c r="P152" s="302">
        <v>1340.7</v>
      </c>
      <c r="Q152" s="303">
        <v>7725</v>
      </c>
    </row>
    <row r="153" spans="1:17">
      <c r="A153" s="259" t="s">
        <v>979</v>
      </c>
      <c r="B153" s="259" t="s">
        <v>656</v>
      </c>
      <c r="C153" s="260">
        <v>7</v>
      </c>
      <c r="D153" s="260">
        <v>2184</v>
      </c>
      <c r="E153" s="259"/>
      <c r="F153" s="260">
        <v>74418952953435</v>
      </c>
      <c r="G153" s="259" t="s">
        <v>7</v>
      </c>
      <c r="H153" s="260">
        <v>30608716390</v>
      </c>
      <c r="I153" s="259" t="s">
        <v>974</v>
      </c>
      <c r="J153" s="260">
        <v>1</v>
      </c>
      <c r="K153" s="259" t="s">
        <v>658</v>
      </c>
      <c r="L153" s="303">
        <v>15000</v>
      </c>
      <c r="M153" s="260">
        <v>0</v>
      </c>
      <c r="N153" s="260">
        <v>0</v>
      </c>
      <c r="O153" s="260">
        <v>0</v>
      </c>
      <c r="P153" s="303">
        <v>3150</v>
      </c>
      <c r="Q153" s="303">
        <v>18150</v>
      </c>
    </row>
    <row r="154" spans="1:17">
      <c r="A154" s="259" t="s">
        <v>979</v>
      </c>
      <c r="B154" s="259" t="s">
        <v>656</v>
      </c>
      <c r="C154" s="260">
        <v>7</v>
      </c>
      <c r="D154" s="260">
        <v>2185</v>
      </c>
      <c r="E154" s="259"/>
      <c r="F154" s="260">
        <v>74418953720163</v>
      </c>
      <c r="G154" s="259" t="s">
        <v>7</v>
      </c>
      <c r="H154" s="260">
        <v>30608716390</v>
      </c>
      <c r="I154" s="259" t="s">
        <v>974</v>
      </c>
      <c r="J154" s="260">
        <v>1</v>
      </c>
      <c r="K154" s="259" t="s">
        <v>658</v>
      </c>
      <c r="L154" s="303">
        <v>15000</v>
      </c>
      <c r="M154" s="260">
        <v>0</v>
      </c>
      <c r="N154" s="260">
        <v>0</v>
      </c>
      <c r="O154" s="260">
        <v>0</v>
      </c>
      <c r="P154" s="303">
        <v>3150</v>
      </c>
      <c r="Q154" s="303">
        <v>18150</v>
      </c>
    </row>
    <row r="155" spans="1:17">
      <c r="A155" s="259" t="s">
        <v>979</v>
      </c>
      <c r="B155" s="259" t="s">
        <v>656</v>
      </c>
      <c r="C155" s="260">
        <v>7</v>
      </c>
      <c r="D155" s="260">
        <v>2186</v>
      </c>
      <c r="E155" s="259"/>
      <c r="F155" s="260">
        <v>74418954104801</v>
      </c>
      <c r="G155" s="259" t="s">
        <v>7</v>
      </c>
      <c r="H155" s="260">
        <v>30608716390</v>
      </c>
      <c r="I155" s="259" t="s">
        <v>974</v>
      </c>
      <c r="J155" s="260">
        <v>1</v>
      </c>
      <c r="K155" s="259" t="s">
        <v>658</v>
      </c>
      <c r="L155" s="304">
        <v>36652.89</v>
      </c>
      <c r="M155" s="260">
        <v>0</v>
      </c>
      <c r="N155" s="260">
        <v>0</v>
      </c>
      <c r="O155" s="260">
        <v>0</v>
      </c>
      <c r="P155" s="304">
        <v>7697.11</v>
      </c>
      <c r="Q155" s="303">
        <v>44350</v>
      </c>
    </row>
    <row r="156" spans="1:17">
      <c r="A156" s="259" t="s">
        <v>979</v>
      </c>
      <c r="B156" s="259" t="s">
        <v>656</v>
      </c>
      <c r="C156" s="260">
        <v>7</v>
      </c>
      <c r="D156" s="260">
        <v>2187</v>
      </c>
      <c r="E156" s="259"/>
      <c r="F156" s="260">
        <v>74418955236088</v>
      </c>
      <c r="G156" s="259" t="s">
        <v>7</v>
      </c>
      <c r="H156" s="260">
        <v>30608716390</v>
      </c>
      <c r="I156" s="259" t="s">
        <v>974</v>
      </c>
      <c r="J156" s="260">
        <v>1</v>
      </c>
      <c r="K156" s="259" t="s">
        <v>658</v>
      </c>
      <c r="L156" s="304">
        <v>50173.55</v>
      </c>
      <c r="M156" s="260">
        <v>0</v>
      </c>
      <c r="N156" s="260">
        <v>0</v>
      </c>
      <c r="O156" s="260">
        <v>0</v>
      </c>
      <c r="P156" s="304">
        <v>10536.45</v>
      </c>
      <c r="Q156" s="303">
        <v>60710</v>
      </c>
    </row>
    <row r="157" spans="1:17">
      <c r="A157" s="259" t="s">
        <v>979</v>
      </c>
      <c r="B157" s="259" t="s">
        <v>656</v>
      </c>
      <c r="C157" s="260">
        <v>7</v>
      </c>
      <c r="D157" s="260">
        <v>2188</v>
      </c>
      <c r="E157" s="259"/>
      <c r="F157" s="260">
        <v>74418955641152</v>
      </c>
      <c r="G157" s="259" t="s">
        <v>7</v>
      </c>
      <c r="H157" s="260">
        <v>30608716390</v>
      </c>
      <c r="I157" s="259" t="s">
        <v>974</v>
      </c>
      <c r="J157" s="260">
        <v>1</v>
      </c>
      <c r="K157" s="259" t="s">
        <v>658</v>
      </c>
      <c r="L157" s="304">
        <v>18041.32</v>
      </c>
      <c r="M157" s="260">
        <v>0</v>
      </c>
      <c r="N157" s="260">
        <v>0</v>
      </c>
      <c r="O157" s="260">
        <v>0</v>
      </c>
      <c r="P157" s="304">
        <v>3788.68</v>
      </c>
      <c r="Q157" s="303">
        <v>21830</v>
      </c>
    </row>
    <row r="158" spans="1:17">
      <c r="A158" s="259" t="s">
        <v>979</v>
      </c>
      <c r="B158" s="259" t="s">
        <v>656</v>
      </c>
      <c r="C158" s="260">
        <v>7</v>
      </c>
      <c r="D158" s="260">
        <v>2189</v>
      </c>
      <c r="E158" s="259"/>
      <c r="F158" s="260">
        <v>74418956428820</v>
      </c>
      <c r="G158" s="259" t="s">
        <v>7</v>
      </c>
      <c r="H158" s="260">
        <v>30608716390</v>
      </c>
      <c r="I158" s="259" t="s">
        <v>974</v>
      </c>
      <c r="J158" s="260">
        <v>1</v>
      </c>
      <c r="K158" s="259" t="s">
        <v>658</v>
      </c>
      <c r="L158" s="304">
        <v>34421.49</v>
      </c>
      <c r="M158" s="260">
        <v>0</v>
      </c>
      <c r="N158" s="260">
        <v>0</v>
      </c>
      <c r="O158" s="260">
        <v>0</v>
      </c>
      <c r="P158" s="304">
        <v>7228.51</v>
      </c>
      <c r="Q158" s="303">
        <v>41650</v>
      </c>
    </row>
    <row r="159" spans="1:17">
      <c r="A159" s="259" t="s">
        <v>979</v>
      </c>
      <c r="B159" s="259" t="s">
        <v>656</v>
      </c>
      <c r="C159" s="260">
        <v>7</v>
      </c>
      <c r="D159" s="260">
        <v>2190</v>
      </c>
      <c r="E159" s="259"/>
      <c r="F159" s="260">
        <v>74418957932912</v>
      </c>
      <c r="G159" s="259" t="s">
        <v>7</v>
      </c>
      <c r="H159" s="260">
        <v>30608716390</v>
      </c>
      <c r="I159" s="259" t="s">
        <v>974</v>
      </c>
      <c r="J159" s="260">
        <v>1</v>
      </c>
      <c r="K159" s="259" t="s">
        <v>658</v>
      </c>
      <c r="L159" s="302">
        <v>12768.6</v>
      </c>
      <c r="M159" s="260">
        <v>0</v>
      </c>
      <c r="N159" s="260">
        <v>0</v>
      </c>
      <c r="O159" s="260">
        <v>0</v>
      </c>
      <c r="P159" s="302">
        <v>2681.4</v>
      </c>
      <c r="Q159" s="303">
        <v>15450</v>
      </c>
    </row>
    <row r="160" spans="1:17">
      <c r="A160" s="259" t="s">
        <v>979</v>
      </c>
      <c r="B160" s="259" t="s">
        <v>656</v>
      </c>
      <c r="C160" s="260">
        <v>7</v>
      </c>
      <c r="D160" s="260">
        <v>2191</v>
      </c>
      <c r="E160" s="259"/>
      <c r="F160" s="260">
        <v>74418958364323</v>
      </c>
      <c r="G160" s="259" t="s">
        <v>7</v>
      </c>
      <c r="H160" s="260">
        <v>30608716390</v>
      </c>
      <c r="I160" s="259" t="s">
        <v>974</v>
      </c>
      <c r="J160" s="260">
        <v>1</v>
      </c>
      <c r="K160" s="259" t="s">
        <v>658</v>
      </c>
      <c r="L160" s="303">
        <v>15000</v>
      </c>
      <c r="M160" s="260">
        <v>0</v>
      </c>
      <c r="N160" s="260">
        <v>0</v>
      </c>
      <c r="O160" s="260">
        <v>0</v>
      </c>
      <c r="P160" s="303">
        <v>3150</v>
      </c>
      <c r="Q160" s="303">
        <v>18150</v>
      </c>
    </row>
    <row r="161" spans="1:17">
      <c r="A161" s="259" t="s">
        <v>979</v>
      </c>
      <c r="B161" s="259" t="s">
        <v>656</v>
      </c>
      <c r="C161" s="260">
        <v>7</v>
      </c>
      <c r="D161" s="260">
        <v>2192</v>
      </c>
      <c r="E161" s="259"/>
      <c r="F161" s="260">
        <v>74418959797206</v>
      </c>
      <c r="G161" s="259" t="s">
        <v>7</v>
      </c>
      <c r="H161" s="260">
        <v>30608716390</v>
      </c>
      <c r="I161" s="259" t="s">
        <v>974</v>
      </c>
      <c r="J161" s="260">
        <v>1</v>
      </c>
      <c r="K161" s="259" t="s">
        <v>658</v>
      </c>
      <c r="L161" s="303">
        <v>15000</v>
      </c>
      <c r="M161" s="260">
        <v>0</v>
      </c>
      <c r="N161" s="260">
        <v>0</v>
      </c>
      <c r="O161" s="260">
        <v>0</v>
      </c>
      <c r="P161" s="303">
        <v>3150</v>
      </c>
      <c r="Q161" s="303">
        <v>18150</v>
      </c>
    </row>
    <row r="162" spans="1:17">
      <c r="A162" s="259" t="s">
        <v>979</v>
      </c>
      <c r="B162" s="259" t="s">
        <v>656</v>
      </c>
      <c r="C162" s="260">
        <v>7</v>
      </c>
      <c r="D162" s="260">
        <v>2193</v>
      </c>
      <c r="E162" s="259"/>
      <c r="F162" s="260">
        <v>74418960103330</v>
      </c>
      <c r="G162" s="259" t="s">
        <v>7</v>
      </c>
      <c r="H162" s="260">
        <v>30608716390</v>
      </c>
      <c r="I162" s="259" t="s">
        <v>974</v>
      </c>
      <c r="J162" s="260">
        <v>1</v>
      </c>
      <c r="K162" s="259" t="s">
        <v>658</v>
      </c>
      <c r="L162" s="303">
        <v>15000</v>
      </c>
      <c r="M162" s="260">
        <v>0</v>
      </c>
      <c r="N162" s="260">
        <v>0</v>
      </c>
      <c r="O162" s="260">
        <v>0</v>
      </c>
      <c r="P162" s="303">
        <v>3150</v>
      </c>
      <c r="Q162" s="303">
        <v>18150</v>
      </c>
    </row>
    <row r="163" spans="1:17">
      <c r="A163" s="259" t="s">
        <v>979</v>
      </c>
      <c r="B163" s="259" t="s">
        <v>656</v>
      </c>
      <c r="C163" s="260">
        <v>7</v>
      </c>
      <c r="D163" s="260">
        <v>2194</v>
      </c>
      <c r="E163" s="259"/>
      <c r="F163" s="260">
        <v>74418960506768</v>
      </c>
      <c r="G163" s="259" t="s">
        <v>7</v>
      </c>
      <c r="H163" s="260">
        <v>30608716390</v>
      </c>
      <c r="I163" s="259" t="s">
        <v>974</v>
      </c>
      <c r="J163" s="260">
        <v>1</v>
      </c>
      <c r="K163" s="259" t="s">
        <v>658</v>
      </c>
      <c r="L163" s="304">
        <v>21652.89</v>
      </c>
      <c r="M163" s="260">
        <v>0</v>
      </c>
      <c r="N163" s="260">
        <v>0</v>
      </c>
      <c r="O163" s="260">
        <v>0</v>
      </c>
      <c r="P163" s="304">
        <v>4547.1099999999997</v>
      </c>
      <c r="Q163" s="303">
        <v>26200</v>
      </c>
    </row>
    <row r="164" spans="1:17">
      <c r="A164" s="259" t="s">
        <v>979</v>
      </c>
      <c r="B164" s="259" t="s">
        <v>656</v>
      </c>
      <c r="C164" s="260">
        <v>3</v>
      </c>
      <c r="D164" s="260">
        <v>2125</v>
      </c>
      <c r="E164" s="259"/>
      <c r="F164" s="260">
        <v>74418934048533</v>
      </c>
      <c r="G164" s="259" t="s">
        <v>7</v>
      </c>
      <c r="H164" s="260">
        <v>30717908232</v>
      </c>
      <c r="I164" s="259" t="s">
        <v>980</v>
      </c>
      <c r="J164" s="260">
        <v>1</v>
      </c>
      <c r="K164" s="259" t="s">
        <v>658</v>
      </c>
      <c r="L164" s="304">
        <v>78305.759999999995</v>
      </c>
      <c r="M164" s="260">
        <v>0</v>
      </c>
      <c r="N164" s="260">
        <v>0</v>
      </c>
      <c r="O164" s="260">
        <v>0</v>
      </c>
      <c r="P164" s="304">
        <v>16444.21</v>
      </c>
      <c r="Q164" s="304">
        <v>94749.99</v>
      </c>
    </row>
    <row r="165" spans="1:17">
      <c r="A165" s="259" t="s">
        <v>979</v>
      </c>
      <c r="B165" s="259" t="s">
        <v>656</v>
      </c>
      <c r="C165" s="260">
        <v>3</v>
      </c>
      <c r="D165" s="260">
        <v>2126</v>
      </c>
      <c r="E165" s="259"/>
      <c r="F165" s="260">
        <v>74418934840311</v>
      </c>
      <c r="G165" s="259" t="s">
        <v>7</v>
      </c>
      <c r="H165" s="260">
        <v>30717908232</v>
      </c>
      <c r="I165" s="259" t="s">
        <v>980</v>
      </c>
      <c r="J165" s="260">
        <v>1</v>
      </c>
      <c r="K165" s="259" t="s">
        <v>658</v>
      </c>
      <c r="L165" s="304">
        <v>12396.71</v>
      </c>
      <c r="M165" s="260">
        <v>0</v>
      </c>
      <c r="N165" s="260">
        <v>0</v>
      </c>
      <c r="O165" s="260">
        <v>0</v>
      </c>
      <c r="P165" s="304">
        <v>2603.31</v>
      </c>
      <c r="Q165" s="304">
        <v>15000.01</v>
      </c>
    </row>
    <row r="166" spans="1:17">
      <c r="A166" s="259" t="s">
        <v>979</v>
      </c>
      <c r="B166" s="259" t="s">
        <v>656</v>
      </c>
      <c r="C166" s="260">
        <v>3</v>
      </c>
      <c r="D166" s="260">
        <v>2127</v>
      </c>
      <c r="E166" s="259"/>
      <c r="F166" s="260">
        <v>74418935359026</v>
      </c>
      <c r="G166" s="259" t="s">
        <v>7</v>
      </c>
      <c r="H166" s="260">
        <v>30717908232</v>
      </c>
      <c r="I166" s="259" t="s">
        <v>980</v>
      </c>
      <c r="J166" s="260">
        <v>1</v>
      </c>
      <c r="K166" s="259" t="s">
        <v>658</v>
      </c>
      <c r="L166" s="304">
        <v>78305.759999999995</v>
      </c>
      <c r="M166" s="260">
        <v>0</v>
      </c>
      <c r="N166" s="260">
        <v>0</v>
      </c>
      <c r="O166" s="260">
        <v>0</v>
      </c>
      <c r="P166" s="304">
        <v>16444.21</v>
      </c>
      <c r="Q166" s="304">
        <v>94749.99</v>
      </c>
    </row>
    <row r="167" spans="1:17">
      <c r="A167" s="259" t="s">
        <v>979</v>
      </c>
      <c r="B167" s="259" t="s">
        <v>961</v>
      </c>
      <c r="C167" s="260">
        <v>6</v>
      </c>
      <c r="D167" s="260">
        <v>539</v>
      </c>
      <c r="E167" s="259"/>
      <c r="F167" s="260">
        <v>74418947858394</v>
      </c>
      <c r="G167" s="259" t="s">
        <v>7</v>
      </c>
      <c r="H167" s="260">
        <v>30683032227</v>
      </c>
      <c r="I167" s="259" t="s">
        <v>972</v>
      </c>
      <c r="J167" s="260">
        <v>1</v>
      </c>
      <c r="K167" s="259" t="s">
        <v>658</v>
      </c>
      <c r="L167" s="303">
        <v>1860500</v>
      </c>
      <c r="M167" s="260">
        <v>0</v>
      </c>
      <c r="N167" s="260">
        <v>0</v>
      </c>
      <c r="O167" s="260">
        <v>0</v>
      </c>
      <c r="P167" s="303">
        <v>390705</v>
      </c>
      <c r="Q167" s="303">
        <v>2251205</v>
      </c>
    </row>
    <row r="168" spans="1:17">
      <c r="A168" s="259" t="s">
        <v>979</v>
      </c>
      <c r="B168" s="301" t="s">
        <v>678</v>
      </c>
      <c r="C168" s="260">
        <v>7</v>
      </c>
      <c r="D168" s="260">
        <v>165</v>
      </c>
      <c r="E168" s="259"/>
      <c r="F168" s="260">
        <v>74418956898120</v>
      </c>
      <c r="G168" s="259" t="s">
        <v>7</v>
      </c>
      <c r="H168" s="260">
        <v>30608716390</v>
      </c>
      <c r="I168" s="259" t="s">
        <v>974</v>
      </c>
      <c r="J168" s="260">
        <v>1</v>
      </c>
      <c r="K168" s="259" t="s">
        <v>658</v>
      </c>
      <c r="L168" s="304">
        <v>-34421.49</v>
      </c>
      <c r="M168" s="260">
        <v>0</v>
      </c>
      <c r="N168" s="260">
        <v>0</v>
      </c>
      <c r="O168" s="260">
        <v>0</v>
      </c>
      <c r="P168" s="303">
        <f>+L168*0.21</f>
        <v>-7228.5128999999997</v>
      </c>
      <c r="Q168" s="303">
        <f>+SUM(L168+P168)</f>
        <v>-41650.002899999999</v>
      </c>
    </row>
    <row r="169" spans="1:17">
      <c r="A169" s="259" t="s">
        <v>1011</v>
      </c>
      <c r="B169" s="259" t="s">
        <v>956</v>
      </c>
      <c r="C169" s="260">
        <v>9</v>
      </c>
      <c r="D169" s="260">
        <v>87</v>
      </c>
      <c r="E169" s="259"/>
      <c r="F169" s="260">
        <v>74428717410406</v>
      </c>
      <c r="G169" s="260">
        <v>99</v>
      </c>
      <c r="H169" s="260">
        <v>0</v>
      </c>
      <c r="I169" s="259"/>
      <c r="J169" s="260">
        <v>1</v>
      </c>
      <c r="K169" s="259" t="s">
        <v>658</v>
      </c>
      <c r="L169" s="304">
        <v>8595.0400000000009</v>
      </c>
      <c r="M169" s="260">
        <v>0</v>
      </c>
      <c r="N169" s="260">
        <v>0</v>
      </c>
      <c r="O169" s="260">
        <v>0</v>
      </c>
      <c r="P169" s="304">
        <v>1804.96</v>
      </c>
      <c r="Q169" s="303">
        <v>10400</v>
      </c>
    </row>
    <row r="170" spans="1:17">
      <c r="A170" s="259" t="s">
        <v>1011</v>
      </c>
      <c r="B170" s="259" t="s">
        <v>956</v>
      </c>
      <c r="C170" s="260">
        <v>9</v>
      </c>
      <c r="D170" s="260">
        <v>88</v>
      </c>
      <c r="E170" s="259"/>
      <c r="F170" s="260">
        <v>74428722856818</v>
      </c>
      <c r="G170" s="260">
        <v>99</v>
      </c>
      <c r="H170" s="260">
        <v>0</v>
      </c>
      <c r="I170" s="259"/>
      <c r="J170" s="260">
        <v>1</v>
      </c>
      <c r="K170" s="259" t="s">
        <v>658</v>
      </c>
      <c r="L170" s="304">
        <v>14669.42</v>
      </c>
      <c r="M170" s="260">
        <v>0</v>
      </c>
      <c r="N170" s="260">
        <v>0</v>
      </c>
      <c r="O170" s="260">
        <v>0</v>
      </c>
      <c r="P170" s="304">
        <v>3080.58</v>
      </c>
      <c r="Q170" s="303">
        <v>17750</v>
      </c>
    </row>
    <row r="171" spans="1:17">
      <c r="A171" s="259" t="s">
        <v>1011</v>
      </c>
      <c r="B171" s="259" t="s">
        <v>956</v>
      </c>
      <c r="C171" s="260">
        <v>9</v>
      </c>
      <c r="D171" s="260">
        <v>89</v>
      </c>
      <c r="E171" s="259"/>
      <c r="F171" s="260">
        <v>74428731953968</v>
      </c>
      <c r="G171" s="260">
        <v>99</v>
      </c>
      <c r="H171" s="260">
        <v>0</v>
      </c>
      <c r="I171" s="259"/>
      <c r="J171" s="260">
        <v>1</v>
      </c>
      <c r="K171" s="259" t="s">
        <v>658</v>
      </c>
      <c r="L171" s="304">
        <v>20661.16</v>
      </c>
      <c r="M171" s="260">
        <v>0</v>
      </c>
      <c r="N171" s="260">
        <v>0</v>
      </c>
      <c r="O171" s="260">
        <v>0</v>
      </c>
      <c r="P171" s="304">
        <v>4338.84</v>
      </c>
      <c r="Q171" s="303">
        <v>25000</v>
      </c>
    </row>
    <row r="172" spans="1:17">
      <c r="A172" s="259" t="s">
        <v>1011</v>
      </c>
      <c r="B172" s="259" t="s">
        <v>956</v>
      </c>
      <c r="C172" s="260">
        <v>9</v>
      </c>
      <c r="D172" s="260">
        <v>90</v>
      </c>
      <c r="E172" s="259"/>
      <c r="F172" s="260">
        <v>74428736004102</v>
      </c>
      <c r="G172" s="260">
        <v>99</v>
      </c>
      <c r="H172" s="260">
        <v>0</v>
      </c>
      <c r="I172" s="259"/>
      <c r="J172" s="260">
        <v>1</v>
      </c>
      <c r="K172" s="259" t="s">
        <v>658</v>
      </c>
      <c r="L172" s="302">
        <v>21487.599999999999</v>
      </c>
      <c r="M172" s="260">
        <v>0</v>
      </c>
      <c r="N172" s="260">
        <v>0</v>
      </c>
      <c r="O172" s="260">
        <v>0</v>
      </c>
      <c r="P172" s="302">
        <v>4512.3999999999996</v>
      </c>
      <c r="Q172" s="303">
        <v>26000</v>
      </c>
    </row>
    <row r="173" spans="1:17">
      <c r="A173" s="259" t="s">
        <v>1011</v>
      </c>
      <c r="B173" s="259" t="s">
        <v>956</v>
      </c>
      <c r="C173" s="260">
        <v>9</v>
      </c>
      <c r="D173" s="260">
        <v>91</v>
      </c>
      <c r="E173" s="259"/>
      <c r="F173" s="260">
        <v>74428736498208</v>
      </c>
      <c r="G173" s="260">
        <v>99</v>
      </c>
      <c r="H173" s="260">
        <v>0</v>
      </c>
      <c r="I173" s="259"/>
      <c r="J173" s="260">
        <v>1</v>
      </c>
      <c r="K173" s="259" t="s">
        <v>658</v>
      </c>
      <c r="L173" s="304">
        <v>29338.84</v>
      </c>
      <c r="M173" s="260">
        <v>0</v>
      </c>
      <c r="N173" s="260">
        <v>0</v>
      </c>
      <c r="O173" s="260">
        <v>0</v>
      </c>
      <c r="P173" s="304">
        <v>6161.16</v>
      </c>
      <c r="Q173" s="303">
        <v>35500</v>
      </c>
    </row>
    <row r="174" spans="1:17">
      <c r="A174" s="259" t="s">
        <v>1011</v>
      </c>
      <c r="B174" s="259" t="s">
        <v>956</v>
      </c>
      <c r="C174" s="260">
        <v>9</v>
      </c>
      <c r="D174" s="260">
        <v>92</v>
      </c>
      <c r="E174" s="259"/>
      <c r="F174" s="260">
        <v>74428740975038</v>
      </c>
      <c r="G174" s="260">
        <v>99</v>
      </c>
      <c r="H174" s="260">
        <v>0</v>
      </c>
      <c r="I174" s="259"/>
      <c r="J174" s="260">
        <v>1</v>
      </c>
      <c r="K174" s="259" t="s">
        <v>658</v>
      </c>
      <c r="L174" s="304">
        <v>11735.54</v>
      </c>
      <c r="M174" s="260">
        <v>0</v>
      </c>
      <c r="N174" s="260">
        <v>0</v>
      </c>
      <c r="O174" s="260">
        <v>0</v>
      </c>
      <c r="P174" s="304">
        <v>2464.46</v>
      </c>
      <c r="Q174" s="303">
        <v>14200</v>
      </c>
    </row>
    <row r="175" spans="1:17">
      <c r="A175" s="259" t="s">
        <v>1011</v>
      </c>
      <c r="B175" s="259" t="s">
        <v>956</v>
      </c>
      <c r="C175" s="260">
        <v>9</v>
      </c>
      <c r="D175" s="260">
        <v>93</v>
      </c>
      <c r="E175" s="259"/>
      <c r="F175" s="260">
        <v>74428745551381</v>
      </c>
      <c r="G175" s="260">
        <v>99</v>
      </c>
      <c r="H175" s="260">
        <v>0</v>
      </c>
      <c r="I175" s="259"/>
      <c r="J175" s="260">
        <v>1</v>
      </c>
      <c r="K175" s="259" t="s">
        <v>658</v>
      </c>
      <c r="L175" s="304">
        <v>1735.54</v>
      </c>
      <c r="M175" s="260">
        <v>0</v>
      </c>
      <c r="N175" s="260">
        <v>0</v>
      </c>
      <c r="O175" s="260">
        <v>0</v>
      </c>
      <c r="P175" s="304">
        <v>364.46</v>
      </c>
      <c r="Q175" s="303">
        <v>2100</v>
      </c>
    </row>
    <row r="176" spans="1:17">
      <c r="A176" s="259" t="s">
        <v>1018</v>
      </c>
      <c r="B176" s="259" t="s">
        <v>956</v>
      </c>
      <c r="C176" s="260">
        <v>9</v>
      </c>
      <c r="D176" s="260">
        <v>94</v>
      </c>
      <c r="E176" s="259"/>
      <c r="F176" s="260">
        <v>74428816383579</v>
      </c>
      <c r="G176" s="260">
        <v>99</v>
      </c>
      <c r="H176" s="260">
        <v>0</v>
      </c>
      <c r="I176" s="259"/>
      <c r="J176" s="260">
        <v>1</v>
      </c>
      <c r="K176" s="259" t="s">
        <v>658</v>
      </c>
      <c r="L176" s="304">
        <v>13223.14</v>
      </c>
      <c r="M176" s="260">
        <v>0</v>
      </c>
      <c r="N176" s="260">
        <v>0</v>
      </c>
      <c r="O176" s="260">
        <v>0</v>
      </c>
      <c r="P176" s="304">
        <v>2776.86</v>
      </c>
      <c r="Q176" s="303">
        <v>16000</v>
      </c>
    </row>
    <row r="177" spans="1:17">
      <c r="A177" s="259" t="s">
        <v>1018</v>
      </c>
      <c r="B177" s="259" t="s">
        <v>956</v>
      </c>
      <c r="C177" s="260">
        <v>9</v>
      </c>
      <c r="D177" s="260">
        <v>95</v>
      </c>
      <c r="E177" s="259"/>
      <c r="F177" s="260">
        <v>74428818600473</v>
      </c>
      <c r="G177" s="260">
        <v>99</v>
      </c>
      <c r="H177" s="260">
        <v>0</v>
      </c>
      <c r="I177" s="259"/>
      <c r="J177" s="260">
        <v>1</v>
      </c>
      <c r="K177" s="259" t="s">
        <v>658</v>
      </c>
      <c r="L177" s="304">
        <v>22314.05</v>
      </c>
      <c r="M177" s="260">
        <v>0</v>
      </c>
      <c r="N177" s="260">
        <v>0</v>
      </c>
      <c r="O177" s="260">
        <v>0</v>
      </c>
      <c r="P177" s="304">
        <v>4685.95</v>
      </c>
      <c r="Q177" s="303">
        <v>27000</v>
      </c>
    </row>
    <row r="178" spans="1:17">
      <c r="A178" s="259" t="s">
        <v>1018</v>
      </c>
      <c r="B178" s="259" t="s">
        <v>956</v>
      </c>
      <c r="C178" s="260">
        <v>9</v>
      </c>
      <c r="D178" s="260">
        <v>96</v>
      </c>
      <c r="E178" s="259"/>
      <c r="F178" s="260">
        <v>74428830502014</v>
      </c>
      <c r="G178" s="260">
        <v>99</v>
      </c>
      <c r="H178" s="260">
        <v>0</v>
      </c>
      <c r="I178" s="259"/>
      <c r="J178" s="260">
        <v>1</v>
      </c>
      <c r="K178" s="259" t="s">
        <v>658</v>
      </c>
      <c r="L178" s="302">
        <v>21487.599999999999</v>
      </c>
      <c r="M178" s="260">
        <v>0</v>
      </c>
      <c r="N178" s="260">
        <v>0</v>
      </c>
      <c r="O178" s="260">
        <v>0</v>
      </c>
      <c r="P178" s="302">
        <v>4512.3999999999996</v>
      </c>
      <c r="Q178" s="303">
        <v>26000</v>
      </c>
    </row>
    <row r="179" spans="1:17">
      <c r="A179" s="259" t="s">
        <v>1018</v>
      </c>
      <c r="B179" s="259" t="s">
        <v>956</v>
      </c>
      <c r="C179" s="260">
        <v>9</v>
      </c>
      <c r="D179" s="260">
        <v>97</v>
      </c>
      <c r="E179" s="259"/>
      <c r="F179" s="260">
        <v>74428833181520</v>
      </c>
      <c r="G179" s="260">
        <v>99</v>
      </c>
      <c r="H179" s="260">
        <v>0</v>
      </c>
      <c r="I179" s="259"/>
      <c r="J179" s="260">
        <v>1</v>
      </c>
      <c r="K179" s="259" t="s">
        <v>658</v>
      </c>
      <c r="L179" s="302">
        <v>10743.8</v>
      </c>
      <c r="M179" s="260">
        <v>0</v>
      </c>
      <c r="N179" s="260">
        <v>0</v>
      </c>
      <c r="O179" s="260">
        <v>0</v>
      </c>
      <c r="P179" s="302">
        <v>2256.1999999999998</v>
      </c>
      <c r="Q179" s="303">
        <v>13000</v>
      </c>
    </row>
    <row r="180" spans="1:17">
      <c r="A180" s="259" t="s">
        <v>1018</v>
      </c>
      <c r="B180" s="259" t="s">
        <v>956</v>
      </c>
      <c r="C180" s="260">
        <v>9</v>
      </c>
      <c r="D180" s="260">
        <v>98</v>
      </c>
      <c r="E180" s="259"/>
      <c r="F180" s="260">
        <v>74428837333651</v>
      </c>
      <c r="G180" s="260">
        <v>99</v>
      </c>
      <c r="H180" s="260">
        <v>0</v>
      </c>
      <c r="I180" s="259"/>
      <c r="J180" s="260">
        <v>1</v>
      </c>
      <c r="K180" s="259" t="s">
        <v>658</v>
      </c>
      <c r="L180" s="304">
        <v>12396.69</v>
      </c>
      <c r="M180" s="260">
        <v>0</v>
      </c>
      <c r="N180" s="260">
        <v>0</v>
      </c>
      <c r="O180" s="260">
        <v>0</v>
      </c>
      <c r="P180" s="304">
        <v>2603.31</v>
      </c>
      <c r="Q180" s="303">
        <v>15000</v>
      </c>
    </row>
    <row r="181" spans="1:17">
      <c r="A181" s="259" t="s">
        <v>1018</v>
      </c>
      <c r="B181" s="259" t="s">
        <v>956</v>
      </c>
      <c r="C181" s="260">
        <v>9</v>
      </c>
      <c r="D181" s="260">
        <v>99</v>
      </c>
      <c r="E181" s="259"/>
      <c r="F181" s="260">
        <v>74428838359002</v>
      </c>
      <c r="G181" s="260">
        <v>99</v>
      </c>
      <c r="H181" s="260">
        <v>0</v>
      </c>
      <c r="I181" s="259"/>
      <c r="J181" s="260">
        <v>1</v>
      </c>
      <c r="K181" s="259" t="s">
        <v>658</v>
      </c>
      <c r="L181" s="304">
        <v>14876.03</v>
      </c>
      <c r="M181" s="260">
        <v>0</v>
      </c>
      <c r="N181" s="260">
        <v>0</v>
      </c>
      <c r="O181" s="260">
        <v>0</v>
      </c>
      <c r="P181" s="304">
        <v>3123.97</v>
      </c>
      <c r="Q181" s="303">
        <v>18000</v>
      </c>
    </row>
    <row r="182" spans="1:17">
      <c r="A182" s="259" t="s">
        <v>1018</v>
      </c>
      <c r="B182" s="259" t="s">
        <v>956</v>
      </c>
      <c r="C182" s="260">
        <v>9</v>
      </c>
      <c r="D182" s="260">
        <v>100</v>
      </c>
      <c r="E182" s="259"/>
      <c r="F182" s="260">
        <v>74428843654618</v>
      </c>
      <c r="G182" s="260">
        <v>99</v>
      </c>
      <c r="H182" s="260">
        <v>0</v>
      </c>
      <c r="I182" s="259"/>
      <c r="J182" s="260">
        <v>1</v>
      </c>
      <c r="K182" s="259" t="s">
        <v>658</v>
      </c>
      <c r="L182" s="302">
        <v>23140.5</v>
      </c>
      <c r="M182" s="260">
        <v>0</v>
      </c>
      <c r="N182" s="260">
        <v>0</v>
      </c>
      <c r="O182" s="260">
        <v>0</v>
      </c>
      <c r="P182" s="302">
        <v>4859.5</v>
      </c>
      <c r="Q182" s="303">
        <v>28000</v>
      </c>
    </row>
    <row r="183" spans="1:17">
      <c r="A183" s="259" t="s">
        <v>1018</v>
      </c>
      <c r="B183" s="259" t="s">
        <v>956</v>
      </c>
      <c r="C183" s="260">
        <v>9</v>
      </c>
      <c r="D183" s="260">
        <v>101</v>
      </c>
      <c r="E183" s="259"/>
      <c r="F183" s="260">
        <v>74428844217251</v>
      </c>
      <c r="G183" s="260">
        <v>99</v>
      </c>
      <c r="H183" s="260">
        <v>0</v>
      </c>
      <c r="I183" s="259"/>
      <c r="J183" s="260">
        <v>1</v>
      </c>
      <c r="K183" s="259" t="s">
        <v>658</v>
      </c>
      <c r="L183" s="304">
        <v>14876.03</v>
      </c>
      <c r="M183" s="260">
        <v>0</v>
      </c>
      <c r="N183" s="260">
        <v>0</v>
      </c>
      <c r="O183" s="260">
        <v>0</v>
      </c>
      <c r="P183" s="304">
        <v>3123.97</v>
      </c>
      <c r="Q183" s="303">
        <v>18000</v>
      </c>
    </row>
    <row r="184" spans="1:17">
      <c r="A184" s="259" t="s">
        <v>1018</v>
      </c>
      <c r="B184" s="259" t="s">
        <v>956</v>
      </c>
      <c r="C184" s="260">
        <v>9</v>
      </c>
      <c r="D184" s="260">
        <v>102</v>
      </c>
      <c r="E184" s="259"/>
      <c r="F184" s="260">
        <v>74428844784364</v>
      </c>
      <c r="G184" s="260">
        <v>99</v>
      </c>
      <c r="H184" s="260">
        <v>0</v>
      </c>
      <c r="I184" s="259"/>
      <c r="J184" s="260">
        <v>1</v>
      </c>
      <c r="K184" s="259" t="s">
        <v>658</v>
      </c>
      <c r="L184" s="304">
        <v>25619.83</v>
      </c>
      <c r="M184" s="260">
        <v>0</v>
      </c>
      <c r="N184" s="260">
        <v>0</v>
      </c>
      <c r="O184" s="260">
        <v>0</v>
      </c>
      <c r="P184" s="304">
        <v>5380.17</v>
      </c>
      <c r="Q184" s="303">
        <v>31000</v>
      </c>
    </row>
    <row r="185" spans="1:17">
      <c r="A185" s="259" t="s">
        <v>1018</v>
      </c>
      <c r="B185" s="259" t="s">
        <v>956</v>
      </c>
      <c r="C185" s="260">
        <v>9</v>
      </c>
      <c r="D185" s="260">
        <v>103</v>
      </c>
      <c r="E185" s="259"/>
      <c r="F185" s="260">
        <v>74428846784675</v>
      </c>
      <c r="G185" s="260">
        <v>99</v>
      </c>
      <c r="H185" s="260">
        <v>0</v>
      </c>
      <c r="I185" s="259"/>
      <c r="J185" s="260">
        <v>1</v>
      </c>
      <c r="K185" s="259" t="s">
        <v>658</v>
      </c>
      <c r="L185" s="302">
        <v>21487.599999999999</v>
      </c>
      <c r="M185" s="260">
        <v>0</v>
      </c>
      <c r="N185" s="260">
        <v>0</v>
      </c>
      <c r="O185" s="260">
        <v>0</v>
      </c>
      <c r="P185" s="302">
        <v>4512.3999999999996</v>
      </c>
      <c r="Q185" s="303">
        <v>26000</v>
      </c>
    </row>
    <row r="186" spans="1:17">
      <c r="A186" s="259" t="s">
        <v>1018</v>
      </c>
      <c r="B186" s="259" t="s">
        <v>956</v>
      </c>
      <c r="C186" s="260">
        <v>9</v>
      </c>
      <c r="D186" s="260">
        <v>104</v>
      </c>
      <c r="E186" s="259"/>
      <c r="F186" s="260">
        <v>74428847093535</v>
      </c>
      <c r="G186" s="260">
        <v>99</v>
      </c>
      <c r="H186" s="260">
        <v>0</v>
      </c>
      <c r="I186" s="259"/>
      <c r="J186" s="260">
        <v>1</v>
      </c>
      <c r="K186" s="259" t="s">
        <v>658</v>
      </c>
      <c r="L186" s="304">
        <v>3471.07</v>
      </c>
      <c r="M186" s="260">
        <v>0</v>
      </c>
      <c r="N186" s="260">
        <v>0</v>
      </c>
      <c r="O186" s="260">
        <v>0</v>
      </c>
      <c r="P186" s="304">
        <v>728.93</v>
      </c>
      <c r="Q186" s="303">
        <v>4200</v>
      </c>
    </row>
    <row r="187" spans="1:17">
      <c r="A187" s="259" t="s">
        <v>1018</v>
      </c>
      <c r="B187" s="259" t="s">
        <v>956</v>
      </c>
      <c r="C187" s="260">
        <v>9</v>
      </c>
      <c r="D187" s="260">
        <v>105</v>
      </c>
      <c r="E187" s="259"/>
      <c r="F187" s="260">
        <v>74428847806223</v>
      </c>
      <c r="G187" s="260">
        <v>99</v>
      </c>
      <c r="H187" s="260">
        <v>0</v>
      </c>
      <c r="I187" s="259"/>
      <c r="J187" s="260">
        <v>1</v>
      </c>
      <c r="K187" s="259" t="s">
        <v>658</v>
      </c>
      <c r="L187" s="304">
        <v>36363.629999999997</v>
      </c>
      <c r="M187" s="260">
        <v>0</v>
      </c>
      <c r="N187" s="260">
        <v>0</v>
      </c>
      <c r="O187" s="260">
        <v>0</v>
      </c>
      <c r="P187" s="304">
        <v>7636.37</v>
      </c>
      <c r="Q187" s="303">
        <v>44000</v>
      </c>
    </row>
    <row r="188" spans="1:17">
      <c r="A188" s="259" t="s">
        <v>1018</v>
      </c>
      <c r="B188" s="259" t="s">
        <v>956</v>
      </c>
      <c r="C188" s="260">
        <v>9</v>
      </c>
      <c r="D188" s="260">
        <v>106</v>
      </c>
      <c r="E188" s="259"/>
      <c r="F188" s="260">
        <v>74428849779641</v>
      </c>
      <c r="G188" s="260">
        <v>99</v>
      </c>
      <c r="H188" s="260">
        <v>0</v>
      </c>
      <c r="I188" s="259"/>
      <c r="J188" s="260">
        <v>1</v>
      </c>
      <c r="K188" s="259" t="s">
        <v>658</v>
      </c>
      <c r="L188" s="304">
        <v>26033.06</v>
      </c>
      <c r="M188" s="260">
        <v>0</v>
      </c>
      <c r="N188" s="260">
        <v>0</v>
      </c>
      <c r="O188" s="260">
        <v>0</v>
      </c>
      <c r="P188" s="304">
        <v>5466.94</v>
      </c>
      <c r="Q188" s="303">
        <v>31500</v>
      </c>
    </row>
    <row r="189" spans="1:17">
      <c r="A189" s="259" t="s">
        <v>1018</v>
      </c>
      <c r="B189" s="259" t="s">
        <v>956</v>
      </c>
      <c r="C189" s="260">
        <v>9</v>
      </c>
      <c r="D189" s="260">
        <v>107</v>
      </c>
      <c r="E189" s="259"/>
      <c r="F189" s="260">
        <v>74428851844104</v>
      </c>
      <c r="G189" s="260">
        <v>99</v>
      </c>
      <c r="H189" s="260">
        <v>0</v>
      </c>
      <c r="I189" s="259"/>
      <c r="J189" s="260">
        <v>1</v>
      </c>
      <c r="K189" s="259" t="s">
        <v>658</v>
      </c>
      <c r="L189" s="302">
        <v>21487.599999999999</v>
      </c>
      <c r="M189" s="260">
        <v>0</v>
      </c>
      <c r="N189" s="260">
        <v>0</v>
      </c>
      <c r="O189" s="260">
        <v>0</v>
      </c>
      <c r="P189" s="302">
        <v>4512.3999999999996</v>
      </c>
      <c r="Q189" s="303">
        <v>26000</v>
      </c>
    </row>
    <row r="190" spans="1:17">
      <c r="A190" s="259" t="s">
        <v>1020</v>
      </c>
      <c r="B190" s="259" t="s">
        <v>956</v>
      </c>
      <c r="C190" s="260">
        <v>9</v>
      </c>
      <c r="D190" s="260">
        <v>108</v>
      </c>
      <c r="E190" s="259"/>
      <c r="F190" s="260">
        <v>74428935507262</v>
      </c>
      <c r="G190" s="260">
        <v>99</v>
      </c>
      <c r="H190" s="260">
        <v>0</v>
      </c>
      <c r="I190" s="259"/>
      <c r="J190" s="260">
        <v>1</v>
      </c>
      <c r="K190" s="259" t="s">
        <v>658</v>
      </c>
      <c r="L190" s="304">
        <v>15702.48</v>
      </c>
      <c r="M190" s="260">
        <v>0</v>
      </c>
      <c r="N190" s="260">
        <v>0</v>
      </c>
      <c r="O190" s="260">
        <v>0</v>
      </c>
      <c r="P190" s="304">
        <v>3297.52</v>
      </c>
      <c r="Q190" s="303">
        <v>19000</v>
      </c>
    </row>
    <row r="191" spans="1:17">
      <c r="A191" s="259" t="s">
        <v>1020</v>
      </c>
      <c r="B191" s="259" t="s">
        <v>956</v>
      </c>
      <c r="C191" s="260">
        <v>9</v>
      </c>
      <c r="D191" s="260">
        <v>109</v>
      </c>
      <c r="E191" s="259"/>
      <c r="F191" s="260">
        <v>74428942998202</v>
      </c>
      <c r="G191" s="260">
        <v>99</v>
      </c>
      <c r="H191" s="260">
        <v>0</v>
      </c>
      <c r="I191" s="259"/>
      <c r="J191" s="260">
        <v>1</v>
      </c>
      <c r="K191" s="259" t="s">
        <v>658</v>
      </c>
      <c r="L191" s="304">
        <v>29338.84</v>
      </c>
      <c r="M191" s="260">
        <v>0</v>
      </c>
      <c r="N191" s="260">
        <v>0</v>
      </c>
      <c r="O191" s="260">
        <v>0</v>
      </c>
      <c r="P191" s="304">
        <v>6161.16</v>
      </c>
      <c r="Q191" s="303">
        <v>35500</v>
      </c>
    </row>
    <row r="192" spans="1:17">
      <c r="A192" s="259" t="s">
        <v>1020</v>
      </c>
      <c r="B192" s="259" t="s">
        <v>956</v>
      </c>
      <c r="C192" s="260">
        <v>9</v>
      </c>
      <c r="D192" s="260">
        <v>110</v>
      </c>
      <c r="E192" s="259"/>
      <c r="F192" s="260">
        <v>74428944110528</v>
      </c>
      <c r="G192" s="260">
        <v>99</v>
      </c>
      <c r="H192" s="260">
        <v>0</v>
      </c>
      <c r="I192" s="259"/>
      <c r="J192" s="260">
        <v>1</v>
      </c>
      <c r="K192" s="259" t="s">
        <v>658</v>
      </c>
      <c r="L192" s="304">
        <v>25867.77</v>
      </c>
      <c r="M192" s="260">
        <v>0</v>
      </c>
      <c r="N192" s="260">
        <v>0</v>
      </c>
      <c r="O192" s="260">
        <v>0</v>
      </c>
      <c r="P192" s="304">
        <v>5432.23</v>
      </c>
      <c r="Q192" s="303">
        <v>31300</v>
      </c>
    </row>
    <row r="193" spans="1:17">
      <c r="A193" s="259" t="s">
        <v>1020</v>
      </c>
      <c r="B193" s="259" t="s">
        <v>956</v>
      </c>
      <c r="C193" s="260">
        <v>9</v>
      </c>
      <c r="D193" s="260">
        <v>111</v>
      </c>
      <c r="E193" s="259"/>
      <c r="F193" s="260">
        <v>74428948496243</v>
      </c>
      <c r="G193" s="260">
        <v>99</v>
      </c>
      <c r="H193" s="260">
        <v>0</v>
      </c>
      <c r="I193" s="259"/>
      <c r="J193" s="260">
        <v>1</v>
      </c>
      <c r="K193" s="259" t="s">
        <v>658</v>
      </c>
      <c r="L193" s="302">
        <v>21487.599999999999</v>
      </c>
      <c r="M193" s="260">
        <v>0</v>
      </c>
      <c r="N193" s="260">
        <v>0</v>
      </c>
      <c r="O193" s="260">
        <v>0</v>
      </c>
      <c r="P193" s="302">
        <v>4512.3999999999996</v>
      </c>
      <c r="Q193" s="303">
        <v>26000</v>
      </c>
    </row>
    <row r="194" spans="1:17">
      <c r="A194" s="259" t="s">
        <v>992</v>
      </c>
      <c r="B194" s="259" t="s">
        <v>656</v>
      </c>
      <c r="C194" s="260">
        <v>7</v>
      </c>
      <c r="D194" s="260">
        <v>2195</v>
      </c>
      <c r="E194" s="259"/>
      <c r="F194" s="260">
        <v>74418048408249</v>
      </c>
      <c r="G194" s="259" t="s">
        <v>7</v>
      </c>
      <c r="H194" s="260">
        <v>30608716390</v>
      </c>
      <c r="I194" s="259" t="s">
        <v>974</v>
      </c>
      <c r="J194" s="260">
        <v>1</v>
      </c>
      <c r="K194" s="259" t="s">
        <v>658</v>
      </c>
      <c r="L194" s="304">
        <v>319008.26</v>
      </c>
      <c r="M194" s="260">
        <v>0</v>
      </c>
      <c r="N194" s="260">
        <v>0</v>
      </c>
      <c r="O194" s="260">
        <v>0</v>
      </c>
      <c r="P194" s="304">
        <v>66991.740000000005</v>
      </c>
      <c r="Q194" s="303">
        <v>386000</v>
      </c>
    </row>
    <row r="195" spans="1:17">
      <c r="A195" s="259" t="s">
        <v>992</v>
      </c>
      <c r="B195" s="259" t="s">
        <v>656</v>
      </c>
      <c r="C195" s="260">
        <v>7</v>
      </c>
      <c r="D195" s="260">
        <v>2196</v>
      </c>
      <c r="E195" s="259"/>
      <c r="F195" s="260">
        <v>74418087166222</v>
      </c>
      <c r="G195" s="259" t="s">
        <v>7</v>
      </c>
      <c r="H195" s="260">
        <v>30500053522</v>
      </c>
      <c r="I195" s="259" t="s">
        <v>969</v>
      </c>
      <c r="J195" s="260">
        <v>1</v>
      </c>
      <c r="K195" s="259" t="s">
        <v>658</v>
      </c>
      <c r="L195" s="304">
        <v>20661.16</v>
      </c>
      <c r="M195" s="260">
        <v>0</v>
      </c>
      <c r="N195" s="260">
        <v>0</v>
      </c>
      <c r="O195" s="260">
        <v>0</v>
      </c>
      <c r="P195" s="304">
        <v>4338.84</v>
      </c>
      <c r="Q195" s="303">
        <v>25000</v>
      </c>
    </row>
    <row r="196" spans="1:17">
      <c r="A196" s="259" t="s">
        <v>992</v>
      </c>
      <c r="B196" s="259" t="s">
        <v>656</v>
      </c>
      <c r="C196" s="260">
        <v>7</v>
      </c>
      <c r="D196" s="260">
        <v>2197</v>
      </c>
      <c r="E196" s="259"/>
      <c r="F196" s="260">
        <v>74418087526113</v>
      </c>
      <c r="G196" s="259" t="s">
        <v>7</v>
      </c>
      <c r="H196" s="260">
        <v>30500053522</v>
      </c>
      <c r="I196" s="259" t="s">
        <v>969</v>
      </c>
      <c r="J196" s="260">
        <v>1</v>
      </c>
      <c r="K196" s="259" t="s">
        <v>658</v>
      </c>
      <c r="L196" s="304">
        <v>41033.06</v>
      </c>
      <c r="M196" s="260">
        <v>0</v>
      </c>
      <c r="N196" s="260">
        <v>0</v>
      </c>
      <c r="O196" s="260">
        <v>0</v>
      </c>
      <c r="P196" s="304">
        <v>8616.94</v>
      </c>
      <c r="Q196" s="303">
        <v>49650</v>
      </c>
    </row>
    <row r="197" spans="1:17">
      <c r="A197" s="259" t="s">
        <v>992</v>
      </c>
      <c r="B197" s="259" t="s">
        <v>656</v>
      </c>
      <c r="C197" s="260">
        <v>7</v>
      </c>
      <c r="D197" s="260">
        <v>2198</v>
      </c>
      <c r="E197" s="259"/>
      <c r="F197" s="260">
        <v>74418090286333</v>
      </c>
      <c r="G197" s="259" t="s">
        <v>7</v>
      </c>
      <c r="H197" s="260">
        <v>30608716390</v>
      </c>
      <c r="I197" s="259" t="s">
        <v>974</v>
      </c>
      <c r="J197" s="260">
        <v>1</v>
      </c>
      <c r="K197" s="259" t="s">
        <v>658</v>
      </c>
      <c r="L197" s="304">
        <v>36652.89</v>
      </c>
      <c r="M197" s="260">
        <v>0</v>
      </c>
      <c r="N197" s="260">
        <v>0</v>
      </c>
      <c r="O197" s="260">
        <v>0</v>
      </c>
      <c r="P197" s="304">
        <v>7697.11</v>
      </c>
      <c r="Q197" s="303">
        <v>44350</v>
      </c>
    </row>
    <row r="198" spans="1:17">
      <c r="A198" s="259" t="s">
        <v>992</v>
      </c>
      <c r="B198" s="259" t="s">
        <v>961</v>
      </c>
      <c r="C198" s="260">
        <v>6</v>
      </c>
      <c r="D198" s="260">
        <v>540</v>
      </c>
      <c r="E198" s="259"/>
      <c r="F198" s="260">
        <v>74418045262207</v>
      </c>
      <c r="G198" s="259" t="s">
        <v>7</v>
      </c>
      <c r="H198" s="260">
        <v>30522428163</v>
      </c>
      <c r="I198" s="259" t="s">
        <v>955</v>
      </c>
      <c r="J198" s="260">
        <v>1</v>
      </c>
      <c r="K198" s="259" t="s">
        <v>658</v>
      </c>
      <c r="L198" s="304">
        <v>1790082.64</v>
      </c>
      <c r="M198" s="260">
        <v>0</v>
      </c>
      <c r="N198" s="260">
        <v>0</v>
      </c>
      <c r="O198" s="260">
        <v>0</v>
      </c>
      <c r="P198" s="304">
        <v>375917.36</v>
      </c>
      <c r="Q198" s="303">
        <v>2166000</v>
      </c>
    </row>
    <row r="199" spans="1:17">
      <c r="A199" s="259" t="s">
        <v>992</v>
      </c>
      <c r="B199" s="259" t="s">
        <v>961</v>
      </c>
      <c r="C199" s="260">
        <v>6</v>
      </c>
      <c r="D199" s="260">
        <v>541</v>
      </c>
      <c r="E199" s="259"/>
      <c r="F199" s="260">
        <v>74418078594443</v>
      </c>
      <c r="G199" s="259" t="s">
        <v>7</v>
      </c>
      <c r="H199" s="260">
        <v>30546771314</v>
      </c>
      <c r="I199" s="259" t="s">
        <v>975</v>
      </c>
      <c r="J199" s="260">
        <v>1</v>
      </c>
      <c r="K199" s="259" t="s">
        <v>658</v>
      </c>
      <c r="L199" s="302">
        <v>1223140.5</v>
      </c>
      <c r="M199" s="260">
        <v>0</v>
      </c>
      <c r="N199" s="260">
        <v>0</v>
      </c>
      <c r="O199" s="260">
        <v>0</v>
      </c>
      <c r="P199" s="302">
        <v>256859.5</v>
      </c>
      <c r="Q199" s="303">
        <v>1480000</v>
      </c>
    </row>
    <row r="200" spans="1:17">
      <c r="A200" s="259" t="s">
        <v>1020</v>
      </c>
      <c r="B200" s="259" t="s">
        <v>956</v>
      </c>
      <c r="C200" s="260">
        <v>9</v>
      </c>
      <c r="D200" s="260">
        <v>112</v>
      </c>
      <c r="E200" s="259"/>
      <c r="F200" s="260">
        <v>74428948782035</v>
      </c>
      <c r="G200" s="260">
        <v>99</v>
      </c>
      <c r="H200" s="260">
        <v>0</v>
      </c>
      <c r="I200" s="259"/>
      <c r="J200" s="260">
        <v>1</v>
      </c>
      <c r="K200" s="259" t="s">
        <v>658</v>
      </c>
      <c r="L200" s="304">
        <v>21157.02</v>
      </c>
      <c r="M200" s="260">
        <v>0</v>
      </c>
      <c r="N200" s="260">
        <v>0</v>
      </c>
      <c r="O200" s="260">
        <v>0</v>
      </c>
      <c r="P200" s="304">
        <v>4442.9799999999996</v>
      </c>
      <c r="Q200" s="303">
        <v>25600</v>
      </c>
    </row>
    <row r="201" spans="1:17">
      <c r="A201" s="259" t="s">
        <v>1020</v>
      </c>
      <c r="B201" s="259" t="s">
        <v>956</v>
      </c>
      <c r="C201" s="260">
        <v>9</v>
      </c>
      <c r="D201" s="260">
        <v>113</v>
      </c>
      <c r="E201" s="259"/>
      <c r="F201" s="260">
        <v>74428950770472</v>
      </c>
      <c r="G201" s="260">
        <v>99</v>
      </c>
      <c r="H201" s="260">
        <v>0</v>
      </c>
      <c r="I201" s="259"/>
      <c r="J201" s="260">
        <v>1</v>
      </c>
      <c r="K201" s="259" t="s">
        <v>658</v>
      </c>
      <c r="L201" s="304">
        <v>29338.84</v>
      </c>
      <c r="M201" s="260">
        <v>0</v>
      </c>
      <c r="N201" s="260">
        <v>0</v>
      </c>
      <c r="O201" s="260">
        <v>0</v>
      </c>
      <c r="P201" s="304">
        <v>6161.16</v>
      </c>
      <c r="Q201" s="303">
        <v>35500</v>
      </c>
    </row>
    <row r="202" spans="1:17">
      <c r="A202" s="259" t="s">
        <v>1020</v>
      </c>
      <c r="B202" s="259" t="s">
        <v>956</v>
      </c>
      <c r="C202" s="260">
        <v>9</v>
      </c>
      <c r="D202" s="260">
        <v>114</v>
      </c>
      <c r="E202" s="259"/>
      <c r="F202" s="260">
        <v>74428954902183</v>
      </c>
      <c r="G202" s="260">
        <v>99</v>
      </c>
      <c r="H202" s="260">
        <v>0</v>
      </c>
      <c r="I202" s="259"/>
      <c r="J202" s="260">
        <v>1</v>
      </c>
      <c r="K202" s="259" t="s">
        <v>658</v>
      </c>
      <c r="L202" s="302">
        <v>11487.6</v>
      </c>
      <c r="M202" s="260">
        <v>0</v>
      </c>
      <c r="N202" s="260">
        <v>0</v>
      </c>
      <c r="O202" s="260">
        <v>0</v>
      </c>
      <c r="P202" s="302">
        <v>2412.4</v>
      </c>
      <c r="Q202" s="303">
        <v>13900</v>
      </c>
    </row>
    <row r="203" spans="1:17">
      <c r="A203" s="259" t="s">
        <v>1020</v>
      </c>
      <c r="B203" s="259" t="s">
        <v>956</v>
      </c>
      <c r="C203" s="260">
        <v>9</v>
      </c>
      <c r="D203" s="260">
        <v>115</v>
      </c>
      <c r="E203" s="259"/>
      <c r="F203" s="260">
        <v>74428961954611</v>
      </c>
      <c r="G203" s="260">
        <v>99</v>
      </c>
      <c r="H203" s="260">
        <v>0</v>
      </c>
      <c r="I203" s="259"/>
      <c r="J203" s="260">
        <v>1</v>
      </c>
      <c r="K203" s="259" t="s">
        <v>658</v>
      </c>
      <c r="L203" s="304">
        <v>19834.71</v>
      </c>
      <c r="M203" s="260">
        <v>0</v>
      </c>
      <c r="N203" s="260">
        <v>0</v>
      </c>
      <c r="O203" s="260">
        <v>0</v>
      </c>
      <c r="P203" s="304">
        <v>4165.29</v>
      </c>
      <c r="Q203" s="303">
        <v>24000</v>
      </c>
    </row>
    <row r="204" spans="1:17">
      <c r="A204" s="259" t="s">
        <v>1020</v>
      </c>
      <c r="B204" s="259" t="s">
        <v>956</v>
      </c>
      <c r="C204" s="260">
        <v>9</v>
      </c>
      <c r="D204" s="260">
        <v>116</v>
      </c>
      <c r="E204" s="259"/>
      <c r="F204" s="260">
        <v>74428977118469</v>
      </c>
      <c r="G204" s="260">
        <v>99</v>
      </c>
      <c r="H204" s="260">
        <v>0</v>
      </c>
      <c r="I204" s="259"/>
      <c r="J204" s="260">
        <v>1</v>
      </c>
      <c r="K204" s="259" t="s">
        <v>658</v>
      </c>
      <c r="L204" s="304">
        <v>36363.629999999997</v>
      </c>
      <c r="M204" s="260">
        <v>0</v>
      </c>
      <c r="N204" s="260">
        <v>0</v>
      </c>
      <c r="O204" s="260">
        <v>0</v>
      </c>
      <c r="P204" s="304">
        <v>7636.37</v>
      </c>
      <c r="Q204" s="303">
        <v>44000</v>
      </c>
    </row>
    <row r="205" spans="1:17">
      <c r="A205" s="259" t="s">
        <v>1020</v>
      </c>
      <c r="B205" s="259" t="s">
        <v>956</v>
      </c>
      <c r="C205" s="260">
        <v>9</v>
      </c>
      <c r="D205" s="260">
        <v>117</v>
      </c>
      <c r="E205" s="259"/>
      <c r="F205" s="260">
        <v>74428980179432</v>
      </c>
      <c r="G205" s="260">
        <v>99</v>
      </c>
      <c r="H205" s="260">
        <v>0</v>
      </c>
      <c r="I205" s="259"/>
      <c r="J205" s="260">
        <v>1</v>
      </c>
      <c r="K205" s="259" t="s">
        <v>658</v>
      </c>
      <c r="L205" s="302">
        <v>10743.8</v>
      </c>
      <c r="M205" s="260">
        <v>0</v>
      </c>
      <c r="N205" s="260">
        <v>0</v>
      </c>
      <c r="O205" s="260">
        <v>0</v>
      </c>
      <c r="P205" s="302">
        <v>2256.1999999999998</v>
      </c>
      <c r="Q205" s="303">
        <v>13000</v>
      </c>
    </row>
    <row r="206" spans="1:17">
      <c r="A206" s="259" t="s">
        <v>1020</v>
      </c>
      <c r="B206" s="259" t="s">
        <v>956</v>
      </c>
      <c r="C206" s="260">
        <v>9</v>
      </c>
      <c r="D206" s="260">
        <v>118</v>
      </c>
      <c r="E206" s="259"/>
      <c r="F206" s="260">
        <v>74428986703585</v>
      </c>
      <c r="G206" s="260">
        <v>99</v>
      </c>
      <c r="H206" s="260">
        <v>0</v>
      </c>
      <c r="I206" s="259"/>
      <c r="J206" s="260">
        <v>1</v>
      </c>
      <c r="K206" s="259" t="s">
        <v>658</v>
      </c>
      <c r="L206" s="304">
        <v>44214.87</v>
      </c>
      <c r="M206" s="260">
        <v>0</v>
      </c>
      <c r="N206" s="260">
        <v>0</v>
      </c>
      <c r="O206" s="260">
        <v>0</v>
      </c>
      <c r="P206" s="304">
        <v>9285.1299999999992</v>
      </c>
      <c r="Q206" s="303">
        <v>53500</v>
      </c>
    </row>
    <row r="207" spans="1:17">
      <c r="A207" s="259" t="s">
        <v>1020</v>
      </c>
      <c r="B207" s="259" t="s">
        <v>956</v>
      </c>
      <c r="C207" s="260">
        <v>9</v>
      </c>
      <c r="D207" s="260">
        <v>119</v>
      </c>
      <c r="E207" s="259"/>
      <c r="F207" s="260">
        <v>74428988763572</v>
      </c>
      <c r="G207" s="260">
        <v>99</v>
      </c>
      <c r="H207" s="260">
        <v>0</v>
      </c>
      <c r="I207" s="259"/>
      <c r="J207" s="260">
        <v>1</v>
      </c>
      <c r="K207" s="259" t="s">
        <v>658</v>
      </c>
      <c r="L207" s="302">
        <v>33884.300000000003</v>
      </c>
      <c r="M207" s="260">
        <v>0</v>
      </c>
      <c r="N207" s="260">
        <v>0</v>
      </c>
      <c r="O207" s="260">
        <v>0</v>
      </c>
      <c r="P207" s="302">
        <v>7115.7</v>
      </c>
      <c r="Q207" s="303">
        <v>41000</v>
      </c>
    </row>
    <row r="208" spans="1:17">
      <c r="A208" s="259" t="s">
        <v>1020</v>
      </c>
      <c r="B208" s="259" t="s">
        <v>956</v>
      </c>
      <c r="C208" s="260">
        <v>9</v>
      </c>
      <c r="D208" s="260">
        <v>120</v>
      </c>
      <c r="E208" s="259"/>
      <c r="F208" s="260">
        <v>74428994624431</v>
      </c>
      <c r="G208" s="260">
        <v>99</v>
      </c>
      <c r="H208" s="260">
        <v>0</v>
      </c>
      <c r="I208" s="259"/>
      <c r="J208" s="260">
        <v>1</v>
      </c>
      <c r="K208" s="259" t="s">
        <v>658</v>
      </c>
      <c r="L208" s="304">
        <v>53636.36</v>
      </c>
      <c r="M208" s="260">
        <v>0</v>
      </c>
      <c r="N208" s="260">
        <v>0</v>
      </c>
      <c r="O208" s="260">
        <v>0</v>
      </c>
      <c r="P208" s="304">
        <v>11263.64</v>
      </c>
      <c r="Q208" s="303">
        <v>64900</v>
      </c>
    </row>
    <row r="209" spans="1:17">
      <c r="A209" s="259" t="s">
        <v>1020</v>
      </c>
      <c r="B209" s="259" t="s">
        <v>956</v>
      </c>
      <c r="C209" s="260">
        <v>9</v>
      </c>
      <c r="D209" s="260">
        <v>121</v>
      </c>
      <c r="E209" s="259"/>
      <c r="F209" s="260">
        <v>74428995983922</v>
      </c>
      <c r="G209" s="260">
        <v>99</v>
      </c>
      <c r="H209" s="260">
        <v>0</v>
      </c>
      <c r="I209" s="259"/>
      <c r="J209" s="260">
        <v>1</v>
      </c>
      <c r="K209" s="259" t="s">
        <v>658</v>
      </c>
      <c r="L209" s="304">
        <v>16528.93</v>
      </c>
      <c r="M209" s="260">
        <v>0</v>
      </c>
      <c r="N209" s="260">
        <v>0</v>
      </c>
      <c r="O209" s="260">
        <v>0</v>
      </c>
      <c r="P209" s="304">
        <v>3471.07</v>
      </c>
      <c r="Q209" s="303">
        <v>20000</v>
      </c>
    </row>
    <row r="210" spans="1:17">
      <c r="A210" s="259" t="s">
        <v>1020</v>
      </c>
      <c r="B210" s="259" t="s">
        <v>956</v>
      </c>
      <c r="C210" s="260">
        <v>9</v>
      </c>
      <c r="D210" s="260">
        <v>122</v>
      </c>
      <c r="E210" s="259"/>
      <c r="F210" s="260">
        <v>74428997058451</v>
      </c>
      <c r="G210" s="260">
        <v>99</v>
      </c>
      <c r="H210" s="260">
        <v>0</v>
      </c>
      <c r="I210" s="259"/>
      <c r="J210" s="260">
        <v>1</v>
      </c>
      <c r="K210" s="259" t="s">
        <v>658</v>
      </c>
      <c r="L210" s="304">
        <v>20661.16</v>
      </c>
      <c r="M210" s="260">
        <v>0</v>
      </c>
      <c r="N210" s="260">
        <v>0</v>
      </c>
      <c r="O210" s="260">
        <v>0</v>
      </c>
      <c r="P210" s="304">
        <v>4338.84</v>
      </c>
      <c r="Q210" s="303">
        <v>25000</v>
      </c>
    </row>
    <row r="211" spans="1:17">
      <c r="A211" s="259" t="s">
        <v>1020</v>
      </c>
      <c r="B211" s="259" t="s">
        <v>956</v>
      </c>
      <c r="C211" s="260">
        <v>9</v>
      </c>
      <c r="D211" s="260">
        <v>123</v>
      </c>
      <c r="E211" s="259"/>
      <c r="F211" s="260">
        <v>74428998381324</v>
      </c>
      <c r="G211" s="260">
        <v>99</v>
      </c>
      <c r="H211" s="260">
        <v>0</v>
      </c>
      <c r="I211" s="259"/>
      <c r="J211" s="260">
        <v>1</v>
      </c>
      <c r="K211" s="259" t="s">
        <v>658</v>
      </c>
      <c r="L211" s="304">
        <v>85123.97</v>
      </c>
      <c r="M211" s="260">
        <v>0</v>
      </c>
      <c r="N211" s="260">
        <v>0</v>
      </c>
      <c r="O211" s="260">
        <v>0</v>
      </c>
      <c r="P211" s="304">
        <v>17876.03</v>
      </c>
      <c r="Q211" s="303">
        <v>103000</v>
      </c>
    </row>
    <row r="212" spans="1:17">
      <c r="A212" s="259" t="s">
        <v>1023</v>
      </c>
      <c r="B212" s="259" t="s">
        <v>956</v>
      </c>
      <c r="C212" s="260">
        <v>9</v>
      </c>
      <c r="D212" s="260">
        <v>124</v>
      </c>
      <c r="E212" s="259"/>
      <c r="F212" s="260">
        <v>74438239246999</v>
      </c>
      <c r="G212" s="260">
        <v>99</v>
      </c>
      <c r="H212" s="260">
        <v>0</v>
      </c>
      <c r="I212" s="259"/>
      <c r="J212" s="260">
        <v>1</v>
      </c>
      <c r="K212" s="259" t="s">
        <v>658</v>
      </c>
      <c r="L212" s="304">
        <v>56859.51</v>
      </c>
      <c r="M212" s="260">
        <v>0</v>
      </c>
      <c r="N212" s="260">
        <v>0</v>
      </c>
      <c r="O212" s="260">
        <v>0</v>
      </c>
      <c r="P212" s="304">
        <v>11940.49</v>
      </c>
      <c r="Q212" s="303">
        <v>68800</v>
      </c>
    </row>
    <row r="213" spans="1:17">
      <c r="A213" s="259" t="s">
        <v>1023</v>
      </c>
      <c r="B213" s="259" t="s">
        <v>956</v>
      </c>
      <c r="C213" s="260">
        <v>9</v>
      </c>
      <c r="D213" s="260">
        <v>125</v>
      </c>
      <c r="E213" s="259"/>
      <c r="F213" s="260">
        <v>74438254577199</v>
      </c>
      <c r="G213" s="260">
        <v>99</v>
      </c>
      <c r="H213" s="260">
        <v>0</v>
      </c>
      <c r="I213" s="259"/>
      <c r="J213" s="260">
        <v>1</v>
      </c>
      <c r="K213" s="259" t="s">
        <v>658</v>
      </c>
      <c r="L213" s="302">
        <v>10743.8</v>
      </c>
      <c r="M213" s="260">
        <v>0</v>
      </c>
      <c r="N213" s="260">
        <v>0</v>
      </c>
      <c r="O213" s="260">
        <v>0</v>
      </c>
      <c r="P213" s="302">
        <v>2256.1999999999998</v>
      </c>
      <c r="Q213" s="303">
        <v>13000</v>
      </c>
    </row>
    <row r="214" spans="1:17">
      <c r="A214" s="259" t="s">
        <v>1023</v>
      </c>
      <c r="B214" s="259" t="s">
        <v>956</v>
      </c>
      <c r="C214" s="260">
        <v>9</v>
      </c>
      <c r="D214" s="260">
        <v>126</v>
      </c>
      <c r="E214" s="259"/>
      <c r="F214" s="260">
        <v>74438255742409</v>
      </c>
      <c r="G214" s="260">
        <v>99</v>
      </c>
      <c r="H214" s="260">
        <v>0</v>
      </c>
      <c r="I214" s="259"/>
      <c r="J214" s="260">
        <v>1</v>
      </c>
      <c r="K214" s="259" t="s">
        <v>658</v>
      </c>
      <c r="L214" s="302">
        <v>21487.599999999999</v>
      </c>
      <c r="M214" s="260">
        <v>0</v>
      </c>
      <c r="N214" s="260">
        <v>0</v>
      </c>
      <c r="O214" s="260">
        <v>0</v>
      </c>
      <c r="P214" s="302">
        <v>4512.3999999999996</v>
      </c>
      <c r="Q214" s="303">
        <v>26000</v>
      </c>
    </row>
    <row r="215" spans="1:17">
      <c r="A215" s="259" t="s">
        <v>1023</v>
      </c>
      <c r="B215" s="259" t="s">
        <v>956</v>
      </c>
      <c r="C215" s="260">
        <v>9</v>
      </c>
      <c r="D215" s="260">
        <v>127</v>
      </c>
      <c r="E215" s="259"/>
      <c r="F215" s="260">
        <v>74438257203921</v>
      </c>
      <c r="G215" s="260">
        <v>99</v>
      </c>
      <c r="H215" s="260">
        <v>0</v>
      </c>
      <c r="I215" s="259"/>
      <c r="J215" s="260">
        <v>1</v>
      </c>
      <c r="K215" s="259" t="s">
        <v>658</v>
      </c>
      <c r="L215" s="304">
        <v>5785.12</v>
      </c>
      <c r="M215" s="260">
        <v>0</v>
      </c>
      <c r="N215" s="260">
        <v>0</v>
      </c>
      <c r="O215" s="260">
        <v>0</v>
      </c>
      <c r="P215" s="304">
        <v>1214.8800000000001</v>
      </c>
      <c r="Q215" s="303">
        <v>7000</v>
      </c>
    </row>
    <row r="216" spans="1:17">
      <c r="A216" s="259" t="s">
        <v>1023</v>
      </c>
      <c r="B216" s="259" t="s">
        <v>956</v>
      </c>
      <c r="C216" s="260">
        <v>9</v>
      </c>
      <c r="D216" s="260">
        <v>128</v>
      </c>
      <c r="E216" s="259"/>
      <c r="F216" s="260">
        <v>74438259422273</v>
      </c>
      <c r="G216" s="260">
        <v>99</v>
      </c>
      <c r="H216" s="260">
        <v>0</v>
      </c>
      <c r="I216" s="259"/>
      <c r="J216" s="260">
        <v>1</v>
      </c>
      <c r="K216" s="259" t="s">
        <v>658</v>
      </c>
      <c r="L216" s="304">
        <v>12396.69</v>
      </c>
      <c r="M216" s="260">
        <v>0</v>
      </c>
      <c r="N216" s="260">
        <v>0</v>
      </c>
      <c r="O216" s="260">
        <v>0</v>
      </c>
      <c r="P216" s="304">
        <v>2603.31</v>
      </c>
      <c r="Q216" s="303">
        <v>15000</v>
      </c>
    </row>
    <row r="217" spans="1:17">
      <c r="A217" s="259" t="s">
        <v>1023</v>
      </c>
      <c r="B217" s="259" t="s">
        <v>956</v>
      </c>
      <c r="C217" s="260">
        <v>9</v>
      </c>
      <c r="D217" s="260">
        <v>129</v>
      </c>
      <c r="E217" s="259"/>
      <c r="F217" s="260">
        <v>74438259582532</v>
      </c>
      <c r="G217" s="260">
        <v>99</v>
      </c>
      <c r="H217" s="260">
        <v>0</v>
      </c>
      <c r="I217" s="259"/>
      <c r="J217" s="260">
        <v>1</v>
      </c>
      <c r="K217" s="259" t="s">
        <v>658</v>
      </c>
      <c r="L217" s="304">
        <v>5950.41</v>
      </c>
      <c r="M217" s="260">
        <v>0</v>
      </c>
      <c r="N217" s="260">
        <v>0</v>
      </c>
      <c r="O217" s="260">
        <v>0</v>
      </c>
      <c r="P217" s="304">
        <v>1249.5899999999999</v>
      </c>
      <c r="Q217" s="303">
        <v>7200</v>
      </c>
    </row>
    <row r="218" spans="1:17">
      <c r="A218" s="259" t="s">
        <v>1023</v>
      </c>
      <c r="B218" s="259" t="s">
        <v>956</v>
      </c>
      <c r="C218" s="260">
        <v>9</v>
      </c>
      <c r="D218" s="260">
        <v>130</v>
      </c>
      <c r="E218" s="259"/>
      <c r="F218" s="260">
        <v>74438259843163</v>
      </c>
      <c r="G218" s="260">
        <v>99</v>
      </c>
      <c r="H218" s="260">
        <v>0</v>
      </c>
      <c r="I218" s="259"/>
      <c r="J218" s="260">
        <v>1</v>
      </c>
      <c r="K218" s="259" t="s">
        <v>658</v>
      </c>
      <c r="L218" s="304">
        <v>16528.93</v>
      </c>
      <c r="M218" s="260">
        <v>0</v>
      </c>
      <c r="N218" s="260">
        <v>0</v>
      </c>
      <c r="O218" s="260">
        <v>0</v>
      </c>
      <c r="P218" s="304">
        <v>3471.07</v>
      </c>
      <c r="Q218" s="303">
        <v>20000</v>
      </c>
    </row>
    <row r="219" spans="1:17">
      <c r="A219" s="259" t="s">
        <v>1023</v>
      </c>
      <c r="B219" s="259" t="s">
        <v>956</v>
      </c>
      <c r="C219" s="260">
        <v>9</v>
      </c>
      <c r="D219" s="260">
        <v>131</v>
      </c>
      <c r="E219" s="259"/>
      <c r="F219" s="260">
        <v>74438261279613</v>
      </c>
      <c r="G219" s="260">
        <v>99</v>
      </c>
      <c r="H219" s="260">
        <v>0</v>
      </c>
      <c r="I219" s="259"/>
      <c r="J219" s="260">
        <v>1</v>
      </c>
      <c r="K219" s="259" t="s">
        <v>658</v>
      </c>
      <c r="L219" s="304">
        <v>14669.42</v>
      </c>
      <c r="M219" s="260">
        <v>0</v>
      </c>
      <c r="N219" s="260">
        <v>0</v>
      </c>
      <c r="O219" s="260">
        <v>0</v>
      </c>
      <c r="P219" s="304">
        <v>3080.58</v>
      </c>
      <c r="Q219" s="303">
        <v>17750</v>
      </c>
    </row>
    <row r="220" spans="1:17">
      <c r="A220" s="259" t="s">
        <v>1023</v>
      </c>
      <c r="B220" s="259" t="s">
        <v>956</v>
      </c>
      <c r="C220" s="260">
        <v>9</v>
      </c>
      <c r="D220" s="260">
        <v>132</v>
      </c>
      <c r="E220" s="259"/>
      <c r="F220" s="260">
        <v>74438261728895</v>
      </c>
      <c r="G220" s="260">
        <v>99</v>
      </c>
      <c r="H220" s="260">
        <v>0</v>
      </c>
      <c r="I220" s="259"/>
      <c r="J220" s="260">
        <v>1</v>
      </c>
      <c r="K220" s="259" t="s">
        <v>658</v>
      </c>
      <c r="L220" s="304">
        <v>5785.12</v>
      </c>
      <c r="M220" s="260">
        <v>0</v>
      </c>
      <c r="N220" s="260">
        <v>0</v>
      </c>
      <c r="O220" s="260">
        <v>0</v>
      </c>
      <c r="P220" s="304">
        <v>1214.8800000000001</v>
      </c>
      <c r="Q220" s="303">
        <v>7000</v>
      </c>
    </row>
    <row r="221" spans="1:17">
      <c r="A221" s="259" t="s">
        <v>999</v>
      </c>
      <c r="B221" s="259" t="s">
        <v>656</v>
      </c>
      <c r="C221" s="260">
        <v>7</v>
      </c>
      <c r="D221" s="260">
        <v>2199</v>
      </c>
      <c r="E221" s="259"/>
      <c r="F221" s="260">
        <v>74428444221464</v>
      </c>
      <c r="G221" s="259" t="s">
        <v>7</v>
      </c>
      <c r="H221" s="260">
        <v>30707612971</v>
      </c>
      <c r="I221" s="259" t="s">
        <v>75</v>
      </c>
      <c r="J221" s="260">
        <v>1</v>
      </c>
      <c r="K221" s="259" t="s">
        <v>658</v>
      </c>
      <c r="L221" s="304">
        <v>51347.11</v>
      </c>
      <c r="M221" s="260">
        <v>0</v>
      </c>
      <c r="N221" s="260">
        <v>0</v>
      </c>
      <c r="O221" s="260">
        <v>0</v>
      </c>
      <c r="P221" s="304">
        <v>10782.89</v>
      </c>
      <c r="Q221" s="303">
        <v>62130</v>
      </c>
    </row>
    <row r="222" spans="1:17">
      <c r="A222" s="259" t="s">
        <v>1023</v>
      </c>
      <c r="B222" s="259" t="s">
        <v>956</v>
      </c>
      <c r="C222" s="260">
        <v>9</v>
      </c>
      <c r="D222" s="260">
        <v>133</v>
      </c>
      <c r="E222" s="259"/>
      <c r="F222" s="260">
        <v>74438263828250</v>
      </c>
      <c r="G222" s="260">
        <v>99</v>
      </c>
      <c r="H222" s="260">
        <v>0</v>
      </c>
      <c r="I222" s="259"/>
      <c r="J222" s="260">
        <v>1</v>
      </c>
      <c r="K222" s="259" t="s">
        <v>658</v>
      </c>
      <c r="L222" s="302">
        <v>10743.8</v>
      </c>
      <c r="M222" s="260">
        <v>0</v>
      </c>
      <c r="N222" s="260">
        <v>0</v>
      </c>
      <c r="O222" s="260">
        <v>0</v>
      </c>
      <c r="P222" s="302">
        <v>2256.1999999999998</v>
      </c>
      <c r="Q222" s="303">
        <v>13000</v>
      </c>
    </row>
    <row r="223" spans="1:17">
      <c r="A223" s="259" t="s">
        <v>1023</v>
      </c>
      <c r="B223" s="259" t="s">
        <v>956</v>
      </c>
      <c r="C223" s="260">
        <v>9</v>
      </c>
      <c r="D223" s="260">
        <v>134</v>
      </c>
      <c r="E223" s="259"/>
      <c r="F223" s="260">
        <v>74438269526711</v>
      </c>
      <c r="G223" s="260">
        <v>99</v>
      </c>
      <c r="H223" s="260">
        <v>0</v>
      </c>
      <c r="I223" s="259"/>
      <c r="J223" s="260">
        <v>1</v>
      </c>
      <c r="K223" s="259" t="s">
        <v>658</v>
      </c>
      <c r="L223" s="304">
        <v>115289.26</v>
      </c>
      <c r="M223" s="260">
        <v>0</v>
      </c>
      <c r="N223" s="260">
        <v>0</v>
      </c>
      <c r="O223" s="260">
        <v>0</v>
      </c>
      <c r="P223" s="304">
        <v>24210.74</v>
      </c>
      <c r="Q223" s="303">
        <v>139500</v>
      </c>
    </row>
    <row r="224" spans="1:17">
      <c r="A224" s="259" t="s">
        <v>1023</v>
      </c>
      <c r="B224" s="259" t="s">
        <v>956</v>
      </c>
      <c r="C224" s="260">
        <v>9</v>
      </c>
      <c r="D224" s="260">
        <v>135</v>
      </c>
      <c r="E224" s="259"/>
      <c r="F224" s="260">
        <v>74438272291785</v>
      </c>
      <c r="G224" s="260">
        <v>99</v>
      </c>
      <c r="H224" s="260">
        <v>0</v>
      </c>
      <c r="I224" s="259"/>
      <c r="J224" s="260">
        <v>1</v>
      </c>
      <c r="K224" s="259" t="s">
        <v>658</v>
      </c>
      <c r="L224" s="304">
        <v>23966.94</v>
      </c>
      <c r="M224" s="260">
        <v>0</v>
      </c>
      <c r="N224" s="260">
        <v>0</v>
      </c>
      <c r="O224" s="260">
        <v>0</v>
      </c>
      <c r="P224" s="304">
        <v>5033.0600000000004</v>
      </c>
      <c r="Q224" s="303">
        <v>29000</v>
      </c>
    </row>
    <row r="225" spans="1:17">
      <c r="A225" s="259" t="s">
        <v>1023</v>
      </c>
      <c r="B225" s="259" t="s">
        <v>956</v>
      </c>
      <c r="C225" s="260">
        <v>9</v>
      </c>
      <c r="D225" s="260">
        <v>136</v>
      </c>
      <c r="E225" s="259"/>
      <c r="F225" s="260">
        <v>74438272575271</v>
      </c>
      <c r="G225" s="260">
        <v>99</v>
      </c>
      <c r="H225" s="260">
        <v>0</v>
      </c>
      <c r="I225" s="259"/>
      <c r="J225" s="260">
        <v>1</v>
      </c>
      <c r="K225" s="259" t="s">
        <v>658</v>
      </c>
      <c r="L225" s="304">
        <v>15702.48</v>
      </c>
      <c r="M225" s="260">
        <v>0</v>
      </c>
      <c r="N225" s="260">
        <v>0</v>
      </c>
      <c r="O225" s="260">
        <v>0</v>
      </c>
      <c r="P225" s="304">
        <v>3297.52</v>
      </c>
      <c r="Q225" s="303">
        <v>19000</v>
      </c>
    </row>
    <row r="226" spans="1:17">
      <c r="A226" s="259" t="s">
        <v>1028</v>
      </c>
      <c r="B226" s="259" t="s">
        <v>956</v>
      </c>
      <c r="C226" s="260">
        <v>9</v>
      </c>
      <c r="D226" s="260">
        <v>137</v>
      </c>
      <c r="E226" s="259"/>
      <c r="F226" s="260">
        <v>74438347808985</v>
      </c>
      <c r="G226" s="260">
        <v>99</v>
      </c>
      <c r="H226" s="260">
        <v>0</v>
      </c>
      <c r="I226" s="259"/>
      <c r="J226" s="260">
        <v>1</v>
      </c>
      <c r="K226" s="259" t="s">
        <v>658</v>
      </c>
      <c r="L226" s="304">
        <v>14669.42</v>
      </c>
      <c r="M226" s="260">
        <v>0</v>
      </c>
      <c r="N226" s="260">
        <v>0</v>
      </c>
      <c r="O226" s="260">
        <v>0</v>
      </c>
      <c r="P226" s="304">
        <v>3080.58</v>
      </c>
      <c r="Q226" s="303">
        <v>17750</v>
      </c>
    </row>
    <row r="227" spans="1:17">
      <c r="A227" s="259" t="s">
        <v>1028</v>
      </c>
      <c r="B227" s="259" t="s">
        <v>956</v>
      </c>
      <c r="C227" s="260">
        <v>9</v>
      </c>
      <c r="D227" s="260">
        <v>138</v>
      </c>
      <c r="E227" s="259"/>
      <c r="F227" s="260">
        <v>74438356678842</v>
      </c>
      <c r="G227" s="260">
        <v>99</v>
      </c>
      <c r="H227" s="260">
        <v>0</v>
      </c>
      <c r="I227" s="259"/>
      <c r="J227" s="260">
        <v>1</v>
      </c>
      <c r="K227" s="259" t="s">
        <v>658</v>
      </c>
      <c r="L227" s="304">
        <v>23966.94</v>
      </c>
      <c r="M227" s="260">
        <v>0</v>
      </c>
      <c r="N227" s="260">
        <v>0</v>
      </c>
      <c r="O227" s="260">
        <v>0</v>
      </c>
      <c r="P227" s="304">
        <v>5033.0600000000004</v>
      </c>
      <c r="Q227" s="303">
        <v>29000</v>
      </c>
    </row>
    <row r="228" spans="1:17">
      <c r="A228" s="259" t="s">
        <v>1028</v>
      </c>
      <c r="B228" s="259" t="s">
        <v>956</v>
      </c>
      <c r="C228" s="260">
        <v>9</v>
      </c>
      <c r="D228" s="260">
        <v>139</v>
      </c>
      <c r="E228" s="259"/>
      <c r="F228" s="260">
        <v>74438367248841</v>
      </c>
      <c r="G228" s="260">
        <v>99</v>
      </c>
      <c r="H228" s="260">
        <v>0</v>
      </c>
      <c r="I228" s="259"/>
      <c r="J228" s="260">
        <v>1</v>
      </c>
      <c r="K228" s="259" t="s">
        <v>658</v>
      </c>
      <c r="L228" s="302">
        <v>21487.599999999999</v>
      </c>
      <c r="M228" s="260">
        <v>0</v>
      </c>
      <c r="N228" s="260">
        <v>0</v>
      </c>
      <c r="O228" s="260">
        <v>0</v>
      </c>
      <c r="P228" s="302">
        <v>4512.3999999999996</v>
      </c>
      <c r="Q228" s="303">
        <v>26000</v>
      </c>
    </row>
    <row r="229" spans="1:17">
      <c r="A229" s="259" t="s">
        <v>1028</v>
      </c>
      <c r="B229" s="259" t="s">
        <v>956</v>
      </c>
      <c r="C229" s="260">
        <v>9</v>
      </c>
      <c r="D229" s="260">
        <v>140</v>
      </c>
      <c r="E229" s="259"/>
      <c r="F229" s="260">
        <v>74438370031950</v>
      </c>
      <c r="G229" s="260">
        <v>99</v>
      </c>
      <c r="H229" s="260">
        <v>0</v>
      </c>
      <c r="I229" s="259"/>
      <c r="J229" s="260">
        <v>1</v>
      </c>
      <c r="K229" s="259" t="s">
        <v>658</v>
      </c>
      <c r="L229" s="302">
        <v>10743.8</v>
      </c>
      <c r="M229" s="260">
        <v>0</v>
      </c>
      <c r="N229" s="260">
        <v>0</v>
      </c>
      <c r="O229" s="260">
        <v>0</v>
      </c>
      <c r="P229" s="302">
        <v>2256.1999999999998</v>
      </c>
      <c r="Q229" s="303">
        <v>13000</v>
      </c>
    </row>
    <row r="230" spans="1:17">
      <c r="A230" s="259" t="s">
        <v>1028</v>
      </c>
      <c r="B230" s="259" t="s">
        <v>956</v>
      </c>
      <c r="C230" s="260">
        <v>9</v>
      </c>
      <c r="D230" s="260">
        <v>141</v>
      </c>
      <c r="E230" s="259"/>
      <c r="F230" s="260">
        <v>74438374437974</v>
      </c>
      <c r="G230" s="260">
        <v>99</v>
      </c>
      <c r="H230" s="260">
        <v>0</v>
      </c>
      <c r="I230" s="259"/>
      <c r="J230" s="260">
        <v>1</v>
      </c>
      <c r="K230" s="259" t="s">
        <v>658</v>
      </c>
      <c r="L230" s="304">
        <v>11570.25</v>
      </c>
      <c r="M230" s="260">
        <v>0</v>
      </c>
      <c r="N230" s="260">
        <v>0</v>
      </c>
      <c r="O230" s="260">
        <v>0</v>
      </c>
      <c r="P230" s="304">
        <v>2429.75</v>
      </c>
      <c r="Q230" s="303">
        <v>14000</v>
      </c>
    </row>
    <row r="231" spans="1:17">
      <c r="A231" s="259" t="s">
        <v>1028</v>
      </c>
      <c r="B231" s="259" t="s">
        <v>956</v>
      </c>
      <c r="C231" s="260">
        <v>9</v>
      </c>
      <c r="D231" s="260">
        <v>142</v>
      </c>
      <c r="E231" s="259"/>
      <c r="F231" s="260">
        <v>74438380244230</v>
      </c>
      <c r="G231" s="260">
        <v>99</v>
      </c>
      <c r="H231" s="260">
        <v>0</v>
      </c>
      <c r="I231" s="259"/>
      <c r="J231" s="260">
        <v>1</v>
      </c>
      <c r="K231" s="259" t="s">
        <v>658</v>
      </c>
      <c r="L231" s="304">
        <v>30495.87</v>
      </c>
      <c r="M231" s="260">
        <v>0</v>
      </c>
      <c r="N231" s="260">
        <v>0</v>
      </c>
      <c r="O231" s="260">
        <v>0</v>
      </c>
      <c r="P231" s="304">
        <v>6404.13</v>
      </c>
      <c r="Q231" s="303">
        <v>36900</v>
      </c>
    </row>
    <row r="232" spans="1:17">
      <c r="A232" s="259" t="s">
        <v>1028</v>
      </c>
      <c r="B232" s="259" t="s">
        <v>956</v>
      </c>
      <c r="C232" s="260">
        <v>9</v>
      </c>
      <c r="D232" s="260">
        <v>143</v>
      </c>
      <c r="E232" s="259"/>
      <c r="F232" s="260">
        <v>74438389914975</v>
      </c>
      <c r="G232" s="260">
        <v>99</v>
      </c>
      <c r="H232" s="260">
        <v>0</v>
      </c>
      <c r="I232" s="259"/>
      <c r="J232" s="260">
        <v>1</v>
      </c>
      <c r="K232" s="259" t="s">
        <v>658</v>
      </c>
      <c r="L232" s="304">
        <v>29752.07</v>
      </c>
      <c r="M232" s="260">
        <v>0</v>
      </c>
      <c r="N232" s="260">
        <v>0</v>
      </c>
      <c r="O232" s="260">
        <v>0</v>
      </c>
      <c r="P232" s="304">
        <v>6247.93</v>
      </c>
      <c r="Q232" s="303">
        <v>36000</v>
      </c>
    </row>
    <row r="233" spans="1:17">
      <c r="A233" s="259" t="s">
        <v>1028</v>
      </c>
      <c r="B233" s="259" t="s">
        <v>956</v>
      </c>
      <c r="C233" s="260">
        <v>9</v>
      </c>
      <c r="D233" s="260">
        <v>144</v>
      </c>
      <c r="E233" s="259"/>
      <c r="F233" s="260">
        <v>74438392369031</v>
      </c>
      <c r="G233" s="260">
        <v>99</v>
      </c>
      <c r="H233" s="260">
        <v>0</v>
      </c>
      <c r="I233" s="259"/>
      <c r="J233" s="260">
        <v>1</v>
      </c>
      <c r="K233" s="259" t="s">
        <v>658</v>
      </c>
      <c r="L233" s="302">
        <v>21487.599999999999</v>
      </c>
      <c r="M233" s="260">
        <v>0</v>
      </c>
      <c r="N233" s="260">
        <v>0</v>
      </c>
      <c r="O233" s="260">
        <v>0</v>
      </c>
      <c r="P233" s="302">
        <v>4512.3999999999996</v>
      </c>
      <c r="Q233" s="303">
        <v>26000</v>
      </c>
    </row>
    <row r="234" spans="1:17">
      <c r="A234" s="259" t="s">
        <v>1028</v>
      </c>
      <c r="B234" s="259" t="s">
        <v>956</v>
      </c>
      <c r="C234" s="260">
        <v>9</v>
      </c>
      <c r="D234" s="260">
        <v>145</v>
      </c>
      <c r="E234" s="259"/>
      <c r="F234" s="260">
        <v>74438393479545</v>
      </c>
      <c r="G234" s="260">
        <v>99</v>
      </c>
      <c r="H234" s="260">
        <v>0</v>
      </c>
      <c r="I234" s="259"/>
      <c r="J234" s="260">
        <v>1</v>
      </c>
      <c r="K234" s="259" t="s">
        <v>658</v>
      </c>
      <c r="L234" s="302">
        <v>10743.8</v>
      </c>
      <c r="M234" s="260">
        <v>0</v>
      </c>
      <c r="N234" s="260">
        <v>0</v>
      </c>
      <c r="O234" s="260">
        <v>0</v>
      </c>
      <c r="P234" s="302">
        <v>2256.1999999999998</v>
      </c>
      <c r="Q234" s="303">
        <v>13000</v>
      </c>
    </row>
    <row r="235" spans="1:17">
      <c r="A235" s="259" t="s">
        <v>1028</v>
      </c>
      <c r="B235" s="259" t="s">
        <v>956</v>
      </c>
      <c r="C235" s="260">
        <v>9</v>
      </c>
      <c r="D235" s="260">
        <v>146</v>
      </c>
      <c r="E235" s="259"/>
      <c r="F235" s="260">
        <v>74438393606388</v>
      </c>
      <c r="G235" s="260">
        <v>99</v>
      </c>
      <c r="H235" s="260">
        <v>0</v>
      </c>
      <c r="I235" s="259"/>
      <c r="J235" s="260">
        <v>1</v>
      </c>
      <c r="K235" s="259" t="s">
        <v>658</v>
      </c>
      <c r="L235" s="302">
        <v>21487.599999999999</v>
      </c>
      <c r="M235" s="260">
        <v>0</v>
      </c>
      <c r="N235" s="260">
        <v>0</v>
      </c>
      <c r="O235" s="260">
        <v>0</v>
      </c>
      <c r="P235" s="302">
        <v>4512.3999999999996</v>
      </c>
      <c r="Q235" s="303">
        <v>26000</v>
      </c>
    </row>
    <row r="236" spans="1:17">
      <c r="A236" s="259" t="s">
        <v>1028</v>
      </c>
      <c r="B236" s="259" t="s">
        <v>956</v>
      </c>
      <c r="C236" s="260">
        <v>9</v>
      </c>
      <c r="D236" s="260">
        <v>147</v>
      </c>
      <c r="E236" s="259"/>
      <c r="F236" s="260">
        <v>74438398279627</v>
      </c>
      <c r="G236" s="260">
        <v>99</v>
      </c>
      <c r="H236" s="260">
        <v>0</v>
      </c>
      <c r="I236" s="259"/>
      <c r="J236" s="260">
        <v>1</v>
      </c>
      <c r="K236" s="259" t="s">
        <v>658</v>
      </c>
      <c r="L236" s="302">
        <v>10743.8</v>
      </c>
      <c r="M236" s="260">
        <v>0</v>
      </c>
      <c r="N236" s="260">
        <v>0</v>
      </c>
      <c r="O236" s="260">
        <v>0</v>
      </c>
      <c r="P236" s="302">
        <v>2256.1999999999998</v>
      </c>
      <c r="Q236" s="303">
        <v>13000</v>
      </c>
    </row>
    <row r="237" spans="1:17">
      <c r="A237" s="259" t="s">
        <v>1028</v>
      </c>
      <c r="B237" s="259" t="s">
        <v>956</v>
      </c>
      <c r="C237" s="260">
        <v>9</v>
      </c>
      <c r="D237" s="260">
        <v>148</v>
      </c>
      <c r="E237" s="259"/>
      <c r="F237" s="260">
        <v>74438405014605</v>
      </c>
      <c r="G237" s="260">
        <v>99</v>
      </c>
      <c r="H237" s="260">
        <v>0</v>
      </c>
      <c r="I237" s="259"/>
      <c r="J237" s="260">
        <v>1</v>
      </c>
      <c r="K237" s="259" t="s">
        <v>658</v>
      </c>
      <c r="L237" s="304">
        <v>14669.42</v>
      </c>
      <c r="M237" s="260">
        <v>0</v>
      </c>
      <c r="N237" s="260">
        <v>0</v>
      </c>
      <c r="O237" s="260">
        <v>0</v>
      </c>
      <c r="P237" s="304">
        <v>3080.58</v>
      </c>
      <c r="Q237" s="303">
        <v>17750</v>
      </c>
    </row>
    <row r="238" spans="1:17">
      <c r="A238" s="259" t="s">
        <v>1028</v>
      </c>
      <c r="B238" s="259" t="s">
        <v>956</v>
      </c>
      <c r="C238" s="260">
        <v>9</v>
      </c>
      <c r="D238" s="260">
        <v>149</v>
      </c>
      <c r="E238" s="259"/>
      <c r="F238" s="260">
        <v>74438405815102</v>
      </c>
      <c r="G238" s="260">
        <v>99</v>
      </c>
      <c r="H238" s="260">
        <v>0</v>
      </c>
      <c r="I238" s="259"/>
      <c r="J238" s="260">
        <v>1</v>
      </c>
      <c r="K238" s="259" t="s">
        <v>658</v>
      </c>
      <c r="L238" s="302">
        <v>10743.8</v>
      </c>
      <c r="M238" s="260">
        <v>0</v>
      </c>
      <c r="N238" s="260">
        <v>0</v>
      </c>
      <c r="O238" s="260">
        <v>0</v>
      </c>
      <c r="P238" s="302">
        <v>2256.1999999999998</v>
      </c>
      <c r="Q238" s="303">
        <v>13000</v>
      </c>
    </row>
    <row r="239" spans="1:17">
      <c r="A239" s="259" t="s">
        <v>1028</v>
      </c>
      <c r="B239" s="259" t="s">
        <v>956</v>
      </c>
      <c r="C239" s="260">
        <v>9</v>
      </c>
      <c r="D239" s="260">
        <v>150</v>
      </c>
      <c r="E239" s="259"/>
      <c r="F239" s="260">
        <v>74438406904562</v>
      </c>
      <c r="G239" s="260">
        <v>99</v>
      </c>
      <c r="H239" s="260">
        <v>0</v>
      </c>
      <c r="I239" s="259"/>
      <c r="J239" s="260">
        <v>1</v>
      </c>
      <c r="K239" s="259" t="s">
        <v>658</v>
      </c>
      <c r="L239" s="304">
        <v>8595.0400000000009</v>
      </c>
      <c r="M239" s="260">
        <v>0</v>
      </c>
      <c r="N239" s="260">
        <v>0</v>
      </c>
      <c r="O239" s="260">
        <v>0</v>
      </c>
      <c r="P239" s="304">
        <v>1804.96</v>
      </c>
      <c r="Q239" s="303">
        <v>10400</v>
      </c>
    </row>
    <row r="240" spans="1:17">
      <c r="A240" s="259" t="s">
        <v>1005</v>
      </c>
      <c r="B240" s="259" t="s">
        <v>656</v>
      </c>
      <c r="C240" s="260">
        <v>7</v>
      </c>
      <c r="D240" s="260">
        <v>2200</v>
      </c>
      <c r="E240" s="259"/>
      <c r="F240" s="260">
        <v>74428550867367</v>
      </c>
      <c r="G240" s="259" t="s">
        <v>7</v>
      </c>
      <c r="H240" s="260">
        <v>30608716390</v>
      </c>
      <c r="I240" s="259" t="s">
        <v>974</v>
      </c>
      <c r="J240" s="260">
        <v>1</v>
      </c>
      <c r="K240" s="259" t="s">
        <v>658</v>
      </c>
      <c r="L240" s="303">
        <v>15000</v>
      </c>
      <c r="M240" s="260">
        <v>0</v>
      </c>
      <c r="N240" s="260">
        <v>0</v>
      </c>
      <c r="O240" s="260">
        <v>0</v>
      </c>
      <c r="P240" s="303">
        <v>3150</v>
      </c>
      <c r="Q240" s="303">
        <v>18150</v>
      </c>
    </row>
    <row r="241" spans="1:17">
      <c r="A241" s="259" t="s">
        <v>1005</v>
      </c>
      <c r="B241" s="259" t="s">
        <v>656</v>
      </c>
      <c r="C241" s="260">
        <v>3</v>
      </c>
      <c r="D241" s="260">
        <v>2128</v>
      </c>
      <c r="E241" s="259"/>
      <c r="F241" s="260">
        <v>74428589321410</v>
      </c>
      <c r="G241" s="259" t="s">
        <v>7</v>
      </c>
      <c r="H241" s="260">
        <v>30717908232</v>
      </c>
      <c r="I241" s="259" t="s">
        <v>980</v>
      </c>
      <c r="J241" s="260">
        <v>1</v>
      </c>
      <c r="K241" s="259" t="s">
        <v>658</v>
      </c>
      <c r="L241" s="304">
        <v>26446.29</v>
      </c>
      <c r="M241" s="260">
        <v>0</v>
      </c>
      <c r="N241" s="260">
        <v>0</v>
      </c>
      <c r="O241" s="260">
        <v>0</v>
      </c>
      <c r="P241" s="304">
        <v>5553.72</v>
      </c>
      <c r="Q241" s="303">
        <v>32000</v>
      </c>
    </row>
    <row r="242" spans="1:17">
      <c r="A242" s="259" t="s">
        <v>1005</v>
      </c>
      <c r="B242" s="259" t="s">
        <v>656</v>
      </c>
      <c r="C242" s="260">
        <v>3</v>
      </c>
      <c r="D242" s="260">
        <v>2129</v>
      </c>
      <c r="E242" s="259"/>
      <c r="F242" s="260">
        <v>74428589542571</v>
      </c>
      <c r="G242" s="259" t="s">
        <v>7</v>
      </c>
      <c r="H242" s="260">
        <v>30717908232</v>
      </c>
      <c r="I242" s="259" t="s">
        <v>980</v>
      </c>
      <c r="J242" s="260">
        <v>1</v>
      </c>
      <c r="K242" s="259" t="s">
        <v>658</v>
      </c>
      <c r="L242" s="304">
        <v>20661.14</v>
      </c>
      <c r="M242" s="260">
        <v>0</v>
      </c>
      <c r="N242" s="260">
        <v>0</v>
      </c>
      <c r="O242" s="260">
        <v>0</v>
      </c>
      <c r="P242" s="304">
        <v>4338.84</v>
      </c>
      <c r="Q242" s="303">
        <v>25000</v>
      </c>
    </row>
    <row r="243" spans="1:17">
      <c r="A243" s="259" t="s">
        <v>1028</v>
      </c>
      <c r="B243" s="259" t="s">
        <v>956</v>
      </c>
      <c r="C243" s="260">
        <v>9</v>
      </c>
      <c r="D243" s="260">
        <v>151</v>
      </c>
      <c r="E243" s="259"/>
      <c r="F243" s="260">
        <v>74438407930835</v>
      </c>
      <c r="G243" s="260">
        <v>99</v>
      </c>
      <c r="H243" s="260">
        <v>0</v>
      </c>
      <c r="I243" s="259"/>
      <c r="J243" s="260">
        <v>1</v>
      </c>
      <c r="K243" s="259" t="s">
        <v>658</v>
      </c>
      <c r="L243" s="304">
        <v>15702.48</v>
      </c>
      <c r="M243" s="260">
        <v>0</v>
      </c>
      <c r="N243" s="260">
        <v>0</v>
      </c>
      <c r="O243" s="260">
        <v>0</v>
      </c>
      <c r="P243" s="304">
        <v>3297.52</v>
      </c>
      <c r="Q243" s="303">
        <v>19000</v>
      </c>
    </row>
    <row r="244" spans="1:17">
      <c r="A244" s="259" t="s">
        <v>1028</v>
      </c>
      <c r="B244" s="259" t="s">
        <v>956</v>
      </c>
      <c r="C244" s="260">
        <v>9</v>
      </c>
      <c r="D244" s="260">
        <v>152</v>
      </c>
      <c r="E244" s="259"/>
      <c r="F244" s="260">
        <v>74438412298599</v>
      </c>
      <c r="G244" s="260">
        <v>99</v>
      </c>
      <c r="H244" s="260">
        <v>0</v>
      </c>
      <c r="I244" s="259"/>
      <c r="J244" s="260">
        <v>1</v>
      </c>
      <c r="K244" s="259" t="s">
        <v>658</v>
      </c>
      <c r="L244" s="302">
        <v>10743.8</v>
      </c>
      <c r="M244" s="260">
        <v>0</v>
      </c>
      <c r="N244" s="260">
        <v>0</v>
      </c>
      <c r="O244" s="260">
        <v>0</v>
      </c>
      <c r="P244" s="302">
        <v>2256.1999999999998</v>
      </c>
      <c r="Q244" s="303">
        <v>13000</v>
      </c>
    </row>
    <row r="245" spans="1:17">
      <c r="A245" s="259" t="s">
        <v>1032</v>
      </c>
      <c r="B245" s="259" t="s">
        <v>956</v>
      </c>
      <c r="C245" s="260">
        <v>9</v>
      </c>
      <c r="D245" s="260">
        <v>153</v>
      </c>
      <c r="E245" s="259"/>
      <c r="F245" s="260">
        <v>74438508198539</v>
      </c>
      <c r="G245" s="260">
        <v>99</v>
      </c>
      <c r="H245" s="260">
        <v>0</v>
      </c>
      <c r="I245" s="259"/>
      <c r="J245" s="260">
        <v>1</v>
      </c>
      <c r="K245" s="259" t="s">
        <v>658</v>
      </c>
      <c r="L245" s="304">
        <v>20661.16</v>
      </c>
      <c r="M245" s="260">
        <v>0</v>
      </c>
      <c r="N245" s="260">
        <v>0</v>
      </c>
      <c r="O245" s="260">
        <v>0</v>
      </c>
      <c r="P245" s="304">
        <v>4338.84</v>
      </c>
      <c r="Q245" s="303">
        <v>25000</v>
      </c>
    </row>
    <row r="246" spans="1:17">
      <c r="A246" s="259" t="s">
        <v>1032</v>
      </c>
      <c r="B246" s="259" t="s">
        <v>956</v>
      </c>
      <c r="C246" s="260">
        <v>9</v>
      </c>
      <c r="D246" s="260">
        <v>154</v>
      </c>
      <c r="E246" s="259"/>
      <c r="F246" s="260">
        <v>74438528043257</v>
      </c>
      <c r="G246" s="260">
        <v>99</v>
      </c>
      <c r="H246" s="260">
        <v>0</v>
      </c>
      <c r="I246" s="259"/>
      <c r="J246" s="260">
        <v>1</v>
      </c>
      <c r="K246" s="259" t="s">
        <v>658</v>
      </c>
      <c r="L246" s="304">
        <v>16528.93</v>
      </c>
      <c r="M246" s="260">
        <v>0</v>
      </c>
      <c r="N246" s="260">
        <v>0</v>
      </c>
      <c r="O246" s="260">
        <v>0</v>
      </c>
      <c r="P246" s="304">
        <v>3471.07</v>
      </c>
      <c r="Q246" s="303">
        <v>20000</v>
      </c>
    </row>
    <row r="247" spans="1:17">
      <c r="A247" s="259" t="s">
        <v>1032</v>
      </c>
      <c r="B247" s="259" t="s">
        <v>956</v>
      </c>
      <c r="C247" s="260">
        <v>9</v>
      </c>
      <c r="D247" s="260">
        <v>155</v>
      </c>
      <c r="E247" s="259"/>
      <c r="F247" s="260">
        <v>74438529234556</v>
      </c>
      <c r="G247" s="260">
        <v>99</v>
      </c>
      <c r="H247" s="260">
        <v>0</v>
      </c>
      <c r="I247" s="259"/>
      <c r="J247" s="260">
        <v>1</v>
      </c>
      <c r="K247" s="259" t="s">
        <v>658</v>
      </c>
      <c r="L247" s="302">
        <v>18512.400000000001</v>
      </c>
      <c r="M247" s="260">
        <v>0</v>
      </c>
      <c r="N247" s="260">
        <v>0</v>
      </c>
      <c r="O247" s="260">
        <v>0</v>
      </c>
      <c r="P247" s="302">
        <v>3887.6</v>
      </c>
      <c r="Q247" s="303">
        <v>22400</v>
      </c>
    </row>
    <row r="248" spans="1:17">
      <c r="A248" s="259" t="s">
        <v>1032</v>
      </c>
      <c r="B248" s="259" t="s">
        <v>956</v>
      </c>
      <c r="C248" s="260">
        <v>9</v>
      </c>
      <c r="D248" s="260">
        <v>156</v>
      </c>
      <c r="E248" s="259"/>
      <c r="F248" s="260">
        <v>74438531153080</v>
      </c>
      <c r="G248" s="260">
        <v>99</v>
      </c>
      <c r="H248" s="260">
        <v>0</v>
      </c>
      <c r="I248" s="259"/>
      <c r="J248" s="260">
        <v>1</v>
      </c>
      <c r="K248" s="259" t="s">
        <v>658</v>
      </c>
      <c r="L248" s="304">
        <v>11570.25</v>
      </c>
      <c r="M248" s="260">
        <v>0</v>
      </c>
      <c r="N248" s="260">
        <v>0</v>
      </c>
      <c r="O248" s="260">
        <v>0</v>
      </c>
      <c r="P248" s="304">
        <v>2429.75</v>
      </c>
      <c r="Q248" s="303">
        <v>14000</v>
      </c>
    </row>
    <row r="249" spans="1:17">
      <c r="A249" s="259" t="s">
        <v>1032</v>
      </c>
      <c r="B249" s="259" t="s">
        <v>956</v>
      </c>
      <c r="C249" s="260">
        <v>9</v>
      </c>
      <c r="D249" s="260">
        <v>157</v>
      </c>
      <c r="E249" s="259"/>
      <c r="F249" s="260">
        <v>74438605517596</v>
      </c>
      <c r="G249" s="260">
        <v>99</v>
      </c>
      <c r="H249" s="260">
        <v>0</v>
      </c>
      <c r="I249" s="259"/>
      <c r="J249" s="260">
        <v>1</v>
      </c>
      <c r="K249" s="259" t="s">
        <v>658</v>
      </c>
      <c r="L249" s="304">
        <v>20661.16</v>
      </c>
      <c r="M249" s="260">
        <v>0</v>
      </c>
      <c r="N249" s="260">
        <v>0</v>
      </c>
      <c r="O249" s="260">
        <v>0</v>
      </c>
      <c r="P249" s="304">
        <v>4338.84</v>
      </c>
      <c r="Q249" s="303">
        <v>25000</v>
      </c>
    </row>
    <row r="250" spans="1:17">
      <c r="A250" s="259" t="s">
        <v>1040</v>
      </c>
      <c r="B250" s="259" t="s">
        <v>956</v>
      </c>
      <c r="C250" s="260">
        <v>9</v>
      </c>
      <c r="D250" s="260">
        <v>158</v>
      </c>
      <c r="E250" s="259"/>
      <c r="F250" s="260">
        <v>74438717051849</v>
      </c>
      <c r="G250" s="260">
        <v>99</v>
      </c>
      <c r="H250" s="260">
        <v>0</v>
      </c>
      <c r="I250" s="259"/>
      <c r="J250" s="260">
        <v>1</v>
      </c>
      <c r="K250" s="259" t="s">
        <v>658</v>
      </c>
      <c r="L250" s="304">
        <v>29338.84</v>
      </c>
      <c r="M250" s="260">
        <v>0</v>
      </c>
      <c r="N250" s="260">
        <v>0</v>
      </c>
      <c r="O250" s="260">
        <v>0</v>
      </c>
      <c r="P250" s="304">
        <v>6161.16</v>
      </c>
      <c r="Q250" s="303">
        <v>35500</v>
      </c>
    </row>
    <row r="251" spans="1:17">
      <c r="A251" s="259" t="s">
        <v>1040</v>
      </c>
      <c r="B251" s="259" t="s">
        <v>956</v>
      </c>
      <c r="C251" s="260">
        <v>9</v>
      </c>
      <c r="D251" s="260">
        <v>159</v>
      </c>
      <c r="E251" s="259"/>
      <c r="F251" s="260">
        <v>74438721427584</v>
      </c>
      <c r="G251" s="260">
        <v>99</v>
      </c>
      <c r="H251" s="260">
        <v>0</v>
      </c>
      <c r="I251" s="259"/>
      <c r="J251" s="260">
        <v>1</v>
      </c>
      <c r="K251" s="259" t="s">
        <v>658</v>
      </c>
      <c r="L251" s="304">
        <v>12396.69</v>
      </c>
      <c r="M251" s="260">
        <v>0</v>
      </c>
      <c r="N251" s="260">
        <v>0</v>
      </c>
      <c r="O251" s="260">
        <v>0</v>
      </c>
      <c r="P251" s="304">
        <v>2603.31</v>
      </c>
      <c r="Q251" s="303">
        <v>15000</v>
      </c>
    </row>
    <row r="252" spans="1:17">
      <c r="A252" s="259" t="s">
        <v>1040</v>
      </c>
      <c r="B252" s="259" t="s">
        <v>956</v>
      </c>
      <c r="C252" s="260">
        <v>9</v>
      </c>
      <c r="D252" s="260">
        <v>160</v>
      </c>
      <c r="E252" s="259"/>
      <c r="F252" s="260">
        <v>74438722410056</v>
      </c>
      <c r="G252" s="260">
        <v>99</v>
      </c>
      <c r="H252" s="260">
        <v>0</v>
      </c>
      <c r="I252" s="259"/>
      <c r="J252" s="260">
        <v>1</v>
      </c>
      <c r="K252" s="259" t="s">
        <v>658</v>
      </c>
      <c r="L252" s="304">
        <v>13223.14</v>
      </c>
      <c r="M252" s="260">
        <v>0</v>
      </c>
      <c r="N252" s="260">
        <v>0</v>
      </c>
      <c r="O252" s="260">
        <v>0</v>
      </c>
      <c r="P252" s="304">
        <v>2776.86</v>
      </c>
      <c r="Q252" s="303">
        <v>16000</v>
      </c>
    </row>
    <row r="253" spans="1:17">
      <c r="A253" s="259" t="s">
        <v>1040</v>
      </c>
      <c r="B253" s="259" t="s">
        <v>956</v>
      </c>
      <c r="C253" s="260">
        <v>9</v>
      </c>
      <c r="D253" s="260">
        <v>161</v>
      </c>
      <c r="E253" s="259"/>
      <c r="F253" s="260">
        <v>74438725814970</v>
      </c>
      <c r="G253" s="260">
        <v>99</v>
      </c>
      <c r="H253" s="260">
        <v>0</v>
      </c>
      <c r="I253" s="259"/>
      <c r="J253" s="260">
        <v>1</v>
      </c>
      <c r="K253" s="259" t="s">
        <v>658</v>
      </c>
      <c r="L253" s="304">
        <v>41322.31</v>
      </c>
      <c r="M253" s="260">
        <v>0</v>
      </c>
      <c r="N253" s="260">
        <v>0</v>
      </c>
      <c r="O253" s="260">
        <v>0</v>
      </c>
      <c r="P253" s="304">
        <v>8677.69</v>
      </c>
      <c r="Q253" s="303">
        <v>50000</v>
      </c>
    </row>
    <row r="254" spans="1:17">
      <c r="A254" s="259" t="s">
        <v>1040</v>
      </c>
      <c r="B254" s="259" t="s">
        <v>956</v>
      </c>
      <c r="C254" s="260">
        <v>9</v>
      </c>
      <c r="D254" s="260">
        <v>162</v>
      </c>
      <c r="E254" s="259"/>
      <c r="F254" s="260">
        <v>74438727049975</v>
      </c>
      <c r="G254" s="260">
        <v>99</v>
      </c>
      <c r="H254" s="260">
        <v>0</v>
      </c>
      <c r="I254" s="259"/>
      <c r="J254" s="260">
        <v>1</v>
      </c>
      <c r="K254" s="259" t="s">
        <v>658</v>
      </c>
      <c r="L254" s="302">
        <v>21487.599999999999</v>
      </c>
      <c r="M254" s="260">
        <v>0</v>
      </c>
      <c r="N254" s="260">
        <v>0</v>
      </c>
      <c r="O254" s="260">
        <v>0</v>
      </c>
      <c r="P254" s="302">
        <v>4512.3999999999996</v>
      </c>
      <c r="Q254" s="303">
        <v>26000</v>
      </c>
    </row>
    <row r="255" spans="1:17">
      <c r="A255" s="259" t="s">
        <v>1040</v>
      </c>
      <c r="B255" s="259" t="s">
        <v>956</v>
      </c>
      <c r="C255" s="260">
        <v>9</v>
      </c>
      <c r="D255" s="260">
        <v>163</v>
      </c>
      <c r="E255" s="259"/>
      <c r="F255" s="260">
        <v>74438736641818</v>
      </c>
      <c r="G255" s="260">
        <v>99</v>
      </c>
      <c r="H255" s="260">
        <v>0</v>
      </c>
      <c r="I255" s="259"/>
      <c r="J255" s="260">
        <v>1</v>
      </c>
      <c r="K255" s="259" t="s">
        <v>658</v>
      </c>
      <c r="L255" s="304">
        <v>25619.83</v>
      </c>
      <c r="M255" s="260">
        <v>0</v>
      </c>
      <c r="N255" s="260">
        <v>0</v>
      </c>
      <c r="O255" s="260">
        <v>0</v>
      </c>
      <c r="P255" s="304">
        <v>5380.17</v>
      </c>
      <c r="Q255" s="303">
        <v>31000</v>
      </c>
    </row>
    <row r="256" spans="1:17">
      <c r="A256" s="259" t="s">
        <v>1040</v>
      </c>
      <c r="B256" s="259" t="s">
        <v>956</v>
      </c>
      <c r="C256" s="260">
        <v>9</v>
      </c>
      <c r="D256" s="260">
        <v>164</v>
      </c>
      <c r="E256" s="259"/>
      <c r="F256" s="260">
        <v>74438739438853</v>
      </c>
      <c r="G256" s="260">
        <v>99</v>
      </c>
      <c r="H256" s="260">
        <v>0</v>
      </c>
      <c r="I256" s="259"/>
      <c r="J256" s="260">
        <v>1</v>
      </c>
      <c r="K256" s="259" t="s">
        <v>658</v>
      </c>
      <c r="L256" s="302">
        <v>10743.8</v>
      </c>
      <c r="M256" s="260">
        <v>0</v>
      </c>
      <c r="N256" s="260">
        <v>0</v>
      </c>
      <c r="O256" s="260">
        <v>0</v>
      </c>
      <c r="P256" s="302">
        <v>2256.1999999999998</v>
      </c>
      <c r="Q256" s="303">
        <v>13000</v>
      </c>
    </row>
    <row r="257" spans="1:17">
      <c r="A257" s="259" t="s">
        <v>1040</v>
      </c>
      <c r="B257" s="259" t="s">
        <v>956</v>
      </c>
      <c r="C257" s="260">
        <v>9</v>
      </c>
      <c r="D257" s="260">
        <v>165</v>
      </c>
      <c r="E257" s="259"/>
      <c r="F257" s="260">
        <v>74438762531916</v>
      </c>
      <c r="G257" s="260">
        <v>99</v>
      </c>
      <c r="H257" s="260">
        <v>0</v>
      </c>
      <c r="I257" s="259"/>
      <c r="J257" s="260">
        <v>1</v>
      </c>
      <c r="K257" s="259" t="s">
        <v>658</v>
      </c>
      <c r="L257" s="302">
        <v>10743.8</v>
      </c>
      <c r="M257" s="260">
        <v>0</v>
      </c>
      <c r="N257" s="260">
        <v>0</v>
      </c>
      <c r="O257" s="260">
        <v>0</v>
      </c>
      <c r="P257" s="302">
        <v>2256.1999999999998</v>
      </c>
      <c r="Q257" s="303">
        <v>13000</v>
      </c>
    </row>
    <row r="258" spans="1:17">
      <c r="A258" s="259" t="s">
        <v>1040</v>
      </c>
      <c r="B258" s="259" t="s">
        <v>956</v>
      </c>
      <c r="C258" s="260">
        <v>9</v>
      </c>
      <c r="D258" s="260">
        <v>166</v>
      </c>
      <c r="E258" s="259"/>
      <c r="F258" s="260">
        <v>74438764749507</v>
      </c>
      <c r="G258" s="260">
        <v>99</v>
      </c>
      <c r="H258" s="260">
        <v>0</v>
      </c>
      <c r="I258" s="259"/>
      <c r="J258" s="260">
        <v>1</v>
      </c>
      <c r="K258" s="259" t="s">
        <v>658</v>
      </c>
      <c r="L258" s="304">
        <v>22314.05</v>
      </c>
      <c r="M258" s="260">
        <v>0</v>
      </c>
      <c r="N258" s="260">
        <v>0</v>
      </c>
      <c r="O258" s="260">
        <v>0</v>
      </c>
      <c r="P258" s="304">
        <v>4685.95</v>
      </c>
      <c r="Q258" s="303">
        <v>27000</v>
      </c>
    </row>
    <row r="259" spans="1:17">
      <c r="A259" s="259" t="s">
        <v>1040</v>
      </c>
      <c r="B259" s="259" t="s">
        <v>956</v>
      </c>
      <c r="C259" s="260">
        <v>9</v>
      </c>
      <c r="D259" s="260">
        <v>167</v>
      </c>
      <c r="E259" s="259"/>
      <c r="F259" s="260">
        <v>74438766727792</v>
      </c>
      <c r="G259" s="260">
        <v>99</v>
      </c>
      <c r="H259" s="260">
        <v>0</v>
      </c>
      <c r="I259" s="259"/>
      <c r="J259" s="260">
        <v>1</v>
      </c>
      <c r="K259" s="259" t="s">
        <v>658</v>
      </c>
      <c r="L259" s="304">
        <v>11735.54</v>
      </c>
      <c r="M259" s="260">
        <v>0</v>
      </c>
      <c r="N259" s="260">
        <v>0</v>
      </c>
      <c r="O259" s="260">
        <v>0</v>
      </c>
      <c r="P259" s="304">
        <v>2464.46</v>
      </c>
      <c r="Q259" s="303">
        <v>14200</v>
      </c>
    </row>
    <row r="260" spans="1:17">
      <c r="A260" s="259" t="s">
        <v>1040</v>
      </c>
      <c r="B260" s="259" t="s">
        <v>956</v>
      </c>
      <c r="C260" s="260">
        <v>9</v>
      </c>
      <c r="D260" s="260">
        <v>168</v>
      </c>
      <c r="E260" s="259"/>
      <c r="F260" s="260">
        <v>74438769324922</v>
      </c>
      <c r="G260" s="260">
        <v>99</v>
      </c>
      <c r="H260" s="260">
        <v>0</v>
      </c>
      <c r="I260" s="259"/>
      <c r="J260" s="260">
        <v>1</v>
      </c>
      <c r="K260" s="259" t="s">
        <v>658</v>
      </c>
      <c r="L260" s="304">
        <v>4132.2299999999996</v>
      </c>
      <c r="M260" s="260">
        <v>0</v>
      </c>
      <c r="N260" s="260">
        <v>0</v>
      </c>
      <c r="O260" s="260">
        <v>0</v>
      </c>
      <c r="P260" s="304">
        <v>867.77</v>
      </c>
      <c r="Q260" s="303">
        <v>5000</v>
      </c>
    </row>
    <row r="261" spans="1:17">
      <c r="A261" s="259" t="s">
        <v>1011</v>
      </c>
      <c r="B261" s="259" t="s">
        <v>656</v>
      </c>
      <c r="C261" s="260">
        <v>7</v>
      </c>
      <c r="D261" s="260">
        <v>2201</v>
      </c>
      <c r="E261" s="259"/>
      <c r="F261" s="260">
        <v>74428700004449</v>
      </c>
      <c r="G261" s="259" t="s">
        <v>7</v>
      </c>
      <c r="H261" s="260">
        <v>30711244383</v>
      </c>
      <c r="I261" s="259" t="s">
        <v>1012</v>
      </c>
      <c r="J261" s="260">
        <v>1</v>
      </c>
      <c r="K261" s="259" t="s">
        <v>658</v>
      </c>
      <c r="L261" s="304">
        <v>58291.24</v>
      </c>
      <c r="M261" s="260">
        <v>0</v>
      </c>
      <c r="N261" s="260">
        <v>0</v>
      </c>
      <c r="O261" s="260">
        <v>0</v>
      </c>
      <c r="P261" s="304">
        <v>12241.16</v>
      </c>
      <c r="Q261" s="302">
        <v>70532.399999999994</v>
      </c>
    </row>
    <row r="262" spans="1:17">
      <c r="A262" s="259" t="s">
        <v>1011</v>
      </c>
      <c r="B262" s="259" t="s">
        <v>656</v>
      </c>
      <c r="C262" s="260">
        <v>7</v>
      </c>
      <c r="D262" s="260">
        <v>2202</v>
      </c>
      <c r="E262" s="259"/>
      <c r="F262" s="260">
        <v>74428731422442</v>
      </c>
      <c r="G262" s="259" t="s">
        <v>7</v>
      </c>
      <c r="H262" s="260">
        <v>30500053522</v>
      </c>
      <c r="I262" s="259" t="s">
        <v>969</v>
      </c>
      <c r="J262" s="260">
        <v>1</v>
      </c>
      <c r="K262" s="259" t="s">
        <v>658</v>
      </c>
      <c r="L262" s="304">
        <v>330578.51</v>
      </c>
      <c r="M262" s="260">
        <v>0</v>
      </c>
      <c r="N262" s="260">
        <v>0</v>
      </c>
      <c r="O262" s="260">
        <v>0</v>
      </c>
      <c r="P262" s="304">
        <v>69421.490000000005</v>
      </c>
      <c r="Q262" s="303">
        <v>400000</v>
      </c>
    </row>
    <row r="263" spans="1:17">
      <c r="A263" s="259" t="s">
        <v>1011</v>
      </c>
      <c r="B263" s="259" t="s">
        <v>656</v>
      </c>
      <c r="C263" s="260">
        <v>7</v>
      </c>
      <c r="D263" s="260">
        <v>2203</v>
      </c>
      <c r="E263" s="259"/>
      <c r="F263" s="260">
        <v>74428740724295</v>
      </c>
      <c r="G263" s="259" t="s">
        <v>7</v>
      </c>
      <c r="H263" s="260">
        <v>30712136754</v>
      </c>
      <c r="I263" s="259" t="s">
        <v>936</v>
      </c>
      <c r="J263" s="260">
        <v>1</v>
      </c>
      <c r="K263" s="259" t="s">
        <v>658</v>
      </c>
      <c r="L263" s="304">
        <v>51347.11</v>
      </c>
      <c r="M263" s="260">
        <v>0</v>
      </c>
      <c r="N263" s="260">
        <v>0</v>
      </c>
      <c r="O263" s="260">
        <v>0</v>
      </c>
      <c r="P263" s="304">
        <v>10782.89</v>
      </c>
      <c r="Q263" s="303">
        <v>62130</v>
      </c>
    </row>
    <row r="264" spans="1:17">
      <c r="A264" s="259" t="s">
        <v>1011</v>
      </c>
      <c r="B264" s="259" t="s">
        <v>656</v>
      </c>
      <c r="C264" s="260">
        <v>3</v>
      </c>
      <c r="D264" s="260">
        <v>2130</v>
      </c>
      <c r="E264" s="259"/>
      <c r="F264" s="260">
        <v>74428687340551</v>
      </c>
      <c r="G264" s="259" t="s">
        <v>7</v>
      </c>
      <c r="H264" s="260">
        <v>33715156909</v>
      </c>
      <c r="I264" s="259" t="s">
        <v>1013</v>
      </c>
      <c r="J264" s="260">
        <v>1</v>
      </c>
      <c r="K264" s="259" t="s">
        <v>658</v>
      </c>
      <c r="L264" s="304">
        <v>11157.05</v>
      </c>
      <c r="M264" s="260">
        <v>0</v>
      </c>
      <c r="N264" s="260">
        <v>0</v>
      </c>
      <c r="O264" s="260">
        <v>0</v>
      </c>
      <c r="P264" s="304">
        <v>2342.98</v>
      </c>
      <c r="Q264" s="304">
        <v>13500.01</v>
      </c>
    </row>
    <row r="265" spans="1:17">
      <c r="A265" s="259" t="s">
        <v>1011</v>
      </c>
      <c r="B265" s="259" t="s">
        <v>656</v>
      </c>
      <c r="C265" s="260">
        <v>3</v>
      </c>
      <c r="D265" s="260">
        <v>2131</v>
      </c>
      <c r="E265" s="259"/>
      <c r="F265" s="260">
        <v>74428687626316</v>
      </c>
      <c r="G265" s="259" t="s">
        <v>7</v>
      </c>
      <c r="H265" s="260">
        <v>33715156909</v>
      </c>
      <c r="I265" s="259" t="s">
        <v>1013</v>
      </c>
      <c r="J265" s="260">
        <v>1</v>
      </c>
      <c r="K265" s="259" t="s">
        <v>658</v>
      </c>
      <c r="L265" s="304">
        <v>15289.24</v>
      </c>
      <c r="M265" s="260">
        <v>0</v>
      </c>
      <c r="N265" s="260">
        <v>0</v>
      </c>
      <c r="O265" s="260">
        <v>0</v>
      </c>
      <c r="P265" s="304">
        <v>3210.74</v>
      </c>
      <c r="Q265" s="303">
        <v>18500</v>
      </c>
    </row>
    <row r="266" spans="1:17">
      <c r="A266" s="259" t="s">
        <v>1040</v>
      </c>
      <c r="B266" s="259" t="s">
        <v>956</v>
      </c>
      <c r="C266" s="260">
        <v>9</v>
      </c>
      <c r="D266" s="260">
        <v>169</v>
      </c>
      <c r="E266" s="259"/>
      <c r="F266" s="260">
        <v>74438773366823</v>
      </c>
      <c r="G266" s="260">
        <v>99</v>
      </c>
      <c r="H266" s="260">
        <v>0</v>
      </c>
      <c r="I266" s="259"/>
      <c r="J266" s="260">
        <v>1</v>
      </c>
      <c r="K266" s="259" t="s">
        <v>658</v>
      </c>
      <c r="L266" s="304">
        <v>14876.03</v>
      </c>
      <c r="M266" s="260">
        <v>0</v>
      </c>
      <c r="N266" s="260">
        <v>0</v>
      </c>
      <c r="O266" s="260">
        <v>0</v>
      </c>
      <c r="P266" s="304">
        <v>3123.97</v>
      </c>
      <c r="Q266" s="303">
        <v>18000</v>
      </c>
    </row>
    <row r="267" spans="1:17">
      <c r="A267" s="259" t="s">
        <v>1040</v>
      </c>
      <c r="B267" s="259" t="s">
        <v>956</v>
      </c>
      <c r="C267" s="260">
        <v>9</v>
      </c>
      <c r="D267" s="260">
        <v>170</v>
      </c>
      <c r="E267" s="259"/>
      <c r="F267" s="260">
        <v>74438775760814</v>
      </c>
      <c r="G267" s="260">
        <v>99</v>
      </c>
      <c r="H267" s="260">
        <v>0</v>
      </c>
      <c r="I267" s="259"/>
      <c r="J267" s="260">
        <v>1</v>
      </c>
      <c r="K267" s="259" t="s">
        <v>658</v>
      </c>
      <c r="L267" s="304">
        <v>18595.04</v>
      </c>
      <c r="M267" s="260">
        <v>0</v>
      </c>
      <c r="N267" s="260">
        <v>0</v>
      </c>
      <c r="O267" s="260">
        <v>0</v>
      </c>
      <c r="P267" s="304">
        <v>3904.96</v>
      </c>
      <c r="Q267" s="303">
        <v>22500</v>
      </c>
    </row>
    <row r="268" spans="1:17">
      <c r="A268" s="259" t="s">
        <v>1040</v>
      </c>
      <c r="B268" s="259" t="s">
        <v>956</v>
      </c>
      <c r="C268" s="260">
        <v>9</v>
      </c>
      <c r="D268" s="260">
        <v>171</v>
      </c>
      <c r="E268" s="259"/>
      <c r="F268" s="260">
        <v>74438779671454</v>
      </c>
      <c r="G268" s="260">
        <v>99</v>
      </c>
      <c r="H268" s="260">
        <v>0</v>
      </c>
      <c r="I268" s="259"/>
      <c r="J268" s="260">
        <v>1</v>
      </c>
      <c r="K268" s="259" t="s">
        <v>658</v>
      </c>
      <c r="L268" s="304">
        <v>16528.93</v>
      </c>
      <c r="M268" s="260">
        <v>0</v>
      </c>
      <c r="N268" s="260">
        <v>0</v>
      </c>
      <c r="O268" s="260">
        <v>0</v>
      </c>
      <c r="P268" s="304">
        <v>3471.07</v>
      </c>
      <c r="Q268" s="303">
        <v>20000</v>
      </c>
    </row>
    <row r="269" spans="1:17">
      <c r="A269" s="259" t="s">
        <v>1043</v>
      </c>
      <c r="B269" s="259" t="s">
        <v>956</v>
      </c>
      <c r="C269" s="260">
        <v>9</v>
      </c>
      <c r="D269" s="260">
        <v>172</v>
      </c>
      <c r="E269" s="259"/>
      <c r="F269" s="260">
        <v>74448002677775</v>
      </c>
      <c r="G269" s="260">
        <v>99</v>
      </c>
      <c r="H269" s="260">
        <v>0</v>
      </c>
      <c r="I269" s="259"/>
      <c r="J269" s="260">
        <v>1</v>
      </c>
      <c r="K269" s="259" t="s">
        <v>658</v>
      </c>
      <c r="L269" s="304">
        <v>4132.2299999999996</v>
      </c>
      <c r="M269" s="260">
        <v>0</v>
      </c>
      <c r="N269" s="260">
        <v>0</v>
      </c>
      <c r="O269" s="260">
        <v>0</v>
      </c>
      <c r="P269" s="304">
        <v>867.77</v>
      </c>
      <c r="Q269" s="303">
        <v>5000</v>
      </c>
    </row>
    <row r="270" spans="1:17">
      <c r="A270" s="259" t="s">
        <v>1043</v>
      </c>
      <c r="B270" s="259" t="s">
        <v>956</v>
      </c>
      <c r="C270" s="260">
        <v>9</v>
      </c>
      <c r="D270" s="260">
        <v>173</v>
      </c>
      <c r="E270" s="259"/>
      <c r="F270" s="260">
        <v>74448015260822</v>
      </c>
      <c r="G270" s="260">
        <v>99</v>
      </c>
      <c r="H270" s="260">
        <v>0</v>
      </c>
      <c r="I270" s="259"/>
      <c r="J270" s="260">
        <v>1</v>
      </c>
      <c r="K270" s="259" t="s">
        <v>658</v>
      </c>
      <c r="L270" s="304">
        <v>45454.55</v>
      </c>
      <c r="M270" s="260">
        <v>0</v>
      </c>
      <c r="N270" s="260">
        <v>0</v>
      </c>
      <c r="O270" s="260">
        <v>0</v>
      </c>
      <c r="P270" s="304">
        <v>9545.4500000000007</v>
      </c>
      <c r="Q270" s="303">
        <v>55000</v>
      </c>
    </row>
    <row r="271" spans="1:17">
      <c r="A271" s="259" t="s">
        <v>1043</v>
      </c>
      <c r="B271" s="259" t="s">
        <v>956</v>
      </c>
      <c r="C271" s="260">
        <v>9</v>
      </c>
      <c r="D271" s="260">
        <v>174</v>
      </c>
      <c r="E271" s="259"/>
      <c r="F271" s="260">
        <v>74448016179679</v>
      </c>
      <c r="G271" s="260">
        <v>99</v>
      </c>
      <c r="H271" s="260">
        <v>0</v>
      </c>
      <c r="I271" s="259"/>
      <c r="J271" s="260">
        <v>1</v>
      </c>
      <c r="K271" s="259" t="s">
        <v>658</v>
      </c>
      <c r="L271" s="302">
        <v>10743.8</v>
      </c>
      <c r="M271" s="260">
        <v>0</v>
      </c>
      <c r="N271" s="260">
        <v>0</v>
      </c>
      <c r="O271" s="260">
        <v>0</v>
      </c>
      <c r="P271" s="302">
        <v>2256.1999999999998</v>
      </c>
      <c r="Q271" s="303">
        <v>13000</v>
      </c>
    </row>
    <row r="272" spans="1:17">
      <c r="A272" s="259" t="s">
        <v>1043</v>
      </c>
      <c r="B272" s="259" t="s">
        <v>956</v>
      </c>
      <c r="C272" s="260">
        <v>9</v>
      </c>
      <c r="D272" s="260">
        <v>175</v>
      </c>
      <c r="E272" s="259"/>
      <c r="F272" s="260">
        <v>74448017958556</v>
      </c>
      <c r="G272" s="260">
        <v>99</v>
      </c>
      <c r="H272" s="260">
        <v>0</v>
      </c>
      <c r="I272" s="259"/>
      <c r="J272" s="260">
        <v>1</v>
      </c>
      <c r="K272" s="259" t="s">
        <v>658</v>
      </c>
      <c r="L272" s="302">
        <v>11487.6</v>
      </c>
      <c r="M272" s="260">
        <v>0</v>
      </c>
      <c r="N272" s="260">
        <v>0</v>
      </c>
      <c r="O272" s="260">
        <v>0</v>
      </c>
      <c r="P272" s="302">
        <v>2412.4</v>
      </c>
      <c r="Q272" s="303">
        <v>13900</v>
      </c>
    </row>
    <row r="273" spans="1:17">
      <c r="A273" s="259" t="s">
        <v>1043</v>
      </c>
      <c r="B273" s="259" t="s">
        <v>956</v>
      </c>
      <c r="C273" s="260">
        <v>9</v>
      </c>
      <c r="D273" s="260">
        <v>176</v>
      </c>
      <c r="E273" s="259"/>
      <c r="F273" s="260">
        <v>74448022039391</v>
      </c>
      <c r="G273" s="260">
        <v>99</v>
      </c>
      <c r="H273" s="260">
        <v>0</v>
      </c>
      <c r="I273" s="259"/>
      <c r="J273" s="260">
        <v>1</v>
      </c>
      <c r="K273" s="259" t="s">
        <v>658</v>
      </c>
      <c r="L273" s="304">
        <v>14876.03</v>
      </c>
      <c r="M273" s="260">
        <v>0</v>
      </c>
      <c r="N273" s="260">
        <v>0</v>
      </c>
      <c r="O273" s="260">
        <v>0</v>
      </c>
      <c r="P273" s="304">
        <v>3123.97</v>
      </c>
      <c r="Q273" s="303">
        <v>18000</v>
      </c>
    </row>
    <row r="274" spans="1:17">
      <c r="A274" s="259" t="s">
        <v>1043</v>
      </c>
      <c r="B274" s="259" t="s">
        <v>956</v>
      </c>
      <c r="C274" s="260">
        <v>9</v>
      </c>
      <c r="D274" s="260">
        <v>177</v>
      </c>
      <c r="E274" s="259"/>
      <c r="F274" s="260">
        <v>74448024876165</v>
      </c>
      <c r="G274" s="260">
        <v>99</v>
      </c>
      <c r="H274" s="260">
        <v>0</v>
      </c>
      <c r="I274" s="259"/>
      <c r="J274" s="260">
        <v>1</v>
      </c>
      <c r="K274" s="259" t="s">
        <v>658</v>
      </c>
      <c r="L274" s="304">
        <v>14669.42</v>
      </c>
      <c r="M274" s="260">
        <v>0</v>
      </c>
      <c r="N274" s="260">
        <v>0</v>
      </c>
      <c r="O274" s="260">
        <v>0</v>
      </c>
      <c r="P274" s="304">
        <v>3080.58</v>
      </c>
      <c r="Q274" s="303">
        <v>17750</v>
      </c>
    </row>
    <row r="275" spans="1:17">
      <c r="A275" s="259" t="s">
        <v>1043</v>
      </c>
      <c r="B275" s="259" t="s">
        <v>956</v>
      </c>
      <c r="C275" s="260">
        <v>9</v>
      </c>
      <c r="D275" s="260">
        <v>178</v>
      </c>
      <c r="E275" s="259"/>
      <c r="F275" s="260">
        <v>74448027106040</v>
      </c>
      <c r="G275" s="260">
        <v>99</v>
      </c>
      <c r="H275" s="260">
        <v>0</v>
      </c>
      <c r="I275" s="259"/>
      <c r="J275" s="260">
        <v>1</v>
      </c>
      <c r="K275" s="259" t="s">
        <v>658</v>
      </c>
      <c r="L275" s="304">
        <v>15702.48</v>
      </c>
      <c r="M275" s="260">
        <v>0</v>
      </c>
      <c r="N275" s="260">
        <v>0</v>
      </c>
      <c r="O275" s="260">
        <v>0</v>
      </c>
      <c r="P275" s="304">
        <v>3297.52</v>
      </c>
      <c r="Q275" s="303">
        <v>19000</v>
      </c>
    </row>
    <row r="276" spans="1:17">
      <c r="A276" s="259" t="s">
        <v>1043</v>
      </c>
      <c r="B276" s="259" t="s">
        <v>956</v>
      </c>
      <c r="C276" s="260">
        <v>9</v>
      </c>
      <c r="D276" s="260">
        <v>179</v>
      </c>
      <c r="E276" s="259"/>
      <c r="F276" s="260">
        <v>74448028296972</v>
      </c>
      <c r="G276" s="260">
        <v>99</v>
      </c>
      <c r="H276" s="260">
        <v>0</v>
      </c>
      <c r="I276" s="259"/>
      <c r="J276" s="260">
        <v>1</v>
      </c>
      <c r="K276" s="259" t="s">
        <v>658</v>
      </c>
      <c r="L276" s="304">
        <v>24793.39</v>
      </c>
      <c r="M276" s="260">
        <v>0</v>
      </c>
      <c r="N276" s="260">
        <v>0</v>
      </c>
      <c r="O276" s="260">
        <v>0</v>
      </c>
      <c r="P276" s="304">
        <v>5206.6099999999997</v>
      </c>
      <c r="Q276" s="303">
        <v>30000</v>
      </c>
    </row>
    <row r="277" spans="1:17">
      <c r="A277" s="259" t="s">
        <v>1043</v>
      </c>
      <c r="B277" s="259" t="s">
        <v>956</v>
      </c>
      <c r="C277" s="260">
        <v>9</v>
      </c>
      <c r="D277" s="260">
        <v>180</v>
      </c>
      <c r="E277" s="259"/>
      <c r="F277" s="260">
        <v>74448035223687</v>
      </c>
      <c r="G277" s="260">
        <v>99</v>
      </c>
      <c r="H277" s="260">
        <v>0</v>
      </c>
      <c r="I277" s="259"/>
      <c r="J277" s="260">
        <v>1</v>
      </c>
      <c r="K277" s="259" t="s">
        <v>658</v>
      </c>
      <c r="L277" s="304">
        <v>3305.79</v>
      </c>
      <c r="M277" s="260">
        <v>0</v>
      </c>
      <c r="N277" s="260">
        <v>0</v>
      </c>
      <c r="O277" s="260">
        <v>0</v>
      </c>
      <c r="P277" s="304">
        <v>694.21</v>
      </c>
      <c r="Q277" s="303">
        <v>4000</v>
      </c>
    </row>
    <row r="278" spans="1:17">
      <c r="A278" s="259" t="s">
        <v>1043</v>
      </c>
      <c r="B278" s="259" t="s">
        <v>956</v>
      </c>
      <c r="C278" s="260">
        <v>9</v>
      </c>
      <c r="D278" s="260">
        <v>181</v>
      </c>
      <c r="E278" s="259"/>
      <c r="F278" s="260">
        <v>74448038344469</v>
      </c>
      <c r="G278" s="260">
        <v>99</v>
      </c>
      <c r="H278" s="260">
        <v>0</v>
      </c>
      <c r="I278" s="259"/>
      <c r="J278" s="260">
        <v>1</v>
      </c>
      <c r="K278" s="259" t="s">
        <v>658</v>
      </c>
      <c r="L278" s="304">
        <v>13966.94</v>
      </c>
      <c r="M278" s="260">
        <v>0</v>
      </c>
      <c r="N278" s="260">
        <v>0</v>
      </c>
      <c r="O278" s="260">
        <v>0</v>
      </c>
      <c r="P278" s="304">
        <v>2933.06</v>
      </c>
      <c r="Q278" s="303">
        <v>16900</v>
      </c>
    </row>
    <row r="279" spans="1:17">
      <c r="A279" s="259" t="s">
        <v>1043</v>
      </c>
      <c r="B279" s="259" t="s">
        <v>956</v>
      </c>
      <c r="C279" s="260">
        <v>9</v>
      </c>
      <c r="D279" s="260">
        <v>182</v>
      </c>
      <c r="E279" s="259"/>
      <c r="F279" s="260">
        <v>74448038948290</v>
      </c>
      <c r="G279" s="260">
        <v>99</v>
      </c>
      <c r="H279" s="260">
        <v>0</v>
      </c>
      <c r="I279" s="259"/>
      <c r="J279" s="260">
        <v>1</v>
      </c>
      <c r="K279" s="259" t="s">
        <v>658</v>
      </c>
      <c r="L279" s="304">
        <v>4132.2299999999996</v>
      </c>
      <c r="M279" s="260">
        <v>0</v>
      </c>
      <c r="N279" s="260">
        <v>0</v>
      </c>
      <c r="O279" s="260">
        <v>0</v>
      </c>
      <c r="P279" s="304">
        <v>867.77</v>
      </c>
      <c r="Q279" s="303">
        <v>5000</v>
      </c>
    </row>
    <row r="280" spans="1:17">
      <c r="A280" s="259" t="s">
        <v>1043</v>
      </c>
      <c r="B280" s="259" t="s">
        <v>956</v>
      </c>
      <c r="C280" s="260">
        <v>9</v>
      </c>
      <c r="D280" s="260">
        <v>183</v>
      </c>
      <c r="E280" s="259"/>
      <c r="F280" s="260">
        <v>74448039187717</v>
      </c>
      <c r="G280" s="260">
        <v>99</v>
      </c>
      <c r="H280" s="260">
        <v>0</v>
      </c>
      <c r="I280" s="259"/>
      <c r="J280" s="260">
        <v>1</v>
      </c>
      <c r="K280" s="259" t="s">
        <v>658</v>
      </c>
      <c r="L280" s="304">
        <v>17355.37</v>
      </c>
      <c r="M280" s="260">
        <v>0</v>
      </c>
      <c r="N280" s="260">
        <v>0</v>
      </c>
      <c r="O280" s="260">
        <v>0</v>
      </c>
      <c r="P280" s="304">
        <v>3644.63</v>
      </c>
      <c r="Q280" s="303">
        <v>21000</v>
      </c>
    </row>
    <row r="281" spans="1:17">
      <c r="A281" s="259" t="s">
        <v>1043</v>
      </c>
      <c r="B281" s="259" t="s">
        <v>956</v>
      </c>
      <c r="C281" s="260">
        <v>9</v>
      </c>
      <c r="D281" s="260">
        <v>184</v>
      </c>
      <c r="E281" s="259"/>
      <c r="F281" s="260">
        <v>74448041508544</v>
      </c>
      <c r="G281" s="260">
        <v>99</v>
      </c>
      <c r="H281" s="260">
        <v>0</v>
      </c>
      <c r="I281" s="259"/>
      <c r="J281" s="260">
        <v>1</v>
      </c>
      <c r="K281" s="259" t="s">
        <v>658</v>
      </c>
      <c r="L281" s="302">
        <v>44628.1</v>
      </c>
      <c r="M281" s="260">
        <v>0</v>
      </c>
      <c r="N281" s="260">
        <v>0</v>
      </c>
      <c r="O281" s="260">
        <v>0</v>
      </c>
      <c r="P281" s="302">
        <v>9371.9</v>
      </c>
      <c r="Q281" s="303">
        <v>54000</v>
      </c>
    </row>
    <row r="282" spans="1:17">
      <c r="A282" s="259" t="s">
        <v>1018</v>
      </c>
      <c r="B282" s="259" t="s">
        <v>656</v>
      </c>
      <c r="C282" s="260">
        <v>7</v>
      </c>
      <c r="D282" s="260">
        <v>2204</v>
      </c>
      <c r="E282" s="259"/>
      <c r="F282" s="260">
        <v>74428807112671</v>
      </c>
      <c r="G282" s="259" t="s">
        <v>7</v>
      </c>
      <c r="H282" s="260">
        <v>30604958640</v>
      </c>
      <c r="I282" s="259" t="s">
        <v>1019</v>
      </c>
      <c r="J282" s="260">
        <v>1</v>
      </c>
      <c r="K282" s="259" t="s">
        <v>658</v>
      </c>
      <c r="L282" s="303">
        <v>376686</v>
      </c>
      <c r="M282" s="260">
        <v>0</v>
      </c>
      <c r="N282" s="260">
        <v>0</v>
      </c>
      <c r="O282" s="260">
        <v>0</v>
      </c>
      <c r="P282" s="304">
        <v>79104.06</v>
      </c>
      <c r="Q282" s="304">
        <v>455790.06</v>
      </c>
    </row>
    <row r="283" spans="1:17">
      <c r="A283" s="259" t="s">
        <v>1018</v>
      </c>
      <c r="B283" s="259" t="s">
        <v>656</v>
      </c>
      <c r="C283" s="260">
        <v>7</v>
      </c>
      <c r="D283" s="260">
        <v>2205</v>
      </c>
      <c r="E283" s="259"/>
      <c r="F283" s="260">
        <v>74428815077167</v>
      </c>
      <c r="G283" s="259" t="s">
        <v>7</v>
      </c>
      <c r="H283" s="260">
        <v>30590412631</v>
      </c>
      <c r="I283" s="259" t="s">
        <v>967</v>
      </c>
      <c r="J283" s="260">
        <v>1</v>
      </c>
      <c r="K283" s="259" t="s">
        <v>658</v>
      </c>
      <c r="L283" s="304">
        <v>26446.28</v>
      </c>
      <c r="M283" s="260">
        <v>0</v>
      </c>
      <c r="N283" s="260">
        <v>0</v>
      </c>
      <c r="O283" s="260">
        <v>0</v>
      </c>
      <c r="P283" s="304">
        <v>5553.72</v>
      </c>
      <c r="Q283" s="303">
        <v>32000</v>
      </c>
    </row>
    <row r="284" spans="1:17">
      <c r="A284" s="259" t="s">
        <v>1018</v>
      </c>
      <c r="B284" s="259" t="s">
        <v>656</v>
      </c>
      <c r="C284" s="260">
        <v>7</v>
      </c>
      <c r="D284" s="260">
        <v>2206</v>
      </c>
      <c r="E284" s="259"/>
      <c r="F284" s="260">
        <v>74428826520284</v>
      </c>
      <c r="G284" s="259" t="s">
        <v>7</v>
      </c>
      <c r="H284" s="260">
        <v>30522428163</v>
      </c>
      <c r="I284" s="259" t="s">
        <v>955</v>
      </c>
      <c r="J284" s="260">
        <v>1</v>
      </c>
      <c r="K284" s="259" t="s">
        <v>658</v>
      </c>
      <c r="L284" s="304">
        <v>888760.31999999995</v>
      </c>
      <c r="M284" s="260">
        <v>0</v>
      </c>
      <c r="N284" s="260">
        <v>0</v>
      </c>
      <c r="O284" s="260">
        <v>0</v>
      </c>
      <c r="P284" s="304">
        <v>186639.68</v>
      </c>
      <c r="Q284" s="303">
        <v>1075400</v>
      </c>
    </row>
    <row r="285" spans="1:17">
      <c r="A285" s="259" t="s">
        <v>1018</v>
      </c>
      <c r="B285" s="259" t="s">
        <v>656</v>
      </c>
      <c r="C285" s="260">
        <v>7</v>
      </c>
      <c r="D285" s="260">
        <v>2207</v>
      </c>
      <c r="E285" s="259"/>
      <c r="F285" s="260">
        <v>74428834641765</v>
      </c>
      <c r="G285" s="259" t="s">
        <v>7</v>
      </c>
      <c r="H285" s="260">
        <v>30604958640</v>
      </c>
      <c r="I285" s="259" t="s">
        <v>1019</v>
      </c>
      <c r="J285" s="260">
        <v>1</v>
      </c>
      <c r="K285" s="259" t="s">
        <v>658</v>
      </c>
      <c r="L285" s="304">
        <v>1239.67</v>
      </c>
      <c r="M285" s="260">
        <v>0</v>
      </c>
      <c r="N285" s="260">
        <v>0</v>
      </c>
      <c r="O285" s="260">
        <v>0</v>
      </c>
      <c r="P285" s="304">
        <v>260.33</v>
      </c>
      <c r="Q285" s="303">
        <v>1500</v>
      </c>
    </row>
    <row r="286" spans="1:17">
      <c r="A286" s="259" t="s">
        <v>1018</v>
      </c>
      <c r="B286" s="259" t="s">
        <v>656</v>
      </c>
      <c r="C286" s="260">
        <v>7</v>
      </c>
      <c r="D286" s="260">
        <v>2208</v>
      </c>
      <c r="E286" s="259"/>
      <c r="F286" s="260">
        <v>74428836056679</v>
      </c>
      <c r="G286" s="259" t="s">
        <v>7</v>
      </c>
      <c r="H286" s="260">
        <v>30604958640</v>
      </c>
      <c r="I286" s="259" t="s">
        <v>1019</v>
      </c>
      <c r="J286" s="260">
        <v>1</v>
      </c>
      <c r="K286" s="259" t="s">
        <v>658</v>
      </c>
      <c r="L286" s="303">
        <v>376686</v>
      </c>
      <c r="M286" s="260">
        <v>0</v>
      </c>
      <c r="N286" s="260">
        <v>0</v>
      </c>
      <c r="O286" s="260">
        <v>0</v>
      </c>
      <c r="P286" s="304">
        <v>79104.06</v>
      </c>
      <c r="Q286" s="304">
        <v>455790.06</v>
      </c>
    </row>
    <row r="287" spans="1:17">
      <c r="A287" s="259" t="s">
        <v>1018</v>
      </c>
      <c r="B287" s="259" t="s">
        <v>656</v>
      </c>
      <c r="C287" s="260">
        <v>7</v>
      </c>
      <c r="D287" s="260">
        <v>2209</v>
      </c>
      <c r="E287" s="259"/>
      <c r="F287" s="260">
        <v>74428836400655</v>
      </c>
      <c r="G287" s="259" t="s">
        <v>7</v>
      </c>
      <c r="H287" s="260">
        <v>30604958640</v>
      </c>
      <c r="I287" s="259" t="s">
        <v>1019</v>
      </c>
      <c r="J287" s="260">
        <v>1</v>
      </c>
      <c r="K287" s="259" t="s">
        <v>658</v>
      </c>
      <c r="L287" s="303">
        <v>18000</v>
      </c>
      <c r="M287" s="260">
        <v>0</v>
      </c>
      <c r="N287" s="260">
        <v>0</v>
      </c>
      <c r="O287" s="260">
        <v>0</v>
      </c>
      <c r="P287" s="303">
        <v>3780</v>
      </c>
      <c r="Q287" s="303">
        <v>21780</v>
      </c>
    </row>
    <row r="288" spans="1:17">
      <c r="A288" s="259" t="s">
        <v>1018</v>
      </c>
      <c r="B288" s="301" t="s">
        <v>678</v>
      </c>
      <c r="C288" s="260">
        <v>7</v>
      </c>
      <c r="D288" s="260">
        <v>166</v>
      </c>
      <c r="E288" s="259"/>
      <c r="F288" s="260">
        <v>74428834830595</v>
      </c>
      <c r="G288" s="259" t="s">
        <v>7</v>
      </c>
      <c r="H288" s="260">
        <v>30604958640</v>
      </c>
      <c r="I288" s="259" t="s">
        <v>1019</v>
      </c>
      <c r="J288" s="260">
        <v>1</v>
      </c>
      <c r="K288" s="259" t="s">
        <v>658</v>
      </c>
      <c r="L288" s="304">
        <v>-1239.67</v>
      </c>
      <c r="M288" s="260">
        <v>0</v>
      </c>
      <c r="N288" s="260">
        <v>0</v>
      </c>
      <c r="O288" s="260">
        <v>0</v>
      </c>
      <c r="P288" s="303">
        <f>+L288*0.21</f>
        <v>-260.33069999999998</v>
      </c>
      <c r="Q288" s="303">
        <f>+SUM(L288+P288)</f>
        <v>-1500.0007000000001</v>
      </c>
    </row>
    <row r="289" spans="1:17">
      <c r="A289" s="259" t="s">
        <v>1018</v>
      </c>
      <c r="B289" s="301" t="s">
        <v>678</v>
      </c>
      <c r="C289" s="260">
        <v>7</v>
      </c>
      <c r="D289" s="260">
        <v>167</v>
      </c>
      <c r="E289" s="259"/>
      <c r="F289" s="260">
        <v>74428835248126</v>
      </c>
      <c r="G289" s="259" t="s">
        <v>7</v>
      </c>
      <c r="H289" s="260">
        <v>30604958640</v>
      </c>
      <c r="I289" s="259" t="s">
        <v>1019</v>
      </c>
      <c r="J289" s="260">
        <v>1</v>
      </c>
      <c r="K289" s="259" t="s">
        <v>658</v>
      </c>
      <c r="L289" s="303">
        <v>-376686</v>
      </c>
      <c r="M289" s="260">
        <v>0</v>
      </c>
      <c r="N289" s="260">
        <v>0</v>
      </c>
      <c r="O289" s="260">
        <v>0</v>
      </c>
      <c r="P289" s="303">
        <f>+L289*0.21</f>
        <v>-79104.06</v>
      </c>
      <c r="Q289" s="303">
        <f>+SUM(L289+P289)</f>
        <v>-455790.06</v>
      </c>
    </row>
    <row r="290" spans="1:17">
      <c r="A290" s="259" t="s">
        <v>1043</v>
      </c>
      <c r="B290" s="259" t="s">
        <v>956</v>
      </c>
      <c r="C290" s="260">
        <v>9</v>
      </c>
      <c r="D290" s="260">
        <v>185</v>
      </c>
      <c r="E290" s="259"/>
      <c r="F290" s="260">
        <v>74448055272275</v>
      </c>
      <c r="G290" s="260">
        <v>99</v>
      </c>
      <c r="H290" s="260">
        <v>0</v>
      </c>
      <c r="I290" s="259"/>
      <c r="J290" s="260">
        <v>1</v>
      </c>
      <c r="K290" s="259" t="s">
        <v>658</v>
      </c>
      <c r="L290" s="304">
        <v>25413.22</v>
      </c>
      <c r="M290" s="260">
        <v>0</v>
      </c>
      <c r="N290" s="260">
        <v>0</v>
      </c>
      <c r="O290" s="260">
        <v>0</v>
      </c>
      <c r="P290" s="304">
        <v>5336.78</v>
      </c>
      <c r="Q290" s="303">
        <v>30750</v>
      </c>
    </row>
    <row r="291" spans="1:17">
      <c r="A291" s="259" t="s">
        <v>1043</v>
      </c>
      <c r="B291" s="259" t="s">
        <v>956</v>
      </c>
      <c r="C291" s="260">
        <v>9</v>
      </c>
      <c r="D291" s="260">
        <v>186</v>
      </c>
      <c r="E291" s="259"/>
      <c r="F291" s="260">
        <v>74448061766162</v>
      </c>
      <c r="G291" s="260">
        <v>99</v>
      </c>
      <c r="H291" s="260">
        <v>0</v>
      </c>
      <c r="I291" s="259"/>
      <c r="J291" s="260">
        <v>1</v>
      </c>
      <c r="K291" s="259" t="s">
        <v>658</v>
      </c>
      <c r="L291" s="304">
        <v>14669.42</v>
      </c>
      <c r="M291" s="260">
        <v>0</v>
      </c>
      <c r="N291" s="260">
        <v>0</v>
      </c>
      <c r="O291" s="260">
        <v>0</v>
      </c>
      <c r="P291" s="304">
        <v>3080.58</v>
      </c>
      <c r="Q291" s="303">
        <v>17750</v>
      </c>
    </row>
    <row r="292" spans="1:17">
      <c r="A292" s="259" t="s">
        <v>1043</v>
      </c>
      <c r="B292" s="259" t="s">
        <v>956</v>
      </c>
      <c r="C292" s="260">
        <v>9</v>
      </c>
      <c r="D292" s="260">
        <v>187</v>
      </c>
      <c r="E292" s="259"/>
      <c r="F292" s="260">
        <v>74448062731672</v>
      </c>
      <c r="G292" s="260">
        <v>99</v>
      </c>
      <c r="H292" s="260">
        <v>0</v>
      </c>
      <c r="I292" s="259"/>
      <c r="J292" s="260">
        <v>1</v>
      </c>
      <c r="K292" s="259" t="s">
        <v>658</v>
      </c>
      <c r="L292" s="304">
        <v>14669.42</v>
      </c>
      <c r="M292" s="260">
        <v>0</v>
      </c>
      <c r="N292" s="260">
        <v>0</v>
      </c>
      <c r="O292" s="260">
        <v>0</v>
      </c>
      <c r="P292" s="304">
        <v>3080.58</v>
      </c>
      <c r="Q292" s="303">
        <v>17750</v>
      </c>
    </row>
    <row r="293" spans="1:17">
      <c r="A293" s="259" t="s">
        <v>1043</v>
      </c>
      <c r="B293" s="259" t="s">
        <v>956</v>
      </c>
      <c r="C293" s="260">
        <v>9</v>
      </c>
      <c r="D293" s="260">
        <v>188</v>
      </c>
      <c r="E293" s="259"/>
      <c r="F293" s="260">
        <v>74448065109525</v>
      </c>
      <c r="G293" s="260">
        <v>99</v>
      </c>
      <c r="H293" s="260">
        <v>0</v>
      </c>
      <c r="I293" s="259"/>
      <c r="J293" s="260">
        <v>1</v>
      </c>
      <c r="K293" s="259" t="s">
        <v>658</v>
      </c>
      <c r="L293" s="302">
        <v>21487.599999999999</v>
      </c>
      <c r="M293" s="260">
        <v>0</v>
      </c>
      <c r="N293" s="260">
        <v>0</v>
      </c>
      <c r="O293" s="260">
        <v>0</v>
      </c>
      <c r="P293" s="302">
        <v>4512.3999999999996</v>
      </c>
      <c r="Q293" s="303">
        <v>26000</v>
      </c>
    </row>
    <row r="294" spans="1:17">
      <c r="A294" s="259" t="s">
        <v>1043</v>
      </c>
      <c r="B294" s="259" t="s">
        <v>956</v>
      </c>
      <c r="C294" s="260">
        <v>9</v>
      </c>
      <c r="D294" s="260">
        <v>189</v>
      </c>
      <c r="E294" s="259"/>
      <c r="F294" s="260">
        <v>74448067627848</v>
      </c>
      <c r="G294" s="260">
        <v>99</v>
      </c>
      <c r="H294" s="260">
        <v>0</v>
      </c>
      <c r="I294" s="259"/>
      <c r="J294" s="260">
        <v>1</v>
      </c>
      <c r="K294" s="259" t="s">
        <v>658</v>
      </c>
      <c r="L294" s="304">
        <v>104132.23</v>
      </c>
      <c r="M294" s="260">
        <v>0</v>
      </c>
      <c r="N294" s="260">
        <v>0</v>
      </c>
      <c r="O294" s="260">
        <v>0</v>
      </c>
      <c r="P294" s="304">
        <v>21867.77</v>
      </c>
      <c r="Q294" s="303">
        <v>126000</v>
      </c>
    </row>
    <row r="295" spans="1:17">
      <c r="A295" s="259" t="s">
        <v>1051</v>
      </c>
      <c r="B295" s="259" t="s">
        <v>956</v>
      </c>
      <c r="C295" s="260">
        <v>9</v>
      </c>
      <c r="D295" s="260">
        <v>190</v>
      </c>
      <c r="E295" s="259"/>
      <c r="F295" s="260">
        <v>74448131108430</v>
      </c>
      <c r="G295" s="260">
        <v>99</v>
      </c>
      <c r="H295" s="260">
        <v>0</v>
      </c>
      <c r="I295" s="259"/>
      <c r="J295" s="260">
        <v>1</v>
      </c>
      <c r="K295" s="259" t="s">
        <v>658</v>
      </c>
      <c r="L295" s="302">
        <v>10743.8</v>
      </c>
      <c r="M295" s="260">
        <v>0</v>
      </c>
      <c r="N295" s="260">
        <v>0</v>
      </c>
      <c r="O295" s="260">
        <v>0</v>
      </c>
      <c r="P295" s="302">
        <v>2256.1999999999998</v>
      </c>
      <c r="Q295" s="303">
        <v>13000</v>
      </c>
    </row>
    <row r="296" spans="1:17">
      <c r="A296" s="259" t="s">
        <v>1051</v>
      </c>
      <c r="B296" s="259" t="s">
        <v>956</v>
      </c>
      <c r="C296" s="260">
        <v>9</v>
      </c>
      <c r="D296" s="260">
        <v>191</v>
      </c>
      <c r="E296" s="259"/>
      <c r="F296" s="260">
        <v>74448134000611</v>
      </c>
      <c r="G296" s="260">
        <v>99</v>
      </c>
      <c r="H296" s="260">
        <v>0</v>
      </c>
      <c r="I296" s="259"/>
      <c r="J296" s="260">
        <v>1</v>
      </c>
      <c r="K296" s="259" t="s">
        <v>658</v>
      </c>
      <c r="L296" s="304">
        <v>12396.69</v>
      </c>
      <c r="M296" s="260">
        <v>0</v>
      </c>
      <c r="N296" s="260">
        <v>0</v>
      </c>
      <c r="O296" s="260">
        <v>0</v>
      </c>
      <c r="P296" s="304">
        <v>2603.31</v>
      </c>
      <c r="Q296" s="303">
        <v>15000</v>
      </c>
    </row>
    <row r="297" spans="1:17">
      <c r="A297" s="259" t="s">
        <v>1051</v>
      </c>
      <c r="B297" s="259" t="s">
        <v>956</v>
      </c>
      <c r="C297" s="260">
        <v>9</v>
      </c>
      <c r="D297" s="260">
        <v>192</v>
      </c>
      <c r="E297" s="259"/>
      <c r="F297" s="260">
        <v>74448134516018</v>
      </c>
      <c r="G297" s="260">
        <v>99</v>
      </c>
      <c r="H297" s="260">
        <v>0</v>
      </c>
      <c r="I297" s="259"/>
      <c r="J297" s="260">
        <v>1</v>
      </c>
      <c r="K297" s="259" t="s">
        <v>658</v>
      </c>
      <c r="L297" s="302">
        <v>10743.8</v>
      </c>
      <c r="M297" s="260">
        <v>0</v>
      </c>
      <c r="N297" s="260">
        <v>0</v>
      </c>
      <c r="O297" s="260">
        <v>0</v>
      </c>
      <c r="P297" s="302">
        <v>2256.1999999999998</v>
      </c>
      <c r="Q297" s="303">
        <v>13000</v>
      </c>
    </row>
    <row r="298" spans="1:17">
      <c r="A298" s="259" t="s">
        <v>1051</v>
      </c>
      <c r="B298" s="259" t="s">
        <v>956</v>
      </c>
      <c r="C298" s="260">
        <v>9</v>
      </c>
      <c r="D298" s="260">
        <v>193</v>
      </c>
      <c r="E298" s="259"/>
      <c r="F298" s="260">
        <v>74448140089584</v>
      </c>
      <c r="G298" s="260">
        <v>99</v>
      </c>
      <c r="H298" s="260">
        <v>0</v>
      </c>
      <c r="I298" s="259"/>
      <c r="J298" s="260">
        <v>1</v>
      </c>
      <c r="K298" s="259" t="s">
        <v>658</v>
      </c>
      <c r="L298" s="304">
        <v>11570.25</v>
      </c>
      <c r="M298" s="260">
        <v>0</v>
      </c>
      <c r="N298" s="260">
        <v>0</v>
      </c>
      <c r="O298" s="260">
        <v>0</v>
      </c>
      <c r="P298" s="304">
        <v>2429.75</v>
      </c>
      <c r="Q298" s="303">
        <v>14000</v>
      </c>
    </row>
    <row r="299" spans="1:17">
      <c r="A299" s="259" t="s">
        <v>1051</v>
      </c>
      <c r="B299" s="259" t="s">
        <v>956</v>
      </c>
      <c r="C299" s="260">
        <v>9</v>
      </c>
      <c r="D299" s="260">
        <v>194</v>
      </c>
      <c r="E299" s="259"/>
      <c r="F299" s="260">
        <v>74448145763361</v>
      </c>
      <c r="G299" s="260">
        <v>99</v>
      </c>
      <c r="H299" s="260">
        <v>0</v>
      </c>
      <c r="I299" s="259"/>
      <c r="J299" s="260">
        <v>1</v>
      </c>
      <c r="K299" s="259" t="s">
        <v>658</v>
      </c>
      <c r="L299" s="304">
        <v>15289.26</v>
      </c>
      <c r="M299" s="260">
        <v>0</v>
      </c>
      <c r="N299" s="260">
        <v>0</v>
      </c>
      <c r="O299" s="260">
        <v>0</v>
      </c>
      <c r="P299" s="304">
        <v>3210.74</v>
      </c>
      <c r="Q299" s="303">
        <v>18500</v>
      </c>
    </row>
    <row r="300" spans="1:17">
      <c r="A300" s="259" t="s">
        <v>1051</v>
      </c>
      <c r="B300" s="259" t="s">
        <v>956</v>
      </c>
      <c r="C300" s="260">
        <v>9</v>
      </c>
      <c r="D300" s="260">
        <v>195</v>
      </c>
      <c r="E300" s="259"/>
      <c r="F300" s="260">
        <v>74448147534560</v>
      </c>
      <c r="G300" s="260">
        <v>99</v>
      </c>
      <c r="H300" s="260">
        <v>0</v>
      </c>
      <c r="I300" s="259"/>
      <c r="J300" s="260">
        <v>1</v>
      </c>
      <c r="K300" s="259" t="s">
        <v>658</v>
      </c>
      <c r="L300" s="304">
        <v>9917.36</v>
      </c>
      <c r="M300" s="260">
        <v>0</v>
      </c>
      <c r="N300" s="260">
        <v>0</v>
      </c>
      <c r="O300" s="260">
        <v>0</v>
      </c>
      <c r="P300" s="304">
        <v>2082.64</v>
      </c>
      <c r="Q300" s="303">
        <v>12000</v>
      </c>
    </row>
    <row r="301" spans="1:17">
      <c r="A301" s="259" t="s">
        <v>1051</v>
      </c>
      <c r="B301" s="259" t="s">
        <v>956</v>
      </c>
      <c r="C301" s="260">
        <v>9</v>
      </c>
      <c r="D301" s="260">
        <v>196</v>
      </c>
      <c r="E301" s="259"/>
      <c r="F301" s="260">
        <v>74448148856418</v>
      </c>
      <c r="G301" s="260">
        <v>99</v>
      </c>
      <c r="H301" s="260">
        <v>0</v>
      </c>
      <c r="I301" s="259"/>
      <c r="J301" s="260">
        <v>1</v>
      </c>
      <c r="K301" s="259" t="s">
        <v>658</v>
      </c>
      <c r="L301" s="304">
        <v>26033.06</v>
      </c>
      <c r="M301" s="260">
        <v>0</v>
      </c>
      <c r="N301" s="260">
        <v>0</v>
      </c>
      <c r="O301" s="260">
        <v>0</v>
      </c>
      <c r="P301" s="304">
        <v>5466.94</v>
      </c>
      <c r="Q301" s="303">
        <v>31500</v>
      </c>
    </row>
    <row r="302" spans="1:17">
      <c r="A302" s="259" t="s">
        <v>1051</v>
      </c>
      <c r="B302" s="259" t="s">
        <v>956</v>
      </c>
      <c r="C302" s="260">
        <v>9</v>
      </c>
      <c r="D302" s="260">
        <v>197</v>
      </c>
      <c r="E302" s="259"/>
      <c r="F302" s="260">
        <v>74448151086304</v>
      </c>
      <c r="G302" s="260">
        <v>99</v>
      </c>
      <c r="H302" s="260">
        <v>0</v>
      </c>
      <c r="I302" s="259"/>
      <c r="J302" s="260">
        <v>1</v>
      </c>
      <c r="K302" s="259" t="s">
        <v>658</v>
      </c>
      <c r="L302" s="304">
        <v>9917.36</v>
      </c>
      <c r="M302" s="260">
        <v>0</v>
      </c>
      <c r="N302" s="260">
        <v>0</v>
      </c>
      <c r="O302" s="260">
        <v>0</v>
      </c>
      <c r="P302" s="304">
        <v>2082.64</v>
      </c>
      <c r="Q302" s="303">
        <v>12000</v>
      </c>
    </row>
    <row r="303" spans="1:17">
      <c r="A303" s="259" t="s">
        <v>1051</v>
      </c>
      <c r="B303" s="259" t="s">
        <v>956</v>
      </c>
      <c r="C303" s="260">
        <v>9</v>
      </c>
      <c r="D303" s="260">
        <v>198</v>
      </c>
      <c r="E303" s="259"/>
      <c r="F303" s="260">
        <v>74448159009301</v>
      </c>
      <c r="G303" s="260">
        <v>99</v>
      </c>
      <c r="H303" s="260">
        <v>0</v>
      </c>
      <c r="I303" s="259"/>
      <c r="J303" s="260">
        <v>1</v>
      </c>
      <c r="K303" s="259" t="s">
        <v>658</v>
      </c>
      <c r="L303" s="304">
        <v>5950.41</v>
      </c>
      <c r="M303" s="260">
        <v>0</v>
      </c>
      <c r="N303" s="260">
        <v>0</v>
      </c>
      <c r="O303" s="260">
        <v>0</v>
      </c>
      <c r="P303" s="304">
        <v>1249.5899999999999</v>
      </c>
      <c r="Q303" s="303">
        <v>7200</v>
      </c>
    </row>
    <row r="304" spans="1:17">
      <c r="A304" s="259" t="s">
        <v>1020</v>
      </c>
      <c r="B304" s="259" t="s">
        <v>656</v>
      </c>
      <c r="C304" s="260">
        <v>3</v>
      </c>
      <c r="D304" s="260">
        <v>2132</v>
      </c>
      <c r="E304" s="259"/>
      <c r="F304" s="260">
        <v>74428947746426</v>
      </c>
      <c r="G304" s="259" t="s">
        <v>7</v>
      </c>
      <c r="H304" s="260">
        <v>30715803093</v>
      </c>
      <c r="I304" s="259" t="s">
        <v>1021</v>
      </c>
      <c r="J304" s="260">
        <v>1</v>
      </c>
      <c r="K304" s="259" t="s">
        <v>658</v>
      </c>
      <c r="L304" s="303">
        <v>26281</v>
      </c>
      <c r="M304" s="260">
        <v>0</v>
      </c>
      <c r="N304" s="260">
        <v>0</v>
      </c>
      <c r="O304" s="260">
        <v>0</v>
      </c>
      <c r="P304" s="304">
        <v>5519.01</v>
      </c>
      <c r="Q304" s="303">
        <v>31800</v>
      </c>
    </row>
    <row r="305" spans="1:17">
      <c r="A305" s="259" t="s">
        <v>1051</v>
      </c>
      <c r="B305" s="259" t="s">
        <v>956</v>
      </c>
      <c r="C305" s="260">
        <v>9</v>
      </c>
      <c r="D305" s="260">
        <v>199</v>
      </c>
      <c r="E305" s="259"/>
      <c r="F305" s="260">
        <v>74448159170363</v>
      </c>
      <c r="G305" s="260">
        <v>99</v>
      </c>
      <c r="H305" s="260">
        <v>0</v>
      </c>
      <c r="I305" s="259"/>
      <c r="J305" s="260">
        <v>1</v>
      </c>
      <c r="K305" s="259" t="s">
        <v>658</v>
      </c>
      <c r="L305" s="304">
        <v>8264.4599999999991</v>
      </c>
      <c r="M305" s="260">
        <v>0</v>
      </c>
      <c r="N305" s="260">
        <v>0</v>
      </c>
      <c r="O305" s="260">
        <v>0</v>
      </c>
      <c r="P305" s="304">
        <v>1735.54</v>
      </c>
      <c r="Q305" s="303">
        <v>10000</v>
      </c>
    </row>
    <row r="306" spans="1:17">
      <c r="A306" s="259" t="s">
        <v>1051</v>
      </c>
      <c r="B306" s="259" t="s">
        <v>956</v>
      </c>
      <c r="C306" s="260">
        <v>9</v>
      </c>
      <c r="D306" s="260">
        <v>200</v>
      </c>
      <c r="E306" s="259"/>
      <c r="F306" s="260">
        <v>74448176960347</v>
      </c>
      <c r="G306" s="260">
        <v>99</v>
      </c>
      <c r="H306" s="260">
        <v>0</v>
      </c>
      <c r="I306" s="259"/>
      <c r="J306" s="260">
        <v>1</v>
      </c>
      <c r="K306" s="259" t="s">
        <v>658</v>
      </c>
      <c r="L306" s="304">
        <v>30165.29</v>
      </c>
      <c r="M306" s="260">
        <v>0</v>
      </c>
      <c r="N306" s="260">
        <v>0</v>
      </c>
      <c r="O306" s="260">
        <v>0</v>
      </c>
      <c r="P306" s="304">
        <v>6334.71</v>
      </c>
      <c r="Q306" s="303">
        <v>36500</v>
      </c>
    </row>
    <row r="307" spans="1:17">
      <c r="A307" s="259" t="s">
        <v>1051</v>
      </c>
      <c r="B307" s="259" t="s">
        <v>956</v>
      </c>
      <c r="C307" s="260">
        <v>9</v>
      </c>
      <c r="D307" s="260">
        <v>201</v>
      </c>
      <c r="E307" s="259"/>
      <c r="F307" s="260">
        <v>74448184817086</v>
      </c>
      <c r="G307" s="260">
        <v>99</v>
      </c>
      <c r="H307" s="260">
        <v>0</v>
      </c>
      <c r="I307" s="259"/>
      <c r="J307" s="260">
        <v>1</v>
      </c>
      <c r="K307" s="259" t="s">
        <v>658</v>
      </c>
      <c r="L307" s="304">
        <v>20661.16</v>
      </c>
      <c r="M307" s="260">
        <v>0</v>
      </c>
      <c r="N307" s="260">
        <v>0</v>
      </c>
      <c r="O307" s="260">
        <v>0</v>
      </c>
      <c r="P307" s="304">
        <v>4338.84</v>
      </c>
      <c r="Q307" s="303">
        <v>25000</v>
      </c>
    </row>
    <row r="308" spans="1:17">
      <c r="A308" s="259" t="s">
        <v>1051</v>
      </c>
      <c r="B308" s="259" t="s">
        <v>956</v>
      </c>
      <c r="C308" s="260">
        <v>9</v>
      </c>
      <c r="D308" s="260">
        <v>202</v>
      </c>
      <c r="E308" s="259"/>
      <c r="F308" s="260">
        <v>74448190673901</v>
      </c>
      <c r="G308" s="260">
        <v>99</v>
      </c>
      <c r="H308" s="260">
        <v>0</v>
      </c>
      <c r="I308" s="259"/>
      <c r="J308" s="260">
        <v>1</v>
      </c>
      <c r="K308" s="259" t="s">
        <v>658</v>
      </c>
      <c r="L308" s="302">
        <v>10743.8</v>
      </c>
      <c r="M308" s="260">
        <v>0</v>
      </c>
      <c r="N308" s="260">
        <v>0</v>
      </c>
      <c r="O308" s="260">
        <v>0</v>
      </c>
      <c r="P308" s="302">
        <v>2256.1999999999998</v>
      </c>
      <c r="Q308" s="303">
        <v>13000</v>
      </c>
    </row>
    <row r="309" spans="1:17">
      <c r="A309" s="259" t="s">
        <v>1060</v>
      </c>
      <c r="B309" s="259" t="s">
        <v>956</v>
      </c>
      <c r="C309" s="260">
        <v>9</v>
      </c>
      <c r="D309" s="260">
        <v>203</v>
      </c>
      <c r="E309" s="259"/>
      <c r="F309" s="260">
        <v>74448254597533</v>
      </c>
      <c r="G309" s="260">
        <v>99</v>
      </c>
      <c r="H309" s="260">
        <v>0</v>
      </c>
      <c r="I309" s="259"/>
      <c r="J309" s="260">
        <v>1</v>
      </c>
      <c r="K309" s="259" t="s">
        <v>658</v>
      </c>
      <c r="L309" s="302">
        <v>21487.599999999999</v>
      </c>
      <c r="M309" s="260">
        <v>0</v>
      </c>
      <c r="N309" s="260">
        <v>0</v>
      </c>
      <c r="O309" s="260">
        <v>0</v>
      </c>
      <c r="P309" s="302">
        <v>4512.3999999999996</v>
      </c>
      <c r="Q309" s="303">
        <v>26000</v>
      </c>
    </row>
    <row r="310" spans="1:17">
      <c r="A310" s="259" t="s">
        <v>1060</v>
      </c>
      <c r="B310" s="259" t="s">
        <v>956</v>
      </c>
      <c r="C310" s="260">
        <v>9</v>
      </c>
      <c r="D310" s="260">
        <v>204</v>
      </c>
      <c r="E310" s="259"/>
      <c r="F310" s="260">
        <v>74448257660024</v>
      </c>
      <c r="G310" s="260">
        <v>99</v>
      </c>
      <c r="H310" s="260">
        <v>0</v>
      </c>
      <c r="I310" s="259"/>
      <c r="J310" s="260">
        <v>1</v>
      </c>
      <c r="K310" s="259" t="s">
        <v>658</v>
      </c>
      <c r="L310" s="304">
        <v>25867.77</v>
      </c>
      <c r="M310" s="260">
        <v>0</v>
      </c>
      <c r="N310" s="260">
        <v>0</v>
      </c>
      <c r="O310" s="260">
        <v>0</v>
      </c>
      <c r="P310" s="304">
        <v>5432.23</v>
      </c>
      <c r="Q310" s="303">
        <v>31300</v>
      </c>
    </row>
    <row r="311" spans="1:17">
      <c r="A311" s="259" t="s">
        <v>1060</v>
      </c>
      <c r="B311" s="259" t="s">
        <v>956</v>
      </c>
      <c r="C311" s="260">
        <v>9</v>
      </c>
      <c r="D311" s="260">
        <v>205</v>
      </c>
      <c r="E311" s="259"/>
      <c r="F311" s="260">
        <v>74448268099953</v>
      </c>
      <c r="G311" s="260">
        <v>99</v>
      </c>
      <c r="H311" s="260">
        <v>0</v>
      </c>
      <c r="I311" s="259"/>
      <c r="J311" s="260">
        <v>1</v>
      </c>
      <c r="K311" s="259" t="s">
        <v>658</v>
      </c>
      <c r="L311" s="304">
        <v>3305.79</v>
      </c>
      <c r="M311" s="260">
        <v>0</v>
      </c>
      <c r="N311" s="260">
        <v>0</v>
      </c>
      <c r="O311" s="260">
        <v>0</v>
      </c>
      <c r="P311" s="304">
        <v>694.21</v>
      </c>
      <c r="Q311" s="303">
        <v>4000</v>
      </c>
    </row>
    <row r="312" spans="1:17">
      <c r="A312" s="259" t="s">
        <v>1060</v>
      </c>
      <c r="B312" s="259" t="s">
        <v>956</v>
      </c>
      <c r="C312" s="260">
        <v>9</v>
      </c>
      <c r="D312" s="260">
        <v>206</v>
      </c>
      <c r="E312" s="259"/>
      <c r="F312" s="260">
        <v>74448268425391</v>
      </c>
      <c r="G312" s="260">
        <v>99</v>
      </c>
      <c r="H312" s="260">
        <v>0</v>
      </c>
      <c r="I312" s="259"/>
      <c r="J312" s="260">
        <v>1</v>
      </c>
      <c r="K312" s="259" t="s">
        <v>658</v>
      </c>
      <c r="L312" s="304">
        <v>22438.02</v>
      </c>
      <c r="M312" s="260">
        <v>0</v>
      </c>
      <c r="N312" s="260">
        <v>0</v>
      </c>
      <c r="O312" s="260">
        <v>0</v>
      </c>
      <c r="P312" s="304">
        <v>4711.9799999999996</v>
      </c>
      <c r="Q312" s="303">
        <v>27150</v>
      </c>
    </row>
    <row r="313" spans="1:17">
      <c r="A313" s="259" t="s">
        <v>1060</v>
      </c>
      <c r="B313" s="259" t="s">
        <v>956</v>
      </c>
      <c r="C313" s="260">
        <v>9</v>
      </c>
      <c r="D313" s="260">
        <v>207</v>
      </c>
      <c r="E313" s="259"/>
      <c r="F313" s="260">
        <v>74448269240632</v>
      </c>
      <c r="G313" s="260">
        <v>99</v>
      </c>
      <c r="H313" s="260">
        <v>0</v>
      </c>
      <c r="I313" s="259"/>
      <c r="J313" s="260">
        <v>1</v>
      </c>
      <c r="K313" s="259" t="s">
        <v>658</v>
      </c>
      <c r="L313" s="304">
        <v>36363.629999999997</v>
      </c>
      <c r="M313" s="260">
        <v>0</v>
      </c>
      <c r="N313" s="260">
        <v>0</v>
      </c>
      <c r="O313" s="260">
        <v>0</v>
      </c>
      <c r="P313" s="304">
        <v>7636.37</v>
      </c>
      <c r="Q313" s="303">
        <v>44000</v>
      </c>
    </row>
    <row r="314" spans="1:17">
      <c r="A314" s="259" t="s">
        <v>1060</v>
      </c>
      <c r="B314" s="259" t="s">
        <v>956</v>
      </c>
      <c r="C314" s="260">
        <v>9</v>
      </c>
      <c r="D314" s="260">
        <v>208</v>
      </c>
      <c r="E314" s="259"/>
      <c r="F314" s="260">
        <v>74448293273578</v>
      </c>
      <c r="G314" s="260">
        <v>99</v>
      </c>
      <c r="H314" s="260">
        <v>0</v>
      </c>
      <c r="I314" s="259"/>
      <c r="J314" s="260">
        <v>1</v>
      </c>
      <c r="K314" s="259" t="s">
        <v>658</v>
      </c>
      <c r="L314" s="302">
        <v>21487.599999999999</v>
      </c>
      <c r="M314" s="260">
        <v>0</v>
      </c>
      <c r="N314" s="260">
        <v>0</v>
      </c>
      <c r="O314" s="260">
        <v>0</v>
      </c>
      <c r="P314" s="302">
        <v>4512.3999999999996</v>
      </c>
      <c r="Q314" s="303">
        <v>26000</v>
      </c>
    </row>
    <row r="315" spans="1:17">
      <c r="A315" s="259" t="s">
        <v>1060</v>
      </c>
      <c r="B315" s="259" t="s">
        <v>956</v>
      </c>
      <c r="C315" s="260">
        <v>9</v>
      </c>
      <c r="D315" s="260">
        <v>209</v>
      </c>
      <c r="E315" s="259"/>
      <c r="F315" s="260">
        <v>74448296363020</v>
      </c>
      <c r="G315" s="260">
        <v>99</v>
      </c>
      <c r="H315" s="260">
        <v>0</v>
      </c>
      <c r="I315" s="259"/>
      <c r="J315" s="260">
        <v>1</v>
      </c>
      <c r="K315" s="259" t="s">
        <v>658</v>
      </c>
      <c r="L315" s="304">
        <v>11735.54</v>
      </c>
      <c r="M315" s="260">
        <v>0</v>
      </c>
      <c r="N315" s="260">
        <v>0</v>
      </c>
      <c r="O315" s="260">
        <v>0</v>
      </c>
      <c r="P315" s="304">
        <v>2464.46</v>
      </c>
      <c r="Q315" s="303">
        <v>14200</v>
      </c>
    </row>
    <row r="316" spans="1:17">
      <c r="A316" s="259" t="s">
        <v>1060</v>
      </c>
      <c r="B316" s="259" t="s">
        <v>956</v>
      </c>
      <c r="C316" s="260">
        <v>9</v>
      </c>
      <c r="D316" s="260">
        <v>210</v>
      </c>
      <c r="E316" s="259"/>
      <c r="F316" s="260">
        <v>74448304622512</v>
      </c>
      <c r="G316" s="260">
        <v>99</v>
      </c>
      <c r="H316" s="260">
        <v>0</v>
      </c>
      <c r="I316" s="259"/>
      <c r="J316" s="260">
        <v>1</v>
      </c>
      <c r="K316" s="259" t="s">
        <v>658</v>
      </c>
      <c r="L316" s="304">
        <v>20661.16</v>
      </c>
      <c r="M316" s="260">
        <v>0</v>
      </c>
      <c r="N316" s="260">
        <v>0</v>
      </c>
      <c r="O316" s="260">
        <v>0</v>
      </c>
      <c r="P316" s="304">
        <v>4338.84</v>
      </c>
      <c r="Q316" s="303">
        <v>25000</v>
      </c>
    </row>
    <row r="317" spans="1:17">
      <c r="A317" s="259" t="s">
        <v>1060</v>
      </c>
      <c r="B317" s="259" t="s">
        <v>956</v>
      </c>
      <c r="C317" s="260">
        <v>9</v>
      </c>
      <c r="D317" s="260">
        <v>211</v>
      </c>
      <c r="E317" s="259"/>
      <c r="F317" s="260">
        <v>74448305570357</v>
      </c>
      <c r="G317" s="260">
        <v>99</v>
      </c>
      <c r="H317" s="260">
        <v>0</v>
      </c>
      <c r="I317" s="259"/>
      <c r="J317" s="260">
        <v>1</v>
      </c>
      <c r="K317" s="259" t="s">
        <v>658</v>
      </c>
      <c r="L317" s="304">
        <v>1239.67</v>
      </c>
      <c r="M317" s="260">
        <v>0</v>
      </c>
      <c r="N317" s="260">
        <v>0</v>
      </c>
      <c r="O317" s="260">
        <v>0</v>
      </c>
      <c r="P317" s="304">
        <v>260.33</v>
      </c>
      <c r="Q317" s="303">
        <v>1500</v>
      </c>
    </row>
    <row r="318" spans="1:17">
      <c r="A318" s="259" t="s">
        <v>1060</v>
      </c>
      <c r="B318" s="259" t="s">
        <v>956</v>
      </c>
      <c r="C318" s="260">
        <v>9</v>
      </c>
      <c r="D318" s="260">
        <v>212</v>
      </c>
      <c r="E318" s="259"/>
      <c r="F318" s="260">
        <v>74448307800841</v>
      </c>
      <c r="G318" s="260">
        <v>99</v>
      </c>
      <c r="H318" s="260">
        <v>0</v>
      </c>
      <c r="I318" s="259"/>
      <c r="J318" s="260">
        <v>1</v>
      </c>
      <c r="K318" s="259" t="s">
        <v>658</v>
      </c>
      <c r="L318" s="304">
        <v>25619.83</v>
      </c>
      <c r="M318" s="260">
        <v>0</v>
      </c>
      <c r="N318" s="260">
        <v>0</v>
      </c>
      <c r="O318" s="260">
        <v>0</v>
      </c>
      <c r="P318" s="304">
        <v>5380.17</v>
      </c>
      <c r="Q318" s="303">
        <v>31000</v>
      </c>
    </row>
    <row r="319" spans="1:17">
      <c r="A319" s="259" t="s">
        <v>1060</v>
      </c>
      <c r="B319" s="259" t="s">
        <v>956</v>
      </c>
      <c r="C319" s="260">
        <v>9</v>
      </c>
      <c r="D319" s="260">
        <v>213</v>
      </c>
      <c r="E319" s="259"/>
      <c r="F319" s="260">
        <v>74448311441167</v>
      </c>
      <c r="G319" s="260">
        <v>99</v>
      </c>
      <c r="H319" s="260">
        <v>0</v>
      </c>
      <c r="I319" s="259"/>
      <c r="J319" s="260">
        <v>1</v>
      </c>
      <c r="K319" s="259" t="s">
        <v>658</v>
      </c>
      <c r="L319" s="302">
        <v>21487.599999999999</v>
      </c>
      <c r="M319" s="260">
        <v>0</v>
      </c>
      <c r="N319" s="260">
        <v>0</v>
      </c>
      <c r="O319" s="260">
        <v>0</v>
      </c>
      <c r="P319" s="302">
        <v>4512.3999999999996</v>
      </c>
      <c r="Q319" s="303">
        <v>26000</v>
      </c>
    </row>
    <row r="320" spans="1:17">
      <c r="A320" s="259" t="s">
        <v>1060</v>
      </c>
      <c r="B320" s="259" t="s">
        <v>956</v>
      </c>
      <c r="C320" s="260">
        <v>9</v>
      </c>
      <c r="D320" s="260">
        <v>214</v>
      </c>
      <c r="E320" s="259"/>
      <c r="F320" s="260">
        <v>74448312441469</v>
      </c>
      <c r="G320" s="260">
        <v>99</v>
      </c>
      <c r="H320" s="260">
        <v>0</v>
      </c>
      <c r="I320" s="259"/>
      <c r="J320" s="260">
        <v>1</v>
      </c>
      <c r="K320" s="259" t="s">
        <v>658</v>
      </c>
      <c r="L320" s="302">
        <v>10743.8</v>
      </c>
      <c r="M320" s="260">
        <v>0</v>
      </c>
      <c r="N320" s="260">
        <v>0</v>
      </c>
      <c r="O320" s="260">
        <v>0</v>
      </c>
      <c r="P320" s="302">
        <v>2256.1999999999998</v>
      </c>
      <c r="Q320" s="303">
        <v>13000</v>
      </c>
    </row>
    <row r="321" spans="1:17">
      <c r="A321" s="259" t="s">
        <v>1061</v>
      </c>
      <c r="B321" s="259" t="s">
        <v>956</v>
      </c>
      <c r="C321" s="260">
        <v>9</v>
      </c>
      <c r="D321" s="260">
        <v>215</v>
      </c>
      <c r="E321" s="259"/>
      <c r="F321" s="260">
        <v>74448396761106</v>
      </c>
      <c r="G321" s="260">
        <v>99</v>
      </c>
      <c r="H321" s="260">
        <v>0</v>
      </c>
      <c r="I321" s="259"/>
      <c r="J321" s="260">
        <v>1</v>
      </c>
      <c r="K321" s="259" t="s">
        <v>658</v>
      </c>
      <c r="L321" s="304">
        <v>12396.69</v>
      </c>
      <c r="M321" s="260">
        <v>0</v>
      </c>
      <c r="N321" s="260">
        <v>0</v>
      </c>
      <c r="O321" s="260">
        <v>0</v>
      </c>
      <c r="P321" s="304">
        <v>2603.31</v>
      </c>
      <c r="Q321" s="303">
        <v>15000</v>
      </c>
    </row>
    <row r="322" spans="1:17">
      <c r="A322" s="259" t="s">
        <v>1061</v>
      </c>
      <c r="B322" s="259" t="s">
        <v>956</v>
      </c>
      <c r="C322" s="260">
        <v>9</v>
      </c>
      <c r="D322" s="260">
        <v>216</v>
      </c>
      <c r="E322" s="259"/>
      <c r="F322" s="260">
        <v>74448407784786</v>
      </c>
      <c r="G322" s="260">
        <v>99</v>
      </c>
      <c r="H322" s="260">
        <v>0</v>
      </c>
      <c r="I322" s="259"/>
      <c r="J322" s="260">
        <v>1</v>
      </c>
      <c r="K322" s="259" t="s">
        <v>658</v>
      </c>
      <c r="L322" s="304">
        <v>10661.16</v>
      </c>
      <c r="M322" s="260">
        <v>0</v>
      </c>
      <c r="N322" s="260">
        <v>0</v>
      </c>
      <c r="O322" s="260">
        <v>0</v>
      </c>
      <c r="P322" s="304">
        <v>2238.84</v>
      </c>
      <c r="Q322" s="303">
        <v>12900</v>
      </c>
    </row>
    <row r="323" spans="1:17">
      <c r="A323" s="259" t="s">
        <v>1061</v>
      </c>
      <c r="B323" s="259" t="s">
        <v>956</v>
      </c>
      <c r="C323" s="260">
        <v>9</v>
      </c>
      <c r="D323" s="260">
        <v>217</v>
      </c>
      <c r="E323" s="259"/>
      <c r="F323" s="260">
        <v>74448411617756</v>
      </c>
      <c r="G323" s="260">
        <v>99</v>
      </c>
      <c r="H323" s="260">
        <v>0</v>
      </c>
      <c r="I323" s="259"/>
      <c r="J323" s="260">
        <v>1</v>
      </c>
      <c r="K323" s="259" t="s">
        <v>658</v>
      </c>
      <c r="L323" s="304">
        <v>21404.95</v>
      </c>
      <c r="M323" s="260">
        <v>0</v>
      </c>
      <c r="N323" s="260">
        <v>0</v>
      </c>
      <c r="O323" s="260">
        <v>0</v>
      </c>
      <c r="P323" s="304">
        <v>4495.05</v>
      </c>
      <c r="Q323" s="303">
        <v>25900</v>
      </c>
    </row>
    <row r="324" spans="1:17">
      <c r="A324" s="259" t="s">
        <v>1061</v>
      </c>
      <c r="B324" s="259" t="s">
        <v>956</v>
      </c>
      <c r="C324" s="260">
        <v>9</v>
      </c>
      <c r="D324" s="260">
        <v>218</v>
      </c>
      <c r="E324" s="259"/>
      <c r="F324" s="260">
        <v>74448412711855</v>
      </c>
      <c r="G324" s="260">
        <v>99</v>
      </c>
      <c r="H324" s="260">
        <v>0</v>
      </c>
      <c r="I324" s="259"/>
      <c r="J324" s="260">
        <v>1</v>
      </c>
      <c r="K324" s="259" t="s">
        <v>658</v>
      </c>
      <c r="L324" s="304">
        <v>13223.14</v>
      </c>
      <c r="M324" s="260">
        <v>0</v>
      </c>
      <c r="N324" s="260">
        <v>0</v>
      </c>
      <c r="O324" s="260">
        <v>0</v>
      </c>
      <c r="P324" s="304">
        <v>2776.86</v>
      </c>
      <c r="Q324" s="303">
        <v>16000</v>
      </c>
    </row>
    <row r="325" spans="1:17">
      <c r="A325" s="259" t="s">
        <v>1023</v>
      </c>
      <c r="B325" s="259" t="s">
        <v>656</v>
      </c>
      <c r="C325" s="260">
        <v>7</v>
      </c>
      <c r="D325" s="260">
        <v>2210</v>
      </c>
      <c r="E325" s="259"/>
      <c r="F325" s="260">
        <v>74438283458670</v>
      </c>
      <c r="G325" s="259" t="s">
        <v>7</v>
      </c>
      <c r="H325" s="260">
        <v>30683032227</v>
      </c>
      <c r="I325" s="259" t="s">
        <v>972</v>
      </c>
      <c r="J325" s="260">
        <v>1</v>
      </c>
      <c r="K325" s="259" t="s">
        <v>658</v>
      </c>
      <c r="L325" s="304">
        <v>59504.13</v>
      </c>
      <c r="M325" s="260">
        <v>0</v>
      </c>
      <c r="N325" s="260">
        <v>0</v>
      </c>
      <c r="O325" s="260">
        <v>0</v>
      </c>
      <c r="P325" s="304">
        <v>12495.87</v>
      </c>
      <c r="Q325" s="303">
        <v>72000</v>
      </c>
    </row>
    <row r="326" spans="1:17">
      <c r="A326" s="259" t="s">
        <v>1061</v>
      </c>
      <c r="B326" s="259" t="s">
        <v>956</v>
      </c>
      <c r="C326" s="260">
        <v>9</v>
      </c>
      <c r="D326" s="260">
        <v>219</v>
      </c>
      <c r="E326" s="259"/>
      <c r="F326" s="260">
        <v>74448417964527</v>
      </c>
      <c r="G326" s="260">
        <v>99</v>
      </c>
      <c r="H326" s="260">
        <v>0</v>
      </c>
      <c r="I326" s="259"/>
      <c r="J326" s="260">
        <v>1</v>
      </c>
      <c r="K326" s="259" t="s">
        <v>658</v>
      </c>
      <c r="L326" s="304">
        <v>14669.42</v>
      </c>
      <c r="M326" s="260">
        <v>0</v>
      </c>
      <c r="N326" s="260">
        <v>0</v>
      </c>
      <c r="O326" s="260">
        <v>0</v>
      </c>
      <c r="P326" s="304">
        <v>3080.58</v>
      </c>
      <c r="Q326" s="303">
        <v>17750</v>
      </c>
    </row>
    <row r="327" spans="1:17">
      <c r="A327" s="259" t="s">
        <v>1061</v>
      </c>
      <c r="B327" s="259" t="s">
        <v>956</v>
      </c>
      <c r="C327" s="260">
        <v>9</v>
      </c>
      <c r="D327" s="260">
        <v>220</v>
      </c>
      <c r="E327" s="259"/>
      <c r="F327" s="260">
        <v>74448420172253</v>
      </c>
      <c r="G327" s="260">
        <v>99</v>
      </c>
      <c r="H327" s="260">
        <v>0</v>
      </c>
      <c r="I327" s="259"/>
      <c r="J327" s="260">
        <v>1</v>
      </c>
      <c r="K327" s="259" t="s">
        <v>658</v>
      </c>
      <c r="L327" s="304">
        <v>44214.87</v>
      </c>
      <c r="M327" s="260">
        <v>0</v>
      </c>
      <c r="N327" s="260">
        <v>0</v>
      </c>
      <c r="O327" s="260">
        <v>0</v>
      </c>
      <c r="P327" s="304">
        <v>9285.1299999999992</v>
      </c>
      <c r="Q327" s="303">
        <v>53500</v>
      </c>
    </row>
    <row r="328" spans="1:17">
      <c r="A328" s="259" t="s">
        <v>1061</v>
      </c>
      <c r="B328" s="259" t="s">
        <v>956</v>
      </c>
      <c r="C328" s="260">
        <v>9</v>
      </c>
      <c r="D328" s="260">
        <v>221</v>
      </c>
      <c r="E328" s="259"/>
      <c r="F328" s="260">
        <v>74448423642396</v>
      </c>
      <c r="G328" s="260">
        <v>99</v>
      </c>
      <c r="H328" s="260">
        <v>0</v>
      </c>
      <c r="I328" s="259"/>
      <c r="J328" s="260">
        <v>1</v>
      </c>
      <c r="K328" s="259" t="s">
        <v>658</v>
      </c>
      <c r="L328" s="304">
        <v>17355.37</v>
      </c>
      <c r="M328" s="260">
        <v>0</v>
      </c>
      <c r="N328" s="260">
        <v>0</v>
      </c>
      <c r="O328" s="260">
        <v>0</v>
      </c>
      <c r="P328" s="304">
        <v>3644.63</v>
      </c>
      <c r="Q328" s="303">
        <v>21000</v>
      </c>
    </row>
    <row r="329" spans="1:17">
      <c r="A329" s="259" t="s">
        <v>1061</v>
      </c>
      <c r="B329" s="259" t="s">
        <v>956</v>
      </c>
      <c r="C329" s="260">
        <v>9</v>
      </c>
      <c r="D329" s="260">
        <v>222</v>
      </c>
      <c r="E329" s="259"/>
      <c r="F329" s="260">
        <v>74448432605341</v>
      </c>
      <c r="G329" s="260">
        <v>99</v>
      </c>
      <c r="H329" s="260">
        <v>0</v>
      </c>
      <c r="I329" s="259"/>
      <c r="J329" s="260">
        <v>1</v>
      </c>
      <c r="K329" s="259" t="s">
        <v>658</v>
      </c>
      <c r="L329" s="302">
        <v>21487.599999999999</v>
      </c>
      <c r="M329" s="260">
        <v>0</v>
      </c>
      <c r="N329" s="260">
        <v>0</v>
      </c>
      <c r="O329" s="260">
        <v>0</v>
      </c>
      <c r="P329" s="302">
        <v>4512.3999999999996</v>
      </c>
      <c r="Q329" s="303">
        <v>26000</v>
      </c>
    </row>
    <row r="330" spans="1:17">
      <c r="A330" s="259" t="s">
        <v>1061</v>
      </c>
      <c r="B330" s="259" t="s">
        <v>956</v>
      </c>
      <c r="C330" s="260">
        <v>9</v>
      </c>
      <c r="D330" s="260">
        <v>223</v>
      </c>
      <c r="E330" s="259"/>
      <c r="F330" s="260">
        <v>74448434366265</v>
      </c>
      <c r="G330" s="260">
        <v>99</v>
      </c>
      <c r="H330" s="260">
        <v>0</v>
      </c>
      <c r="I330" s="259"/>
      <c r="J330" s="260">
        <v>1</v>
      </c>
      <c r="K330" s="259" t="s">
        <v>658</v>
      </c>
      <c r="L330" s="304">
        <v>20661.16</v>
      </c>
      <c r="M330" s="260">
        <v>0</v>
      </c>
      <c r="N330" s="260">
        <v>0</v>
      </c>
      <c r="O330" s="260">
        <v>0</v>
      </c>
      <c r="P330" s="304">
        <v>4338.84</v>
      </c>
      <c r="Q330" s="303">
        <v>25000</v>
      </c>
    </row>
    <row r="331" spans="1:17">
      <c r="A331" s="259" t="s">
        <v>1061</v>
      </c>
      <c r="B331" s="259" t="s">
        <v>956</v>
      </c>
      <c r="C331" s="260">
        <v>9</v>
      </c>
      <c r="D331" s="260">
        <v>224</v>
      </c>
      <c r="E331" s="259"/>
      <c r="F331" s="260">
        <v>74448435595459</v>
      </c>
      <c r="G331" s="260">
        <v>99</v>
      </c>
      <c r="H331" s="260">
        <v>0</v>
      </c>
      <c r="I331" s="259"/>
      <c r="J331" s="260">
        <v>1</v>
      </c>
      <c r="K331" s="259" t="s">
        <v>658</v>
      </c>
      <c r="L331" s="302">
        <v>21487.599999999999</v>
      </c>
      <c r="M331" s="260">
        <v>0</v>
      </c>
      <c r="N331" s="260">
        <v>0</v>
      </c>
      <c r="O331" s="260">
        <v>0</v>
      </c>
      <c r="P331" s="302">
        <v>4512.3999999999996</v>
      </c>
      <c r="Q331" s="303">
        <v>26000</v>
      </c>
    </row>
    <row r="332" spans="1:17">
      <c r="A332" s="259" t="s">
        <v>1061</v>
      </c>
      <c r="B332" s="259" t="s">
        <v>956</v>
      </c>
      <c r="C332" s="260">
        <v>9</v>
      </c>
      <c r="D332" s="260">
        <v>225</v>
      </c>
      <c r="E332" s="259"/>
      <c r="F332" s="260">
        <v>74448439964210</v>
      </c>
      <c r="G332" s="260">
        <v>99</v>
      </c>
      <c r="H332" s="260">
        <v>0</v>
      </c>
      <c r="I332" s="259"/>
      <c r="J332" s="260">
        <v>1</v>
      </c>
      <c r="K332" s="259" t="s">
        <v>658</v>
      </c>
      <c r="L332" s="302">
        <v>33884.300000000003</v>
      </c>
      <c r="M332" s="260">
        <v>0</v>
      </c>
      <c r="N332" s="260">
        <v>0</v>
      </c>
      <c r="O332" s="260">
        <v>0</v>
      </c>
      <c r="P332" s="302">
        <v>7115.7</v>
      </c>
      <c r="Q332" s="303">
        <v>41000</v>
      </c>
    </row>
    <row r="333" spans="1:17">
      <c r="A333" s="259" t="s">
        <v>1061</v>
      </c>
      <c r="B333" s="259" t="s">
        <v>956</v>
      </c>
      <c r="C333" s="260">
        <v>9</v>
      </c>
      <c r="D333" s="260">
        <v>226</v>
      </c>
      <c r="E333" s="259"/>
      <c r="F333" s="260">
        <v>74448444383747</v>
      </c>
      <c r="G333" s="260">
        <v>99</v>
      </c>
      <c r="H333" s="260">
        <v>0</v>
      </c>
      <c r="I333" s="259"/>
      <c r="J333" s="260">
        <v>1</v>
      </c>
      <c r="K333" s="259" t="s">
        <v>658</v>
      </c>
      <c r="L333" s="304">
        <v>50578.51</v>
      </c>
      <c r="M333" s="260">
        <v>0</v>
      </c>
      <c r="N333" s="260">
        <v>0</v>
      </c>
      <c r="O333" s="260">
        <v>0</v>
      </c>
      <c r="P333" s="304">
        <v>10621.49</v>
      </c>
      <c r="Q333" s="303">
        <v>61200</v>
      </c>
    </row>
    <row r="334" spans="1:17">
      <c r="A334" s="259" t="s">
        <v>1061</v>
      </c>
      <c r="B334" s="259" t="s">
        <v>956</v>
      </c>
      <c r="C334" s="260">
        <v>9</v>
      </c>
      <c r="D334" s="260">
        <v>227</v>
      </c>
      <c r="E334" s="259"/>
      <c r="F334" s="260">
        <v>74448446656663</v>
      </c>
      <c r="G334" s="260">
        <v>99</v>
      </c>
      <c r="H334" s="260">
        <v>0</v>
      </c>
      <c r="I334" s="259"/>
      <c r="J334" s="260">
        <v>1</v>
      </c>
      <c r="K334" s="259" t="s">
        <v>658</v>
      </c>
      <c r="L334" s="302">
        <v>10743.8</v>
      </c>
      <c r="M334" s="260">
        <v>0</v>
      </c>
      <c r="N334" s="260">
        <v>0</v>
      </c>
      <c r="O334" s="260">
        <v>0</v>
      </c>
      <c r="P334" s="302">
        <v>2256.1999999999998</v>
      </c>
      <c r="Q334" s="303">
        <v>13000</v>
      </c>
    </row>
    <row r="335" spans="1:17">
      <c r="A335" s="259" t="s">
        <v>1061</v>
      </c>
      <c r="B335" s="259" t="s">
        <v>956</v>
      </c>
      <c r="C335" s="260">
        <v>9</v>
      </c>
      <c r="D335" s="260">
        <v>228</v>
      </c>
      <c r="E335" s="259"/>
      <c r="F335" s="260">
        <v>74448448282138</v>
      </c>
      <c r="G335" s="260">
        <v>99</v>
      </c>
      <c r="H335" s="260">
        <v>0</v>
      </c>
      <c r="I335" s="259"/>
      <c r="J335" s="260">
        <v>1</v>
      </c>
      <c r="K335" s="259" t="s">
        <v>658</v>
      </c>
      <c r="L335" s="304">
        <v>14876.03</v>
      </c>
      <c r="M335" s="260">
        <v>0</v>
      </c>
      <c r="N335" s="260">
        <v>0</v>
      </c>
      <c r="O335" s="260">
        <v>0</v>
      </c>
      <c r="P335" s="304">
        <v>3123.97</v>
      </c>
      <c r="Q335" s="303">
        <v>18000</v>
      </c>
    </row>
    <row r="336" spans="1:17">
      <c r="A336" s="259" t="s">
        <v>1061</v>
      </c>
      <c r="B336" s="259" t="s">
        <v>956</v>
      </c>
      <c r="C336" s="260">
        <v>9</v>
      </c>
      <c r="D336" s="260">
        <v>229</v>
      </c>
      <c r="E336" s="259"/>
      <c r="F336" s="260">
        <v>74448456144765</v>
      </c>
      <c r="G336" s="260">
        <v>99</v>
      </c>
      <c r="H336" s="260">
        <v>0</v>
      </c>
      <c r="I336" s="259"/>
      <c r="J336" s="260">
        <v>1</v>
      </c>
      <c r="K336" s="259" t="s">
        <v>658</v>
      </c>
      <c r="L336" s="302">
        <v>33884.300000000003</v>
      </c>
      <c r="M336" s="260">
        <v>0</v>
      </c>
      <c r="N336" s="260">
        <v>0</v>
      </c>
      <c r="O336" s="260">
        <v>0</v>
      </c>
      <c r="P336" s="302">
        <v>7115.7</v>
      </c>
      <c r="Q336" s="303">
        <v>41000</v>
      </c>
    </row>
    <row r="337" spans="1:17">
      <c r="A337" s="259" t="s">
        <v>1061</v>
      </c>
      <c r="B337" s="259" t="s">
        <v>956</v>
      </c>
      <c r="C337" s="260">
        <v>9</v>
      </c>
      <c r="D337" s="260">
        <v>230</v>
      </c>
      <c r="E337" s="259"/>
      <c r="F337" s="260">
        <v>74448459124314</v>
      </c>
      <c r="G337" s="260">
        <v>99</v>
      </c>
      <c r="H337" s="260">
        <v>0</v>
      </c>
      <c r="I337" s="259"/>
      <c r="J337" s="260">
        <v>1</v>
      </c>
      <c r="K337" s="259" t="s">
        <v>658</v>
      </c>
      <c r="L337" s="304">
        <v>22314.05</v>
      </c>
      <c r="M337" s="260">
        <v>0</v>
      </c>
      <c r="N337" s="260">
        <v>0</v>
      </c>
      <c r="O337" s="260">
        <v>0</v>
      </c>
      <c r="P337" s="304">
        <v>4685.95</v>
      </c>
      <c r="Q337" s="303">
        <v>27000</v>
      </c>
    </row>
    <row r="338" spans="1:17">
      <c r="A338" s="259" t="s">
        <v>1061</v>
      </c>
      <c r="B338" s="259" t="s">
        <v>956</v>
      </c>
      <c r="C338" s="260">
        <v>9</v>
      </c>
      <c r="D338" s="260">
        <v>231</v>
      </c>
      <c r="E338" s="259"/>
      <c r="F338" s="260">
        <v>74448461672241</v>
      </c>
      <c r="G338" s="260">
        <v>99</v>
      </c>
      <c r="H338" s="260">
        <v>0</v>
      </c>
      <c r="I338" s="259"/>
      <c r="J338" s="260">
        <v>1</v>
      </c>
      <c r="K338" s="259" t="s">
        <v>658</v>
      </c>
      <c r="L338" s="304">
        <v>11570.25</v>
      </c>
      <c r="M338" s="260">
        <v>0</v>
      </c>
      <c r="N338" s="260">
        <v>0</v>
      </c>
      <c r="O338" s="260">
        <v>0</v>
      </c>
      <c r="P338" s="304">
        <v>2429.75</v>
      </c>
      <c r="Q338" s="303">
        <v>14000</v>
      </c>
    </row>
    <row r="339" spans="1:17">
      <c r="A339" s="259" t="s">
        <v>954</v>
      </c>
      <c r="B339" s="259" t="s">
        <v>956</v>
      </c>
      <c r="C339" s="260">
        <v>3</v>
      </c>
      <c r="D339" s="260">
        <v>2759</v>
      </c>
      <c r="E339" s="259"/>
      <c r="F339" s="260">
        <v>74408875674500</v>
      </c>
      <c r="G339" s="259"/>
      <c r="H339" s="259"/>
      <c r="I339" s="259"/>
      <c r="J339" s="260">
        <v>1</v>
      </c>
      <c r="K339" s="259" t="s">
        <v>658</v>
      </c>
      <c r="L339" s="304">
        <v>21487.62</v>
      </c>
      <c r="M339" s="260">
        <v>0</v>
      </c>
      <c r="N339" s="260">
        <v>0</v>
      </c>
      <c r="O339" s="260">
        <v>0</v>
      </c>
      <c r="P339" s="302">
        <v>4512.3999999999996</v>
      </c>
      <c r="Q339" s="303">
        <v>26000</v>
      </c>
    </row>
    <row r="340" spans="1:17">
      <c r="A340" s="259" t="s">
        <v>954</v>
      </c>
      <c r="B340" s="259" t="s">
        <v>956</v>
      </c>
      <c r="C340" s="260">
        <v>3</v>
      </c>
      <c r="D340" s="260">
        <v>2760</v>
      </c>
      <c r="E340" s="259"/>
      <c r="F340" s="260">
        <v>74408876395586</v>
      </c>
      <c r="G340" s="259"/>
      <c r="H340" s="259"/>
      <c r="I340" s="259"/>
      <c r="J340" s="260">
        <v>1</v>
      </c>
      <c r="K340" s="259" t="s">
        <v>658</v>
      </c>
      <c r="L340" s="304">
        <v>4958.67</v>
      </c>
      <c r="M340" s="260">
        <v>0</v>
      </c>
      <c r="N340" s="260">
        <v>0</v>
      </c>
      <c r="O340" s="260">
        <v>0</v>
      </c>
      <c r="P340" s="304">
        <v>1041.32</v>
      </c>
      <c r="Q340" s="303">
        <v>6000</v>
      </c>
    </row>
    <row r="341" spans="1:17">
      <c r="A341" s="259" t="s">
        <v>954</v>
      </c>
      <c r="B341" s="259" t="s">
        <v>956</v>
      </c>
      <c r="C341" s="260">
        <v>3</v>
      </c>
      <c r="D341" s="260">
        <v>2761</v>
      </c>
      <c r="E341" s="259"/>
      <c r="F341" s="260">
        <v>74408876708970</v>
      </c>
      <c r="G341" s="259"/>
      <c r="H341" s="259"/>
      <c r="I341" s="259"/>
      <c r="J341" s="260">
        <v>1</v>
      </c>
      <c r="K341" s="259" t="s">
        <v>658</v>
      </c>
      <c r="L341" s="304">
        <v>21487.62</v>
      </c>
      <c r="M341" s="260">
        <v>0</v>
      </c>
      <c r="N341" s="260">
        <v>0</v>
      </c>
      <c r="O341" s="260">
        <v>0</v>
      </c>
      <c r="P341" s="302">
        <v>4512.3999999999996</v>
      </c>
      <c r="Q341" s="303">
        <v>26000</v>
      </c>
    </row>
    <row r="342" spans="1:17">
      <c r="A342" s="259" t="s">
        <v>954</v>
      </c>
      <c r="B342" s="259" t="s">
        <v>956</v>
      </c>
      <c r="C342" s="260">
        <v>3</v>
      </c>
      <c r="D342" s="260">
        <v>2762</v>
      </c>
      <c r="E342" s="259"/>
      <c r="F342" s="260">
        <v>74408877044873</v>
      </c>
      <c r="G342" s="259"/>
      <c r="H342" s="259"/>
      <c r="I342" s="259"/>
      <c r="J342" s="260">
        <v>1</v>
      </c>
      <c r="K342" s="259" t="s">
        <v>658</v>
      </c>
      <c r="L342" s="304">
        <v>10743.81</v>
      </c>
      <c r="M342" s="260">
        <v>0</v>
      </c>
      <c r="N342" s="260">
        <v>0</v>
      </c>
      <c r="O342" s="260">
        <v>0</v>
      </c>
      <c r="P342" s="302">
        <v>2256.1999999999998</v>
      </c>
      <c r="Q342" s="303">
        <v>13000</v>
      </c>
    </row>
    <row r="343" spans="1:17">
      <c r="A343" s="259" t="s">
        <v>954</v>
      </c>
      <c r="B343" s="259" t="s">
        <v>956</v>
      </c>
      <c r="C343" s="260">
        <v>3</v>
      </c>
      <c r="D343" s="260">
        <v>2763</v>
      </c>
      <c r="E343" s="259"/>
      <c r="F343" s="260">
        <v>74408877407678</v>
      </c>
      <c r="G343" s="259"/>
      <c r="H343" s="259"/>
      <c r="I343" s="259"/>
      <c r="J343" s="260">
        <v>1</v>
      </c>
      <c r="K343" s="259" t="s">
        <v>658</v>
      </c>
      <c r="L343" s="304">
        <v>18181.810000000001</v>
      </c>
      <c r="M343" s="260">
        <v>0</v>
      </c>
      <c r="N343" s="260">
        <v>0</v>
      </c>
      <c r="O343" s="260">
        <v>0</v>
      </c>
      <c r="P343" s="304">
        <v>3818.18</v>
      </c>
      <c r="Q343" s="303">
        <v>22000</v>
      </c>
    </row>
    <row r="344" spans="1:17">
      <c r="A344" s="259" t="s">
        <v>954</v>
      </c>
      <c r="B344" s="259" t="s">
        <v>956</v>
      </c>
      <c r="C344" s="260">
        <v>3</v>
      </c>
      <c r="D344" s="260">
        <v>2764</v>
      </c>
      <c r="E344" s="259"/>
      <c r="F344" s="260">
        <v>74408877677843</v>
      </c>
      <c r="G344" s="259"/>
      <c r="H344" s="259"/>
      <c r="I344" s="259"/>
      <c r="J344" s="260">
        <v>1</v>
      </c>
      <c r="K344" s="259" t="s">
        <v>658</v>
      </c>
      <c r="L344" s="304">
        <v>2231.4299999999998</v>
      </c>
      <c r="M344" s="260">
        <v>0</v>
      </c>
      <c r="N344" s="260">
        <v>0</v>
      </c>
      <c r="O344" s="260">
        <v>0</v>
      </c>
      <c r="P344" s="302">
        <v>468.6</v>
      </c>
      <c r="Q344" s="303">
        <v>2700</v>
      </c>
    </row>
    <row r="345" spans="1:17">
      <c r="A345" s="259" t="s">
        <v>1023</v>
      </c>
      <c r="B345" s="301" t="s">
        <v>960</v>
      </c>
      <c r="C345" s="260">
        <v>7</v>
      </c>
      <c r="D345" s="260">
        <v>161</v>
      </c>
      <c r="E345" s="259"/>
      <c r="F345" s="260">
        <v>74438286933070</v>
      </c>
      <c r="G345" s="259" t="s">
        <v>7</v>
      </c>
      <c r="H345" s="260">
        <v>30590354798</v>
      </c>
      <c r="I345" s="259" t="s">
        <v>81</v>
      </c>
      <c r="J345" s="260">
        <v>1</v>
      </c>
      <c r="K345" s="259" t="s">
        <v>658</v>
      </c>
      <c r="L345" s="304">
        <v>-14333.88</v>
      </c>
      <c r="M345" s="260">
        <v>0</v>
      </c>
      <c r="N345" s="260">
        <v>0</v>
      </c>
      <c r="O345" s="260">
        <v>0</v>
      </c>
      <c r="P345" s="303">
        <f>+L345*0.21</f>
        <v>-3010.1147999999998</v>
      </c>
      <c r="Q345" s="303">
        <f>+SUM(L345+P345)</f>
        <v>-17343.9948</v>
      </c>
    </row>
    <row r="346" spans="1:17">
      <c r="A346" s="259" t="s">
        <v>1028</v>
      </c>
      <c r="B346" s="259" t="s">
        <v>656</v>
      </c>
      <c r="C346" s="260">
        <v>7</v>
      </c>
      <c r="D346" s="260">
        <v>2211</v>
      </c>
      <c r="E346" s="259"/>
      <c r="F346" s="260">
        <v>74438381450027</v>
      </c>
      <c r="G346" s="259" t="s">
        <v>7</v>
      </c>
      <c r="H346" s="260">
        <v>30712136754</v>
      </c>
      <c r="I346" s="259" t="s">
        <v>936</v>
      </c>
      <c r="J346" s="260">
        <v>1</v>
      </c>
      <c r="K346" s="259" t="s">
        <v>658</v>
      </c>
      <c r="L346" s="302">
        <v>50115.7</v>
      </c>
      <c r="M346" s="260">
        <v>0</v>
      </c>
      <c r="N346" s="260">
        <v>0</v>
      </c>
      <c r="O346" s="260">
        <v>0</v>
      </c>
      <c r="P346" s="302">
        <v>10524.3</v>
      </c>
      <c r="Q346" s="303">
        <v>60640</v>
      </c>
    </row>
    <row r="347" spans="1:17">
      <c r="A347" s="259" t="s">
        <v>1028</v>
      </c>
      <c r="B347" s="259" t="s">
        <v>656</v>
      </c>
      <c r="C347" s="260">
        <v>7</v>
      </c>
      <c r="D347" s="260">
        <v>2212</v>
      </c>
      <c r="E347" s="259"/>
      <c r="F347" s="260">
        <v>74438383810614</v>
      </c>
      <c r="G347" s="259" t="s">
        <v>7</v>
      </c>
      <c r="H347" s="260">
        <v>30608716390</v>
      </c>
      <c r="I347" s="259" t="s">
        <v>974</v>
      </c>
      <c r="J347" s="260">
        <v>1</v>
      </c>
      <c r="K347" s="259" t="s">
        <v>658</v>
      </c>
      <c r="L347" s="304">
        <v>8181.82</v>
      </c>
      <c r="M347" s="260">
        <v>0</v>
      </c>
      <c r="N347" s="260">
        <v>0</v>
      </c>
      <c r="O347" s="260">
        <v>0</v>
      </c>
      <c r="P347" s="304">
        <v>1718.18</v>
      </c>
      <c r="Q347" s="303">
        <v>9900</v>
      </c>
    </row>
    <row r="348" spans="1:17">
      <c r="A348" s="259" t="s">
        <v>954</v>
      </c>
      <c r="B348" s="259" t="s">
        <v>956</v>
      </c>
      <c r="C348" s="260">
        <v>3</v>
      </c>
      <c r="D348" s="260">
        <v>2765</v>
      </c>
      <c r="E348" s="259"/>
      <c r="F348" s="260">
        <v>74408877949431</v>
      </c>
      <c r="G348" s="259"/>
      <c r="H348" s="259"/>
      <c r="I348" s="259"/>
      <c r="J348" s="260">
        <v>1</v>
      </c>
      <c r="K348" s="259" t="s">
        <v>658</v>
      </c>
      <c r="L348" s="304">
        <v>6611.57</v>
      </c>
      <c r="M348" s="260">
        <v>0</v>
      </c>
      <c r="N348" s="260">
        <v>0</v>
      </c>
      <c r="O348" s="260">
        <v>0</v>
      </c>
      <c r="P348" s="304">
        <v>1388.43</v>
      </c>
      <c r="Q348" s="303">
        <v>8000</v>
      </c>
    </row>
    <row r="349" spans="1:17">
      <c r="A349" s="259" t="s">
        <v>954</v>
      </c>
      <c r="B349" s="259" t="s">
        <v>956</v>
      </c>
      <c r="C349" s="260">
        <v>3</v>
      </c>
      <c r="D349" s="260">
        <v>2766</v>
      </c>
      <c r="E349" s="259"/>
      <c r="F349" s="260">
        <v>74408878384534</v>
      </c>
      <c r="G349" s="259"/>
      <c r="H349" s="259"/>
      <c r="I349" s="259"/>
      <c r="J349" s="260">
        <v>1</v>
      </c>
      <c r="K349" s="259" t="s">
        <v>658</v>
      </c>
      <c r="L349" s="302">
        <v>4214.8999999999996</v>
      </c>
      <c r="M349" s="260">
        <v>0</v>
      </c>
      <c r="N349" s="260">
        <v>0</v>
      </c>
      <c r="O349" s="260">
        <v>0</v>
      </c>
      <c r="P349" s="304">
        <v>885.13</v>
      </c>
      <c r="Q349" s="303">
        <v>5100</v>
      </c>
    </row>
    <row r="350" spans="1:17">
      <c r="A350" s="259" t="s">
        <v>954</v>
      </c>
      <c r="B350" s="259" t="s">
        <v>956</v>
      </c>
      <c r="C350" s="260">
        <v>3</v>
      </c>
      <c r="D350" s="260">
        <v>2767</v>
      </c>
      <c r="E350" s="259"/>
      <c r="F350" s="260">
        <v>74408878804417</v>
      </c>
      <c r="G350" s="259"/>
      <c r="H350" s="259"/>
      <c r="I350" s="259"/>
      <c r="J350" s="260">
        <v>1</v>
      </c>
      <c r="K350" s="259" t="s">
        <v>658</v>
      </c>
      <c r="L350" s="304">
        <v>24793.38</v>
      </c>
      <c r="M350" s="260">
        <v>0</v>
      </c>
      <c r="N350" s="260">
        <v>0</v>
      </c>
      <c r="O350" s="260">
        <v>0</v>
      </c>
      <c r="P350" s="304">
        <v>5206.6099999999997</v>
      </c>
      <c r="Q350" s="303">
        <v>30000</v>
      </c>
    </row>
    <row r="351" spans="1:17">
      <c r="A351" s="259" t="s">
        <v>954</v>
      </c>
      <c r="B351" s="259" t="s">
        <v>956</v>
      </c>
      <c r="C351" s="260">
        <v>3</v>
      </c>
      <c r="D351" s="260">
        <v>2768</v>
      </c>
      <c r="E351" s="259"/>
      <c r="F351" s="260">
        <v>74408879288391</v>
      </c>
      <c r="G351" s="259"/>
      <c r="H351" s="259"/>
      <c r="I351" s="259"/>
      <c r="J351" s="260">
        <v>1</v>
      </c>
      <c r="K351" s="259" t="s">
        <v>658</v>
      </c>
      <c r="L351" s="304">
        <v>19834.71</v>
      </c>
      <c r="M351" s="260">
        <v>0</v>
      </c>
      <c r="N351" s="260">
        <v>0</v>
      </c>
      <c r="O351" s="260">
        <v>0</v>
      </c>
      <c r="P351" s="304">
        <v>4165.29</v>
      </c>
      <c r="Q351" s="303">
        <v>24000</v>
      </c>
    </row>
    <row r="352" spans="1:17">
      <c r="A352" s="259" t="s">
        <v>954</v>
      </c>
      <c r="B352" s="259" t="s">
        <v>956</v>
      </c>
      <c r="C352" s="260">
        <v>3</v>
      </c>
      <c r="D352" s="260">
        <v>2769</v>
      </c>
      <c r="E352" s="259"/>
      <c r="F352" s="260">
        <v>74408880163661</v>
      </c>
      <c r="G352" s="259"/>
      <c r="H352" s="259"/>
      <c r="I352" s="259"/>
      <c r="J352" s="260">
        <v>1</v>
      </c>
      <c r="K352" s="259" t="s">
        <v>658</v>
      </c>
      <c r="L352" s="304">
        <v>8429.76</v>
      </c>
      <c r="M352" s="260">
        <v>0</v>
      </c>
      <c r="N352" s="260">
        <v>0</v>
      </c>
      <c r="O352" s="260">
        <v>0</v>
      </c>
      <c r="P352" s="304">
        <v>1770.25</v>
      </c>
      <c r="Q352" s="303">
        <v>10200</v>
      </c>
    </row>
    <row r="353" spans="1:17">
      <c r="A353" s="259" t="s">
        <v>954</v>
      </c>
      <c r="B353" s="259" t="s">
        <v>956</v>
      </c>
      <c r="C353" s="260">
        <v>3</v>
      </c>
      <c r="D353" s="260">
        <v>2770</v>
      </c>
      <c r="E353" s="259"/>
      <c r="F353" s="260">
        <v>74408880649666</v>
      </c>
      <c r="G353" s="259"/>
      <c r="H353" s="259"/>
      <c r="I353" s="259"/>
      <c r="J353" s="260">
        <v>1</v>
      </c>
      <c r="K353" s="259" t="s">
        <v>658</v>
      </c>
      <c r="L353" s="304">
        <v>15619.86</v>
      </c>
      <c r="M353" s="260">
        <v>0</v>
      </c>
      <c r="N353" s="260">
        <v>0</v>
      </c>
      <c r="O353" s="260">
        <v>0</v>
      </c>
      <c r="P353" s="304">
        <v>3280.17</v>
      </c>
      <c r="Q353" s="303">
        <v>18900</v>
      </c>
    </row>
    <row r="354" spans="1:17">
      <c r="A354" s="259" t="s">
        <v>954</v>
      </c>
      <c r="B354" s="259" t="s">
        <v>956</v>
      </c>
      <c r="C354" s="260">
        <v>3</v>
      </c>
      <c r="D354" s="260">
        <v>2771</v>
      </c>
      <c r="E354" s="259"/>
      <c r="F354" s="260">
        <v>74408881014543</v>
      </c>
      <c r="G354" s="259"/>
      <c r="H354" s="259"/>
      <c r="I354" s="259"/>
      <c r="J354" s="260">
        <v>1</v>
      </c>
      <c r="K354" s="259" t="s">
        <v>658</v>
      </c>
      <c r="L354" s="304">
        <v>33884.29</v>
      </c>
      <c r="M354" s="260">
        <v>0</v>
      </c>
      <c r="N354" s="260">
        <v>0</v>
      </c>
      <c r="O354" s="260">
        <v>0</v>
      </c>
      <c r="P354" s="302">
        <v>7115.7</v>
      </c>
      <c r="Q354" s="303">
        <v>41000</v>
      </c>
    </row>
    <row r="355" spans="1:17">
      <c r="A355" s="259" t="s">
        <v>954</v>
      </c>
      <c r="B355" s="259" t="s">
        <v>956</v>
      </c>
      <c r="C355" s="260">
        <v>3</v>
      </c>
      <c r="D355" s="260">
        <v>2772</v>
      </c>
      <c r="E355" s="259"/>
      <c r="F355" s="260">
        <v>74408881354151</v>
      </c>
      <c r="G355" s="259"/>
      <c r="H355" s="259"/>
      <c r="I355" s="259"/>
      <c r="J355" s="260">
        <v>1</v>
      </c>
      <c r="K355" s="259" t="s">
        <v>658</v>
      </c>
      <c r="L355" s="304">
        <v>21487.62</v>
      </c>
      <c r="M355" s="260">
        <v>0</v>
      </c>
      <c r="N355" s="260">
        <v>0</v>
      </c>
      <c r="O355" s="260">
        <v>0</v>
      </c>
      <c r="P355" s="302">
        <v>4512.3999999999996</v>
      </c>
      <c r="Q355" s="303">
        <v>26000</v>
      </c>
    </row>
    <row r="356" spans="1:17">
      <c r="A356" s="259" t="s">
        <v>954</v>
      </c>
      <c r="B356" s="259" t="s">
        <v>956</v>
      </c>
      <c r="C356" s="260">
        <v>3</v>
      </c>
      <c r="D356" s="260">
        <v>2773</v>
      </c>
      <c r="E356" s="259"/>
      <c r="F356" s="260">
        <v>74408881689486</v>
      </c>
      <c r="G356" s="259"/>
      <c r="H356" s="259"/>
      <c r="I356" s="259"/>
      <c r="J356" s="260">
        <v>1</v>
      </c>
      <c r="K356" s="259" t="s">
        <v>658</v>
      </c>
      <c r="L356" s="304">
        <v>29338.86</v>
      </c>
      <c r="M356" s="260">
        <v>0</v>
      </c>
      <c r="N356" s="260">
        <v>0</v>
      </c>
      <c r="O356" s="260">
        <v>0</v>
      </c>
      <c r="P356" s="304">
        <v>6161.16</v>
      </c>
      <c r="Q356" s="303">
        <v>35500</v>
      </c>
    </row>
    <row r="357" spans="1:17">
      <c r="A357" s="259" t="s">
        <v>954</v>
      </c>
      <c r="B357" s="259" t="s">
        <v>956</v>
      </c>
      <c r="C357" s="260">
        <v>3</v>
      </c>
      <c r="D357" s="260">
        <v>2774</v>
      </c>
      <c r="E357" s="259"/>
      <c r="F357" s="260">
        <v>74408882132511</v>
      </c>
      <c r="G357" s="259"/>
      <c r="H357" s="259"/>
      <c r="I357" s="259"/>
      <c r="J357" s="260">
        <v>1</v>
      </c>
      <c r="K357" s="259" t="s">
        <v>658</v>
      </c>
      <c r="L357" s="304">
        <v>17355.38</v>
      </c>
      <c r="M357" s="260">
        <v>0</v>
      </c>
      <c r="N357" s="260">
        <v>0</v>
      </c>
      <c r="O357" s="260">
        <v>0</v>
      </c>
      <c r="P357" s="304">
        <v>3644.63</v>
      </c>
      <c r="Q357" s="303">
        <v>21000</v>
      </c>
    </row>
    <row r="358" spans="1:17">
      <c r="A358" s="259" t="s">
        <v>954</v>
      </c>
      <c r="B358" s="259" t="s">
        <v>956</v>
      </c>
      <c r="C358" s="260">
        <v>3</v>
      </c>
      <c r="D358" s="260">
        <v>2775</v>
      </c>
      <c r="E358" s="259"/>
      <c r="F358" s="260">
        <v>74408882468478</v>
      </c>
      <c r="G358" s="259"/>
      <c r="H358" s="259"/>
      <c r="I358" s="259"/>
      <c r="J358" s="260">
        <v>1</v>
      </c>
      <c r="K358" s="259" t="s">
        <v>658</v>
      </c>
      <c r="L358" s="304">
        <v>30165.29</v>
      </c>
      <c r="M358" s="260">
        <v>0</v>
      </c>
      <c r="N358" s="260">
        <v>0</v>
      </c>
      <c r="O358" s="260">
        <v>0</v>
      </c>
      <c r="P358" s="304">
        <v>6334.71</v>
      </c>
      <c r="Q358" s="303">
        <v>36500</v>
      </c>
    </row>
    <row r="359" spans="1:17">
      <c r="A359" s="259" t="s">
        <v>954</v>
      </c>
      <c r="B359" s="259" t="s">
        <v>956</v>
      </c>
      <c r="C359" s="260">
        <v>3</v>
      </c>
      <c r="D359" s="260">
        <v>2776</v>
      </c>
      <c r="E359" s="259"/>
      <c r="F359" s="260">
        <v>74408882952453</v>
      </c>
      <c r="G359" s="259"/>
      <c r="H359" s="259"/>
      <c r="I359" s="259"/>
      <c r="J359" s="260">
        <v>1</v>
      </c>
      <c r="K359" s="259" t="s">
        <v>658</v>
      </c>
      <c r="L359" s="304">
        <v>31818.19</v>
      </c>
      <c r="M359" s="260">
        <v>0</v>
      </c>
      <c r="N359" s="260">
        <v>0</v>
      </c>
      <c r="O359" s="260">
        <v>0</v>
      </c>
      <c r="P359" s="304">
        <v>6681.82</v>
      </c>
      <c r="Q359" s="303">
        <v>38500</v>
      </c>
    </row>
    <row r="360" spans="1:17">
      <c r="A360" s="259" t="s">
        <v>954</v>
      </c>
      <c r="B360" s="259" t="s">
        <v>956</v>
      </c>
      <c r="C360" s="260">
        <v>3</v>
      </c>
      <c r="D360" s="260">
        <v>2777</v>
      </c>
      <c r="E360" s="259"/>
      <c r="F360" s="260">
        <v>74408883242703</v>
      </c>
      <c r="G360" s="259"/>
      <c r="H360" s="259"/>
      <c r="I360" s="259"/>
      <c r="J360" s="260">
        <v>1</v>
      </c>
      <c r="K360" s="259" t="s">
        <v>658</v>
      </c>
      <c r="L360" s="304">
        <v>10330.57</v>
      </c>
      <c r="M360" s="260">
        <v>0</v>
      </c>
      <c r="N360" s="260">
        <v>0</v>
      </c>
      <c r="O360" s="260">
        <v>0</v>
      </c>
      <c r="P360" s="304">
        <v>2169.42</v>
      </c>
      <c r="Q360" s="303">
        <v>12500</v>
      </c>
    </row>
    <row r="361" spans="1:17">
      <c r="A361" s="259" t="s">
        <v>954</v>
      </c>
      <c r="B361" s="259" t="s">
        <v>956</v>
      </c>
      <c r="C361" s="260">
        <v>3</v>
      </c>
      <c r="D361" s="260">
        <v>2778</v>
      </c>
      <c r="E361" s="259"/>
      <c r="F361" s="260">
        <v>74408883952873</v>
      </c>
      <c r="G361" s="259"/>
      <c r="H361" s="259"/>
      <c r="I361" s="259"/>
      <c r="J361" s="260">
        <v>1</v>
      </c>
      <c r="K361" s="259" t="s">
        <v>658</v>
      </c>
      <c r="L361" s="304">
        <v>14049.57</v>
      </c>
      <c r="M361" s="260">
        <v>0</v>
      </c>
      <c r="N361" s="260">
        <v>0</v>
      </c>
      <c r="O361" s="260">
        <v>0</v>
      </c>
      <c r="P361" s="304">
        <v>2950.41</v>
      </c>
      <c r="Q361" s="303">
        <v>17000</v>
      </c>
    </row>
    <row r="362" spans="1:17">
      <c r="A362" s="259" t="s">
        <v>954</v>
      </c>
      <c r="B362" s="259" t="s">
        <v>956</v>
      </c>
      <c r="C362" s="260">
        <v>3</v>
      </c>
      <c r="D362" s="260">
        <v>2779</v>
      </c>
      <c r="E362" s="259"/>
      <c r="F362" s="260">
        <v>74408884333547</v>
      </c>
      <c r="G362" s="259"/>
      <c r="H362" s="259"/>
      <c r="I362" s="259"/>
      <c r="J362" s="260">
        <v>1</v>
      </c>
      <c r="K362" s="259" t="s">
        <v>658</v>
      </c>
      <c r="L362" s="304">
        <v>8264.48</v>
      </c>
      <c r="M362" s="260">
        <v>0</v>
      </c>
      <c r="N362" s="260">
        <v>0</v>
      </c>
      <c r="O362" s="260">
        <v>0</v>
      </c>
      <c r="P362" s="304">
        <v>1735.54</v>
      </c>
      <c r="Q362" s="303">
        <v>10000</v>
      </c>
    </row>
    <row r="363" spans="1:17">
      <c r="A363" s="259" t="s">
        <v>954</v>
      </c>
      <c r="B363" s="259" t="s">
        <v>956</v>
      </c>
      <c r="C363" s="260">
        <v>3</v>
      </c>
      <c r="D363" s="260">
        <v>2780</v>
      </c>
      <c r="E363" s="259"/>
      <c r="F363" s="260">
        <v>74408885540042</v>
      </c>
      <c r="G363" s="259"/>
      <c r="H363" s="259"/>
      <c r="I363" s="259"/>
      <c r="J363" s="260">
        <v>1</v>
      </c>
      <c r="K363" s="259" t="s">
        <v>658</v>
      </c>
      <c r="L363" s="304">
        <v>8264.48</v>
      </c>
      <c r="M363" s="260">
        <v>0</v>
      </c>
      <c r="N363" s="260">
        <v>0</v>
      </c>
      <c r="O363" s="260">
        <v>0</v>
      </c>
      <c r="P363" s="304">
        <v>1735.54</v>
      </c>
      <c r="Q363" s="303">
        <v>10000</v>
      </c>
    </row>
    <row r="364" spans="1:17">
      <c r="A364" s="259" t="s">
        <v>954</v>
      </c>
      <c r="B364" s="259" t="s">
        <v>956</v>
      </c>
      <c r="C364" s="260">
        <v>3</v>
      </c>
      <c r="D364" s="260">
        <v>2781</v>
      </c>
      <c r="E364" s="259"/>
      <c r="F364" s="260">
        <v>74408886428496</v>
      </c>
      <c r="G364" s="259"/>
      <c r="H364" s="259"/>
      <c r="I364" s="259" t="s">
        <v>959</v>
      </c>
      <c r="J364" s="260">
        <v>1</v>
      </c>
      <c r="K364" s="259" t="s">
        <v>658</v>
      </c>
      <c r="L364" s="302">
        <v>37190.1</v>
      </c>
      <c r="M364" s="260">
        <v>0</v>
      </c>
      <c r="N364" s="260">
        <v>0</v>
      </c>
      <c r="O364" s="260">
        <v>0</v>
      </c>
      <c r="P364" s="304">
        <v>7809.92</v>
      </c>
      <c r="Q364" s="303">
        <v>45000</v>
      </c>
    </row>
    <row r="365" spans="1:17">
      <c r="A365" s="259" t="s">
        <v>954</v>
      </c>
      <c r="B365" s="259" t="s">
        <v>956</v>
      </c>
      <c r="C365" s="260">
        <v>3</v>
      </c>
      <c r="D365" s="260">
        <v>2782</v>
      </c>
      <c r="E365" s="259"/>
      <c r="F365" s="260">
        <v>74408886749305</v>
      </c>
      <c r="G365" s="259"/>
      <c r="H365" s="259"/>
      <c r="I365" s="259"/>
      <c r="J365" s="260">
        <v>1</v>
      </c>
      <c r="K365" s="259" t="s">
        <v>658</v>
      </c>
      <c r="L365" s="304">
        <v>22314.05</v>
      </c>
      <c r="M365" s="260">
        <v>0</v>
      </c>
      <c r="N365" s="260">
        <v>0</v>
      </c>
      <c r="O365" s="260">
        <v>0</v>
      </c>
      <c r="P365" s="304">
        <v>4685.95</v>
      </c>
      <c r="Q365" s="303">
        <v>27000</v>
      </c>
    </row>
    <row r="366" spans="1:17">
      <c r="A366" s="259" t="s">
        <v>954</v>
      </c>
      <c r="B366" s="259" t="s">
        <v>956</v>
      </c>
      <c r="C366" s="260">
        <v>3</v>
      </c>
      <c r="D366" s="260">
        <v>2783</v>
      </c>
      <c r="E366" s="259"/>
      <c r="F366" s="260">
        <v>74408887341130</v>
      </c>
      <c r="G366" s="259"/>
      <c r="H366" s="259"/>
      <c r="I366" s="259"/>
      <c r="J366" s="260">
        <v>1</v>
      </c>
      <c r="K366" s="259" t="s">
        <v>658</v>
      </c>
      <c r="L366" s="304">
        <v>14669.43</v>
      </c>
      <c r="M366" s="260">
        <v>0</v>
      </c>
      <c r="N366" s="260">
        <v>0</v>
      </c>
      <c r="O366" s="260">
        <v>0</v>
      </c>
      <c r="P366" s="304">
        <v>3080.58</v>
      </c>
      <c r="Q366" s="303">
        <v>17750</v>
      </c>
    </row>
    <row r="367" spans="1:17">
      <c r="A367" s="259" t="s">
        <v>954</v>
      </c>
      <c r="B367" s="259" t="s">
        <v>956</v>
      </c>
      <c r="C367" s="260">
        <v>3</v>
      </c>
      <c r="D367" s="260">
        <v>2784</v>
      </c>
      <c r="E367" s="259"/>
      <c r="F367" s="260">
        <v>74408887671902</v>
      </c>
      <c r="G367" s="259"/>
      <c r="H367" s="259"/>
      <c r="I367" s="259"/>
      <c r="J367" s="260">
        <v>1</v>
      </c>
      <c r="K367" s="259" t="s">
        <v>658</v>
      </c>
      <c r="L367" s="304">
        <v>14669.43</v>
      </c>
      <c r="M367" s="260">
        <v>0</v>
      </c>
      <c r="N367" s="260">
        <v>0</v>
      </c>
      <c r="O367" s="260">
        <v>0</v>
      </c>
      <c r="P367" s="304">
        <v>3080.58</v>
      </c>
      <c r="Q367" s="303">
        <v>17750</v>
      </c>
    </row>
    <row r="368" spans="1:17">
      <c r="A368" s="259" t="s">
        <v>954</v>
      </c>
      <c r="B368" s="259" t="s">
        <v>956</v>
      </c>
      <c r="C368" s="260">
        <v>3</v>
      </c>
      <c r="D368" s="260">
        <v>2785</v>
      </c>
      <c r="E368" s="259"/>
      <c r="F368" s="260">
        <v>74408888028047</v>
      </c>
      <c r="G368" s="259"/>
      <c r="H368" s="259"/>
      <c r="I368" s="259"/>
      <c r="J368" s="260">
        <v>1</v>
      </c>
      <c r="K368" s="259" t="s">
        <v>658</v>
      </c>
      <c r="L368" s="304">
        <v>16942.14</v>
      </c>
      <c r="M368" s="260">
        <v>0</v>
      </c>
      <c r="N368" s="260">
        <v>0</v>
      </c>
      <c r="O368" s="260">
        <v>0</v>
      </c>
      <c r="P368" s="304">
        <v>3557.85</v>
      </c>
      <c r="Q368" s="303">
        <v>20500</v>
      </c>
    </row>
    <row r="369" spans="1:17">
      <c r="A369" s="259" t="s">
        <v>954</v>
      </c>
      <c r="B369" s="259" t="s">
        <v>956</v>
      </c>
      <c r="C369" s="260">
        <v>3</v>
      </c>
      <c r="D369" s="260">
        <v>2786</v>
      </c>
      <c r="E369" s="259"/>
      <c r="F369" s="260">
        <v>74408888336882</v>
      </c>
      <c r="G369" s="259"/>
      <c r="H369" s="259"/>
      <c r="I369" s="259"/>
      <c r="J369" s="260">
        <v>1</v>
      </c>
      <c r="K369" s="259" t="s">
        <v>658</v>
      </c>
      <c r="L369" s="304">
        <v>29338.86</v>
      </c>
      <c r="M369" s="260">
        <v>0</v>
      </c>
      <c r="N369" s="260">
        <v>0</v>
      </c>
      <c r="O369" s="260">
        <v>0</v>
      </c>
      <c r="P369" s="304">
        <v>6161.16</v>
      </c>
      <c r="Q369" s="303">
        <v>35500</v>
      </c>
    </row>
    <row r="370" spans="1:17">
      <c r="A370" s="259" t="s">
        <v>954</v>
      </c>
      <c r="B370" s="259" t="s">
        <v>956</v>
      </c>
      <c r="C370" s="260">
        <v>3</v>
      </c>
      <c r="D370" s="260">
        <v>2787</v>
      </c>
      <c r="E370" s="259"/>
      <c r="F370" s="260">
        <v>74408888662134</v>
      </c>
      <c r="G370" s="259"/>
      <c r="H370" s="259"/>
      <c r="I370" s="259"/>
      <c r="J370" s="260">
        <v>1</v>
      </c>
      <c r="K370" s="259" t="s">
        <v>658</v>
      </c>
      <c r="L370" s="302">
        <v>12809.9</v>
      </c>
      <c r="M370" s="260">
        <v>0</v>
      </c>
      <c r="N370" s="260">
        <v>0</v>
      </c>
      <c r="O370" s="260">
        <v>0</v>
      </c>
      <c r="P370" s="304">
        <v>2690.08</v>
      </c>
      <c r="Q370" s="303">
        <v>15500</v>
      </c>
    </row>
    <row r="371" spans="1:17">
      <c r="A371" s="259" t="s">
        <v>954</v>
      </c>
      <c r="B371" s="259" t="s">
        <v>956</v>
      </c>
      <c r="C371" s="260">
        <v>3</v>
      </c>
      <c r="D371" s="260">
        <v>2788</v>
      </c>
      <c r="E371" s="259"/>
      <c r="F371" s="260">
        <v>74408888856498</v>
      </c>
      <c r="G371" s="259"/>
      <c r="H371" s="259"/>
      <c r="I371" s="259"/>
      <c r="J371" s="260">
        <v>1</v>
      </c>
      <c r="K371" s="259" t="s">
        <v>658</v>
      </c>
      <c r="L371" s="302">
        <v>4628.1000000000004</v>
      </c>
      <c r="M371" s="260">
        <v>0</v>
      </c>
      <c r="N371" s="260">
        <v>0</v>
      </c>
      <c r="O371" s="260">
        <v>0</v>
      </c>
      <c r="P371" s="302">
        <v>971.9</v>
      </c>
      <c r="Q371" s="303">
        <v>5600</v>
      </c>
    </row>
    <row r="372" spans="1:17">
      <c r="A372" s="259" t="s">
        <v>954</v>
      </c>
      <c r="B372" s="259" t="s">
        <v>956</v>
      </c>
      <c r="C372" s="260">
        <v>3</v>
      </c>
      <c r="D372" s="260">
        <v>2789</v>
      </c>
      <c r="E372" s="259"/>
      <c r="F372" s="260">
        <v>74408889095591</v>
      </c>
      <c r="G372" s="259"/>
      <c r="H372" s="259"/>
      <c r="I372" s="259"/>
      <c r="J372" s="260">
        <v>1</v>
      </c>
      <c r="K372" s="259" t="s">
        <v>658</v>
      </c>
      <c r="L372" s="304">
        <v>14669.43</v>
      </c>
      <c r="M372" s="260">
        <v>0</v>
      </c>
      <c r="N372" s="260">
        <v>0</v>
      </c>
      <c r="O372" s="260">
        <v>0</v>
      </c>
      <c r="P372" s="304">
        <v>3080.58</v>
      </c>
      <c r="Q372" s="303">
        <v>17750</v>
      </c>
    </row>
    <row r="373" spans="1:17">
      <c r="A373" s="259" t="s">
        <v>954</v>
      </c>
      <c r="B373" s="259" t="s">
        <v>956</v>
      </c>
      <c r="C373" s="260">
        <v>3</v>
      </c>
      <c r="D373" s="260">
        <v>2790</v>
      </c>
      <c r="E373" s="259"/>
      <c r="F373" s="260">
        <v>74408889445659</v>
      </c>
      <c r="G373" s="259"/>
      <c r="H373" s="259"/>
      <c r="I373" s="259"/>
      <c r="J373" s="260">
        <v>1</v>
      </c>
      <c r="K373" s="259" t="s">
        <v>658</v>
      </c>
      <c r="L373" s="302">
        <v>90909.1</v>
      </c>
      <c r="M373" s="260">
        <v>0</v>
      </c>
      <c r="N373" s="260">
        <v>0</v>
      </c>
      <c r="O373" s="260">
        <v>0</v>
      </c>
      <c r="P373" s="304">
        <v>19090.91</v>
      </c>
      <c r="Q373" s="303">
        <v>110000</v>
      </c>
    </row>
    <row r="374" spans="1:17">
      <c r="A374" s="259" t="s">
        <v>954</v>
      </c>
      <c r="B374" s="259" t="s">
        <v>956</v>
      </c>
      <c r="C374" s="260">
        <v>3</v>
      </c>
      <c r="D374" s="260">
        <v>2791</v>
      </c>
      <c r="E374" s="259"/>
      <c r="F374" s="260">
        <v>74408922508311</v>
      </c>
      <c r="G374" s="259" t="s">
        <v>957</v>
      </c>
      <c r="H374" s="260">
        <v>22049243</v>
      </c>
      <c r="I374" s="259" t="s">
        <v>958</v>
      </c>
      <c r="J374" s="260">
        <v>1</v>
      </c>
      <c r="K374" s="259" t="s">
        <v>658</v>
      </c>
      <c r="L374" s="304">
        <v>33801.67</v>
      </c>
      <c r="M374" s="260">
        <v>0</v>
      </c>
      <c r="N374" s="260">
        <v>0</v>
      </c>
      <c r="O374" s="260">
        <v>0</v>
      </c>
      <c r="P374" s="304">
        <v>7098.35</v>
      </c>
      <c r="Q374" s="303">
        <v>40900</v>
      </c>
    </row>
    <row r="375" spans="1:17">
      <c r="A375" s="259" t="s">
        <v>954</v>
      </c>
      <c r="B375" s="259" t="s">
        <v>956</v>
      </c>
      <c r="C375" s="260">
        <v>3</v>
      </c>
      <c r="D375" s="260">
        <v>2792</v>
      </c>
      <c r="E375" s="259"/>
      <c r="F375" s="260">
        <v>74408937516338</v>
      </c>
      <c r="G375" s="259"/>
      <c r="H375" s="259"/>
      <c r="I375" s="259"/>
      <c r="J375" s="260">
        <v>1</v>
      </c>
      <c r="K375" s="259" t="s">
        <v>658</v>
      </c>
      <c r="L375" s="304">
        <v>31818.19</v>
      </c>
      <c r="M375" s="260">
        <v>0</v>
      </c>
      <c r="N375" s="260">
        <v>0</v>
      </c>
      <c r="O375" s="260">
        <v>0</v>
      </c>
      <c r="P375" s="304">
        <v>6681.82</v>
      </c>
      <c r="Q375" s="303">
        <v>38500</v>
      </c>
    </row>
    <row r="376" spans="1:17">
      <c r="A376" s="259" t="s">
        <v>954</v>
      </c>
      <c r="B376" s="259" t="s">
        <v>956</v>
      </c>
      <c r="C376" s="260">
        <v>3</v>
      </c>
      <c r="D376" s="260">
        <v>2793</v>
      </c>
      <c r="E376" s="259"/>
      <c r="F376" s="260">
        <v>74408942327090</v>
      </c>
      <c r="G376" s="259" t="s">
        <v>7</v>
      </c>
      <c r="H376" s="260">
        <v>30590354798</v>
      </c>
      <c r="I376" s="259" t="s">
        <v>81</v>
      </c>
      <c r="J376" s="260">
        <v>1</v>
      </c>
      <c r="K376" s="259" t="s">
        <v>658</v>
      </c>
      <c r="L376" s="304">
        <v>3835586.81</v>
      </c>
      <c r="M376" s="260">
        <v>0</v>
      </c>
      <c r="N376" s="260">
        <v>0</v>
      </c>
      <c r="O376" s="260">
        <v>0</v>
      </c>
      <c r="P376" s="304">
        <v>805473.23</v>
      </c>
      <c r="Q376" s="303">
        <v>4641060</v>
      </c>
    </row>
    <row r="377" spans="1:17">
      <c r="A377" s="259" t="s">
        <v>1038</v>
      </c>
      <c r="B377" s="259" t="s">
        <v>656</v>
      </c>
      <c r="C377" s="260">
        <v>7</v>
      </c>
      <c r="D377" s="260">
        <v>2213</v>
      </c>
      <c r="E377" s="259"/>
      <c r="F377" s="260">
        <v>74438665957478</v>
      </c>
      <c r="G377" s="259" t="s">
        <v>7</v>
      </c>
      <c r="H377" s="260">
        <v>30522428163</v>
      </c>
      <c r="I377" s="259" t="s">
        <v>955</v>
      </c>
      <c r="J377" s="260">
        <v>1</v>
      </c>
      <c r="K377" s="259" t="s">
        <v>658</v>
      </c>
      <c r="L377" s="304">
        <v>887603.31</v>
      </c>
      <c r="M377" s="260">
        <v>0</v>
      </c>
      <c r="N377" s="260">
        <v>0</v>
      </c>
      <c r="O377" s="260">
        <v>0</v>
      </c>
      <c r="P377" s="304">
        <v>186396.69</v>
      </c>
      <c r="Q377" s="303">
        <v>1074000</v>
      </c>
    </row>
    <row r="378" spans="1:17">
      <c r="A378" s="259" t="s">
        <v>962</v>
      </c>
      <c r="B378" s="259" t="s">
        <v>956</v>
      </c>
      <c r="C378" s="260">
        <v>3</v>
      </c>
      <c r="D378" s="260">
        <v>2794</v>
      </c>
      <c r="E378" s="259"/>
      <c r="F378" s="260">
        <v>74408061704539</v>
      </c>
      <c r="G378" s="259" t="s">
        <v>7</v>
      </c>
      <c r="H378" s="260">
        <v>27137980008</v>
      </c>
      <c r="I378" s="259" t="s">
        <v>963</v>
      </c>
      <c r="J378" s="260">
        <v>1</v>
      </c>
      <c r="K378" s="259" t="s">
        <v>658</v>
      </c>
      <c r="L378" s="304">
        <v>22314.05</v>
      </c>
      <c r="M378" s="260">
        <v>0</v>
      </c>
      <c r="N378" s="260">
        <v>0</v>
      </c>
      <c r="O378" s="260">
        <v>0</v>
      </c>
      <c r="P378" s="304">
        <v>4685.95</v>
      </c>
      <c r="Q378" s="303">
        <v>27000</v>
      </c>
    </row>
    <row r="379" spans="1:17">
      <c r="A379" s="259" t="s">
        <v>964</v>
      </c>
      <c r="B379" s="259" t="s">
        <v>956</v>
      </c>
      <c r="C379" s="260">
        <v>3</v>
      </c>
      <c r="D379" s="260">
        <v>2795</v>
      </c>
      <c r="E379" s="259"/>
      <c r="F379" s="260">
        <v>74408207162493</v>
      </c>
      <c r="G379" s="259" t="s">
        <v>957</v>
      </c>
      <c r="H379" s="260">
        <v>10240946</v>
      </c>
      <c r="I379" s="259" t="s">
        <v>965</v>
      </c>
      <c r="J379" s="260">
        <v>1</v>
      </c>
      <c r="K379" s="259" t="s">
        <v>658</v>
      </c>
      <c r="L379" s="304">
        <v>12314.05</v>
      </c>
      <c r="M379" s="260">
        <v>0</v>
      </c>
      <c r="N379" s="260">
        <v>0</v>
      </c>
      <c r="O379" s="260">
        <v>0</v>
      </c>
      <c r="P379" s="304">
        <v>2585.9499999999998</v>
      </c>
      <c r="Q379" s="303">
        <v>14900</v>
      </c>
    </row>
    <row r="380" spans="1:17">
      <c r="A380" s="259" t="s">
        <v>979</v>
      </c>
      <c r="B380" s="259" t="s">
        <v>956</v>
      </c>
      <c r="C380" s="260">
        <v>3</v>
      </c>
      <c r="D380" s="260">
        <v>2796</v>
      </c>
      <c r="E380" s="259"/>
      <c r="F380" s="260">
        <v>74418893341715</v>
      </c>
      <c r="G380" s="259" t="s">
        <v>957</v>
      </c>
      <c r="H380" s="260">
        <v>28370794</v>
      </c>
      <c r="I380" s="259" t="s">
        <v>984</v>
      </c>
      <c r="J380" s="260">
        <v>1</v>
      </c>
      <c r="K380" s="259" t="s">
        <v>658</v>
      </c>
      <c r="L380" s="304">
        <v>10743.81</v>
      </c>
      <c r="M380" s="260">
        <v>0</v>
      </c>
      <c r="N380" s="260">
        <v>0</v>
      </c>
      <c r="O380" s="260">
        <v>0</v>
      </c>
      <c r="P380" s="302">
        <v>2256.1999999999998</v>
      </c>
      <c r="Q380" s="303">
        <v>13000</v>
      </c>
    </row>
    <row r="381" spans="1:17">
      <c r="A381" s="259" t="s">
        <v>979</v>
      </c>
      <c r="B381" s="259" t="s">
        <v>956</v>
      </c>
      <c r="C381" s="260">
        <v>3</v>
      </c>
      <c r="D381" s="260">
        <v>2797</v>
      </c>
      <c r="E381" s="259"/>
      <c r="F381" s="260">
        <v>74418926948237</v>
      </c>
      <c r="G381" s="259" t="s">
        <v>957</v>
      </c>
      <c r="H381" s="260">
        <v>93102721</v>
      </c>
      <c r="I381" s="259" t="s">
        <v>988</v>
      </c>
      <c r="J381" s="260">
        <v>1</v>
      </c>
      <c r="K381" s="259" t="s">
        <v>658</v>
      </c>
      <c r="L381" s="304">
        <v>12396.71</v>
      </c>
      <c r="M381" s="260">
        <v>0</v>
      </c>
      <c r="N381" s="260">
        <v>0</v>
      </c>
      <c r="O381" s="260">
        <v>0</v>
      </c>
      <c r="P381" s="304">
        <v>2603.31</v>
      </c>
      <c r="Q381" s="303">
        <v>15000</v>
      </c>
    </row>
    <row r="382" spans="1:17">
      <c r="A382" s="259" t="s">
        <v>979</v>
      </c>
      <c r="B382" s="259" t="s">
        <v>956</v>
      </c>
      <c r="C382" s="260">
        <v>3</v>
      </c>
      <c r="D382" s="260">
        <v>2798</v>
      </c>
      <c r="E382" s="259"/>
      <c r="F382" s="260">
        <v>74418936661612</v>
      </c>
      <c r="G382" s="259" t="s">
        <v>957</v>
      </c>
      <c r="H382" s="260">
        <v>4404079</v>
      </c>
      <c r="I382" s="259" t="s">
        <v>983</v>
      </c>
      <c r="J382" s="260">
        <v>1</v>
      </c>
      <c r="K382" s="259" t="s">
        <v>658</v>
      </c>
      <c r="L382" s="304">
        <v>26446.29</v>
      </c>
      <c r="M382" s="260">
        <v>0</v>
      </c>
      <c r="N382" s="260">
        <v>0</v>
      </c>
      <c r="O382" s="260">
        <v>0</v>
      </c>
      <c r="P382" s="304">
        <v>5553.72</v>
      </c>
      <c r="Q382" s="303">
        <v>32000</v>
      </c>
    </row>
    <row r="383" spans="1:17">
      <c r="A383" s="259" t="s">
        <v>979</v>
      </c>
      <c r="B383" s="259" t="s">
        <v>956</v>
      </c>
      <c r="C383" s="260">
        <v>3</v>
      </c>
      <c r="D383" s="260">
        <v>2799</v>
      </c>
      <c r="E383" s="259"/>
      <c r="F383" s="260">
        <v>74418937266893</v>
      </c>
      <c r="G383" s="259" t="s">
        <v>957</v>
      </c>
      <c r="H383" s="260">
        <v>46027091</v>
      </c>
      <c r="I383" s="259" t="s">
        <v>985</v>
      </c>
      <c r="J383" s="260">
        <v>1</v>
      </c>
      <c r="K383" s="259" t="s">
        <v>658</v>
      </c>
      <c r="L383" s="304">
        <v>15619.86</v>
      </c>
      <c r="M383" s="260">
        <v>0</v>
      </c>
      <c r="N383" s="260">
        <v>0</v>
      </c>
      <c r="O383" s="260">
        <v>0</v>
      </c>
      <c r="P383" s="304">
        <v>3280.17</v>
      </c>
      <c r="Q383" s="303">
        <v>18900</v>
      </c>
    </row>
    <row r="384" spans="1:17">
      <c r="A384" s="259" t="s">
        <v>979</v>
      </c>
      <c r="B384" s="259" t="s">
        <v>956</v>
      </c>
      <c r="C384" s="260">
        <v>3</v>
      </c>
      <c r="D384" s="260">
        <v>2800</v>
      </c>
      <c r="E384" s="259"/>
      <c r="F384" s="260">
        <v>74418937918569</v>
      </c>
      <c r="G384" s="259" t="s">
        <v>957</v>
      </c>
      <c r="H384" s="260">
        <v>3868027</v>
      </c>
      <c r="I384" s="259" t="s">
        <v>987</v>
      </c>
      <c r="J384" s="260">
        <v>1</v>
      </c>
      <c r="K384" s="259" t="s">
        <v>658</v>
      </c>
      <c r="L384" s="304">
        <v>17768.57</v>
      </c>
      <c r="M384" s="260">
        <v>0</v>
      </c>
      <c r="N384" s="260">
        <v>0</v>
      </c>
      <c r="O384" s="260">
        <v>0</v>
      </c>
      <c r="P384" s="302">
        <v>3731.4</v>
      </c>
      <c r="Q384" s="303">
        <v>21500</v>
      </c>
    </row>
    <row r="385" spans="1:17">
      <c r="A385" s="259" t="s">
        <v>979</v>
      </c>
      <c r="B385" s="259" t="s">
        <v>956</v>
      </c>
      <c r="C385" s="260">
        <v>3</v>
      </c>
      <c r="D385" s="260">
        <v>2801</v>
      </c>
      <c r="E385" s="259"/>
      <c r="F385" s="260">
        <v>74418938484300</v>
      </c>
      <c r="G385" s="259" t="s">
        <v>957</v>
      </c>
      <c r="H385" s="260">
        <v>18220005</v>
      </c>
      <c r="I385" s="259" t="s">
        <v>989</v>
      </c>
      <c r="J385" s="260">
        <v>1</v>
      </c>
      <c r="K385" s="259" t="s">
        <v>658</v>
      </c>
      <c r="L385" s="304">
        <v>10330.57</v>
      </c>
      <c r="M385" s="260">
        <v>0</v>
      </c>
      <c r="N385" s="260">
        <v>0</v>
      </c>
      <c r="O385" s="260">
        <v>0</v>
      </c>
      <c r="P385" s="304">
        <v>2169.42</v>
      </c>
      <c r="Q385" s="303">
        <v>12500</v>
      </c>
    </row>
    <row r="386" spans="1:17">
      <c r="A386" s="259" t="s">
        <v>979</v>
      </c>
      <c r="B386" s="259" t="s">
        <v>956</v>
      </c>
      <c r="C386" s="260">
        <v>3</v>
      </c>
      <c r="D386" s="260">
        <v>2802</v>
      </c>
      <c r="E386" s="259"/>
      <c r="F386" s="260">
        <v>74418939158185</v>
      </c>
      <c r="G386" s="259" t="s">
        <v>957</v>
      </c>
      <c r="H386" s="260">
        <v>30371510</v>
      </c>
      <c r="I386" s="259" t="s">
        <v>982</v>
      </c>
      <c r="J386" s="260">
        <v>1</v>
      </c>
      <c r="K386" s="259" t="s">
        <v>658</v>
      </c>
      <c r="L386" s="304">
        <v>21900.81</v>
      </c>
      <c r="M386" s="260">
        <v>0</v>
      </c>
      <c r="N386" s="260">
        <v>0</v>
      </c>
      <c r="O386" s="260">
        <v>0</v>
      </c>
      <c r="P386" s="304">
        <v>4599.17</v>
      </c>
      <c r="Q386" s="303">
        <v>26500</v>
      </c>
    </row>
    <row r="387" spans="1:17">
      <c r="A387" s="259" t="s">
        <v>979</v>
      </c>
      <c r="B387" s="259" t="s">
        <v>956</v>
      </c>
      <c r="C387" s="260">
        <v>3</v>
      </c>
      <c r="D387" s="260">
        <v>2803</v>
      </c>
      <c r="E387" s="259"/>
      <c r="F387" s="260">
        <v>74418940253426</v>
      </c>
      <c r="G387" s="259" t="s">
        <v>957</v>
      </c>
      <c r="H387" s="260">
        <v>17795042</v>
      </c>
      <c r="I387" s="259" t="s">
        <v>986</v>
      </c>
      <c r="J387" s="260">
        <v>1</v>
      </c>
      <c r="K387" s="259" t="s">
        <v>658</v>
      </c>
      <c r="L387" s="304">
        <v>35041.33</v>
      </c>
      <c r="M387" s="260">
        <v>0</v>
      </c>
      <c r="N387" s="260">
        <v>0</v>
      </c>
      <c r="O387" s="260">
        <v>0</v>
      </c>
      <c r="P387" s="304">
        <v>7358.68</v>
      </c>
      <c r="Q387" s="303">
        <v>42400</v>
      </c>
    </row>
    <row r="388" spans="1:17">
      <c r="A388" s="259" t="s">
        <v>1040</v>
      </c>
      <c r="B388" s="259" t="s">
        <v>656</v>
      </c>
      <c r="C388" s="260">
        <v>7</v>
      </c>
      <c r="D388" s="260">
        <v>2214</v>
      </c>
      <c r="E388" s="259"/>
      <c r="F388" s="260">
        <v>74438753302067</v>
      </c>
      <c r="G388" s="259" t="s">
        <v>7</v>
      </c>
      <c r="H388" s="260">
        <v>30683032227</v>
      </c>
      <c r="I388" s="259" t="s">
        <v>972</v>
      </c>
      <c r="J388" s="260">
        <v>1</v>
      </c>
      <c r="K388" s="259" t="s">
        <v>658</v>
      </c>
      <c r="L388" s="304">
        <v>319008.26</v>
      </c>
      <c r="M388" s="260">
        <v>0</v>
      </c>
      <c r="N388" s="260">
        <v>0</v>
      </c>
      <c r="O388" s="260">
        <v>0</v>
      </c>
      <c r="P388" s="304">
        <v>66991.740000000005</v>
      </c>
      <c r="Q388" s="303">
        <v>386000</v>
      </c>
    </row>
    <row r="389" spans="1:17">
      <c r="A389" s="259" t="s">
        <v>1040</v>
      </c>
      <c r="B389" s="259" t="s">
        <v>656</v>
      </c>
      <c r="C389" s="260">
        <v>7</v>
      </c>
      <c r="D389" s="260">
        <v>2215</v>
      </c>
      <c r="E389" s="259"/>
      <c r="F389" s="260">
        <v>74438755278682</v>
      </c>
      <c r="G389" s="259" t="s">
        <v>7</v>
      </c>
      <c r="H389" s="260">
        <v>30683032227</v>
      </c>
      <c r="I389" s="259" t="s">
        <v>972</v>
      </c>
      <c r="J389" s="260">
        <v>1</v>
      </c>
      <c r="K389" s="259" t="s">
        <v>658</v>
      </c>
      <c r="L389" s="304">
        <v>972429.75</v>
      </c>
      <c r="M389" s="260">
        <v>0</v>
      </c>
      <c r="N389" s="260">
        <v>0</v>
      </c>
      <c r="O389" s="260">
        <v>0</v>
      </c>
      <c r="P389" s="304">
        <v>204210.25</v>
      </c>
      <c r="Q389" s="303">
        <v>1176640</v>
      </c>
    </row>
    <row r="390" spans="1:17">
      <c r="A390" s="259" t="s">
        <v>1040</v>
      </c>
      <c r="B390" s="259" t="s">
        <v>656</v>
      </c>
      <c r="C390" s="260">
        <v>7</v>
      </c>
      <c r="D390" s="260">
        <v>2216</v>
      </c>
      <c r="E390" s="259"/>
      <c r="F390" s="260">
        <v>74438765694909</v>
      </c>
      <c r="G390" s="259" t="s">
        <v>7</v>
      </c>
      <c r="H390" s="260">
        <v>30683032227</v>
      </c>
      <c r="I390" s="259" t="s">
        <v>972</v>
      </c>
      <c r="J390" s="260">
        <v>1</v>
      </c>
      <c r="K390" s="259" t="s">
        <v>658</v>
      </c>
      <c r="L390" s="303">
        <v>230280</v>
      </c>
      <c r="M390" s="260">
        <v>0</v>
      </c>
      <c r="N390" s="260">
        <v>0</v>
      </c>
      <c r="O390" s="260">
        <v>0</v>
      </c>
      <c r="P390" s="302">
        <v>48358.8</v>
      </c>
      <c r="Q390" s="302">
        <v>278638.8</v>
      </c>
    </row>
    <row r="391" spans="1:17">
      <c r="A391" s="259" t="s">
        <v>1040</v>
      </c>
      <c r="B391" s="259" t="s">
        <v>656</v>
      </c>
      <c r="C391" s="260">
        <v>7</v>
      </c>
      <c r="D391" s="260">
        <v>2217</v>
      </c>
      <c r="E391" s="259"/>
      <c r="F391" s="260">
        <v>74438767079199</v>
      </c>
      <c r="G391" s="259" t="s">
        <v>7</v>
      </c>
      <c r="H391" s="260">
        <v>30608716390</v>
      </c>
      <c r="I391" s="259" t="s">
        <v>974</v>
      </c>
      <c r="J391" s="260">
        <v>1</v>
      </c>
      <c r="K391" s="259" t="s">
        <v>658</v>
      </c>
      <c r="L391" s="304">
        <v>9020.66</v>
      </c>
      <c r="M391" s="260">
        <v>0</v>
      </c>
      <c r="N391" s="260">
        <v>0</v>
      </c>
      <c r="O391" s="260">
        <v>0</v>
      </c>
      <c r="P391" s="304">
        <v>1894.34</v>
      </c>
      <c r="Q391" s="303">
        <v>10915</v>
      </c>
    </row>
    <row r="392" spans="1:17">
      <c r="A392" s="259" t="s">
        <v>1040</v>
      </c>
      <c r="B392" s="259" t="s">
        <v>656</v>
      </c>
      <c r="C392" s="260">
        <v>7</v>
      </c>
      <c r="D392" s="260">
        <v>2218</v>
      </c>
      <c r="E392" s="259"/>
      <c r="F392" s="260">
        <v>74438768847831</v>
      </c>
      <c r="G392" s="259" t="s">
        <v>7</v>
      </c>
      <c r="H392" s="260">
        <v>30546771314</v>
      </c>
      <c r="I392" s="259" t="s">
        <v>975</v>
      </c>
      <c r="J392" s="260">
        <v>1</v>
      </c>
      <c r="K392" s="259" t="s">
        <v>658</v>
      </c>
      <c r="L392" s="304">
        <v>35123.97</v>
      </c>
      <c r="M392" s="260">
        <v>0</v>
      </c>
      <c r="N392" s="260">
        <v>0</v>
      </c>
      <c r="O392" s="260">
        <v>0</v>
      </c>
      <c r="P392" s="304">
        <v>7376.03</v>
      </c>
      <c r="Q392" s="303">
        <v>42500</v>
      </c>
    </row>
    <row r="393" spans="1:17">
      <c r="A393" s="259" t="s">
        <v>979</v>
      </c>
      <c r="B393" s="259" t="s">
        <v>956</v>
      </c>
      <c r="C393" s="260">
        <v>3</v>
      </c>
      <c r="D393" s="260">
        <v>2804</v>
      </c>
      <c r="E393" s="259"/>
      <c r="F393" s="260">
        <v>74418940801939</v>
      </c>
      <c r="G393" s="259" t="s">
        <v>7</v>
      </c>
      <c r="H393" s="260">
        <v>27137980008</v>
      </c>
      <c r="I393" s="259" t="s">
        <v>963</v>
      </c>
      <c r="J393" s="260">
        <v>1</v>
      </c>
      <c r="K393" s="259" t="s">
        <v>658</v>
      </c>
      <c r="L393" s="304">
        <v>22314.05</v>
      </c>
      <c r="M393" s="260">
        <v>0</v>
      </c>
      <c r="N393" s="260">
        <v>0</v>
      </c>
      <c r="O393" s="260">
        <v>0</v>
      </c>
      <c r="P393" s="304">
        <v>4685.95</v>
      </c>
      <c r="Q393" s="303">
        <v>27000</v>
      </c>
    </row>
    <row r="394" spans="1:17">
      <c r="A394" s="259" t="s">
        <v>979</v>
      </c>
      <c r="B394" s="259" t="s">
        <v>956</v>
      </c>
      <c r="C394" s="260">
        <v>3</v>
      </c>
      <c r="D394" s="260">
        <v>2805</v>
      </c>
      <c r="E394" s="259"/>
      <c r="F394" s="260">
        <v>74418941201399</v>
      </c>
      <c r="G394" s="259" t="s">
        <v>957</v>
      </c>
      <c r="H394" s="260">
        <v>35112162</v>
      </c>
      <c r="I394" s="259" t="s">
        <v>990</v>
      </c>
      <c r="J394" s="260">
        <v>1</v>
      </c>
      <c r="K394" s="259" t="s">
        <v>658</v>
      </c>
      <c r="L394" s="304">
        <v>12396.71</v>
      </c>
      <c r="M394" s="260">
        <v>0</v>
      </c>
      <c r="N394" s="260">
        <v>0</v>
      </c>
      <c r="O394" s="260">
        <v>0</v>
      </c>
      <c r="P394" s="304">
        <v>2603.31</v>
      </c>
      <c r="Q394" s="303">
        <v>15000</v>
      </c>
    </row>
    <row r="395" spans="1:17">
      <c r="A395" s="259" t="s">
        <v>979</v>
      </c>
      <c r="B395" s="259" t="s">
        <v>956</v>
      </c>
      <c r="C395" s="260">
        <v>3</v>
      </c>
      <c r="D395" s="260">
        <v>2806</v>
      </c>
      <c r="E395" s="259"/>
      <c r="F395" s="260">
        <v>74418954921486</v>
      </c>
      <c r="G395" s="259" t="s">
        <v>957</v>
      </c>
      <c r="H395" s="260">
        <v>14981797</v>
      </c>
      <c r="I395" s="259" t="s">
        <v>991</v>
      </c>
      <c r="J395" s="260">
        <v>1</v>
      </c>
      <c r="K395" s="259" t="s">
        <v>658</v>
      </c>
      <c r="L395" s="304">
        <v>28512.38</v>
      </c>
      <c r="M395" s="260">
        <v>0</v>
      </c>
      <c r="N395" s="260">
        <v>0</v>
      </c>
      <c r="O395" s="260">
        <v>0</v>
      </c>
      <c r="P395" s="302">
        <v>5987.6</v>
      </c>
      <c r="Q395" s="303">
        <v>34500</v>
      </c>
    </row>
    <row r="396" spans="1:17">
      <c r="A396" s="259" t="s">
        <v>992</v>
      </c>
      <c r="B396" s="259" t="s">
        <v>956</v>
      </c>
      <c r="C396" s="260">
        <v>3</v>
      </c>
      <c r="D396" s="260">
        <v>2807</v>
      </c>
      <c r="E396" s="259"/>
      <c r="F396" s="260">
        <v>74418029742933</v>
      </c>
      <c r="G396" s="259" t="s">
        <v>957</v>
      </c>
      <c r="H396" s="260">
        <v>22493216</v>
      </c>
      <c r="I396" s="259" t="s">
        <v>994</v>
      </c>
      <c r="J396" s="260">
        <v>1</v>
      </c>
      <c r="K396" s="259" t="s">
        <v>658</v>
      </c>
      <c r="L396" s="304">
        <v>14752.05</v>
      </c>
      <c r="M396" s="260">
        <v>0</v>
      </c>
      <c r="N396" s="260">
        <v>0</v>
      </c>
      <c r="O396" s="260">
        <v>0</v>
      </c>
      <c r="P396" s="304">
        <v>3097.93</v>
      </c>
      <c r="Q396" s="303">
        <v>17850</v>
      </c>
    </row>
    <row r="397" spans="1:17">
      <c r="A397" s="259" t="s">
        <v>992</v>
      </c>
      <c r="B397" s="259" t="s">
        <v>956</v>
      </c>
      <c r="C397" s="260">
        <v>3</v>
      </c>
      <c r="D397" s="260">
        <v>2808</v>
      </c>
      <c r="E397" s="259"/>
      <c r="F397" s="260">
        <v>74418031478688</v>
      </c>
      <c r="G397" s="259" t="s">
        <v>957</v>
      </c>
      <c r="H397" s="260">
        <v>4160867</v>
      </c>
      <c r="I397" s="259" t="s">
        <v>995</v>
      </c>
      <c r="J397" s="260">
        <v>1</v>
      </c>
      <c r="K397" s="259" t="s">
        <v>658</v>
      </c>
      <c r="L397" s="304">
        <v>14876.05</v>
      </c>
      <c r="M397" s="260">
        <v>0</v>
      </c>
      <c r="N397" s="260">
        <v>0</v>
      </c>
      <c r="O397" s="260">
        <v>0</v>
      </c>
      <c r="P397" s="304">
        <v>3123.97</v>
      </c>
      <c r="Q397" s="303">
        <v>18000</v>
      </c>
    </row>
    <row r="398" spans="1:17">
      <c r="A398" s="259" t="s">
        <v>992</v>
      </c>
      <c r="B398" s="259" t="s">
        <v>956</v>
      </c>
      <c r="C398" s="260">
        <v>3</v>
      </c>
      <c r="D398" s="260">
        <v>2809</v>
      </c>
      <c r="E398" s="259"/>
      <c r="F398" s="260">
        <v>74418032273907</v>
      </c>
      <c r="G398" s="259" t="s">
        <v>957</v>
      </c>
      <c r="H398" s="260">
        <v>24268487</v>
      </c>
      <c r="I398" s="259" t="s">
        <v>998</v>
      </c>
      <c r="J398" s="260">
        <v>1</v>
      </c>
      <c r="K398" s="259" t="s">
        <v>658</v>
      </c>
      <c r="L398" s="304">
        <v>14876.05</v>
      </c>
      <c r="M398" s="260">
        <v>0</v>
      </c>
      <c r="N398" s="260">
        <v>0</v>
      </c>
      <c r="O398" s="260">
        <v>0</v>
      </c>
      <c r="P398" s="304">
        <v>3123.97</v>
      </c>
      <c r="Q398" s="303">
        <v>18000</v>
      </c>
    </row>
    <row r="399" spans="1:17">
      <c r="A399" s="259" t="s">
        <v>992</v>
      </c>
      <c r="B399" s="259" t="s">
        <v>956</v>
      </c>
      <c r="C399" s="260">
        <v>3</v>
      </c>
      <c r="D399" s="260">
        <v>2810</v>
      </c>
      <c r="E399" s="259"/>
      <c r="F399" s="260">
        <v>74418048607742</v>
      </c>
      <c r="G399" s="259" t="s">
        <v>957</v>
      </c>
      <c r="H399" s="260">
        <v>46873125</v>
      </c>
      <c r="I399" s="259" t="s">
        <v>997</v>
      </c>
      <c r="J399" s="260">
        <v>1</v>
      </c>
      <c r="K399" s="259" t="s">
        <v>658</v>
      </c>
      <c r="L399" s="304">
        <v>41322.33</v>
      </c>
      <c r="M399" s="260">
        <v>0</v>
      </c>
      <c r="N399" s="260">
        <v>0</v>
      </c>
      <c r="O399" s="260">
        <v>0</v>
      </c>
      <c r="P399" s="304">
        <v>8677.69</v>
      </c>
      <c r="Q399" s="303">
        <v>50000</v>
      </c>
    </row>
    <row r="400" spans="1:17">
      <c r="A400" s="259" t="s">
        <v>992</v>
      </c>
      <c r="B400" s="259" t="s">
        <v>956</v>
      </c>
      <c r="C400" s="260">
        <v>3</v>
      </c>
      <c r="D400" s="260">
        <v>2811</v>
      </c>
      <c r="E400" s="259"/>
      <c r="F400" s="260">
        <v>74418075328630</v>
      </c>
      <c r="G400" s="259" t="s">
        <v>957</v>
      </c>
      <c r="H400" s="260">
        <v>35958893</v>
      </c>
      <c r="I400" s="259" t="s">
        <v>996</v>
      </c>
      <c r="J400" s="260">
        <v>1</v>
      </c>
      <c r="K400" s="259" t="s">
        <v>658</v>
      </c>
      <c r="L400" s="304">
        <v>41322.33</v>
      </c>
      <c r="M400" s="260">
        <v>0</v>
      </c>
      <c r="N400" s="260">
        <v>0</v>
      </c>
      <c r="O400" s="260">
        <v>0</v>
      </c>
      <c r="P400" s="304">
        <v>8677.69</v>
      </c>
      <c r="Q400" s="303">
        <v>50000</v>
      </c>
    </row>
    <row r="401" spans="1:17">
      <c r="A401" s="259" t="s">
        <v>999</v>
      </c>
      <c r="B401" s="259" t="s">
        <v>956</v>
      </c>
      <c r="C401" s="260">
        <v>3</v>
      </c>
      <c r="D401" s="260">
        <v>2812</v>
      </c>
      <c r="E401" s="259"/>
      <c r="F401" s="260">
        <v>74428416496835</v>
      </c>
      <c r="G401" s="259" t="s">
        <v>957</v>
      </c>
      <c r="H401" s="260">
        <v>18560116</v>
      </c>
      <c r="I401" s="259" t="s">
        <v>1004</v>
      </c>
      <c r="J401" s="260">
        <v>1</v>
      </c>
      <c r="K401" s="259" t="s">
        <v>658</v>
      </c>
      <c r="L401" s="304">
        <v>12727.29</v>
      </c>
      <c r="M401" s="260">
        <v>0</v>
      </c>
      <c r="N401" s="260">
        <v>0</v>
      </c>
      <c r="O401" s="260">
        <v>0</v>
      </c>
      <c r="P401" s="304">
        <v>2672.73</v>
      </c>
      <c r="Q401" s="303">
        <v>15400</v>
      </c>
    </row>
    <row r="402" spans="1:17">
      <c r="A402" s="259" t="s">
        <v>999</v>
      </c>
      <c r="B402" s="259" t="s">
        <v>956</v>
      </c>
      <c r="C402" s="260">
        <v>3</v>
      </c>
      <c r="D402" s="260">
        <v>2813</v>
      </c>
      <c r="E402" s="259"/>
      <c r="F402" s="260">
        <v>74428427133567</v>
      </c>
      <c r="G402" s="259" t="s">
        <v>957</v>
      </c>
      <c r="H402" s="260">
        <v>95936668</v>
      </c>
      <c r="I402" s="259" t="s">
        <v>1000</v>
      </c>
      <c r="J402" s="260">
        <v>1</v>
      </c>
      <c r="K402" s="259" t="s">
        <v>658</v>
      </c>
      <c r="L402" s="304">
        <v>12727.29</v>
      </c>
      <c r="M402" s="260">
        <v>0</v>
      </c>
      <c r="N402" s="260">
        <v>0</v>
      </c>
      <c r="O402" s="260">
        <v>0</v>
      </c>
      <c r="P402" s="304">
        <v>2672.73</v>
      </c>
      <c r="Q402" s="303">
        <v>15400</v>
      </c>
    </row>
    <row r="403" spans="1:17">
      <c r="A403" s="259" t="s">
        <v>999</v>
      </c>
      <c r="B403" s="259" t="s">
        <v>956</v>
      </c>
      <c r="C403" s="260">
        <v>3</v>
      </c>
      <c r="D403" s="260">
        <v>2814</v>
      </c>
      <c r="E403" s="259"/>
      <c r="F403" s="260">
        <v>74428444793190</v>
      </c>
      <c r="G403" s="259" t="s">
        <v>957</v>
      </c>
      <c r="H403" s="260">
        <v>16473359</v>
      </c>
      <c r="I403" s="259" t="s">
        <v>1001</v>
      </c>
      <c r="J403" s="260">
        <v>1</v>
      </c>
      <c r="K403" s="259" t="s">
        <v>658</v>
      </c>
      <c r="L403" s="304">
        <v>22314.05</v>
      </c>
      <c r="M403" s="260">
        <v>0</v>
      </c>
      <c r="N403" s="260">
        <v>0</v>
      </c>
      <c r="O403" s="260">
        <v>0</v>
      </c>
      <c r="P403" s="304">
        <v>4685.95</v>
      </c>
      <c r="Q403" s="303">
        <v>27000</v>
      </c>
    </row>
    <row r="404" spans="1:17">
      <c r="A404" s="259" t="s">
        <v>999</v>
      </c>
      <c r="B404" s="259" t="s">
        <v>956</v>
      </c>
      <c r="C404" s="260">
        <v>3</v>
      </c>
      <c r="D404" s="260">
        <v>2815</v>
      </c>
      <c r="E404" s="259"/>
      <c r="F404" s="260">
        <v>74428447263071</v>
      </c>
      <c r="G404" s="259" t="s">
        <v>1002</v>
      </c>
      <c r="H404" s="260">
        <v>20041399636</v>
      </c>
      <c r="I404" s="259" t="s">
        <v>1003</v>
      </c>
      <c r="J404" s="260">
        <v>1</v>
      </c>
      <c r="K404" s="259" t="s">
        <v>658</v>
      </c>
      <c r="L404" s="304">
        <v>44214.86</v>
      </c>
      <c r="M404" s="260">
        <v>0</v>
      </c>
      <c r="N404" s="260">
        <v>0</v>
      </c>
      <c r="O404" s="260">
        <v>0</v>
      </c>
      <c r="P404" s="304">
        <v>9285.1200000000008</v>
      </c>
      <c r="Q404" s="303">
        <v>53500</v>
      </c>
    </row>
    <row r="405" spans="1:17">
      <c r="A405" s="259" t="s">
        <v>999</v>
      </c>
      <c r="B405" s="259" t="s">
        <v>956</v>
      </c>
      <c r="C405" s="260">
        <v>3</v>
      </c>
      <c r="D405" s="260">
        <v>2816</v>
      </c>
      <c r="E405" s="259"/>
      <c r="F405" s="260">
        <v>74428449200289</v>
      </c>
      <c r="G405" s="259"/>
      <c r="H405" s="259"/>
      <c r="I405" s="259"/>
      <c r="J405" s="260">
        <v>1</v>
      </c>
      <c r="K405" s="259" t="s">
        <v>658</v>
      </c>
      <c r="L405" s="304">
        <v>12396.71</v>
      </c>
      <c r="M405" s="260">
        <v>0</v>
      </c>
      <c r="N405" s="260">
        <v>0</v>
      </c>
      <c r="O405" s="260">
        <v>0</v>
      </c>
      <c r="P405" s="304">
        <v>2603.31</v>
      </c>
      <c r="Q405" s="303">
        <v>15000</v>
      </c>
    </row>
    <row r="406" spans="1:17">
      <c r="A406" s="259" t="s">
        <v>1005</v>
      </c>
      <c r="B406" s="259" t="s">
        <v>956</v>
      </c>
      <c r="C406" s="260">
        <v>3</v>
      </c>
      <c r="D406" s="260">
        <v>2817</v>
      </c>
      <c r="E406" s="259"/>
      <c r="F406" s="260">
        <v>74428563591485</v>
      </c>
      <c r="G406" s="259" t="s">
        <v>957</v>
      </c>
      <c r="H406" s="260">
        <v>29891642</v>
      </c>
      <c r="I406" s="259" t="s">
        <v>1007</v>
      </c>
      <c r="J406" s="260">
        <v>1</v>
      </c>
      <c r="K406" s="259" t="s">
        <v>658</v>
      </c>
      <c r="L406" s="304">
        <v>13636.38</v>
      </c>
      <c r="M406" s="260">
        <v>0</v>
      </c>
      <c r="N406" s="260">
        <v>0</v>
      </c>
      <c r="O406" s="260">
        <v>0</v>
      </c>
      <c r="P406" s="304">
        <v>2863.64</v>
      </c>
      <c r="Q406" s="303">
        <v>16500</v>
      </c>
    </row>
    <row r="407" spans="1:17">
      <c r="A407" s="259" t="s">
        <v>1005</v>
      </c>
      <c r="B407" s="259" t="s">
        <v>956</v>
      </c>
      <c r="C407" s="260">
        <v>3</v>
      </c>
      <c r="D407" s="260">
        <v>2818</v>
      </c>
      <c r="E407" s="259"/>
      <c r="F407" s="260">
        <v>74428583967794</v>
      </c>
      <c r="G407" s="259" t="s">
        <v>957</v>
      </c>
      <c r="H407" s="260">
        <v>30371510</v>
      </c>
      <c r="I407" s="259" t="s">
        <v>982</v>
      </c>
      <c r="J407" s="260">
        <v>1</v>
      </c>
      <c r="K407" s="259" t="s">
        <v>658</v>
      </c>
      <c r="L407" s="304">
        <v>21900.81</v>
      </c>
      <c r="M407" s="260">
        <v>0</v>
      </c>
      <c r="N407" s="260">
        <v>0</v>
      </c>
      <c r="O407" s="260">
        <v>0</v>
      </c>
      <c r="P407" s="304">
        <v>4599.17</v>
      </c>
      <c r="Q407" s="303">
        <v>26500</v>
      </c>
    </row>
    <row r="408" spans="1:17">
      <c r="A408" s="259" t="s">
        <v>1005</v>
      </c>
      <c r="B408" s="259" t="s">
        <v>956</v>
      </c>
      <c r="C408" s="260">
        <v>3</v>
      </c>
      <c r="D408" s="260">
        <v>2819</v>
      </c>
      <c r="E408" s="259"/>
      <c r="F408" s="260">
        <v>74428599247949</v>
      </c>
      <c r="G408" s="259" t="s">
        <v>957</v>
      </c>
      <c r="H408" s="260">
        <v>18560116</v>
      </c>
      <c r="I408" s="259" t="s">
        <v>1004</v>
      </c>
      <c r="J408" s="260">
        <v>1</v>
      </c>
      <c r="K408" s="259" t="s">
        <v>658</v>
      </c>
      <c r="L408" s="304">
        <v>22314.05</v>
      </c>
      <c r="M408" s="260">
        <v>0</v>
      </c>
      <c r="N408" s="260">
        <v>0</v>
      </c>
      <c r="O408" s="260">
        <v>0</v>
      </c>
      <c r="P408" s="304">
        <v>4685.95</v>
      </c>
      <c r="Q408" s="303">
        <v>27000</v>
      </c>
    </row>
    <row r="409" spans="1:17">
      <c r="A409" s="259" t="s">
        <v>1043</v>
      </c>
      <c r="B409" s="259" t="s">
        <v>656</v>
      </c>
      <c r="C409" s="260">
        <v>7</v>
      </c>
      <c r="D409" s="260">
        <v>2219</v>
      </c>
      <c r="E409" s="259"/>
      <c r="F409" s="260">
        <v>74448046552755</v>
      </c>
      <c r="G409" s="259" t="s">
        <v>7</v>
      </c>
      <c r="H409" s="260">
        <v>20184052858</v>
      </c>
      <c r="I409" s="259" t="s">
        <v>691</v>
      </c>
      <c r="J409" s="260">
        <v>1</v>
      </c>
      <c r="K409" s="259" t="s">
        <v>658</v>
      </c>
      <c r="L409" s="304">
        <v>13933.49</v>
      </c>
      <c r="M409" s="260">
        <v>0</v>
      </c>
      <c r="N409" s="260">
        <v>0</v>
      </c>
      <c r="O409" s="260">
        <v>0</v>
      </c>
      <c r="P409" s="304">
        <v>2926.03</v>
      </c>
      <c r="Q409" s="304">
        <v>16859.52</v>
      </c>
    </row>
    <row r="410" spans="1:17">
      <c r="A410" s="259" t="s">
        <v>1043</v>
      </c>
      <c r="B410" s="259" t="s">
        <v>656</v>
      </c>
      <c r="C410" s="260">
        <v>7</v>
      </c>
      <c r="D410" s="260">
        <v>2220</v>
      </c>
      <c r="E410" s="259"/>
      <c r="F410" s="260">
        <v>74448058601685</v>
      </c>
      <c r="G410" s="259" t="s">
        <v>7</v>
      </c>
      <c r="H410" s="260">
        <v>30608716390</v>
      </c>
      <c r="I410" s="259" t="s">
        <v>974</v>
      </c>
      <c r="J410" s="260">
        <v>1</v>
      </c>
      <c r="K410" s="259" t="s">
        <v>658</v>
      </c>
      <c r="L410" s="304">
        <v>8514.4599999999991</v>
      </c>
      <c r="M410" s="260">
        <v>0</v>
      </c>
      <c r="N410" s="260">
        <v>0</v>
      </c>
      <c r="O410" s="260">
        <v>0</v>
      </c>
      <c r="P410" s="304">
        <v>1788.04</v>
      </c>
      <c r="Q410" s="302">
        <v>10302.5</v>
      </c>
    </row>
    <row r="411" spans="1:17">
      <c r="A411" s="259" t="s">
        <v>1043</v>
      </c>
      <c r="B411" s="259" t="s">
        <v>656</v>
      </c>
      <c r="C411" s="260">
        <v>3</v>
      </c>
      <c r="D411" s="260">
        <v>2133</v>
      </c>
      <c r="E411" s="259"/>
      <c r="F411" s="260">
        <v>74448029521347</v>
      </c>
      <c r="G411" s="259" t="s">
        <v>7</v>
      </c>
      <c r="H411" s="260">
        <v>30712045562</v>
      </c>
      <c r="I411" s="259" t="s">
        <v>1044</v>
      </c>
      <c r="J411" s="260">
        <v>1</v>
      </c>
      <c r="K411" s="259" t="s">
        <v>658</v>
      </c>
      <c r="L411" s="304">
        <v>165289.24</v>
      </c>
      <c r="M411" s="260">
        <v>0</v>
      </c>
      <c r="N411" s="260">
        <v>0</v>
      </c>
      <c r="O411" s="260">
        <v>0</v>
      </c>
      <c r="P411" s="304">
        <v>34710.74</v>
      </c>
      <c r="Q411" s="303">
        <v>200000</v>
      </c>
    </row>
    <row r="412" spans="1:17">
      <c r="A412" s="259" t="s">
        <v>1043</v>
      </c>
      <c r="B412" s="301" t="s">
        <v>678</v>
      </c>
      <c r="C412" s="260">
        <v>7</v>
      </c>
      <c r="D412" s="260">
        <v>168</v>
      </c>
      <c r="E412" s="259"/>
      <c r="F412" s="260">
        <v>74448049365572</v>
      </c>
      <c r="G412" s="259" t="s">
        <v>7</v>
      </c>
      <c r="H412" s="260">
        <v>20184052858</v>
      </c>
      <c r="I412" s="259" t="s">
        <v>691</v>
      </c>
      <c r="J412" s="260">
        <v>1</v>
      </c>
      <c r="K412" s="259" t="s">
        <v>658</v>
      </c>
      <c r="L412" s="304">
        <v>-13933.49</v>
      </c>
      <c r="M412" s="260">
        <v>0</v>
      </c>
      <c r="N412" s="260">
        <v>0</v>
      </c>
      <c r="O412" s="260">
        <v>0</v>
      </c>
      <c r="P412" s="303">
        <f>+L412*0.21</f>
        <v>-2926.0328999999997</v>
      </c>
      <c r="Q412" s="303">
        <f>+SUM(L412+P412)</f>
        <v>-16859.5229</v>
      </c>
    </row>
    <row r="413" spans="1:17">
      <c r="A413" s="259" t="s">
        <v>1005</v>
      </c>
      <c r="B413" s="259" t="s">
        <v>956</v>
      </c>
      <c r="C413" s="260">
        <v>3</v>
      </c>
      <c r="D413" s="260">
        <v>2820</v>
      </c>
      <c r="E413" s="259"/>
      <c r="F413" s="260">
        <v>74428600323409</v>
      </c>
      <c r="G413" s="259" t="s">
        <v>957</v>
      </c>
      <c r="H413" s="260">
        <v>14015413</v>
      </c>
      <c r="I413" s="259" t="s">
        <v>1009</v>
      </c>
      <c r="J413" s="260">
        <v>1</v>
      </c>
      <c r="K413" s="259" t="s">
        <v>658</v>
      </c>
      <c r="L413" s="304">
        <v>14876.05</v>
      </c>
      <c r="M413" s="260">
        <v>0</v>
      </c>
      <c r="N413" s="260">
        <v>0</v>
      </c>
      <c r="O413" s="260">
        <v>0</v>
      </c>
      <c r="P413" s="304">
        <v>3123.97</v>
      </c>
      <c r="Q413" s="303">
        <v>18000</v>
      </c>
    </row>
    <row r="414" spans="1:17">
      <c r="A414" s="259" t="s">
        <v>1005</v>
      </c>
      <c r="B414" s="259" t="s">
        <v>956</v>
      </c>
      <c r="C414" s="260">
        <v>3</v>
      </c>
      <c r="D414" s="260">
        <v>2821</v>
      </c>
      <c r="E414" s="259"/>
      <c r="F414" s="260">
        <v>74428605694261</v>
      </c>
      <c r="G414" s="259" t="s">
        <v>957</v>
      </c>
      <c r="H414" s="260">
        <v>21565835</v>
      </c>
      <c r="I414" s="259" t="s">
        <v>1010</v>
      </c>
      <c r="J414" s="260">
        <v>1</v>
      </c>
      <c r="K414" s="259" t="s">
        <v>658</v>
      </c>
      <c r="L414" s="304">
        <v>13636.38</v>
      </c>
      <c r="M414" s="260">
        <v>0</v>
      </c>
      <c r="N414" s="260">
        <v>0</v>
      </c>
      <c r="O414" s="260">
        <v>0</v>
      </c>
      <c r="P414" s="304">
        <v>2863.64</v>
      </c>
      <c r="Q414" s="303">
        <v>16500</v>
      </c>
    </row>
    <row r="415" spans="1:17">
      <c r="A415" s="259" t="s">
        <v>1005</v>
      </c>
      <c r="B415" s="259" t="s">
        <v>956</v>
      </c>
      <c r="C415" s="260">
        <v>3</v>
      </c>
      <c r="D415" s="260">
        <v>2822</v>
      </c>
      <c r="E415" s="259"/>
      <c r="F415" s="260">
        <v>74428611948194</v>
      </c>
      <c r="G415" s="259" t="s">
        <v>957</v>
      </c>
      <c r="H415" s="260">
        <v>48508099</v>
      </c>
      <c r="I415" s="259" t="s">
        <v>1008</v>
      </c>
      <c r="J415" s="260">
        <v>1</v>
      </c>
      <c r="K415" s="259" t="s">
        <v>658</v>
      </c>
      <c r="L415" s="304">
        <v>12727.29</v>
      </c>
      <c r="M415" s="260">
        <v>0</v>
      </c>
      <c r="N415" s="260">
        <v>0</v>
      </c>
      <c r="O415" s="260">
        <v>0</v>
      </c>
      <c r="P415" s="304">
        <v>2672.73</v>
      </c>
      <c r="Q415" s="303">
        <v>15400</v>
      </c>
    </row>
    <row r="416" spans="1:17">
      <c r="A416" s="259" t="s">
        <v>1011</v>
      </c>
      <c r="B416" s="259" t="s">
        <v>956</v>
      </c>
      <c r="C416" s="260">
        <v>3</v>
      </c>
      <c r="D416" s="260">
        <v>2823</v>
      </c>
      <c r="E416" s="259"/>
      <c r="F416" s="260">
        <v>74428682479988</v>
      </c>
      <c r="G416" s="259" t="s">
        <v>957</v>
      </c>
      <c r="H416" s="260">
        <v>21130283</v>
      </c>
      <c r="I416" s="259" t="s">
        <v>1017</v>
      </c>
      <c r="J416" s="260">
        <v>1</v>
      </c>
      <c r="K416" s="259" t="s">
        <v>658</v>
      </c>
      <c r="L416" s="304">
        <v>17355.38</v>
      </c>
      <c r="M416" s="260">
        <v>0</v>
      </c>
      <c r="N416" s="260">
        <v>0</v>
      </c>
      <c r="O416" s="260">
        <v>0</v>
      </c>
      <c r="P416" s="304">
        <v>3644.63</v>
      </c>
      <c r="Q416" s="303">
        <v>21000</v>
      </c>
    </row>
    <row r="417" spans="1:17">
      <c r="A417" s="259" t="s">
        <v>1011</v>
      </c>
      <c r="B417" s="259" t="s">
        <v>956</v>
      </c>
      <c r="C417" s="260">
        <v>3</v>
      </c>
      <c r="D417" s="260">
        <v>2824</v>
      </c>
      <c r="E417" s="259"/>
      <c r="F417" s="260">
        <v>74428707388042</v>
      </c>
      <c r="G417" s="259" t="s">
        <v>957</v>
      </c>
      <c r="H417" s="260">
        <v>18898122</v>
      </c>
      <c r="I417" s="259" t="s">
        <v>1016</v>
      </c>
      <c r="J417" s="260">
        <v>1</v>
      </c>
      <c r="K417" s="259" t="s">
        <v>658</v>
      </c>
      <c r="L417" s="304">
        <v>17355.38</v>
      </c>
      <c r="M417" s="260">
        <v>0</v>
      </c>
      <c r="N417" s="260">
        <v>0</v>
      </c>
      <c r="O417" s="260">
        <v>0</v>
      </c>
      <c r="P417" s="304">
        <v>3644.63</v>
      </c>
      <c r="Q417" s="303">
        <v>21000</v>
      </c>
    </row>
    <row r="418" spans="1:17">
      <c r="A418" s="259" t="s">
        <v>1011</v>
      </c>
      <c r="B418" s="259" t="s">
        <v>956</v>
      </c>
      <c r="C418" s="260">
        <v>3</v>
      </c>
      <c r="D418" s="260">
        <v>2825</v>
      </c>
      <c r="E418" s="259"/>
      <c r="F418" s="260">
        <v>74428725276425</v>
      </c>
      <c r="G418" s="259" t="s">
        <v>7</v>
      </c>
      <c r="H418" s="260">
        <v>27054207668</v>
      </c>
      <c r="I418" s="259" t="s">
        <v>1015</v>
      </c>
      <c r="J418" s="260">
        <v>1</v>
      </c>
      <c r="K418" s="259" t="s">
        <v>658</v>
      </c>
      <c r="L418" s="304">
        <v>29338.86</v>
      </c>
      <c r="M418" s="260">
        <v>0</v>
      </c>
      <c r="N418" s="260">
        <v>0</v>
      </c>
      <c r="O418" s="260">
        <v>0</v>
      </c>
      <c r="P418" s="304">
        <v>6161.16</v>
      </c>
      <c r="Q418" s="303">
        <v>35500</v>
      </c>
    </row>
    <row r="419" spans="1:17">
      <c r="A419" s="259" t="s">
        <v>1011</v>
      </c>
      <c r="B419" s="259" t="s">
        <v>956</v>
      </c>
      <c r="C419" s="260">
        <v>3</v>
      </c>
      <c r="D419" s="260">
        <v>2826</v>
      </c>
      <c r="E419" s="259"/>
      <c r="F419" s="260">
        <v>74428740730875</v>
      </c>
      <c r="G419" s="259" t="s">
        <v>1002</v>
      </c>
      <c r="H419" s="260">
        <v>27216457248</v>
      </c>
      <c r="I419" s="259" t="s">
        <v>1014</v>
      </c>
      <c r="J419" s="260">
        <v>1</v>
      </c>
      <c r="K419" s="259" t="s">
        <v>658</v>
      </c>
      <c r="L419" s="304">
        <v>28925.62</v>
      </c>
      <c r="M419" s="260">
        <v>0</v>
      </c>
      <c r="N419" s="260">
        <v>0</v>
      </c>
      <c r="O419" s="260">
        <v>0</v>
      </c>
      <c r="P419" s="304">
        <v>6074.38</v>
      </c>
      <c r="Q419" s="303">
        <v>35000</v>
      </c>
    </row>
    <row r="420" spans="1:17">
      <c r="A420" s="259" t="s">
        <v>1011</v>
      </c>
      <c r="B420" s="259" t="s">
        <v>956</v>
      </c>
      <c r="C420" s="260">
        <v>3</v>
      </c>
      <c r="D420" s="260">
        <v>2827</v>
      </c>
      <c r="E420" s="259"/>
      <c r="F420" s="260">
        <v>74428741326237</v>
      </c>
      <c r="G420" s="259" t="s">
        <v>1002</v>
      </c>
      <c r="H420" s="260">
        <v>27216457248</v>
      </c>
      <c r="I420" s="259" t="s">
        <v>1014</v>
      </c>
      <c r="J420" s="260">
        <v>1</v>
      </c>
      <c r="K420" s="259" t="s">
        <v>658</v>
      </c>
      <c r="L420" s="304">
        <v>28925.62</v>
      </c>
      <c r="M420" s="260">
        <v>0</v>
      </c>
      <c r="N420" s="260">
        <v>0</v>
      </c>
      <c r="O420" s="260">
        <v>0</v>
      </c>
      <c r="P420" s="304">
        <v>6074.38</v>
      </c>
      <c r="Q420" s="303">
        <v>35000</v>
      </c>
    </row>
    <row r="421" spans="1:17">
      <c r="A421" s="259" t="s">
        <v>1020</v>
      </c>
      <c r="B421" s="259" t="s">
        <v>956</v>
      </c>
      <c r="C421" s="260">
        <v>3</v>
      </c>
      <c r="D421" s="260">
        <v>2828</v>
      </c>
      <c r="E421" s="259"/>
      <c r="F421" s="260">
        <v>74428929297259</v>
      </c>
      <c r="G421" s="259" t="s">
        <v>957</v>
      </c>
      <c r="H421" s="260">
        <v>46027091</v>
      </c>
      <c r="I421" s="259" t="s">
        <v>985</v>
      </c>
      <c r="J421" s="260">
        <v>1</v>
      </c>
      <c r="K421" s="259" t="s">
        <v>658</v>
      </c>
      <c r="L421" s="304">
        <v>14876.05</v>
      </c>
      <c r="M421" s="260">
        <v>0</v>
      </c>
      <c r="N421" s="260">
        <v>0</v>
      </c>
      <c r="O421" s="260">
        <v>0</v>
      </c>
      <c r="P421" s="304">
        <v>3123.97</v>
      </c>
      <c r="Q421" s="303">
        <v>18000</v>
      </c>
    </row>
    <row r="422" spans="1:17">
      <c r="A422" s="259" t="s">
        <v>1020</v>
      </c>
      <c r="B422" s="259" t="s">
        <v>956</v>
      </c>
      <c r="C422" s="260">
        <v>3</v>
      </c>
      <c r="D422" s="260">
        <v>2829</v>
      </c>
      <c r="E422" s="259"/>
      <c r="F422" s="260">
        <v>74428979215465</v>
      </c>
      <c r="G422" s="259" t="s">
        <v>957</v>
      </c>
      <c r="H422" s="260">
        <v>30655546</v>
      </c>
      <c r="I422" s="259" t="s">
        <v>1022</v>
      </c>
      <c r="J422" s="260">
        <v>1</v>
      </c>
      <c r="K422" s="259" t="s">
        <v>658</v>
      </c>
      <c r="L422" s="304">
        <v>17355.38</v>
      </c>
      <c r="M422" s="260">
        <v>0</v>
      </c>
      <c r="N422" s="260">
        <v>0</v>
      </c>
      <c r="O422" s="260">
        <v>0</v>
      </c>
      <c r="P422" s="304">
        <v>3644.63</v>
      </c>
      <c r="Q422" s="303">
        <v>21000</v>
      </c>
    </row>
    <row r="423" spans="1:17">
      <c r="A423" s="259" t="s">
        <v>1023</v>
      </c>
      <c r="B423" s="259" t="s">
        <v>956</v>
      </c>
      <c r="C423" s="260">
        <v>3</v>
      </c>
      <c r="D423" s="260">
        <v>2830</v>
      </c>
      <c r="E423" s="259"/>
      <c r="F423" s="260">
        <v>74438251335648</v>
      </c>
      <c r="G423" s="259" t="s">
        <v>957</v>
      </c>
      <c r="H423" s="260">
        <v>45013081</v>
      </c>
      <c r="I423" s="259" t="s">
        <v>1024</v>
      </c>
      <c r="J423" s="260">
        <v>1</v>
      </c>
      <c r="K423" s="259" t="s">
        <v>658</v>
      </c>
      <c r="L423" s="304">
        <v>13636.38</v>
      </c>
      <c r="M423" s="260">
        <v>0</v>
      </c>
      <c r="N423" s="260">
        <v>0</v>
      </c>
      <c r="O423" s="260">
        <v>0</v>
      </c>
      <c r="P423" s="304">
        <v>2863.64</v>
      </c>
      <c r="Q423" s="303">
        <v>16500</v>
      </c>
    </row>
    <row r="424" spans="1:17">
      <c r="A424" s="259" t="s">
        <v>1023</v>
      </c>
      <c r="B424" s="259" t="s">
        <v>956</v>
      </c>
      <c r="C424" s="260">
        <v>3</v>
      </c>
      <c r="D424" s="260">
        <v>2831</v>
      </c>
      <c r="E424" s="259"/>
      <c r="F424" s="260">
        <v>74438254053814</v>
      </c>
      <c r="G424" s="259" t="s">
        <v>957</v>
      </c>
      <c r="H424" s="260">
        <v>50540313</v>
      </c>
      <c r="I424" s="259" t="s">
        <v>1025</v>
      </c>
      <c r="J424" s="260">
        <v>1</v>
      </c>
      <c r="K424" s="259" t="s">
        <v>658</v>
      </c>
      <c r="L424" s="304">
        <v>29338.86</v>
      </c>
      <c r="M424" s="260">
        <v>0</v>
      </c>
      <c r="N424" s="260">
        <v>0</v>
      </c>
      <c r="O424" s="260">
        <v>0</v>
      </c>
      <c r="P424" s="304">
        <v>6161.16</v>
      </c>
      <c r="Q424" s="303">
        <v>35500</v>
      </c>
    </row>
    <row r="425" spans="1:17">
      <c r="A425" s="259" t="s">
        <v>1023</v>
      </c>
      <c r="B425" s="259" t="s">
        <v>956</v>
      </c>
      <c r="C425" s="260">
        <v>3</v>
      </c>
      <c r="D425" s="260">
        <v>2832</v>
      </c>
      <c r="E425" s="259"/>
      <c r="F425" s="260">
        <v>74438264797301</v>
      </c>
      <c r="G425" s="259" t="s">
        <v>957</v>
      </c>
      <c r="H425" s="260">
        <v>14364433</v>
      </c>
      <c r="I425" s="259" t="s">
        <v>1027</v>
      </c>
      <c r="J425" s="260">
        <v>1</v>
      </c>
      <c r="K425" s="259" t="s">
        <v>658</v>
      </c>
      <c r="L425" s="304">
        <v>26033.05</v>
      </c>
      <c r="M425" s="260">
        <v>0</v>
      </c>
      <c r="N425" s="260">
        <v>0</v>
      </c>
      <c r="O425" s="260">
        <v>0</v>
      </c>
      <c r="P425" s="304">
        <v>5466.94</v>
      </c>
      <c r="Q425" s="303">
        <v>31500</v>
      </c>
    </row>
    <row r="426" spans="1:17">
      <c r="A426" s="259" t="s">
        <v>1023</v>
      </c>
      <c r="B426" s="259" t="s">
        <v>956</v>
      </c>
      <c r="C426" s="260">
        <v>3</v>
      </c>
      <c r="D426" s="260">
        <v>2833</v>
      </c>
      <c r="E426" s="259"/>
      <c r="F426" s="260">
        <v>74438273831609</v>
      </c>
      <c r="G426" s="259" t="s">
        <v>957</v>
      </c>
      <c r="H426" s="260">
        <v>41388237</v>
      </c>
      <c r="I426" s="259" t="s">
        <v>1026</v>
      </c>
      <c r="J426" s="260">
        <v>1</v>
      </c>
      <c r="K426" s="259" t="s">
        <v>658</v>
      </c>
      <c r="L426" s="304">
        <v>13636.38</v>
      </c>
      <c r="M426" s="260">
        <v>0</v>
      </c>
      <c r="N426" s="260">
        <v>0</v>
      </c>
      <c r="O426" s="260">
        <v>0</v>
      </c>
      <c r="P426" s="304">
        <v>2863.64</v>
      </c>
      <c r="Q426" s="303">
        <v>16500</v>
      </c>
    </row>
    <row r="427" spans="1:17">
      <c r="A427" s="259" t="s">
        <v>1023</v>
      </c>
      <c r="B427" s="259" t="s">
        <v>956</v>
      </c>
      <c r="C427" s="260">
        <v>3</v>
      </c>
      <c r="D427" s="260">
        <v>2834</v>
      </c>
      <c r="E427" s="259"/>
      <c r="F427" s="260">
        <v>74438283904299</v>
      </c>
      <c r="G427" s="259"/>
      <c r="H427" s="259"/>
      <c r="I427" s="259"/>
      <c r="J427" s="260">
        <v>1</v>
      </c>
      <c r="K427" s="259" t="s">
        <v>658</v>
      </c>
      <c r="L427" s="304">
        <v>13223.14</v>
      </c>
      <c r="M427" s="260">
        <v>0</v>
      </c>
      <c r="N427" s="260">
        <v>0</v>
      </c>
      <c r="O427" s="260">
        <v>0</v>
      </c>
      <c r="P427" s="304">
        <v>2776.86</v>
      </c>
      <c r="Q427" s="303">
        <v>16000</v>
      </c>
    </row>
    <row r="428" spans="1:17">
      <c r="A428" s="259" t="s">
        <v>1028</v>
      </c>
      <c r="B428" s="259" t="s">
        <v>956</v>
      </c>
      <c r="C428" s="260">
        <v>3</v>
      </c>
      <c r="D428" s="260">
        <v>2835</v>
      </c>
      <c r="E428" s="259"/>
      <c r="F428" s="260">
        <v>74438355648431</v>
      </c>
      <c r="G428" s="259" t="s">
        <v>957</v>
      </c>
      <c r="H428" s="260">
        <v>3945501</v>
      </c>
      <c r="I428" s="259" t="s">
        <v>1029</v>
      </c>
      <c r="J428" s="260">
        <v>1</v>
      </c>
      <c r="K428" s="259" t="s">
        <v>658</v>
      </c>
      <c r="L428" s="302">
        <v>40909.1</v>
      </c>
      <c r="M428" s="260">
        <v>0</v>
      </c>
      <c r="N428" s="260">
        <v>0</v>
      </c>
      <c r="O428" s="260">
        <v>0</v>
      </c>
      <c r="P428" s="304">
        <v>8590.91</v>
      </c>
      <c r="Q428" s="303">
        <v>49500</v>
      </c>
    </row>
    <row r="429" spans="1:17">
      <c r="A429" s="259" t="s">
        <v>1028</v>
      </c>
      <c r="B429" s="259" t="s">
        <v>956</v>
      </c>
      <c r="C429" s="260">
        <v>3</v>
      </c>
      <c r="D429" s="260">
        <v>2836</v>
      </c>
      <c r="E429" s="259"/>
      <c r="F429" s="260">
        <v>74438383845817</v>
      </c>
      <c r="G429" s="259" t="s">
        <v>957</v>
      </c>
      <c r="H429" s="260">
        <v>39828016</v>
      </c>
      <c r="I429" s="259" t="s">
        <v>1030</v>
      </c>
      <c r="J429" s="260">
        <v>1</v>
      </c>
      <c r="K429" s="259" t="s">
        <v>658</v>
      </c>
      <c r="L429" s="304">
        <v>13636.38</v>
      </c>
      <c r="M429" s="260">
        <v>0</v>
      </c>
      <c r="N429" s="260">
        <v>0</v>
      </c>
      <c r="O429" s="260">
        <v>0</v>
      </c>
      <c r="P429" s="304">
        <v>2863.64</v>
      </c>
      <c r="Q429" s="303">
        <v>16500</v>
      </c>
    </row>
    <row r="430" spans="1:17">
      <c r="A430" s="259" t="s">
        <v>1028</v>
      </c>
      <c r="B430" s="259" t="s">
        <v>956</v>
      </c>
      <c r="C430" s="260">
        <v>3</v>
      </c>
      <c r="D430" s="260">
        <v>2837</v>
      </c>
      <c r="E430" s="259"/>
      <c r="F430" s="260">
        <v>74438389238861</v>
      </c>
      <c r="G430" s="259" t="s">
        <v>957</v>
      </c>
      <c r="H430" s="260">
        <v>16944295</v>
      </c>
      <c r="I430" s="259" t="s">
        <v>1031</v>
      </c>
      <c r="J430" s="260">
        <v>1</v>
      </c>
      <c r="K430" s="259" t="s">
        <v>658</v>
      </c>
      <c r="L430" s="302">
        <v>15371.9</v>
      </c>
      <c r="M430" s="260">
        <v>0</v>
      </c>
      <c r="N430" s="260">
        <v>0</v>
      </c>
      <c r="O430" s="260">
        <v>0</v>
      </c>
      <c r="P430" s="302">
        <v>3228.1</v>
      </c>
      <c r="Q430" s="303">
        <v>18600</v>
      </c>
    </row>
    <row r="431" spans="1:17">
      <c r="A431" s="259" t="s">
        <v>1032</v>
      </c>
      <c r="B431" s="259" t="s">
        <v>956</v>
      </c>
      <c r="C431" s="260">
        <v>3</v>
      </c>
      <c r="D431" s="260">
        <v>2838</v>
      </c>
      <c r="E431" s="259"/>
      <c r="F431" s="260">
        <v>74438475517019</v>
      </c>
      <c r="G431" s="259" t="s">
        <v>957</v>
      </c>
      <c r="H431" s="260">
        <v>13669404</v>
      </c>
      <c r="I431" s="259" t="s">
        <v>1035</v>
      </c>
      <c r="J431" s="260">
        <v>1</v>
      </c>
      <c r="K431" s="259" t="s">
        <v>658</v>
      </c>
      <c r="L431" s="302">
        <v>12809.9</v>
      </c>
      <c r="M431" s="260">
        <v>0</v>
      </c>
      <c r="N431" s="260">
        <v>0</v>
      </c>
      <c r="O431" s="260">
        <v>0</v>
      </c>
      <c r="P431" s="304">
        <v>2690.08</v>
      </c>
      <c r="Q431" s="303">
        <v>15500</v>
      </c>
    </row>
    <row r="432" spans="1:17">
      <c r="A432" s="259" t="s">
        <v>1032</v>
      </c>
      <c r="B432" s="259" t="s">
        <v>956</v>
      </c>
      <c r="C432" s="260">
        <v>3</v>
      </c>
      <c r="D432" s="260">
        <v>2839</v>
      </c>
      <c r="E432" s="259"/>
      <c r="F432" s="260">
        <v>74438476399091</v>
      </c>
      <c r="G432" s="259" t="s">
        <v>957</v>
      </c>
      <c r="H432" s="260">
        <v>10088080</v>
      </c>
      <c r="I432" s="259" t="s">
        <v>1036</v>
      </c>
      <c r="J432" s="260">
        <v>1</v>
      </c>
      <c r="K432" s="259" t="s">
        <v>658</v>
      </c>
      <c r="L432" s="304">
        <v>17768.57</v>
      </c>
      <c r="M432" s="260">
        <v>0</v>
      </c>
      <c r="N432" s="260">
        <v>0</v>
      </c>
      <c r="O432" s="260">
        <v>0</v>
      </c>
      <c r="P432" s="302">
        <v>3731.4</v>
      </c>
      <c r="Q432" s="303">
        <v>21500</v>
      </c>
    </row>
    <row r="433" spans="1:17">
      <c r="A433" s="259" t="s">
        <v>1032</v>
      </c>
      <c r="B433" s="259" t="s">
        <v>956</v>
      </c>
      <c r="C433" s="260">
        <v>3</v>
      </c>
      <c r="D433" s="260">
        <v>2840</v>
      </c>
      <c r="E433" s="259"/>
      <c r="F433" s="260">
        <v>74438477725008</v>
      </c>
      <c r="G433" s="259" t="s">
        <v>957</v>
      </c>
      <c r="H433" s="260">
        <v>18041408</v>
      </c>
      <c r="I433" s="259" t="s">
        <v>1033</v>
      </c>
      <c r="J433" s="260">
        <v>1</v>
      </c>
      <c r="K433" s="259" t="s">
        <v>658</v>
      </c>
      <c r="L433" s="304">
        <v>17355.38</v>
      </c>
      <c r="M433" s="260">
        <v>0</v>
      </c>
      <c r="N433" s="260">
        <v>0</v>
      </c>
      <c r="O433" s="260">
        <v>0</v>
      </c>
      <c r="P433" s="304">
        <v>3644.63</v>
      </c>
      <c r="Q433" s="303">
        <v>21000</v>
      </c>
    </row>
    <row r="434" spans="1:17">
      <c r="A434" s="259" t="s">
        <v>1032</v>
      </c>
      <c r="B434" s="259" t="s">
        <v>956</v>
      </c>
      <c r="C434" s="260">
        <v>3</v>
      </c>
      <c r="D434" s="260">
        <v>2841</v>
      </c>
      <c r="E434" s="259"/>
      <c r="F434" s="260">
        <v>74438501472489</v>
      </c>
      <c r="G434" s="259" t="s">
        <v>957</v>
      </c>
      <c r="H434" s="260">
        <v>47826204</v>
      </c>
      <c r="I434" s="259" t="s">
        <v>1037</v>
      </c>
      <c r="J434" s="260">
        <v>1</v>
      </c>
      <c r="K434" s="259" t="s">
        <v>658</v>
      </c>
      <c r="L434" s="304">
        <v>312396.71000000002</v>
      </c>
      <c r="M434" s="260">
        <v>0</v>
      </c>
      <c r="N434" s="260">
        <v>0</v>
      </c>
      <c r="O434" s="260">
        <v>0</v>
      </c>
      <c r="P434" s="304">
        <v>65603.31</v>
      </c>
      <c r="Q434" s="303">
        <v>378000</v>
      </c>
    </row>
    <row r="435" spans="1:17">
      <c r="A435" s="259" t="s">
        <v>1032</v>
      </c>
      <c r="B435" s="259" t="s">
        <v>956</v>
      </c>
      <c r="C435" s="260">
        <v>3</v>
      </c>
      <c r="D435" s="260">
        <v>2842</v>
      </c>
      <c r="E435" s="259"/>
      <c r="F435" s="260">
        <v>74438511517682</v>
      </c>
      <c r="G435" s="259" t="s">
        <v>957</v>
      </c>
      <c r="H435" s="260">
        <v>43055420</v>
      </c>
      <c r="I435" s="259" t="s">
        <v>1034</v>
      </c>
      <c r="J435" s="260">
        <v>1</v>
      </c>
      <c r="K435" s="259" t="s">
        <v>658</v>
      </c>
      <c r="L435" s="304">
        <v>41322.33</v>
      </c>
      <c r="M435" s="260">
        <v>0</v>
      </c>
      <c r="N435" s="260">
        <v>0</v>
      </c>
      <c r="O435" s="260">
        <v>0</v>
      </c>
      <c r="P435" s="304">
        <v>8677.69</v>
      </c>
      <c r="Q435" s="303">
        <v>50000</v>
      </c>
    </row>
    <row r="436" spans="1:17">
      <c r="A436" s="259" t="s">
        <v>1038</v>
      </c>
      <c r="B436" s="259" t="s">
        <v>956</v>
      </c>
      <c r="C436" s="260">
        <v>3</v>
      </c>
      <c r="D436" s="260">
        <v>2843</v>
      </c>
      <c r="E436" s="259"/>
      <c r="F436" s="260">
        <v>74438663180493</v>
      </c>
      <c r="G436" s="259" t="s">
        <v>957</v>
      </c>
      <c r="H436" s="260">
        <v>21847444</v>
      </c>
      <c r="I436" s="259" t="s">
        <v>1039</v>
      </c>
      <c r="J436" s="260">
        <v>1</v>
      </c>
      <c r="K436" s="259" t="s">
        <v>658</v>
      </c>
      <c r="L436" s="304">
        <v>12727.29</v>
      </c>
      <c r="M436" s="260">
        <v>0</v>
      </c>
      <c r="N436" s="260">
        <v>0</v>
      </c>
      <c r="O436" s="260">
        <v>0</v>
      </c>
      <c r="P436" s="304">
        <v>2672.73</v>
      </c>
      <c r="Q436" s="303">
        <v>15400</v>
      </c>
    </row>
    <row r="437" spans="1:17">
      <c r="A437" s="259" t="s">
        <v>1038</v>
      </c>
      <c r="B437" s="259" t="s">
        <v>956</v>
      </c>
      <c r="C437" s="260">
        <v>3</v>
      </c>
      <c r="D437" s="260">
        <v>2844</v>
      </c>
      <c r="E437" s="259"/>
      <c r="F437" s="260">
        <v>74438664307412</v>
      </c>
      <c r="G437" s="259" t="s">
        <v>957</v>
      </c>
      <c r="H437" s="260">
        <v>21847444</v>
      </c>
      <c r="I437" s="259" t="s">
        <v>1039</v>
      </c>
      <c r="J437" s="260">
        <v>1</v>
      </c>
      <c r="K437" s="259" t="s">
        <v>658</v>
      </c>
      <c r="L437" s="304">
        <v>20661.14</v>
      </c>
      <c r="M437" s="260">
        <v>0</v>
      </c>
      <c r="N437" s="260">
        <v>0</v>
      </c>
      <c r="O437" s="260">
        <v>0</v>
      </c>
      <c r="P437" s="304">
        <v>4338.84</v>
      </c>
      <c r="Q437" s="303">
        <v>25000</v>
      </c>
    </row>
    <row r="438" spans="1:17">
      <c r="A438" s="259" t="s">
        <v>1040</v>
      </c>
      <c r="B438" s="259" t="s">
        <v>956</v>
      </c>
      <c r="C438" s="260">
        <v>3</v>
      </c>
      <c r="D438" s="260">
        <v>2845</v>
      </c>
      <c r="E438" s="259"/>
      <c r="F438" s="260">
        <v>74438740360439</v>
      </c>
      <c r="G438" s="259" t="s">
        <v>957</v>
      </c>
      <c r="H438" s="260">
        <v>14816580</v>
      </c>
      <c r="I438" s="259" t="s">
        <v>1042</v>
      </c>
      <c r="J438" s="260">
        <v>1</v>
      </c>
      <c r="K438" s="259" t="s">
        <v>658</v>
      </c>
      <c r="L438" s="304">
        <v>13223.14</v>
      </c>
      <c r="M438" s="260">
        <v>0</v>
      </c>
      <c r="N438" s="260">
        <v>0</v>
      </c>
      <c r="O438" s="260">
        <v>0</v>
      </c>
      <c r="P438" s="304">
        <v>2776.86</v>
      </c>
      <c r="Q438" s="303">
        <v>16000</v>
      </c>
    </row>
    <row r="439" spans="1:17">
      <c r="A439" s="259" t="s">
        <v>1040</v>
      </c>
      <c r="B439" s="259" t="s">
        <v>956</v>
      </c>
      <c r="C439" s="260">
        <v>3</v>
      </c>
      <c r="D439" s="260">
        <v>2846</v>
      </c>
      <c r="E439" s="259"/>
      <c r="F439" s="260">
        <v>74438757868188</v>
      </c>
      <c r="G439" s="259" t="s">
        <v>957</v>
      </c>
      <c r="H439" s="260">
        <v>4541565</v>
      </c>
      <c r="I439" s="259" t="s">
        <v>1041</v>
      </c>
      <c r="J439" s="260">
        <v>1</v>
      </c>
      <c r="K439" s="259" t="s">
        <v>658</v>
      </c>
      <c r="L439" s="304">
        <v>14876.05</v>
      </c>
      <c r="M439" s="260">
        <v>0</v>
      </c>
      <c r="N439" s="260">
        <v>0</v>
      </c>
      <c r="O439" s="260">
        <v>0</v>
      </c>
      <c r="P439" s="304">
        <v>3123.97</v>
      </c>
      <c r="Q439" s="303">
        <v>18000</v>
      </c>
    </row>
    <row r="440" spans="1:17">
      <c r="A440" s="259" t="s">
        <v>1043</v>
      </c>
      <c r="B440" s="259" t="s">
        <v>956</v>
      </c>
      <c r="C440" s="260">
        <v>3</v>
      </c>
      <c r="D440" s="260">
        <v>2847</v>
      </c>
      <c r="E440" s="259"/>
      <c r="F440" s="260">
        <v>74448033336950</v>
      </c>
      <c r="G440" s="259" t="s">
        <v>957</v>
      </c>
      <c r="H440" s="260">
        <v>18220005</v>
      </c>
      <c r="I440" s="259" t="s">
        <v>989</v>
      </c>
      <c r="J440" s="260">
        <v>1</v>
      </c>
      <c r="K440" s="259" t="s">
        <v>658</v>
      </c>
      <c r="L440" s="304">
        <v>10330.57</v>
      </c>
      <c r="M440" s="260">
        <v>0</v>
      </c>
      <c r="N440" s="260">
        <v>0</v>
      </c>
      <c r="O440" s="260">
        <v>0</v>
      </c>
      <c r="P440" s="304">
        <v>2169.42</v>
      </c>
      <c r="Q440" s="303">
        <v>12500</v>
      </c>
    </row>
    <row r="441" spans="1:17">
      <c r="A441" s="259" t="s">
        <v>1043</v>
      </c>
      <c r="B441" s="259" t="s">
        <v>956</v>
      </c>
      <c r="C441" s="260">
        <v>3</v>
      </c>
      <c r="D441" s="260">
        <v>2848</v>
      </c>
      <c r="E441" s="259"/>
      <c r="F441" s="260">
        <v>74448039607027</v>
      </c>
      <c r="G441" s="259" t="s">
        <v>957</v>
      </c>
      <c r="H441" s="260">
        <v>6532128</v>
      </c>
      <c r="I441" s="259" t="s">
        <v>1047</v>
      </c>
      <c r="J441" s="260">
        <v>1</v>
      </c>
      <c r="K441" s="259" t="s">
        <v>658</v>
      </c>
      <c r="L441" s="304">
        <v>17355.38</v>
      </c>
      <c r="M441" s="260">
        <v>0</v>
      </c>
      <c r="N441" s="260">
        <v>0</v>
      </c>
      <c r="O441" s="260">
        <v>0</v>
      </c>
      <c r="P441" s="304">
        <v>3644.63</v>
      </c>
      <c r="Q441" s="303">
        <v>21000</v>
      </c>
    </row>
    <row r="442" spans="1:17">
      <c r="A442" s="259" t="s">
        <v>1043</v>
      </c>
      <c r="B442" s="301" t="s">
        <v>960</v>
      </c>
      <c r="C442" s="260">
        <v>7</v>
      </c>
      <c r="D442" s="260">
        <v>163</v>
      </c>
      <c r="E442" s="259"/>
      <c r="F442" s="260">
        <v>74448064355781</v>
      </c>
      <c r="G442" s="259" t="s">
        <v>957</v>
      </c>
      <c r="H442" s="260">
        <v>1886726</v>
      </c>
      <c r="I442" s="259"/>
      <c r="J442" s="260">
        <v>1</v>
      </c>
      <c r="K442" s="259" t="s">
        <v>658</v>
      </c>
      <c r="L442" s="304">
        <v>-17355.37</v>
      </c>
      <c r="M442" s="260">
        <v>0</v>
      </c>
      <c r="N442" s="260">
        <v>0</v>
      </c>
      <c r="O442" s="260">
        <v>0</v>
      </c>
      <c r="P442" s="303">
        <f>+L442*0.21</f>
        <v>-3644.6276999999995</v>
      </c>
      <c r="Q442" s="303">
        <f>+SUM(L442+P442)</f>
        <v>-20999.9977</v>
      </c>
    </row>
    <row r="443" spans="1:17">
      <c r="A443" s="259" t="s">
        <v>1043</v>
      </c>
      <c r="B443" s="301" t="s">
        <v>960</v>
      </c>
      <c r="C443" s="260">
        <v>7</v>
      </c>
      <c r="D443" s="260">
        <v>162</v>
      </c>
      <c r="E443" s="259"/>
      <c r="F443" s="260">
        <v>74448011020097</v>
      </c>
      <c r="G443" s="259" t="s">
        <v>1002</v>
      </c>
      <c r="H443" s="260">
        <v>27281788766</v>
      </c>
      <c r="I443" s="259" t="s">
        <v>1045</v>
      </c>
      <c r="J443" s="260">
        <v>1</v>
      </c>
      <c r="K443" s="259" t="s">
        <v>658</v>
      </c>
      <c r="L443" s="304">
        <v>-190082.64</v>
      </c>
      <c r="M443" s="260">
        <v>0</v>
      </c>
      <c r="N443" s="260">
        <v>0</v>
      </c>
      <c r="O443" s="260">
        <v>0</v>
      </c>
      <c r="P443" s="303">
        <f>+L443*0.21</f>
        <v>-39917.354400000004</v>
      </c>
      <c r="Q443" s="303">
        <f>+SUM(L443+P443)</f>
        <v>-229999.99440000003</v>
      </c>
    </row>
    <row r="444" spans="1:17">
      <c r="A444" s="259" t="s">
        <v>1051</v>
      </c>
      <c r="B444" s="259" t="s">
        <v>656</v>
      </c>
      <c r="C444" s="260">
        <v>3</v>
      </c>
      <c r="D444" s="260">
        <v>2134</v>
      </c>
      <c r="E444" s="259"/>
      <c r="F444" s="260">
        <v>74448142920993</v>
      </c>
      <c r="G444" s="259" t="s">
        <v>7</v>
      </c>
      <c r="H444" s="260">
        <v>30709645656</v>
      </c>
      <c r="I444" s="259" t="s">
        <v>1052</v>
      </c>
      <c r="J444" s="260">
        <v>1</v>
      </c>
      <c r="K444" s="259" t="s">
        <v>658</v>
      </c>
      <c r="L444" s="304">
        <v>27086.76</v>
      </c>
      <c r="M444" s="260">
        <v>0</v>
      </c>
      <c r="N444" s="260">
        <v>0</v>
      </c>
      <c r="O444" s="260">
        <v>0</v>
      </c>
      <c r="P444" s="304">
        <v>5688.22</v>
      </c>
      <c r="Q444" s="303">
        <v>32775</v>
      </c>
    </row>
    <row r="445" spans="1:17">
      <c r="A445" s="259" t="s">
        <v>1051</v>
      </c>
      <c r="B445" s="259" t="s">
        <v>656</v>
      </c>
      <c r="C445" s="260">
        <v>3</v>
      </c>
      <c r="D445" s="260">
        <v>2135</v>
      </c>
      <c r="E445" s="259"/>
      <c r="F445" s="260">
        <v>74448162421826</v>
      </c>
      <c r="G445" s="259" t="s">
        <v>7</v>
      </c>
      <c r="H445" s="260">
        <v>30525274450</v>
      </c>
      <c r="I445" s="259" t="s">
        <v>1053</v>
      </c>
      <c r="J445" s="260">
        <v>1</v>
      </c>
      <c r="K445" s="259" t="s">
        <v>658</v>
      </c>
      <c r="L445" s="302">
        <v>1652.9</v>
      </c>
      <c r="M445" s="260">
        <v>0</v>
      </c>
      <c r="N445" s="260">
        <v>0</v>
      </c>
      <c r="O445" s="260">
        <v>0</v>
      </c>
      <c r="P445" s="304">
        <v>347.11</v>
      </c>
      <c r="Q445" s="304">
        <v>2000.01</v>
      </c>
    </row>
    <row r="446" spans="1:17">
      <c r="A446" s="259" t="s">
        <v>1043</v>
      </c>
      <c r="B446" s="259" t="s">
        <v>956</v>
      </c>
      <c r="C446" s="260">
        <v>3</v>
      </c>
      <c r="D446" s="260">
        <v>2849</v>
      </c>
      <c r="E446" s="259"/>
      <c r="F446" s="260">
        <v>74448040159729</v>
      </c>
      <c r="G446" s="259" t="s">
        <v>957</v>
      </c>
      <c r="H446" s="260">
        <v>11383812</v>
      </c>
      <c r="I446" s="259" t="s">
        <v>1049</v>
      </c>
      <c r="J446" s="260">
        <v>1</v>
      </c>
      <c r="K446" s="259" t="s">
        <v>658</v>
      </c>
      <c r="L446" s="304">
        <v>10661.14</v>
      </c>
      <c r="M446" s="260">
        <v>0</v>
      </c>
      <c r="N446" s="260">
        <v>0</v>
      </c>
      <c r="O446" s="260">
        <v>0</v>
      </c>
      <c r="P446" s="304">
        <v>2238.84</v>
      </c>
      <c r="Q446" s="303">
        <v>12900</v>
      </c>
    </row>
    <row r="447" spans="1:17">
      <c r="A447" s="259" t="s">
        <v>1043</v>
      </c>
      <c r="B447" s="259" t="s">
        <v>956</v>
      </c>
      <c r="C447" s="260">
        <v>3</v>
      </c>
      <c r="D447" s="260">
        <v>2850</v>
      </c>
      <c r="E447" s="259"/>
      <c r="F447" s="260">
        <v>74448050843261</v>
      </c>
      <c r="G447" s="259"/>
      <c r="H447" s="259"/>
      <c r="I447" s="259"/>
      <c r="J447" s="260">
        <v>1</v>
      </c>
      <c r="K447" s="259" t="s">
        <v>658</v>
      </c>
      <c r="L447" s="302">
        <v>16528.900000000001</v>
      </c>
      <c r="M447" s="260">
        <v>0</v>
      </c>
      <c r="N447" s="260">
        <v>0</v>
      </c>
      <c r="O447" s="260">
        <v>0</v>
      </c>
      <c r="P447" s="304">
        <v>3471.07</v>
      </c>
      <c r="Q447" s="303">
        <v>20000</v>
      </c>
    </row>
    <row r="448" spans="1:17">
      <c r="A448" s="259" t="s">
        <v>1043</v>
      </c>
      <c r="B448" s="259" t="s">
        <v>956</v>
      </c>
      <c r="C448" s="260">
        <v>3</v>
      </c>
      <c r="D448" s="260">
        <v>2851</v>
      </c>
      <c r="E448" s="259"/>
      <c r="F448" s="260">
        <v>74448057042559</v>
      </c>
      <c r="G448" s="259" t="s">
        <v>1002</v>
      </c>
      <c r="H448" s="260">
        <v>27251248554</v>
      </c>
      <c r="I448" s="259" t="s">
        <v>1048</v>
      </c>
      <c r="J448" s="260">
        <v>1</v>
      </c>
      <c r="K448" s="259" t="s">
        <v>658</v>
      </c>
      <c r="L448" s="304">
        <v>21900.81</v>
      </c>
      <c r="M448" s="260">
        <v>0</v>
      </c>
      <c r="N448" s="260">
        <v>0</v>
      </c>
      <c r="O448" s="260">
        <v>0</v>
      </c>
      <c r="P448" s="304">
        <v>4599.17</v>
      </c>
      <c r="Q448" s="303">
        <v>26500</v>
      </c>
    </row>
    <row r="449" spans="1:17">
      <c r="A449" s="259" t="s">
        <v>1043</v>
      </c>
      <c r="B449" s="259" t="s">
        <v>956</v>
      </c>
      <c r="C449" s="260">
        <v>3</v>
      </c>
      <c r="D449" s="260">
        <v>2852</v>
      </c>
      <c r="E449" s="259"/>
      <c r="F449" s="260">
        <v>74448059265923</v>
      </c>
      <c r="G449" s="259" t="s">
        <v>957</v>
      </c>
      <c r="H449" s="260">
        <v>29396691</v>
      </c>
      <c r="I449" s="259" t="s">
        <v>1046</v>
      </c>
      <c r="J449" s="260">
        <v>1</v>
      </c>
      <c r="K449" s="259" t="s">
        <v>658</v>
      </c>
      <c r="L449" s="304">
        <v>33884.29</v>
      </c>
      <c r="M449" s="260">
        <v>0</v>
      </c>
      <c r="N449" s="260">
        <v>0</v>
      </c>
      <c r="O449" s="260">
        <v>0</v>
      </c>
      <c r="P449" s="302">
        <v>7115.7</v>
      </c>
      <c r="Q449" s="303">
        <v>41000</v>
      </c>
    </row>
    <row r="450" spans="1:17">
      <c r="A450" s="259" t="s">
        <v>1043</v>
      </c>
      <c r="B450" s="259" t="s">
        <v>956</v>
      </c>
      <c r="C450" s="260">
        <v>3</v>
      </c>
      <c r="D450" s="260">
        <v>2853</v>
      </c>
      <c r="E450" s="259"/>
      <c r="F450" s="260">
        <v>74448060397587</v>
      </c>
      <c r="G450" s="259" t="s">
        <v>957</v>
      </c>
      <c r="H450" s="260">
        <v>92903310</v>
      </c>
      <c r="I450" s="259" t="s">
        <v>1050</v>
      </c>
      <c r="J450" s="260">
        <v>1</v>
      </c>
      <c r="K450" s="259" t="s">
        <v>658</v>
      </c>
      <c r="L450" s="304">
        <v>12727.29</v>
      </c>
      <c r="M450" s="260">
        <v>0</v>
      </c>
      <c r="N450" s="260">
        <v>0</v>
      </c>
      <c r="O450" s="260">
        <v>0</v>
      </c>
      <c r="P450" s="304">
        <v>2672.73</v>
      </c>
      <c r="Q450" s="303">
        <v>15400</v>
      </c>
    </row>
    <row r="451" spans="1:17">
      <c r="A451" s="259" t="s">
        <v>1051</v>
      </c>
      <c r="B451" s="259" t="s">
        <v>956</v>
      </c>
      <c r="C451" s="260">
        <v>3</v>
      </c>
      <c r="D451" s="260">
        <v>2854</v>
      </c>
      <c r="E451" s="259"/>
      <c r="F451" s="260">
        <v>74448125989443</v>
      </c>
      <c r="G451" s="259" t="s">
        <v>957</v>
      </c>
      <c r="H451" s="260">
        <v>4582167</v>
      </c>
      <c r="I451" s="259" t="s">
        <v>1057</v>
      </c>
      <c r="J451" s="260">
        <v>1</v>
      </c>
      <c r="K451" s="259" t="s">
        <v>658</v>
      </c>
      <c r="L451" s="304">
        <v>21487.62</v>
      </c>
      <c r="M451" s="260">
        <v>0</v>
      </c>
      <c r="N451" s="260">
        <v>0</v>
      </c>
      <c r="O451" s="260">
        <v>0</v>
      </c>
      <c r="P451" s="302">
        <v>4512.3999999999996</v>
      </c>
      <c r="Q451" s="303">
        <v>26000</v>
      </c>
    </row>
    <row r="452" spans="1:17">
      <c r="A452" s="259" t="s">
        <v>1051</v>
      </c>
      <c r="B452" s="259" t="s">
        <v>956</v>
      </c>
      <c r="C452" s="260">
        <v>3</v>
      </c>
      <c r="D452" s="260">
        <v>2855</v>
      </c>
      <c r="E452" s="259"/>
      <c r="F452" s="260">
        <v>74448126713825</v>
      </c>
      <c r="G452" s="259" t="s">
        <v>957</v>
      </c>
      <c r="H452" s="260">
        <v>35274647</v>
      </c>
      <c r="I452" s="259" t="s">
        <v>1054</v>
      </c>
      <c r="J452" s="260">
        <v>1</v>
      </c>
      <c r="K452" s="259" t="s">
        <v>658</v>
      </c>
      <c r="L452" s="304">
        <v>17355.38</v>
      </c>
      <c r="M452" s="260">
        <v>0</v>
      </c>
      <c r="N452" s="260">
        <v>0</v>
      </c>
      <c r="O452" s="260">
        <v>0</v>
      </c>
      <c r="P452" s="304">
        <v>3644.63</v>
      </c>
      <c r="Q452" s="303">
        <v>21000</v>
      </c>
    </row>
    <row r="453" spans="1:17">
      <c r="A453" s="259" t="s">
        <v>1051</v>
      </c>
      <c r="B453" s="259" t="s">
        <v>956</v>
      </c>
      <c r="C453" s="260">
        <v>3</v>
      </c>
      <c r="D453" s="260">
        <v>2856</v>
      </c>
      <c r="E453" s="259"/>
      <c r="F453" s="260">
        <v>74448137001990</v>
      </c>
      <c r="G453" s="259" t="s">
        <v>957</v>
      </c>
      <c r="H453" s="260">
        <v>24882196</v>
      </c>
      <c r="I453" s="259" t="s">
        <v>1059</v>
      </c>
      <c r="J453" s="260">
        <v>1</v>
      </c>
      <c r="K453" s="259" t="s">
        <v>658</v>
      </c>
      <c r="L453" s="304">
        <v>17355.38</v>
      </c>
      <c r="M453" s="260">
        <v>0</v>
      </c>
      <c r="N453" s="260">
        <v>0</v>
      </c>
      <c r="O453" s="260">
        <v>0</v>
      </c>
      <c r="P453" s="304">
        <v>3644.63</v>
      </c>
      <c r="Q453" s="303">
        <v>21000</v>
      </c>
    </row>
    <row r="454" spans="1:17">
      <c r="A454" s="259" t="s">
        <v>1051</v>
      </c>
      <c r="B454" s="259" t="s">
        <v>956</v>
      </c>
      <c r="C454" s="260">
        <v>3</v>
      </c>
      <c r="D454" s="260">
        <v>2857</v>
      </c>
      <c r="E454" s="259"/>
      <c r="F454" s="260">
        <v>74448138083667</v>
      </c>
      <c r="G454" s="259" t="s">
        <v>957</v>
      </c>
      <c r="H454" s="260">
        <v>14563128</v>
      </c>
      <c r="I454" s="259" t="s">
        <v>1055</v>
      </c>
      <c r="J454" s="260">
        <v>1</v>
      </c>
      <c r="K454" s="259" t="s">
        <v>658</v>
      </c>
      <c r="L454" s="304">
        <v>49586.76</v>
      </c>
      <c r="M454" s="260">
        <v>0</v>
      </c>
      <c r="N454" s="260">
        <v>0</v>
      </c>
      <c r="O454" s="260">
        <v>0</v>
      </c>
      <c r="P454" s="304">
        <v>10413.219999999999</v>
      </c>
      <c r="Q454" s="303">
        <v>60000</v>
      </c>
    </row>
    <row r="455" spans="1:17">
      <c r="A455" s="259" t="s">
        <v>1051</v>
      </c>
      <c r="B455" s="259" t="s">
        <v>956</v>
      </c>
      <c r="C455" s="260">
        <v>3</v>
      </c>
      <c r="D455" s="260">
        <v>2858</v>
      </c>
      <c r="E455" s="259"/>
      <c r="F455" s="260">
        <v>74448138752543</v>
      </c>
      <c r="G455" s="259" t="s">
        <v>957</v>
      </c>
      <c r="H455" s="260">
        <v>20987237</v>
      </c>
      <c r="I455" s="259" t="s">
        <v>1056</v>
      </c>
      <c r="J455" s="260">
        <v>1</v>
      </c>
      <c r="K455" s="259" t="s">
        <v>658</v>
      </c>
      <c r="L455" s="304">
        <v>12396.71</v>
      </c>
      <c r="M455" s="260">
        <v>0</v>
      </c>
      <c r="N455" s="260">
        <v>0</v>
      </c>
      <c r="O455" s="260">
        <v>0</v>
      </c>
      <c r="P455" s="304">
        <v>2603.31</v>
      </c>
      <c r="Q455" s="303">
        <v>15000</v>
      </c>
    </row>
    <row r="456" spans="1:17">
      <c r="A456" s="259" t="s">
        <v>1051</v>
      </c>
      <c r="B456" s="259" t="s">
        <v>956</v>
      </c>
      <c r="C456" s="260">
        <v>3</v>
      </c>
      <c r="D456" s="260">
        <v>2859</v>
      </c>
      <c r="E456" s="259"/>
      <c r="F456" s="260">
        <v>74448144589350</v>
      </c>
      <c r="G456" s="259" t="s">
        <v>957</v>
      </c>
      <c r="H456" s="260">
        <v>18811819</v>
      </c>
      <c r="I456" s="259" t="s">
        <v>1058</v>
      </c>
      <c r="J456" s="260">
        <v>1</v>
      </c>
      <c r="K456" s="259" t="s">
        <v>658</v>
      </c>
      <c r="L456" s="304">
        <v>12396.71</v>
      </c>
      <c r="M456" s="260">
        <v>0</v>
      </c>
      <c r="N456" s="260">
        <v>0</v>
      </c>
      <c r="O456" s="260">
        <v>0</v>
      </c>
      <c r="P456" s="304">
        <v>2603.31</v>
      </c>
      <c r="Q456" s="303">
        <v>15000</v>
      </c>
    </row>
    <row r="457" spans="1:17">
      <c r="A457" s="259" t="s">
        <v>1051</v>
      </c>
      <c r="B457" s="259" t="s">
        <v>956</v>
      </c>
      <c r="C457" s="260">
        <v>3</v>
      </c>
      <c r="D457" s="260">
        <v>2860</v>
      </c>
      <c r="E457" s="259"/>
      <c r="F457" s="260">
        <v>74448160410105</v>
      </c>
      <c r="G457" s="259" t="s">
        <v>957</v>
      </c>
      <c r="H457" s="260">
        <v>3868027</v>
      </c>
      <c r="I457" s="259" t="s">
        <v>987</v>
      </c>
      <c r="J457" s="260">
        <v>1</v>
      </c>
      <c r="K457" s="259" t="s">
        <v>658</v>
      </c>
      <c r="L457" s="304">
        <v>17768.57</v>
      </c>
      <c r="M457" s="260">
        <v>0</v>
      </c>
      <c r="N457" s="260">
        <v>0</v>
      </c>
      <c r="O457" s="260">
        <v>0</v>
      </c>
      <c r="P457" s="302">
        <v>3731.4</v>
      </c>
      <c r="Q457" s="303">
        <v>21500</v>
      </c>
    </row>
    <row r="458" spans="1:17">
      <c r="A458" s="259" t="s">
        <v>1061</v>
      </c>
      <c r="B458" s="259" t="s">
        <v>956</v>
      </c>
      <c r="C458" s="260">
        <v>3</v>
      </c>
      <c r="D458" s="260">
        <v>2861</v>
      </c>
      <c r="E458" s="259"/>
      <c r="F458" s="260">
        <v>74448438556003</v>
      </c>
      <c r="G458" s="259" t="s">
        <v>957</v>
      </c>
      <c r="H458" s="260">
        <v>18286305</v>
      </c>
      <c r="I458" s="259" t="s">
        <v>1062</v>
      </c>
      <c r="J458" s="260">
        <v>1</v>
      </c>
      <c r="K458" s="259" t="s">
        <v>658</v>
      </c>
      <c r="L458" s="304">
        <v>12396.71</v>
      </c>
      <c r="M458" s="260">
        <v>0</v>
      </c>
      <c r="N458" s="260">
        <v>0</v>
      </c>
      <c r="O458" s="260">
        <v>0</v>
      </c>
      <c r="P458" s="304">
        <v>2603.31</v>
      </c>
      <c r="Q458" s="303">
        <v>15000</v>
      </c>
    </row>
    <row r="459" spans="1:17">
      <c r="A459" s="259" t="s">
        <v>954</v>
      </c>
      <c r="B459" s="259" t="s">
        <v>956</v>
      </c>
      <c r="C459" s="260">
        <v>7</v>
      </c>
      <c r="D459" s="260">
        <v>5383</v>
      </c>
      <c r="E459" s="259"/>
      <c r="F459" s="260">
        <v>74408958819370</v>
      </c>
      <c r="G459" s="260">
        <v>99</v>
      </c>
      <c r="H459" s="260">
        <v>0</v>
      </c>
      <c r="I459" s="259"/>
      <c r="J459" s="260">
        <v>1</v>
      </c>
      <c r="K459" s="259" t="s">
        <v>658</v>
      </c>
      <c r="L459" s="303">
        <v>1</v>
      </c>
      <c r="M459" s="260">
        <v>0</v>
      </c>
      <c r="N459" s="260">
        <v>0</v>
      </c>
      <c r="O459" s="260">
        <v>0</v>
      </c>
      <c r="P459" s="303">
        <v>0</v>
      </c>
      <c r="Q459" s="303">
        <v>1</v>
      </c>
    </row>
    <row r="460" spans="1:17">
      <c r="A460" s="259" t="s">
        <v>962</v>
      </c>
      <c r="B460" s="259" t="s">
        <v>956</v>
      </c>
      <c r="C460" s="260">
        <v>7</v>
      </c>
      <c r="D460" s="260">
        <v>5384</v>
      </c>
      <c r="E460" s="259"/>
      <c r="F460" s="260">
        <v>74408087698932</v>
      </c>
      <c r="G460" s="259" t="s">
        <v>7</v>
      </c>
      <c r="H460" s="260">
        <v>30590354798</v>
      </c>
      <c r="I460" s="259" t="s">
        <v>81</v>
      </c>
      <c r="J460" s="260">
        <v>1</v>
      </c>
      <c r="K460" s="259" t="s">
        <v>658</v>
      </c>
      <c r="L460" s="304">
        <v>984314.05</v>
      </c>
      <c r="M460" s="260">
        <v>0</v>
      </c>
      <c r="N460" s="260">
        <v>0</v>
      </c>
      <c r="O460" s="260">
        <v>0</v>
      </c>
      <c r="P460" s="304">
        <v>206705.95</v>
      </c>
      <c r="Q460" s="303">
        <v>1191020</v>
      </c>
    </row>
    <row r="461" spans="1:17">
      <c r="A461" s="259" t="s">
        <v>966</v>
      </c>
      <c r="B461" s="259" t="s">
        <v>956</v>
      </c>
      <c r="C461" s="260">
        <v>7</v>
      </c>
      <c r="D461" s="260">
        <v>5385</v>
      </c>
      <c r="E461" s="259"/>
      <c r="F461" s="260">
        <v>74408310206993</v>
      </c>
      <c r="G461" s="260">
        <v>99</v>
      </c>
      <c r="H461" s="260">
        <v>0</v>
      </c>
      <c r="I461" s="259"/>
      <c r="J461" s="260">
        <v>1</v>
      </c>
      <c r="K461" s="259" t="s">
        <v>658</v>
      </c>
      <c r="L461" s="304">
        <v>19132.23</v>
      </c>
      <c r="M461" s="260">
        <v>0</v>
      </c>
      <c r="N461" s="260">
        <v>0</v>
      </c>
      <c r="O461" s="260">
        <v>0</v>
      </c>
      <c r="P461" s="304">
        <v>4017.77</v>
      </c>
      <c r="Q461" s="303">
        <v>23150</v>
      </c>
    </row>
    <row r="462" spans="1:17">
      <c r="A462" s="259" t="s">
        <v>966</v>
      </c>
      <c r="B462" s="259" t="s">
        <v>956</v>
      </c>
      <c r="C462" s="260">
        <v>7</v>
      </c>
      <c r="D462" s="260">
        <v>5386</v>
      </c>
      <c r="E462" s="259"/>
      <c r="F462" s="260">
        <v>74408311985577</v>
      </c>
      <c r="G462" s="260">
        <v>99</v>
      </c>
      <c r="H462" s="260">
        <v>0</v>
      </c>
      <c r="I462" s="259"/>
      <c r="J462" s="260">
        <v>1</v>
      </c>
      <c r="K462" s="259" t="s">
        <v>658</v>
      </c>
      <c r="L462" s="302">
        <v>10743.8</v>
      </c>
      <c r="M462" s="260">
        <v>0</v>
      </c>
      <c r="N462" s="260">
        <v>0</v>
      </c>
      <c r="O462" s="260">
        <v>0</v>
      </c>
      <c r="P462" s="302">
        <v>2256.1999999999998</v>
      </c>
      <c r="Q462" s="303">
        <v>13000</v>
      </c>
    </row>
    <row r="463" spans="1:17">
      <c r="A463" s="259" t="s">
        <v>966</v>
      </c>
      <c r="B463" s="259" t="s">
        <v>956</v>
      </c>
      <c r="C463" s="260">
        <v>7</v>
      </c>
      <c r="D463" s="260">
        <v>5387</v>
      </c>
      <c r="E463" s="259"/>
      <c r="F463" s="260">
        <v>74408312307600</v>
      </c>
      <c r="G463" s="259" t="s">
        <v>7</v>
      </c>
      <c r="H463" s="260">
        <v>30590354798</v>
      </c>
      <c r="I463" s="259" t="s">
        <v>81</v>
      </c>
      <c r="J463" s="260">
        <v>1</v>
      </c>
      <c r="K463" s="259" t="s">
        <v>658</v>
      </c>
      <c r="L463" s="304">
        <v>1841672.68</v>
      </c>
      <c r="M463" s="260">
        <v>0</v>
      </c>
      <c r="N463" s="260">
        <v>0</v>
      </c>
      <c r="O463" s="260">
        <v>0</v>
      </c>
      <c r="P463" s="304">
        <v>386751.26</v>
      </c>
      <c r="Q463" s="304">
        <v>2228423.94</v>
      </c>
    </row>
    <row r="464" spans="1:17">
      <c r="A464" s="259" t="s">
        <v>966</v>
      </c>
      <c r="B464" s="259" t="s">
        <v>956</v>
      </c>
      <c r="C464" s="260">
        <v>7</v>
      </c>
      <c r="D464" s="260">
        <v>5388</v>
      </c>
      <c r="E464" s="259"/>
      <c r="F464" s="260">
        <v>74408313049947</v>
      </c>
      <c r="G464" s="260">
        <v>99</v>
      </c>
      <c r="H464" s="260">
        <v>0</v>
      </c>
      <c r="I464" s="259"/>
      <c r="J464" s="260">
        <v>1</v>
      </c>
      <c r="K464" s="259" t="s">
        <v>658</v>
      </c>
      <c r="L464" s="304">
        <v>24793.39</v>
      </c>
      <c r="M464" s="260">
        <v>0</v>
      </c>
      <c r="N464" s="260">
        <v>0</v>
      </c>
      <c r="O464" s="260">
        <v>0</v>
      </c>
      <c r="P464" s="304">
        <v>5206.6099999999997</v>
      </c>
      <c r="Q464" s="303">
        <v>30000</v>
      </c>
    </row>
    <row r="465" spans="1:17">
      <c r="A465" s="259" t="s">
        <v>966</v>
      </c>
      <c r="B465" s="259" t="s">
        <v>956</v>
      </c>
      <c r="C465" s="260">
        <v>7</v>
      </c>
      <c r="D465" s="260">
        <v>5389</v>
      </c>
      <c r="E465" s="259"/>
      <c r="F465" s="260">
        <v>74408323247868</v>
      </c>
      <c r="G465" s="259" t="s">
        <v>7</v>
      </c>
      <c r="H465" s="260">
        <v>30590354798</v>
      </c>
      <c r="I465" s="259" t="s">
        <v>81</v>
      </c>
      <c r="J465" s="260">
        <v>1</v>
      </c>
      <c r="K465" s="259" t="s">
        <v>658</v>
      </c>
      <c r="L465" s="302">
        <v>89256.2</v>
      </c>
      <c r="M465" s="260">
        <v>0</v>
      </c>
      <c r="N465" s="260">
        <v>0</v>
      </c>
      <c r="O465" s="260">
        <v>0</v>
      </c>
      <c r="P465" s="302">
        <v>18743.8</v>
      </c>
      <c r="Q465" s="303">
        <v>108000</v>
      </c>
    </row>
    <row r="466" spans="1:17">
      <c r="A466" s="259" t="s">
        <v>966</v>
      </c>
      <c r="B466" s="259" t="s">
        <v>956</v>
      </c>
      <c r="C466" s="260">
        <v>7</v>
      </c>
      <c r="D466" s="260">
        <v>5390</v>
      </c>
      <c r="E466" s="259"/>
      <c r="F466" s="260">
        <v>74408332838079</v>
      </c>
      <c r="G466" s="260">
        <v>99</v>
      </c>
      <c r="H466" s="260">
        <v>0</v>
      </c>
      <c r="I466" s="259"/>
      <c r="J466" s="260">
        <v>1</v>
      </c>
      <c r="K466" s="259" t="s">
        <v>658</v>
      </c>
      <c r="L466" s="302">
        <v>11487.6</v>
      </c>
      <c r="M466" s="260">
        <v>0</v>
      </c>
      <c r="N466" s="260">
        <v>0</v>
      </c>
      <c r="O466" s="260">
        <v>0</v>
      </c>
      <c r="P466" s="302">
        <v>2412.4</v>
      </c>
      <c r="Q466" s="303">
        <v>13900</v>
      </c>
    </row>
    <row r="467" spans="1:17">
      <c r="A467" s="259" t="s">
        <v>966</v>
      </c>
      <c r="B467" s="259" t="s">
        <v>956</v>
      </c>
      <c r="C467" s="260">
        <v>7</v>
      </c>
      <c r="D467" s="260">
        <v>5391</v>
      </c>
      <c r="E467" s="259"/>
      <c r="F467" s="260">
        <v>74408345140413</v>
      </c>
      <c r="G467" s="260">
        <v>99</v>
      </c>
      <c r="H467" s="260">
        <v>0</v>
      </c>
      <c r="I467" s="259"/>
      <c r="J467" s="260">
        <v>1</v>
      </c>
      <c r="K467" s="259" t="s">
        <v>658</v>
      </c>
      <c r="L467" s="304">
        <v>20661.16</v>
      </c>
      <c r="M467" s="260">
        <v>0</v>
      </c>
      <c r="N467" s="260">
        <v>0</v>
      </c>
      <c r="O467" s="260">
        <v>0</v>
      </c>
      <c r="P467" s="304">
        <v>4338.84</v>
      </c>
      <c r="Q467" s="303">
        <v>25000</v>
      </c>
    </row>
    <row r="468" spans="1:17">
      <c r="A468" s="259" t="s">
        <v>1051</v>
      </c>
      <c r="B468" s="301" t="s">
        <v>960</v>
      </c>
      <c r="C468" s="260">
        <v>7</v>
      </c>
      <c r="D468" s="260">
        <v>164</v>
      </c>
      <c r="E468" s="259"/>
      <c r="F468" s="260">
        <v>74448171116203</v>
      </c>
      <c r="G468" s="260">
        <v>99</v>
      </c>
      <c r="H468" s="260">
        <v>0</v>
      </c>
      <c r="I468" s="259"/>
      <c r="J468" s="260">
        <v>1</v>
      </c>
      <c r="K468" s="259" t="s">
        <v>658</v>
      </c>
      <c r="L468" s="304">
        <v>-17355.37</v>
      </c>
      <c r="M468" s="260">
        <v>0</v>
      </c>
      <c r="N468" s="260">
        <v>0</v>
      </c>
      <c r="O468" s="260">
        <v>0</v>
      </c>
      <c r="P468" s="303">
        <f>+L468*0.21</f>
        <v>-3644.6276999999995</v>
      </c>
      <c r="Q468" s="303">
        <f>+SUM(L468+P468)</f>
        <v>-20999.9977</v>
      </c>
    </row>
    <row r="469" spans="1:17">
      <c r="A469" s="259" t="s">
        <v>1060</v>
      </c>
      <c r="B469" s="259" t="s">
        <v>656</v>
      </c>
      <c r="C469" s="260">
        <v>7</v>
      </c>
      <c r="D469" s="260">
        <v>2221</v>
      </c>
      <c r="E469" s="259"/>
      <c r="F469" s="260">
        <v>74448279743368</v>
      </c>
      <c r="G469" s="259" t="s">
        <v>7</v>
      </c>
      <c r="H469" s="260">
        <v>30522428163</v>
      </c>
      <c r="I469" s="259" t="s">
        <v>955</v>
      </c>
      <c r="J469" s="260">
        <v>1</v>
      </c>
      <c r="K469" s="259" t="s">
        <v>658</v>
      </c>
      <c r="L469" s="302">
        <v>55764.5</v>
      </c>
      <c r="M469" s="260">
        <v>0</v>
      </c>
      <c r="N469" s="260">
        <v>0</v>
      </c>
      <c r="O469" s="260">
        <v>0</v>
      </c>
      <c r="P469" s="304">
        <v>11710.54</v>
      </c>
      <c r="Q469" s="304">
        <v>67475.039999999994</v>
      </c>
    </row>
    <row r="470" spans="1:17">
      <c r="A470" s="259" t="s">
        <v>1060</v>
      </c>
      <c r="B470" s="259" t="s">
        <v>656</v>
      </c>
      <c r="C470" s="260">
        <v>7</v>
      </c>
      <c r="D470" s="260">
        <v>2222</v>
      </c>
      <c r="E470" s="259"/>
      <c r="F470" s="260">
        <v>74448305683460</v>
      </c>
      <c r="G470" s="259" t="s">
        <v>7</v>
      </c>
      <c r="H470" s="260">
        <v>30500053522</v>
      </c>
      <c r="I470" s="259" t="s">
        <v>969</v>
      </c>
      <c r="J470" s="260">
        <v>1</v>
      </c>
      <c r="K470" s="259" t="s">
        <v>658</v>
      </c>
      <c r="L470" s="304">
        <v>180239.67</v>
      </c>
      <c r="M470" s="260">
        <v>0</v>
      </c>
      <c r="N470" s="260">
        <v>0</v>
      </c>
      <c r="O470" s="260">
        <v>0</v>
      </c>
      <c r="P470" s="304">
        <v>37850.33</v>
      </c>
      <c r="Q470" s="303">
        <v>218090</v>
      </c>
    </row>
    <row r="471" spans="1:17">
      <c r="A471" s="259" t="s">
        <v>1060</v>
      </c>
      <c r="B471" s="259" t="s">
        <v>656</v>
      </c>
      <c r="C471" s="260">
        <v>7</v>
      </c>
      <c r="D471" s="260">
        <v>2223</v>
      </c>
      <c r="E471" s="259"/>
      <c r="F471" s="260">
        <v>74448318129319</v>
      </c>
      <c r="G471" s="259" t="s">
        <v>7</v>
      </c>
      <c r="H471" s="260">
        <v>30683032227</v>
      </c>
      <c r="I471" s="259" t="s">
        <v>972</v>
      </c>
      <c r="J471" s="260">
        <v>1</v>
      </c>
      <c r="K471" s="259" t="s">
        <v>658</v>
      </c>
      <c r="L471" s="304">
        <v>84710.74</v>
      </c>
      <c r="M471" s="260">
        <v>0</v>
      </c>
      <c r="N471" s="260">
        <v>0</v>
      </c>
      <c r="O471" s="260">
        <v>0</v>
      </c>
      <c r="P471" s="304">
        <v>17789.259999999998</v>
      </c>
      <c r="Q471" s="303">
        <v>102500</v>
      </c>
    </row>
    <row r="472" spans="1:17">
      <c r="A472" s="259" t="s">
        <v>1060</v>
      </c>
      <c r="B472" s="259" t="s">
        <v>656</v>
      </c>
      <c r="C472" s="260">
        <v>7</v>
      </c>
      <c r="D472" s="260">
        <v>2224</v>
      </c>
      <c r="E472" s="259"/>
      <c r="F472" s="260">
        <v>74448327313596</v>
      </c>
      <c r="G472" s="259" t="s">
        <v>7</v>
      </c>
      <c r="H472" s="260">
        <v>30522428163</v>
      </c>
      <c r="I472" s="259" t="s">
        <v>955</v>
      </c>
      <c r="J472" s="260">
        <v>1</v>
      </c>
      <c r="K472" s="259" t="s">
        <v>658</v>
      </c>
      <c r="L472" s="304">
        <v>280796.69</v>
      </c>
      <c r="M472" s="260">
        <v>0</v>
      </c>
      <c r="N472" s="260">
        <v>0</v>
      </c>
      <c r="O472" s="260">
        <v>0</v>
      </c>
      <c r="P472" s="304">
        <v>58967.31</v>
      </c>
      <c r="Q472" s="303">
        <v>339764</v>
      </c>
    </row>
    <row r="473" spans="1:17">
      <c r="A473" s="259" t="s">
        <v>966</v>
      </c>
      <c r="B473" s="259" t="s">
        <v>956</v>
      </c>
      <c r="C473" s="260">
        <v>7</v>
      </c>
      <c r="D473" s="260">
        <v>5392</v>
      </c>
      <c r="E473" s="259"/>
      <c r="F473" s="260">
        <v>74408346507823</v>
      </c>
      <c r="G473" s="260">
        <v>99</v>
      </c>
      <c r="H473" s="260">
        <v>0</v>
      </c>
      <c r="I473" s="259"/>
      <c r="J473" s="260">
        <v>1</v>
      </c>
      <c r="K473" s="259" t="s">
        <v>658</v>
      </c>
      <c r="L473" s="302">
        <v>21487.599999999999</v>
      </c>
      <c r="M473" s="260">
        <v>0</v>
      </c>
      <c r="N473" s="260">
        <v>0</v>
      </c>
      <c r="O473" s="260">
        <v>0</v>
      </c>
      <c r="P473" s="302">
        <v>4512.3999999999996</v>
      </c>
      <c r="Q473" s="303">
        <v>26000</v>
      </c>
    </row>
    <row r="474" spans="1:17">
      <c r="A474" s="259" t="s">
        <v>966</v>
      </c>
      <c r="B474" s="259" t="s">
        <v>956</v>
      </c>
      <c r="C474" s="260">
        <v>7</v>
      </c>
      <c r="D474" s="260">
        <v>5393</v>
      </c>
      <c r="E474" s="259"/>
      <c r="F474" s="260">
        <v>74408351149997</v>
      </c>
      <c r="G474" s="260">
        <v>99</v>
      </c>
      <c r="H474" s="260">
        <v>0</v>
      </c>
      <c r="I474" s="259"/>
      <c r="J474" s="260">
        <v>1</v>
      </c>
      <c r="K474" s="259" t="s">
        <v>658</v>
      </c>
      <c r="L474" s="302">
        <v>10743.8</v>
      </c>
      <c r="M474" s="260">
        <v>0</v>
      </c>
      <c r="N474" s="260">
        <v>0</v>
      </c>
      <c r="O474" s="260">
        <v>0</v>
      </c>
      <c r="P474" s="302">
        <v>2256.1999999999998</v>
      </c>
      <c r="Q474" s="303">
        <v>13000</v>
      </c>
    </row>
    <row r="475" spans="1:17">
      <c r="A475" s="259" t="s">
        <v>966</v>
      </c>
      <c r="B475" s="259" t="s">
        <v>956</v>
      </c>
      <c r="C475" s="260">
        <v>7</v>
      </c>
      <c r="D475" s="260">
        <v>5394</v>
      </c>
      <c r="E475" s="259"/>
      <c r="F475" s="260">
        <v>74408352453852</v>
      </c>
      <c r="G475" s="260">
        <v>99</v>
      </c>
      <c r="H475" s="260">
        <v>0</v>
      </c>
      <c r="I475" s="259"/>
      <c r="J475" s="260">
        <v>1</v>
      </c>
      <c r="K475" s="259" t="s">
        <v>658</v>
      </c>
      <c r="L475" s="304">
        <v>123966.94</v>
      </c>
      <c r="M475" s="260">
        <v>0</v>
      </c>
      <c r="N475" s="260">
        <v>0</v>
      </c>
      <c r="O475" s="260">
        <v>0</v>
      </c>
      <c r="P475" s="304">
        <v>26033.06</v>
      </c>
      <c r="Q475" s="303">
        <v>150000</v>
      </c>
    </row>
    <row r="476" spans="1:17">
      <c r="A476" s="259" t="s">
        <v>966</v>
      </c>
      <c r="B476" s="259" t="s">
        <v>956</v>
      </c>
      <c r="C476" s="260">
        <v>7</v>
      </c>
      <c r="D476" s="260">
        <v>5395</v>
      </c>
      <c r="E476" s="259"/>
      <c r="F476" s="260">
        <v>74408353014582</v>
      </c>
      <c r="G476" s="260">
        <v>99</v>
      </c>
      <c r="H476" s="260">
        <v>0</v>
      </c>
      <c r="I476" s="259"/>
      <c r="J476" s="260">
        <v>1</v>
      </c>
      <c r="K476" s="259" t="s">
        <v>658</v>
      </c>
      <c r="L476" s="304">
        <v>12396.69</v>
      </c>
      <c r="M476" s="260">
        <v>0</v>
      </c>
      <c r="N476" s="260">
        <v>0</v>
      </c>
      <c r="O476" s="260">
        <v>0</v>
      </c>
      <c r="P476" s="304">
        <v>2603.31</v>
      </c>
      <c r="Q476" s="303">
        <v>15000</v>
      </c>
    </row>
    <row r="477" spans="1:17">
      <c r="A477" s="259" t="s">
        <v>966</v>
      </c>
      <c r="B477" s="259" t="s">
        <v>956</v>
      </c>
      <c r="C477" s="260">
        <v>7</v>
      </c>
      <c r="D477" s="260">
        <v>5396</v>
      </c>
      <c r="E477" s="259"/>
      <c r="F477" s="260">
        <v>74408355647978</v>
      </c>
      <c r="G477" s="260">
        <v>99</v>
      </c>
      <c r="H477" s="260">
        <v>0</v>
      </c>
      <c r="I477" s="259"/>
      <c r="J477" s="260">
        <v>1</v>
      </c>
      <c r="K477" s="259" t="s">
        <v>658</v>
      </c>
      <c r="L477" s="302">
        <v>11487.6</v>
      </c>
      <c r="M477" s="260">
        <v>0</v>
      </c>
      <c r="N477" s="260">
        <v>0</v>
      </c>
      <c r="O477" s="260">
        <v>0</v>
      </c>
      <c r="P477" s="302">
        <v>2412.4</v>
      </c>
      <c r="Q477" s="303">
        <v>13900</v>
      </c>
    </row>
    <row r="478" spans="1:17">
      <c r="A478" s="259" t="s">
        <v>966</v>
      </c>
      <c r="B478" s="259" t="s">
        <v>956</v>
      </c>
      <c r="C478" s="260">
        <v>7</v>
      </c>
      <c r="D478" s="260">
        <v>5397</v>
      </c>
      <c r="E478" s="259"/>
      <c r="F478" s="260">
        <v>74408358790845</v>
      </c>
      <c r="G478" s="260">
        <v>99</v>
      </c>
      <c r="H478" s="260">
        <v>0</v>
      </c>
      <c r="I478" s="259"/>
      <c r="J478" s="260">
        <v>1</v>
      </c>
      <c r="K478" s="259" t="s">
        <v>658</v>
      </c>
      <c r="L478" s="304">
        <v>17768.59</v>
      </c>
      <c r="M478" s="260">
        <v>0</v>
      </c>
      <c r="N478" s="260">
        <v>0</v>
      </c>
      <c r="O478" s="260">
        <v>0</v>
      </c>
      <c r="P478" s="304">
        <v>3731.41</v>
      </c>
      <c r="Q478" s="303">
        <v>21500</v>
      </c>
    </row>
    <row r="479" spans="1:17">
      <c r="A479" s="259" t="s">
        <v>966</v>
      </c>
      <c r="B479" s="259" t="s">
        <v>956</v>
      </c>
      <c r="C479" s="260">
        <v>7</v>
      </c>
      <c r="D479" s="260">
        <v>5398</v>
      </c>
      <c r="E479" s="259"/>
      <c r="F479" s="260">
        <v>74408360515967</v>
      </c>
      <c r="G479" s="260">
        <v>99</v>
      </c>
      <c r="H479" s="260">
        <v>0</v>
      </c>
      <c r="I479" s="259"/>
      <c r="J479" s="260">
        <v>1</v>
      </c>
      <c r="K479" s="259" t="s">
        <v>658</v>
      </c>
      <c r="L479" s="304">
        <v>27272.73</v>
      </c>
      <c r="M479" s="260">
        <v>0</v>
      </c>
      <c r="N479" s="260">
        <v>0</v>
      </c>
      <c r="O479" s="260">
        <v>0</v>
      </c>
      <c r="P479" s="304">
        <v>5727.27</v>
      </c>
      <c r="Q479" s="303">
        <v>33000</v>
      </c>
    </row>
    <row r="480" spans="1:17">
      <c r="A480" s="259" t="s">
        <v>966</v>
      </c>
      <c r="B480" s="259" t="s">
        <v>956</v>
      </c>
      <c r="C480" s="260">
        <v>7</v>
      </c>
      <c r="D480" s="260">
        <v>5399</v>
      </c>
      <c r="E480" s="259"/>
      <c r="F480" s="260">
        <v>74408366135461</v>
      </c>
      <c r="G480" s="260">
        <v>99</v>
      </c>
      <c r="H480" s="260">
        <v>0</v>
      </c>
      <c r="I480" s="259"/>
      <c r="J480" s="260">
        <v>1</v>
      </c>
      <c r="K480" s="259" t="s">
        <v>658</v>
      </c>
      <c r="L480" s="302">
        <v>4628.1000000000004</v>
      </c>
      <c r="M480" s="260">
        <v>0</v>
      </c>
      <c r="N480" s="260">
        <v>0</v>
      </c>
      <c r="O480" s="260">
        <v>0</v>
      </c>
      <c r="P480" s="302">
        <v>971.9</v>
      </c>
      <c r="Q480" s="303">
        <v>5600</v>
      </c>
    </row>
    <row r="481" spans="1:17">
      <c r="A481" s="259" t="s">
        <v>966</v>
      </c>
      <c r="B481" s="259" t="s">
        <v>956</v>
      </c>
      <c r="C481" s="260">
        <v>7</v>
      </c>
      <c r="D481" s="260">
        <v>5400</v>
      </c>
      <c r="E481" s="259"/>
      <c r="F481" s="260">
        <v>74408366607493</v>
      </c>
      <c r="G481" s="260">
        <v>99</v>
      </c>
      <c r="H481" s="260">
        <v>0</v>
      </c>
      <c r="I481" s="259"/>
      <c r="J481" s="260">
        <v>1</v>
      </c>
      <c r="K481" s="259" t="s">
        <v>658</v>
      </c>
      <c r="L481" s="304">
        <v>28925.62</v>
      </c>
      <c r="M481" s="260">
        <v>0</v>
      </c>
      <c r="N481" s="260">
        <v>0</v>
      </c>
      <c r="O481" s="260">
        <v>0</v>
      </c>
      <c r="P481" s="304">
        <v>6074.38</v>
      </c>
      <c r="Q481" s="303">
        <v>35000</v>
      </c>
    </row>
    <row r="482" spans="1:17">
      <c r="A482" s="259" t="s">
        <v>966</v>
      </c>
      <c r="B482" s="259" t="s">
        <v>956</v>
      </c>
      <c r="C482" s="260">
        <v>7</v>
      </c>
      <c r="D482" s="260">
        <v>5401</v>
      </c>
      <c r="E482" s="259"/>
      <c r="F482" s="260">
        <v>74408369185781</v>
      </c>
      <c r="G482" s="260">
        <v>99</v>
      </c>
      <c r="H482" s="260">
        <v>0</v>
      </c>
      <c r="I482" s="259"/>
      <c r="J482" s="260">
        <v>1</v>
      </c>
      <c r="K482" s="259" t="s">
        <v>658</v>
      </c>
      <c r="L482" s="304">
        <v>53719.01</v>
      </c>
      <c r="M482" s="260">
        <v>0</v>
      </c>
      <c r="N482" s="260">
        <v>0</v>
      </c>
      <c r="O482" s="260">
        <v>0</v>
      </c>
      <c r="P482" s="304">
        <v>11280.99</v>
      </c>
      <c r="Q482" s="303">
        <v>65000</v>
      </c>
    </row>
    <row r="483" spans="1:17">
      <c r="A483" s="259" t="s">
        <v>973</v>
      </c>
      <c r="B483" s="259" t="s">
        <v>956</v>
      </c>
      <c r="C483" s="260">
        <v>7</v>
      </c>
      <c r="D483" s="260">
        <v>5402</v>
      </c>
      <c r="E483" s="259"/>
      <c r="F483" s="260">
        <v>74418637590861</v>
      </c>
      <c r="G483" s="260">
        <v>99</v>
      </c>
      <c r="H483" s="260">
        <v>0</v>
      </c>
      <c r="I483" s="259"/>
      <c r="J483" s="260">
        <v>1</v>
      </c>
      <c r="K483" s="259" t="s">
        <v>658</v>
      </c>
      <c r="L483" s="304">
        <v>14876.03</v>
      </c>
      <c r="M483" s="260">
        <v>0</v>
      </c>
      <c r="N483" s="260">
        <v>0</v>
      </c>
      <c r="O483" s="260">
        <v>0</v>
      </c>
      <c r="P483" s="304">
        <v>3123.97</v>
      </c>
      <c r="Q483" s="303">
        <v>18000</v>
      </c>
    </row>
    <row r="484" spans="1:17">
      <c r="A484" s="259" t="s">
        <v>973</v>
      </c>
      <c r="B484" s="259" t="s">
        <v>956</v>
      </c>
      <c r="C484" s="260">
        <v>7</v>
      </c>
      <c r="D484" s="260">
        <v>5403</v>
      </c>
      <c r="E484" s="259"/>
      <c r="F484" s="260">
        <v>74418646815040</v>
      </c>
      <c r="G484" s="260">
        <v>99</v>
      </c>
      <c r="H484" s="260">
        <v>0</v>
      </c>
      <c r="I484" s="259"/>
      <c r="J484" s="260">
        <v>1</v>
      </c>
      <c r="K484" s="259" t="s">
        <v>658</v>
      </c>
      <c r="L484" s="302">
        <v>10743.8</v>
      </c>
      <c r="M484" s="260">
        <v>0</v>
      </c>
      <c r="N484" s="260">
        <v>0</v>
      </c>
      <c r="O484" s="260">
        <v>0</v>
      </c>
      <c r="P484" s="302">
        <v>2256.1999999999998</v>
      </c>
      <c r="Q484" s="303">
        <v>13000</v>
      </c>
    </row>
    <row r="485" spans="1:17">
      <c r="A485" s="259" t="s">
        <v>973</v>
      </c>
      <c r="B485" s="259" t="s">
        <v>956</v>
      </c>
      <c r="C485" s="260">
        <v>7</v>
      </c>
      <c r="D485" s="260">
        <v>5404</v>
      </c>
      <c r="E485" s="259"/>
      <c r="F485" s="260">
        <v>74418653049489</v>
      </c>
      <c r="G485" s="260">
        <v>99</v>
      </c>
      <c r="H485" s="260">
        <v>0</v>
      </c>
      <c r="I485" s="259"/>
      <c r="J485" s="260">
        <v>1</v>
      </c>
      <c r="K485" s="259" t="s">
        <v>658</v>
      </c>
      <c r="L485" s="304">
        <v>21404.959999999999</v>
      </c>
      <c r="M485" s="260">
        <v>0</v>
      </c>
      <c r="N485" s="260">
        <v>0</v>
      </c>
      <c r="O485" s="260">
        <v>0</v>
      </c>
      <c r="P485" s="304">
        <v>4495.04</v>
      </c>
      <c r="Q485" s="303">
        <v>25900</v>
      </c>
    </row>
    <row r="486" spans="1:17">
      <c r="A486" s="259" t="s">
        <v>973</v>
      </c>
      <c r="B486" s="259" t="s">
        <v>956</v>
      </c>
      <c r="C486" s="260">
        <v>7</v>
      </c>
      <c r="D486" s="260">
        <v>5405</v>
      </c>
      <c r="E486" s="259"/>
      <c r="F486" s="260">
        <v>74418655013541</v>
      </c>
      <c r="G486" s="260">
        <v>99</v>
      </c>
      <c r="H486" s="260">
        <v>0</v>
      </c>
      <c r="I486" s="259"/>
      <c r="J486" s="260">
        <v>1</v>
      </c>
      <c r="K486" s="259" t="s">
        <v>658</v>
      </c>
      <c r="L486" s="304">
        <v>12809.92</v>
      </c>
      <c r="M486" s="260">
        <v>0</v>
      </c>
      <c r="N486" s="260">
        <v>0</v>
      </c>
      <c r="O486" s="260">
        <v>0</v>
      </c>
      <c r="P486" s="304">
        <v>2690.08</v>
      </c>
      <c r="Q486" s="303">
        <v>15500</v>
      </c>
    </row>
    <row r="487" spans="1:17">
      <c r="A487" s="259" t="s">
        <v>1061</v>
      </c>
      <c r="B487" s="259" t="s">
        <v>656</v>
      </c>
      <c r="C487" s="260">
        <v>7</v>
      </c>
      <c r="D487" s="260">
        <v>2225</v>
      </c>
      <c r="E487" s="259"/>
      <c r="F487" s="260">
        <v>74448430151722</v>
      </c>
      <c r="G487" s="259" t="s">
        <v>7</v>
      </c>
      <c r="H487" s="260">
        <v>30522428163</v>
      </c>
      <c r="I487" s="259" t="s">
        <v>955</v>
      </c>
      <c r="J487" s="260">
        <v>1</v>
      </c>
      <c r="K487" s="259" t="s">
        <v>658</v>
      </c>
      <c r="L487" s="304">
        <v>17642.939999999999</v>
      </c>
      <c r="M487" s="260">
        <v>0</v>
      </c>
      <c r="N487" s="260">
        <v>0</v>
      </c>
      <c r="O487" s="260">
        <v>0</v>
      </c>
      <c r="P487" s="304">
        <v>3705.02</v>
      </c>
      <c r="Q487" s="304">
        <v>21347.96</v>
      </c>
    </row>
    <row r="488" spans="1:17">
      <c r="A488" s="259" t="s">
        <v>973</v>
      </c>
      <c r="B488" s="259" t="s">
        <v>956</v>
      </c>
      <c r="C488" s="260">
        <v>7</v>
      </c>
      <c r="D488" s="260">
        <v>5406</v>
      </c>
      <c r="E488" s="259"/>
      <c r="F488" s="260">
        <v>74418658933640</v>
      </c>
      <c r="G488" s="260">
        <v>99</v>
      </c>
      <c r="H488" s="260">
        <v>0</v>
      </c>
      <c r="I488" s="259"/>
      <c r="J488" s="260">
        <v>1</v>
      </c>
      <c r="K488" s="259" t="s">
        <v>658</v>
      </c>
      <c r="L488" s="304">
        <v>29338.84</v>
      </c>
      <c r="M488" s="260">
        <v>0</v>
      </c>
      <c r="N488" s="260">
        <v>0</v>
      </c>
      <c r="O488" s="260">
        <v>0</v>
      </c>
      <c r="P488" s="304">
        <v>6161.16</v>
      </c>
      <c r="Q488" s="303">
        <v>35500</v>
      </c>
    </row>
    <row r="489" spans="1:17">
      <c r="A489" s="259" t="s">
        <v>973</v>
      </c>
      <c r="B489" s="259" t="s">
        <v>956</v>
      </c>
      <c r="C489" s="260">
        <v>7</v>
      </c>
      <c r="D489" s="260">
        <v>5407</v>
      </c>
      <c r="E489" s="259"/>
      <c r="F489" s="260">
        <v>74418659320318</v>
      </c>
      <c r="G489" s="259" t="s">
        <v>7</v>
      </c>
      <c r="H489" s="260">
        <v>30658137642</v>
      </c>
      <c r="I489" s="259" t="s">
        <v>976</v>
      </c>
      <c r="J489" s="260">
        <v>1</v>
      </c>
      <c r="K489" s="259" t="s">
        <v>658</v>
      </c>
      <c r="L489" s="304">
        <v>494833.06</v>
      </c>
      <c r="M489" s="260">
        <v>0</v>
      </c>
      <c r="N489" s="260">
        <v>0</v>
      </c>
      <c r="O489" s="260">
        <v>0</v>
      </c>
      <c r="P489" s="304">
        <v>103914.94</v>
      </c>
      <c r="Q489" s="303">
        <v>598748</v>
      </c>
    </row>
    <row r="490" spans="1:17">
      <c r="A490" s="259" t="s">
        <v>979</v>
      </c>
      <c r="B490" s="259" t="s">
        <v>956</v>
      </c>
      <c r="C490" s="260">
        <v>7</v>
      </c>
      <c r="D490" s="260">
        <v>5408</v>
      </c>
      <c r="E490" s="259"/>
      <c r="F490" s="260">
        <v>74418929791556</v>
      </c>
      <c r="G490" s="259" t="s">
        <v>957</v>
      </c>
      <c r="H490" s="260">
        <v>17198648</v>
      </c>
      <c r="I490" s="259" t="s">
        <v>981</v>
      </c>
      <c r="J490" s="260">
        <v>1</v>
      </c>
      <c r="K490" s="259" t="s">
        <v>658</v>
      </c>
      <c r="L490" s="304">
        <v>19834.71</v>
      </c>
      <c r="M490" s="260">
        <v>0</v>
      </c>
      <c r="N490" s="260">
        <v>0</v>
      </c>
      <c r="O490" s="260">
        <v>0</v>
      </c>
      <c r="P490" s="304">
        <v>4165.29</v>
      </c>
      <c r="Q490" s="303">
        <v>24000</v>
      </c>
    </row>
    <row r="491" spans="1:17">
      <c r="A491" s="259" t="s">
        <v>992</v>
      </c>
      <c r="B491" s="259" t="s">
        <v>956</v>
      </c>
      <c r="C491" s="260">
        <v>7</v>
      </c>
      <c r="D491" s="260">
        <v>5409</v>
      </c>
      <c r="E491" s="259"/>
      <c r="F491" s="260">
        <v>74418075740725</v>
      </c>
      <c r="G491" s="259" t="s">
        <v>7</v>
      </c>
      <c r="H491" s="260">
        <v>30590354798</v>
      </c>
      <c r="I491" s="259" t="s">
        <v>81</v>
      </c>
      <c r="J491" s="260">
        <v>1</v>
      </c>
      <c r="K491" s="259" t="s">
        <v>658</v>
      </c>
      <c r="L491" s="304">
        <v>651239.67000000004</v>
      </c>
      <c r="M491" s="260">
        <v>0</v>
      </c>
      <c r="N491" s="260">
        <v>0</v>
      </c>
      <c r="O491" s="260">
        <v>0</v>
      </c>
      <c r="P491" s="304">
        <v>136760.32999999999</v>
      </c>
      <c r="Q491" s="303">
        <v>788000</v>
      </c>
    </row>
    <row r="492" spans="1:17">
      <c r="A492" s="259" t="s">
        <v>992</v>
      </c>
      <c r="B492" s="259" t="s">
        <v>956</v>
      </c>
      <c r="C492" s="260">
        <v>7</v>
      </c>
      <c r="D492" s="260">
        <v>5410</v>
      </c>
      <c r="E492" s="259"/>
      <c r="F492" s="260">
        <v>74418103348751</v>
      </c>
      <c r="G492" s="259" t="s">
        <v>7</v>
      </c>
      <c r="H492" s="260">
        <v>30685228501</v>
      </c>
      <c r="I492" s="259" t="s">
        <v>993</v>
      </c>
      <c r="J492" s="260">
        <v>1</v>
      </c>
      <c r="K492" s="259" t="s">
        <v>658</v>
      </c>
      <c r="L492" s="304">
        <v>337190.08</v>
      </c>
      <c r="M492" s="260">
        <v>0</v>
      </c>
      <c r="N492" s="260">
        <v>0</v>
      </c>
      <c r="O492" s="260">
        <v>0</v>
      </c>
      <c r="P492" s="304">
        <v>70809.919999999998</v>
      </c>
      <c r="Q492" s="303">
        <v>408000</v>
      </c>
    </row>
    <row r="493" spans="1:17">
      <c r="A493" s="259" t="s">
        <v>1005</v>
      </c>
      <c r="B493" s="259" t="s">
        <v>956</v>
      </c>
      <c r="C493" s="260">
        <v>7</v>
      </c>
      <c r="D493" s="260">
        <v>5411</v>
      </c>
      <c r="E493" s="259"/>
      <c r="F493" s="260">
        <v>74428554384665</v>
      </c>
      <c r="G493" s="259" t="s">
        <v>7</v>
      </c>
      <c r="H493" s="260">
        <v>30590354798</v>
      </c>
      <c r="I493" s="259" t="s">
        <v>81</v>
      </c>
      <c r="J493" s="260">
        <v>1</v>
      </c>
      <c r="K493" s="259" t="s">
        <v>658</v>
      </c>
      <c r="L493" s="304">
        <v>463636.36</v>
      </c>
      <c r="M493" s="260">
        <v>0</v>
      </c>
      <c r="N493" s="260">
        <v>0</v>
      </c>
      <c r="O493" s="260">
        <v>0</v>
      </c>
      <c r="P493" s="304">
        <v>97363.64</v>
      </c>
      <c r="Q493" s="303">
        <v>561000</v>
      </c>
    </row>
    <row r="494" spans="1:17">
      <c r="A494" s="259" t="s">
        <v>1005</v>
      </c>
      <c r="B494" s="259" t="s">
        <v>956</v>
      </c>
      <c r="C494" s="260">
        <v>7</v>
      </c>
      <c r="D494" s="260">
        <v>5412</v>
      </c>
      <c r="E494" s="259"/>
      <c r="F494" s="260">
        <v>74428573957288</v>
      </c>
      <c r="G494" s="259" t="s">
        <v>7</v>
      </c>
      <c r="H494" s="260">
        <v>30571766287</v>
      </c>
      <c r="I494" s="259" t="s">
        <v>1006</v>
      </c>
      <c r="J494" s="260">
        <v>1</v>
      </c>
      <c r="K494" s="259" t="s">
        <v>658</v>
      </c>
      <c r="L494" s="304">
        <v>160776.85999999999</v>
      </c>
      <c r="M494" s="260">
        <v>0</v>
      </c>
      <c r="N494" s="260">
        <v>0</v>
      </c>
      <c r="O494" s="260">
        <v>0</v>
      </c>
      <c r="P494" s="304">
        <v>33763.14</v>
      </c>
      <c r="Q494" s="303">
        <v>194540</v>
      </c>
    </row>
    <row r="495" spans="1:17">
      <c r="A495" s="259" t="s">
        <v>1020</v>
      </c>
      <c r="B495" s="259" t="s">
        <v>956</v>
      </c>
      <c r="C495" s="260">
        <v>7</v>
      </c>
      <c r="D495" s="260">
        <v>5413</v>
      </c>
      <c r="E495" s="259"/>
      <c r="F495" s="260">
        <v>74428000820847</v>
      </c>
      <c r="G495" s="259" t="s">
        <v>7</v>
      </c>
      <c r="H495" s="260">
        <v>30590354798</v>
      </c>
      <c r="I495" s="259" t="s">
        <v>81</v>
      </c>
      <c r="J495" s="260">
        <v>1</v>
      </c>
      <c r="K495" s="259" t="s">
        <v>658</v>
      </c>
      <c r="L495" s="302">
        <v>1221487.6000000001</v>
      </c>
      <c r="M495" s="260">
        <v>0</v>
      </c>
      <c r="N495" s="260">
        <v>0</v>
      </c>
      <c r="O495" s="260">
        <v>0</v>
      </c>
      <c r="P495" s="302">
        <v>256512.4</v>
      </c>
      <c r="Q495" s="303">
        <v>1478000</v>
      </c>
    </row>
    <row r="496" spans="1:17">
      <c r="A496" s="259" t="s">
        <v>1020</v>
      </c>
      <c r="B496" s="259" t="s">
        <v>956</v>
      </c>
      <c r="C496" s="260">
        <v>7</v>
      </c>
      <c r="D496" s="260">
        <v>5414</v>
      </c>
      <c r="E496" s="259"/>
      <c r="F496" s="260">
        <v>74428001464309</v>
      </c>
      <c r="G496" s="259" t="s">
        <v>7</v>
      </c>
      <c r="H496" s="260">
        <v>30590354798</v>
      </c>
      <c r="I496" s="259" t="s">
        <v>81</v>
      </c>
      <c r="J496" s="260">
        <v>1</v>
      </c>
      <c r="K496" s="259" t="s">
        <v>658</v>
      </c>
      <c r="L496" s="304">
        <v>2407676.0299999998</v>
      </c>
      <c r="M496" s="260">
        <v>0</v>
      </c>
      <c r="N496" s="260">
        <v>0</v>
      </c>
      <c r="O496" s="260">
        <v>0</v>
      </c>
      <c r="P496" s="304">
        <v>505611.97</v>
      </c>
      <c r="Q496" s="303">
        <v>2913288</v>
      </c>
    </row>
    <row r="497" spans="1:17">
      <c r="A497" s="259" t="s">
        <v>1023</v>
      </c>
      <c r="B497" s="259" t="s">
        <v>956</v>
      </c>
      <c r="C497" s="260">
        <v>7</v>
      </c>
      <c r="D497" s="260">
        <v>5415</v>
      </c>
      <c r="E497" s="259"/>
      <c r="F497" s="260">
        <v>74438273455376</v>
      </c>
      <c r="G497" s="259" t="s">
        <v>7</v>
      </c>
      <c r="H497" s="260">
        <v>30590354798</v>
      </c>
      <c r="I497" s="259" t="s">
        <v>81</v>
      </c>
      <c r="J497" s="260">
        <v>1</v>
      </c>
      <c r="K497" s="259" t="s">
        <v>658</v>
      </c>
      <c r="L497" s="304">
        <v>11983.47</v>
      </c>
      <c r="M497" s="260">
        <v>0</v>
      </c>
      <c r="N497" s="260">
        <v>0</v>
      </c>
      <c r="O497" s="260">
        <v>0</v>
      </c>
      <c r="P497" s="304">
        <v>2516.5300000000002</v>
      </c>
      <c r="Q497" s="303">
        <v>14500</v>
      </c>
    </row>
    <row r="498" spans="1:17">
      <c r="A498" s="259" t="s">
        <v>1043</v>
      </c>
      <c r="B498" s="259" t="s">
        <v>956</v>
      </c>
      <c r="C498" s="260">
        <v>7</v>
      </c>
      <c r="D498" s="260">
        <v>5416</v>
      </c>
      <c r="E498" s="259"/>
      <c r="F498" s="260">
        <v>74448010668713</v>
      </c>
      <c r="G498" s="259" t="s">
        <v>1002</v>
      </c>
      <c r="H498" s="260">
        <v>27281788766</v>
      </c>
      <c r="I498" s="259" t="s">
        <v>1045</v>
      </c>
      <c r="J498" s="260">
        <v>1</v>
      </c>
      <c r="K498" s="259" t="s">
        <v>658</v>
      </c>
      <c r="L498" s="304">
        <v>190082.64</v>
      </c>
      <c r="M498" s="260">
        <v>0</v>
      </c>
      <c r="N498" s="260">
        <v>0</v>
      </c>
      <c r="O498" s="260">
        <v>0</v>
      </c>
      <c r="P498" s="304">
        <v>39917.360000000001</v>
      </c>
      <c r="Q498" s="303">
        <v>230000</v>
      </c>
    </row>
    <row r="499" spans="1:17">
      <c r="A499" s="259" t="s">
        <v>1043</v>
      </c>
      <c r="B499" s="259" t="s">
        <v>956</v>
      </c>
      <c r="C499" s="260">
        <v>7</v>
      </c>
      <c r="D499" s="260">
        <v>5417</v>
      </c>
      <c r="E499" s="259"/>
      <c r="F499" s="260">
        <v>74448011088564</v>
      </c>
      <c r="G499" s="259" t="s">
        <v>1002</v>
      </c>
      <c r="H499" s="260">
        <v>27281788766</v>
      </c>
      <c r="I499" s="259" t="s">
        <v>1045</v>
      </c>
      <c r="J499" s="260">
        <v>1</v>
      </c>
      <c r="K499" s="259" t="s">
        <v>658</v>
      </c>
      <c r="L499" s="304">
        <v>190082.64</v>
      </c>
      <c r="M499" s="260">
        <v>0</v>
      </c>
      <c r="N499" s="260">
        <v>0</v>
      </c>
      <c r="O499" s="260">
        <v>0</v>
      </c>
      <c r="P499" s="304">
        <v>39917.360000000001</v>
      </c>
      <c r="Q499" s="303">
        <v>230000</v>
      </c>
    </row>
    <row r="500" spans="1:17">
      <c r="A500" s="259" t="s">
        <v>1043</v>
      </c>
      <c r="B500" s="259" t="s">
        <v>956</v>
      </c>
      <c r="C500" s="260">
        <v>7</v>
      </c>
      <c r="D500" s="260">
        <v>5418</v>
      </c>
      <c r="E500" s="259"/>
      <c r="F500" s="260">
        <v>74448064075862</v>
      </c>
      <c r="G500" s="259" t="s">
        <v>957</v>
      </c>
      <c r="H500" s="260">
        <v>1886726</v>
      </c>
      <c r="I500" s="259"/>
      <c r="J500" s="260">
        <v>1</v>
      </c>
      <c r="K500" s="259" t="s">
        <v>658</v>
      </c>
      <c r="L500" s="304">
        <v>17355.37</v>
      </c>
      <c r="M500" s="260">
        <v>0</v>
      </c>
      <c r="N500" s="260">
        <v>0</v>
      </c>
      <c r="O500" s="260">
        <v>0</v>
      </c>
      <c r="P500" s="304">
        <v>3644.63</v>
      </c>
      <c r="Q500" s="303">
        <v>21000</v>
      </c>
    </row>
    <row r="501" spans="1:17">
      <c r="A501" s="259" t="s">
        <v>1043</v>
      </c>
      <c r="B501" s="259" t="s">
        <v>956</v>
      </c>
      <c r="C501" s="260">
        <v>7</v>
      </c>
      <c r="D501" s="260">
        <v>5419</v>
      </c>
      <c r="E501" s="259"/>
      <c r="F501" s="260">
        <v>74448064217802</v>
      </c>
      <c r="G501" s="259" t="s">
        <v>957</v>
      </c>
      <c r="H501" s="260">
        <v>1886726</v>
      </c>
      <c r="I501" s="259"/>
      <c r="J501" s="260">
        <v>1</v>
      </c>
      <c r="K501" s="259" t="s">
        <v>658</v>
      </c>
      <c r="L501" s="304">
        <v>17355.37</v>
      </c>
      <c r="M501" s="260">
        <v>0</v>
      </c>
      <c r="N501" s="260">
        <v>0</v>
      </c>
      <c r="O501" s="260">
        <v>0</v>
      </c>
      <c r="P501" s="304">
        <v>3644.63</v>
      </c>
      <c r="Q501" s="303">
        <v>21000</v>
      </c>
    </row>
    <row r="502" spans="1:17">
      <c r="A502" s="259" t="s">
        <v>1051</v>
      </c>
      <c r="B502" s="259" t="s">
        <v>956</v>
      </c>
      <c r="C502" s="260">
        <v>7</v>
      </c>
      <c r="D502" s="260">
        <v>5420</v>
      </c>
      <c r="E502" s="259"/>
      <c r="F502" s="260">
        <v>74448133064780</v>
      </c>
      <c r="G502" s="259" t="s">
        <v>7</v>
      </c>
      <c r="H502" s="260">
        <v>30590354798</v>
      </c>
      <c r="I502" s="259" t="s">
        <v>81</v>
      </c>
      <c r="J502" s="260">
        <v>1</v>
      </c>
      <c r="K502" s="259" t="s">
        <v>658</v>
      </c>
      <c r="L502" s="304">
        <v>1789369.42</v>
      </c>
      <c r="M502" s="260">
        <v>0</v>
      </c>
      <c r="N502" s="260">
        <v>0</v>
      </c>
      <c r="O502" s="260">
        <v>0</v>
      </c>
      <c r="P502" s="304">
        <v>375767.58</v>
      </c>
      <c r="Q502" s="303">
        <v>2165137</v>
      </c>
    </row>
    <row r="503" spans="1:17">
      <c r="A503" s="259" t="s">
        <v>1051</v>
      </c>
      <c r="B503" s="259" t="s">
        <v>956</v>
      </c>
      <c r="C503" s="260">
        <v>7</v>
      </c>
      <c r="D503" s="260">
        <v>5421</v>
      </c>
      <c r="E503" s="259"/>
      <c r="F503" s="260">
        <v>74448170888275</v>
      </c>
      <c r="G503" s="260">
        <v>99</v>
      </c>
      <c r="H503" s="260">
        <v>0</v>
      </c>
      <c r="I503" s="259"/>
      <c r="J503" s="260">
        <v>1</v>
      </c>
      <c r="K503" s="259" t="s">
        <v>658</v>
      </c>
      <c r="L503" s="304">
        <v>17355.37</v>
      </c>
      <c r="M503" s="260">
        <v>0</v>
      </c>
      <c r="N503" s="260">
        <v>0</v>
      </c>
      <c r="O503" s="260">
        <v>0</v>
      </c>
      <c r="P503" s="304">
        <v>3644.63</v>
      </c>
      <c r="Q503" s="303">
        <v>21000</v>
      </c>
    </row>
    <row r="504" spans="1:17">
      <c r="A504" s="259" t="s">
        <v>1060</v>
      </c>
      <c r="B504" s="259" t="s">
        <v>956</v>
      </c>
      <c r="C504" s="260">
        <v>7</v>
      </c>
      <c r="D504" s="260">
        <v>5422</v>
      </c>
      <c r="E504" s="259"/>
      <c r="F504" s="260">
        <v>74448312059789</v>
      </c>
      <c r="G504" s="259" t="s">
        <v>7</v>
      </c>
      <c r="H504" s="260">
        <v>30685228501</v>
      </c>
      <c r="I504" s="259" t="s">
        <v>993</v>
      </c>
      <c r="J504" s="260">
        <v>1</v>
      </c>
      <c r="K504" s="259" t="s">
        <v>658</v>
      </c>
      <c r="L504" s="304">
        <v>13223.14</v>
      </c>
      <c r="M504" s="260">
        <v>0</v>
      </c>
      <c r="N504" s="260">
        <v>0</v>
      </c>
      <c r="O504" s="260">
        <v>0</v>
      </c>
      <c r="P504" s="304">
        <v>2776.86</v>
      </c>
      <c r="Q504" s="303">
        <v>16000</v>
      </c>
    </row>
    <row r="505" spans="1:17">
      <c r="A505" s="259" t="s">
        <v>1060</v>
      </c>
      <c r="B505" s="259" t="s">
        <v>956</v>
      </c>
      <c r="C505" s="260">
        <v>7</v>
      </c>
      <c r="D505" s="260">
        <v>5423</v>
      </c>
      <c r="E505" s="259"/>
      <c r="F505" s="260">
        <v>74448315023509</v>
      </c>
      <c r="G505" s="259" t="s">
        <v>7</v>
      </c>
      <c r="H505" s="260">
        <v>30590354798</v>
      </c>
      <c r="I505" s="259" t="s">
        <v>81</v>
      </c>
      <c r="J505" s="260">
        <v>1</v>
      </c>
      <c r="K505" s="259" t="s">
        <v>658</v>
      </c>
      <c r="L505" s="302">
        <v>421487.6</v>
      </c>
      <c r="M505" s="260">
        <v>0</v>
      </c>
      <c r="N505" s="260">
        <v>0</v>
      </c>
      <c r="O505" s="260">
        <v>0</v>
      </c>
      <c r="P505" s="302">
        <v>88512.4</v>
      </c>
      <c r="Q505" s="303">
        <v>510000</v>
      </c>
    </row>
    <row r="506" spans="1:17">
      <c r="A506" s="259" t="s">
        <v>1061</v>
      </c>
      <c r="B506" s="259" t="s">
        <v>956</v>
      </c>
      <c r="C506" s="260">
        <v>7</v>
      </c>
      <c r="D506" s="260">
        <v>5424</v>
      </c>
      <c r="E506" s="259"/>
      <c r="F506" s="260">
        <v>74448390760670</v>
      </c>
      <c r="G506" s="260">
        <v>99</v>
      </c>
      <c r="H506" s="260">
        <v>0</v>
      </c>
      <c r="I506" s="259"/>
      <c r="J506" s="260">
        <v>1</v>
      </c>
      <c r="K506" s="259" t="s">
        <v>658</v>
      </c>
      <c r="L506" s="304">
        <v>28925.62</v>
      </c>
      <c r="M506" s="260">
        <v>0</v>
      </c>
      <c r="N506" s="260">
        <v>0</v>
      </c>
      <c r="O506" s="260">
        <v>0</v>
      </c>
      <c r="P506" s="304">
        <v>6074.38</v>
      </c>
      <c r="Q506" s="303">
        <v>35000</v>
      </c>
    </row>
    <row r="507" spans="1:17">
      <c r="A507" s="259" t="s">
        <v>1061</v>
      </c>
      <c r="B507" s="259" t="s">
        <v>956</v>
      </c>
      <c r="C507" s="260">
        <v>7</v>
      </c>
      <c r="D507" s="260">
        <v>5425</v>
      </c>
      <c r="E507" s="259"/>
      <c r="F507" s="260">
        <v>74448403951569</v>
      </c>
      <c r="G507" s="259" t="s">
        <v>7</v>
      </c>
      <c r="H507" s="260">
        <v>30590354798</v>
      </c>
      <c r="I507" s="259" t="s">
        <v>81</v>
      </c>
      <c r="J507" s="260">
        <v>1</v>
      </c>
      <c r="K507" s="259" t="s">
        <v>658</v>
      </c>
      <c r="L507" s="303">
        <v>1000000</v>
      </c>
      <c r="M507" s="260">
        <v>0</v>
      </c>
      <c r="N507" s="260">
        <v>0</v>
      </c>
      <c r="O507" s="260">
        <v>0</v>
      </c>
      <c r="P507" s="303">
        <v>210000</v>
      </c>
      <c r="Q507" s="303">
        <v>1210000</v>
      </c>
    </row>
    <row r="508" spans="1:17">
      <c r="L508" s="305">
        <f>SUM(L7:L507)</f>
        <v>57506518.580000013</v>
      </c>
      <c r="M508" s="213"/>
      <c r="N508" s="213"/>
      <c r="O508" s="213"/>
      <c r="P508" s="305">
        <f>SUM(P7:P507)</f>
        <v>12076369.090500025</v>
      </c>
      <c r="Q508" s="305">
        <f>SUM(Q7:Q507)</f>
        <v>69582887.110499993</v>
      </c>
    </row>
  </sheetData>
  <autoFilter ref="A6:Q508"/>
  <sortState ref="A459:Q507">
    <sortCondition ref="D7:D507"/>
  </sortState>
  <mergeCells count="1">
    <mergeCell ref="A5:Q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8" sqref="F18"/>
    </sheetView>
  </sheetViews>
  <sheetFormatPr baseColWidth="10" defaultRowHeight="15"/>
  <cols>
    <col min="1" max="1" width="17.140625" customWidth="1"/>
    <col min="2" max="2" width="21.28515625" customWidth="1"/>
    <col min="3" max="3" width="15.7109375" customWidth="1"/>
    <col min="4" max="4" width="16.7109375" customWidth="1"/>
    <col min="5" max="5" width="16.140625" customWidth="1"/>
  </cols>
  <sheetData>
    <row r="1" spans="1:5" ht="15.75">
      <c r="A1" s="350" t="s">
        <v>1063</v>
      </c>
      <c r="B1" s="350"/>
      <c r="C1" s="350"/>
      <c r="D1" s="350"/>
      <c r="E1" s="350"/>
    </row>
    <row r="2" spans="1:5">
      <c r="A2" s="306"/>
      <c r="B2" s="307" t="s">
        <v>217</v>
      </c>
      <c r="C2" s="307" t="s">
        <v>3</v>
      </c>
      <c r="D2" s="307" t="s">
        <v>218</v>
      </c>
      <c r="E2" s="307" t="s">
        <v>219</v>
      </c>
    </row>
    <row r="3" spans="1:5">
      <c r="A3" s="309" t="s">
        <v>330</v>
      </c>
      <c r="B3" s="311">
        <v>24190611.43</v>
      </c>
      <c r="C3" s="311">
        <f>+B3*0.21</f>
        <v>5080028.4002999999</v>
      </c>
      <c r="D3" s="311"/>
      <c r="E3" s="311">
        <f>SUM(B3:D3)</f>
        <v>29270639.8303</v>
      </c>
    </row>
    <row r="4" spans="1:5">
      <c r="A4" s="309" t="s">
        <v>399</v>
      </c>
      <c r="B4" s="311">
        <v>0</v>
      </c>
      <c r="C4" s="311">
        <f t="shared" ref="C4:C8" si="0">+B4*0.21</f>
        <v>0</v>
      </c>
      <c r="D4" s="311"/>
      <c r="E4" s="311">
        <f t="shared" ref="E4:E8" si="1">SUM(B4:D4)</f>
        <v>0</v>
      </c>
    </row>
    <row r="5" spans="1:5">
      <c r="A5" s="309" t="s">
        <v>20</v>
      </c>
      <c r="B5" s="311">
        <v>9798831.0400000028</v>
      </c>
      <c r="C5" s="311">
        <f t="shared" si="0"/>
        <v>2057754.5184000004</v>
      </c>
      <c r="D5" s="311"/>
      <c r="E5" s="311">
        <f t="shared" si="1"/>
        <v>11856585.558400003</v>
      </c>
    </row>
    <row r="6" spans="1:5">
      <c r="A6" s="309" t="s">
        <v>313</v>
      </c>
      <c r="B6" s="311">
        <v>-513274.69</v>
      </c>
      <c r="C6" s="311">
        <f t="shared" si="0"/>
        <v>-107787.68489999999</v>
      </c>
      <c r="D6" s="311"/>
      <c r="E6" s="311">
        <f t="shared" si="1"/>
        <v>-621062.37489999994</v>
      </c>
    </row>
    <row r="7" spans="1:5">
      <c r="A7" s="223" t="s">
        <v>253</v>
      </c>
      <c r="B7" s="311">
        <v>24269479.060000077</v>
      </c>
      <c r="C7" s="311">
        <f t="shared" si="0"/>
        <v>5096590.6026000157</v>
      </c>
      <c r="D7" s="311"/>
      <c r="E7" s="311">
        <f t="shared" si="1"/>
        <v>29366069.662600093</v>
      </c>
    </row>
    <row r="8" spans="1:5">
      <c r="A8" s="223" t="s">
        <v>312</v>
      </c>
      <c r="B8" s="311">
        <v>-239128.26</v>
      </c>
      <c r="C8" s="311">
        <f t="shared" si="0"/>
        <v>-50216.934600000001</v>
      </c>
      <c r="D8" s="311"/>
      <c r="E8" s="311">
        <f t="shared" si="1"/>
        <v>-289345.19459999999</v>
      </c>
    </row>
    <row r="9" spans="1:5">
      <c r="A9" s="213"/>
      <c r="B9" s="310">
        <f>SUM(B3:B8)</f>
        <v>57506518.58000008</v>
      </c>
      <c r="C9" s="310">
        <f>SUM(C3:C8)</f>
        <v>12076368.901800018</v>
      </c>
      <c r="D9" s="310">
        <v>0</v>
      </c>
      <c r="E9" s="310">
        <f>SUM(E3:E8)</f>
        <v>69582887.481800094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Configuracion</vt:lpstr>
      <vt:lpstr>Oct 24</vt:lpstr>
      <vt:lpstr>Calculo IVA</vt:lpstr>
      <vt:lpstr>Compras 10</vt:lpstr>
      <vt:lpstr>afip</vt:lpstr>
      <vt:lpstr>Hoja3</vt:lpstr>
      <vt:lpstr>Ventas 10</vt:lpstr>
      <vt:lpstr>Resumen Ventas 10</vt:lpstr>
      <vt:lpstr>'Oct 24'!Área_de_impresión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2024-11-20T19:06:11Z</dcterms:modified>
</cp:coreProperties>
</file>