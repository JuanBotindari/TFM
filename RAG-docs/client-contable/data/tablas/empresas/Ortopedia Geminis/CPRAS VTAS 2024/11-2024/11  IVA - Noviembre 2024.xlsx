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20" yWindow="-120" windowWidth="19440" windowHeight="11160" activeTab="2"/>
  </bookViews>
  <sheets>
    <sheet name="Configuracion" sheetId="23" r:id="rId1"/>
    <sheet name="Nov 24" sheetId="22" r:id="rId2"/>
    <sheet name="Calculo IVA" sheetId="24" r:id="rId3"/>
    <sheet name="afip" sheetId="27" state="hidden" r:id="rId4"/>
    <sheet name="Hoja3" sheetId="29" state="hidden" r:id="rId5"/>
    <sheet name="Resumen Ventas 11" sheetId="31" r:id="rId6"/>
    <sheet name="Ventas 11" sheetId="33" r:id="rId7"/>
    <sheet name="Compras 11" sheetId="32" r:id="rId8"/>
  </sheets>
  <definedNames>
    <definedName name="_xlnm._FilterDatabase" localSheetId="3" hidden="1">afip!$A$1:$Q$124</definedName>
    <definedName name="_xlnm._FilterDatabase" localSheetId="7" hidden="1">'Compras 11'!$A$2:$Q$88</definedName>
    <definedName name="_xlnm._FilterDatabase" localSheetId="0" hidden="1">Configuracion!$A$3:$C$540</definedName>
    <definedName name="_xlnm._FilterDatabase" localSheetId="4" hidden="1">Hoja3!$A$4:$G$240</definedName>
    <definedName name="_xlnm._FilterDatabase" localSheetId="1" hidden="1">'Nov 24'!$A$7:$P$42</definedName>
    <definedName name="_xlnm._FilterDatabase" localSheetId="6" hidden="1">'Ventas 11'!$A$9:$Q$515</definedName>
    <definedName name="_xlnm.Print_Area" localSheetId="1">'Nov 24'!$A$1:$N$22</definedName>
    <definedName name="partner_id" localSheetId="0">Configuracion!$B$332</definedName>
  </definedNames>
  <calcPr calcId="125725"/>
</workbook>
</file>

<file path=xl/calcChain.xml><?xml version="1.0" encoding="utf-8"?>
<calcChain xmlns="http://schemas.openxmlformats.org/spreadsheetml/2006/main">
  <c r="L3" i="33"/>
  <c r="F86" i="22" l="1"/>
  <c r="G86"/>
  <c r="H86"/>
  <c r="H57"/>
  <c r="E5" i="31"/>
  <c r="E6"/>
  <c r="E8"/>
  <c r="C4"/>
  <c r="E4" s="1"/>
  <c r="C5"/>
  <c r="C6"/>
  <c r="C7"/>
  <c r="E7" s="1"/>
  <c r="C8"/>
  <c r="E3"/>
  <c r="C3"/>
  <c r="P85" i="33"/>
  <c r="Q85" s="1"/>
  <c r="P86"/>
  <c r="Q86" s="1"/>
  <c r="P87"/>
  <c r="Q87" s="1"/>
  <c r="P88"/>
  <c r="Q88" s="1"/>
  <c r="P89"/>
  <c r="Q89" s="1"/>
  <c r="P106"/>
  <c r="Q106" s="1"/>
  <c r="P107"/>
  <c r="Q107" s="1"/>
  <c r="P108"/>
  <c r="Q108" s="1"/>
  <c r="P109"/>
  <c r="Q109" s="1"/>
  <c r="P110"/>
  <c r="Q110" s="1"/>
  <c r="P111"/>
  <c r="Q111" s="1"/>
  <c r="P112"/>
  <c r="Q112" s="1"/>
  <c r="P136"/>
  <c r="Q136" s="1"/>
  <c r="P137"/>
  <c r="Q137" s="1"/>
  <c r="P138"/>
  <c r="Q138" s="1"/>
  <c r="P139"/>
  <c r="Q139" s="1"/>
  <c r="P140"/>
  <c r="Q140" s="1"/>
  <c r="P141"/>
  <c r="Q141" s="1"/>
  <c r="P142"/>
  <c r="Q142" s="1"/>
  <c r="P169"/>
  <c r="Q169" s="1"/>
  <c r="P170"/>
  <c r="Q170" s="1"/>
  <c r="P171"/>
  <c r="Q171" s="1"/>
  <c r="P172"/>
  <c r="Q172" s="1"/>
  <c r="P173"/>
  <c r="Q173" s="1"/>
  <c r="P174"/>
  <c r="Q174" s="1"/>
  <c r="P175"/>
  <c r="Q175" s="1"/>
  <c r="P176"/>
  <c r="Q176" s="1"/>
  <c r="P177"/>
  <c r="Q177" s="1"/>
  <c r="P178"/>
  <c r="Q178" s="1"/>
  <c r="P179"/>
  <c r="Q179" s="1"/>
  <c r="P180"/>
  <c r="Q180" s="1"/>
  <c r="P181"/>
  <c r="Q181" s="1"/>
  <c r="P182"/>
  <c r="Q182" s="1"/>
  <c r="P183"/>
  <c r="Q183" s="1"/>
  <c r="P184"/>
  <c r="Q184" s="1"/>
  <c r="P185"/>
  <c r="Q185" s="1"/>
  <c r="P186"/>
  <c r="Q186" s="1"/>
  <c r="P187"/>
  <c r="Q187" s="1"/>
  <c r="P188"/>
  <c r="Q188" s="1"/>
  <c r="P189"/>
  <c r="Q189" s="1"/>
  <c r="P190"/>
  <c r="Q190" s="1"/>
  <c r="P207"/>
  <c r="Q207" s="1"/>
  <c r="P208"/>
  <c r="Q208" s="1"/>
  <c r="P209"/>
  <c r="Q209" s="1"/>
  <c r="P210"/>
  <c r="Q210" s="1"/>
  <c r="P211"/>
  <c r="Q211" s="1"/>
  <c r="P212"/>
  <c r="Q212" s="1"/>
  <c r="P213"/>
  <c r="Q213" s="1"/>
  <c r="P214"/>
  <c r="Q214" s="1"/>
  <c r="P215"/>
  <c r="Q215" s="1"/>
  <c r="P216"/>
  <c r="Q216" s="1"/>
  <c r="P217"/>
  <c r="Q217" s="1"/>
  <c r="P218"/>
  <c r="Q218" s="1"/>
  <c r="P219"/>
  <c r="Q219" s="1"/>
  <c r="P240"/>
  <c r="Q240" s="1"/>
  <c r="P241"/>
  <c r="Q241" s="1"/>
  <c r="P242"/>
  <c r="Q242" s="1"/>
  <c r="P243"/>
  <c r="Q243" s="1"/>
  <c r="P285"/>
  <c r="Q285" s="1"/>
  <c r="P312"/>
  <c r="Q312" s="1"/>
  <c r="P313"/>
  <c r="Q313" s="1"/>
  <c r="P332"/>
  <c r="Q332" s="1"/>
  <c r="P334"/>
  <c r="Q334" s="1"/>
  <c r="P364"/>
  <c r="Q364" s="1"/>
  <c r="P365"/>
  <c r="Q365" s="1"/>
  <c r="P403"/>
  <c r="Q403" s="1"/>
  <c r="P422"/>
  <c r="Q422" s="1"/>
  <c r="P423"/>
  <c r="Q423" s="1"/>
  <c r="P424"/>
  <c r="Q424" s="1"/>
  <c r="P425"/>
  <c r="Q425" s="1"/>
  <c r="P467"/>
  <c r="Q467" s="1"/>
  <c r="P468"/>
  <c r="Q468" s="1"/>
  <c r="P512"/>
  <c r="Q512" s="1"/>
  <c r="P65"/>
  <c r="Q65" s="1"/>
  <c r="Q89" i="32" l="1"/>
  <c r="P89"/>
  <c r="O89"/>
  <c r="N89"/>
  <c r="M89"/>
  <c r="L89"/>
  <c r="N18" i="22"/>
  <c r="K18"/>
  <c r="F18"/>
  <c r="F148" i="32"/>
  <c r="Q132"/>
  <c r="P132"/>
  <c r="O132"/>
  <c r="N132"/>
  <c r="M132"/>
  <c r="L132"/>
  <c r="P19"/>
  <c r="Q19" s="1"/>
  <c r="L16"/>
  <c r="P16" s="1"/>
  <c r="Q16" s="1"/>
  <c r="G10" i="22"/>
  <c r="O10" s="1"/>
  <c r="P17"/>
  <c r="G17"/>
  <c r="O17" s="1"/>
  <c r="E17"/>
  <c r="P16"/>
  <c r="G16"/>
  <c r="O16" s="1"/>
  <c r="E16"/>
  <c r="P15"/>
  <c r="G15"/>
  <c r="O15" s="1"/>
  <c r="E15"/>
  <c r="P14"/>
  <c r="G14"/>
  <c r="O14" s="1"/>
  <c r="E14"/>
  <c r="P13"/>
  <c r="G13"/>
  <c r="O13" s="1"/>
  <c r="E13"/>
  <c r="P12"/>
  <c r="G12"/>
  <c r="O12" s="1"/>
  <c r="E12"/>
  <c r="P11"/>
  <c r="G11"/>
  <c r="O11" s="1"/>
  <c r="E11"/>
  <c r="P10"/>
  <c r="E10"/>
  <c r="P9"/>
  <c r="G9"/>
  <c r="O9" s="1"/>
  <c r="E9"/>
  <c r="P8"/>
  <c r="G8"/>
  <c r="O8" s="1"/>
  <c r="O18" s="1"/>
  <c r="E8"/>
  <c r="E61"/>
  <c r="E60"/>
  <c r="E59"/>
  <c r="E58"/>
  <c r="E57"/>
  <c r="E56"/>
  <c r="E55"/>
  <c r="E54"/>
  <c r="E53"/>
  <c r="E52"/>
  <c r="E51"/>
  <c r="E50"/>
  <c r="E49"/>
  <c r="E48"/>
  <c r="E47"/>
  <c r="E46"/>
  <c r="G32"/>
  <c r="E32"/>
  <c r="G31"/>
  <c r="E31"/>
  <c r="G30"/>
  <c r="E30"/>
  <c r="G29"/>
  <c r="E29"/>
  <c r="G28"/>
  <c r="E28"/>
  <c r="G27"/>
  <c r="E27"/>
  <c r="G26"/>
  <c r="E26"/>
  <c r="G25"/>
  <c r="E25"/>
  <c r="G24"/>
  <c r="E24"/>
  <c r="G23"/>
  <c r="E23"/>
  <c r="B9" i="31"/>
  <c r="E9"/>
  <c r="G18" i="22" l="1"/>
  <c r="C9" i="31"/>
  <c r="G37" i="22" l="1"/>
  <c r="E37"/>
  <c r="G36"/>
  <c r="E36"/>
  <c r="G35"/>
  <c r="E35"/>
  <c r="G34"/>
  <c r="E34"/>
  <c r="G33"/>
  <c r="E33"/>
  <c r="B15" i="24"/>
  <c r="E71" i="22"/>
  <c r="E70"/>
  <c r="E69"/>
  <c r="E68"/>
  <c r="E67"/>
  <c r="E66"/>
  <c r="E65"/>
  <c r="E64"/>
  <c r="E63"/>
  <c r="E62"/>
  <c r="E94"/>
  <c r="G94"/>
  <c r="I94" s="1"/>
  <c r="E95"/>
  <c r="G95"/>
  <c r="I95" s="1"/>
  <c r="E96"/>
  <c r="G96"/>
  <c r="I96"/>
  <c r="E97"/>
  <c r="G97"/>
  <c r="I97" s="1"/>
  <c r="I86"/>
  <c r="H18" l="1"/>
  <c r="I18"/>
  <c r="C9" i="24" l="1"/>
  <c r="E75" i="22" l="1"/>
  <c r="E74"/>
  <c r="E73"/>
  <c r="E72"/>
  <c r="E83" l="1"/>
  <c r="E82"/>
  <c r="E81"/>
  <c r="E80"/>
  <c r="E79"/>
  <c r="E78"/>
  <c r="E77"/>
  <c r="E76"/>
  <c r="F103"/>
  <c r="G98" l="1"/>
  <c r="I98" s="1"/>
  <c r="G99"/>
  <c r="I99" s="1"/>
  <c r="G100"/>
  <c r="I100" s="1"/>
  <c r="G101"/>
  <c r="I101" s="1"/>
  <c r="G102"/>
  <c r="E98"/>
  <c r="E99"/>
  <c r="E100"/>
  <c r="E101"/>
  <c r="E85" l="1"/>
  <c r="E84"/>
  <c r="C15" i="24" l="1"/>
  <c r="C19" s="1"/>
  <c r="F42" i="22"/>
  <c r="E38" l="1"/>
  <c r="G38"/>
  <c r="E39"/>
  <c r="G39"/>
  <c r="E40"/>
  <c r="G40"/>
  <c r="E41"/>
  <c r="G41"/>
  <c r="M18" l="1"/>
  <c r="L18"/>
  <c r="J18"/>
  <c r="B8" i="24" l="1"/>
  <c r="E109" i="22" l="1"/>
  <c r="E108"/>
  <c r="B6" i="24" l="1"/>
  <c r="C8" l="1"/>
  <c r="D8" s="1"/>
  <c r="B9" l="1"/>
  <c r="C38" l="1"/>
  <c r="G19" i="22" l="1"/>
  <c r="D15" i="24" l="1"/>
  <c r="B19" l="1"/>
  <c r="D9" l="1"/>
  <c r="E110" i="22" l="1"/>
  <c r="C44" i="24" l="1"/>
  <c r="C58" s="1"/>
  <c r="C62" s="1"/>
  <c r="C46" l="1"/>
  <c r="E111" i="22" l="1"/>
  <c r="E112"/>
  <c r="E102"/>
  <c r="C6" i="24" l="1"/>
  <c r="I102" i="22"/>
  <c r="I103" s="1"/>
  <c r="G103"/>
  <c r="D6" i="24" l="1"/>
  <c r="D19" l="1"/>
  <c r="F108" i="22" l="1"/>
  <c r="G108" l="1"/>
  <c r="H113"/>
  <c r="F112"/>
  <c r="G112" s="1"/>
  <c r="F110"/>
  <c r="G110" s="1"/>
  <c r="F111"/>
  <c r="G111" s="1"/>
  <c r="F109"/>
  <c r="F113" l="1"/>
  <c r="G109"/>
  <c r="G113" s="1"/>
  <c r="B10" i="24" l="1"/>
  <c r="B7"/>
  <c r="C7" s="1"/>
  <c r="C10" s="1"/>
  <c r="C50" l="1"/>
  <c r="D7"/>
  <c r="D10" s="1"/>
  <c r="C54" l="1"/>
  <c r="C65" s="1"/>
</calcChain>
</file>

<file path=xl/sharedStrings.xml><?xml version="1.0" encoding="utf-8"?>
<sst xmlns="http://schemas.openxmlformats.org/spreadsheetml/2006/main" count="5235" uniqueCount="1114">
  <si>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</si>
  <si>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</si>
  <si>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</si>
  <si>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</si>
  <si>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</si>
  <si>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</si>
  <si>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</si>
  <si>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</si>
  <si>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</si>
  <si>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</si>
  <si>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</si>
  <si>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</si>
  <si>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</si>
  <si>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</si>
  <si>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</si>
  <si>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</si>
  <si>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</si>
  <si>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</si>
  <si>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</si>
  <si>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</si>
  <si>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</si>
  <si>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</si>
  <si>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</si>
  <si>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</si>
  <si>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</si>
  <si>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</si>
  <si>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</si>
  <si>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</si>
  <si>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</si>
  <si>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</si>
  <si>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</si>
  <si>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</si>
  <si>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</si>
  <si>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</si>
  <si>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</si>
  <si>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</si>
  <si>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</si>
  <si>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</si>
  <si>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</si>
  <si>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</si>
  <si>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</si>
  <si>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</si>
  <si>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</si>
  <si>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</si>
  <si>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</si>
  <si>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</si>
  <si>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</si>
  <si>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</si>
  <si>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</si>
  <si>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</si>
  <si>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</si>
  <si>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</si>
  <si>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</si>
  <si>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</si>
  <si>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</si>
  <si>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</si>
  <si>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</si>
  <si>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</si>
  <si>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</si>
  <si>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</si>
  <si>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</si>
  <si>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</si>
  <si>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</si>
  <si>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</si>
  <si>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</si>
  <si>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</si>
  <si>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</si>
  <si>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</si>
  <si>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</si>
  <si>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</si>
  <si>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</si>
  <si>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</si>
  <si>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</si>
  <si>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</si>
  <si>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</si>
  <si>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</si>
  <si>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</si>
  <si>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</si>
  <si>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</si>
  <si>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</si>
  <si>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</si>
  <si>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</si>
  <si>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</si>
  <si>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</si>
  <si>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</si>
  <si>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</si>
  <si>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</si>
  <si>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</si>
  <si>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</si>
  <si>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</si>
  <si>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</si>
  <si>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</si>
  <si>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</si>
  <si>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</si>
  <si>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</si>
  <si>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</si>
  <si>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</si>
  <si>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</si>
  <si>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</si>
  <si>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</si>
  <si>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</si>
  <si>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</si>
  <si>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</si>
  <si>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</si>
  <si>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</si>
  <si>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</si>
  <si>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</si>
  <si>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</si>
  <si>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</si>
  <si>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</si>
  <si>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</si>
  <si>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</si>
  <si>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</si>
  <si>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</si>
  <si>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</si>
  <si>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</si>
  <si>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</si>
  <si>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</si>
  <si>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</si>
  <si>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</si>
  <si>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</si>
  <si>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</si>
  <si>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</si>
  <si>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</si>
  <si>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</si>
  <si>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</si>
  <si>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</si>
  <si>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</si>
  <si>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</si>
  <si>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</si>
  <si>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</si>
  <si>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</si>
  <si>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</si>
  <si>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</si>
  <si>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</si>
  <si>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</si>
  <si>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</si>
  <si>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</si>
  <si>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</si>
  <si>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</si>
  <si>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</si>
  <si>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</si>
  <si>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</si>
  <si>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</si>
  <si>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</si>
  <si>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</si>
  <si>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</si>
  <si>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</si>
  <si>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</si>
  <si>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</si>
  <si>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</si>
  <si>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</si>
  <si>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</si>
  <si>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</si>
  <si>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</si>
  <si>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</si>
  <si>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</si>
  <si>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</si>
  <si>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</si>
  <si>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</si>
  <si>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</si>
  <si>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</si>
  <si>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</si>
  <si>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</si>
  <si>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</si>
  <si>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</si>
  <si>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</si>
  <si>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</si>
  <si>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</si>
  <si>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</si>
  <si>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</si>
  <si>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</si>
  <si>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</si>
  <si>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</si>
  <si>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</si>
  <si>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</si>
  <si>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</si>
  <si>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</si>
  <si>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</si>
  <si>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</si>
  <si>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</si>
  <si>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</si>
  <si>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</si>
  <si>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</si>
  <si>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</si>
  <si>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</si>
  <si>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</si>
  <si>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</si>
  <si>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</si>
  <si>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</si>
  <si>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</si>
  <si>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</si>
  <si>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</si>
  <si>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</si>
  <si>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</si>
  <si>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</si>
  <si>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</si>
  <si>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</si>
  <si>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</si>
  <si>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</si>
  <si>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</si>
  <si>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</si>
  <si>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</si>
  <si>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</si>
  <si>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</si>
  <si>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</si>
  <si>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</si>
  <si>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</si>
  <si>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</si>
  <si>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</si>
  <si>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</si>
  <si>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</si>
  <si>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</si>
  <si>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</si>
  <si>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</si>
  <si>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</si>
  <si>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</si>
  <si>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</si>
  <si>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</si>
  <si>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</si>
  <si>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</si>
  <si>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</si>
  <si>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</si>
  <si>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</si>
  <si>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</si>
  <si>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</si>
  <si>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</si>
  <si>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</si>
  <si>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</si>
  <si>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</si>
  <si>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</si>
  <si>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</si>
  <si>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</si>
  <si>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</si>
  <si>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</si>
  <si>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</si>
  <si>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</si>
  <si>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</si>
  <si>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</si>
  <si>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</si>
  <si>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</si>
  <si>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</si>
  <si>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</si>
  <si>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</si>
  <si>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</si>
  <si>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</si>
  <si>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</si>
  <si>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</si>
  <si>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</si>
  <si>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</si>
  <si>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</si>
  <si>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</si>
  <si>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</si>
  <si>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</si>
  <si>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</si>
  <si>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</si>
  <si>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</si>
  <si>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</si>
  <si>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</si>
  <si>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</si>
  <si>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</si>
  <si>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</si>
  <si>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</si>
  <si>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</si>
  <si>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</si>
  <si>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</si>
  <si>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</si>
  <si>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</si>
  <si>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</si>
  <si>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</si>
  <si>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</si>
  <si>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</si>
  <si>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</si>
  <si>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</si>
  <si>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</si>
  <si>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</si>
  <si>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</si>
  <si>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</si>
  <si>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</si>
  <si>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</si>
  <si>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</si>
  <si>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</si>
  <si>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</si>
  <si>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</si>
  <si>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</si>
  <si>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</si>
  <si>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</si>
  <si>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</si>
  <si>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</si>
  <si>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</si>
  <si>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</si>
  <si>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</si>
  <si>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</si>
  <si>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</si>
  <si>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</si>
  <si>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</si>
  <si>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</si>
  <si>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</si>
  <si>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</si>
  <si>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</si>
  <si>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</si>
  <si>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</si>
  <si>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</si>
  <si>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</si>
  <si>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</si>
  <si>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</si>
  <si>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</si>
  <si>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</si>
  <si>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</si>
  <si>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</si>
  <si>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</si>
  <si>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</si>
  <si>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</si>
  <si>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</si>
  <si>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</si>
  <si>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</si>
  <si>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</si>
  <si>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</si>
  <si>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</si>
  <si>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</si>
  <si>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</si>
  <si>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</si>
  <si>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</si>
  <si>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</si>
  <si>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</si>
  <si>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</si>
  <si>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</si>
  <si>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</si>
  <si>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</si>
  <si>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</si>
  <si>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</si>
  <si>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</si>
  <si>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</si>
  <si>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</si>
  <si>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</si>
  <si>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</si>
  <si>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</si>
  <si>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</si>
  <si>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</si>
  <si>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</si>
  <si>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</si>
  <si>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</si>
  <si>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</si>
  <si>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</si>
  <si>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</si>
  <si>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</si>
  <si>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</si>
  <si>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</si>
  <si>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</si>
  <si>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</si>
  <si>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</si>
  <si>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</si>
  <si>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</si>
  <si>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</si>
  <si>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</si>
  <si>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</si>
  <si>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</si>
  <si>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</si>
  <si>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</si>
  <si>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</si>
  <si>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</si>
  <si>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</si>
  <si>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</si>
  <si>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</si>
  <si>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</si>
  <si>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</si>
  <si>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</si>
  <si>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</si>
  <si>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</si>
  <si>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</si>
  <si>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</si>
  <si>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</si>
  <si>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</si>
  <si>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</si>
  <si>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</si>
  <si>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</si>
  <si>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</si>
  <si>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</si>
  <si>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</si>
  <si>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</si>
  <si>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</si>
  <si>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</si>
  <si>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</si>
  <si>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</si>
  <si>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</si>
  <si>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</si>
  <si>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</si>
  <si>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</si>
  <si>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</si>
  <si>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</si>
  <si>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</si>
  <si>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</si>
  <si>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</si>
  <si>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</si>
  <si>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</si>
  <si>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</si>
  <si>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</si>
  <si>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</si>
  <si>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</si>
  <si>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</si>
  <si>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</si>
  <si>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</si>
  <si>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</si>
  <si>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</si>
  <si>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</si>
  <si>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</si>
  <si>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</si>
  <si>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</si>
  <si>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</si>
  <si>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</si>
  <si>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</si>
  <si>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</si>
  <si>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</si>
  <si>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</si>
  <si>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</si>
  <si>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</si>
  <si>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</si>
  <si>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</si>
  <si>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</si>
  <si>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</si>
  <si>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</si>
  <si>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</si>
  <si>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</si>
  <si>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</si>
  <si>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</si>
  <si>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</si>
  <si>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</si>
  <si>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</si>
  <si>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</si>
  <si>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</si>
  <si>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</si>
  <si>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</si>
  <si>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</si>
  <si>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</si>
  <si>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</si>
  <si>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</si>
  <si>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</si>
  <si>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</si>
  <si>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</si>
  <si>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</si>
  <si>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</si>
  <si>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</si>
  <si>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</si>
  <si>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</si>
  <si>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</si>
  <si>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</si>
  <si>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</si>
  <si>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</si>
  <si>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</si>
  <si>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</si>
  <si>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</si>
  <si>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</si>
  <si>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</si>
  <si>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</si>
  <si>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</si>
  <si>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</si>
  <si>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</si>
  <si>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</si>
  <si>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</si>
  <si>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</si>
  <si>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</si>
  <si>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</si>
  <si>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</si>
  <si>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</si>
  <si>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</si>
  <si>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</si>
  <si>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</si>
  <si>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</si>
  <si>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</si>
  <si>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</si>
  <si>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</si>
  <si>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</si>
  <si>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</si>
  <si>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</si>
  <si>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</si>
  <si>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</si>
  <si>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</si>
  <si>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</si>
  <si>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</si>
  <si>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</si>
  <si>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</si>
  <si>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</si>
  <si>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</si>
  <si>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</si>
  <si>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</si>
  <si>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</si>
  <si>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</si>
  <si>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</si>
  <si>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</si>
  <si>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</si>
  <si>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</si>
  <si>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</si>
  <si>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</si>
  <si>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</si>
  <si>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</si>
  <si>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</si>
  <si>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</si>
  <si>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</si>
  <si>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</si>
  <si>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</si>
  <si>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</si>
  <si>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</si>
  <si>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</si>
  <si>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</si>
  <si>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</si>
  <si>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</si>
  <si>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</si>
  <si>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</si>
  <si>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</si>
  <si>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</si>
  <si>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</si>
  <si>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</si>
  <si>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</si>
  <si>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</si>
  <si>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</si>
  <si>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</si>
  <si>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</si>
  <si>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</si>
  <si>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</si>
  <si>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</si>
  <si>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</si>
  <si>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</si>
  <si>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</si>
  <si>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</si>
  <si>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</si>
  <si>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</si>
  <si>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</si>
  <si>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</si>
  <si>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</si>
  <si>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</si>
  <si>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</si>
  <si>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</si>
  <si>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</si>
  <si>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</si>
  <si>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</si>
  <si>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</si>
  <si>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</si>
  <si>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</si>
  <si>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</si>
  <si>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</si>
  <si>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</si>
  <si>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</si>
  <si>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</si>
  <si>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</si>
  <si>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</si>
  <si>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</si>
  <si>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</si>
  <si>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</si>
  <si>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</si>
  <si>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</si>
  <si>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</si>
  <si>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</si>
  <si>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</si>
  <si>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</si>
  <si>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</si>
  <si>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</si>
  <si>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</si>
  <si>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</si>
  <si>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</si>
  <si>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</si>
  <si>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</si>
  <si>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</si>
  <si>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</si>
  <si>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</si>
  <si>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</si>
  <si>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</si>
  <si>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</si>
  <si>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</si>
  <si>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</si>
  <si>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</si>
  <si>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</si>
  <si>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</si>
  <si>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</si>
  <si>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</si>
  <si>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</si>
  <si>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</si>
  <si>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</si>
  <si>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</si>
  <si>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</si>
  <si>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</si>
  <si>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</si>
  <si>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</si>
  <si>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</si>
  <si>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</si>
  <si>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</si>
  <si>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</si>
  <si>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</si>
  <si>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</si>
  <si>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</si>
  <si>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</si>
  <si>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</si>
  <si>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</si>
  <si>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</si>
  <si>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</si>
  <si>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</si>
  <si>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</si>
  <si>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</si>
  <si>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</si>
  <si>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</si>
  <si>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</si>
  <si>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</si>
  <si>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</si>
  <si>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</si>
  <si>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</si>
  <si>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</si>
  <si>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</si>
  <si>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</si>
  <si>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</si>
  <si>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</si>
  <si>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</si>
  <si>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</si>
  <si>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</si>
  <si>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</si>
  <si>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</si>
  <si>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</si>
  <si>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</si>
  <si>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</si>
  <si>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</si>
  <si>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</si>
  <si>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</si>
  <si>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</si>
  <si>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</si>
  <si>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</si>
  <si>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</si>
  <si>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</si>
  <si>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</si>
  <si>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</si>
  <si>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</si>
  <si>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</si>
  <si>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</si>
  <si>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</si>
  <si>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</si>
  <si>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</si>
  <si>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</si>
  <si>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</si>
  <si>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IVA S/ EXTRACTOS BANCARIOS</t>
  </si>
  <si>
    <t>C.S.J. O.S. Poder Judicial</t>
  </si>
  <si>
    <t>Aca Salud Coop P.S. Medico A.L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</si>
  <si>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</si>
  <si>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</si>
  <si>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</si>
  <si>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</si>
  <si>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</si>
  <si>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</si>
  <si>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</si>
  <si>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</si>
  <si>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</si>
  <si>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</si>
  <si>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</si>
  <si>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</si>
  <si>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</si>
  <si>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</si>
  <si>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</si>
  <si>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01/09/2024</t>
  </si>
  <si>
    <t>1 - Factura A</t>
  </si>
  <si>
    <t>COTO CENTRO INTEGRAL DE COMERCIALIZACION SOCIEDAD ANONIMA</t>
  </si>
  <si>
    <t>$</t>
  </si>
  <si>
    <t>02/09/2024</t>
  </si>
  <si>
    <t>SOLUCIONES MULTIMEDIA S A</t>
  </si>
  <si>
    <t>REHAB S.R.L.</t>
  </si>
  <si>
    <t>SILVESTRIN FABRIS SOC RESP LTDA</t>
  </si>
  <si>
    <t>RELIEF CENTER S.R.L.</t>
  </si>
  <si>
    <t>TELEFONICA MOVILES ARGENTINA SOCIEDAD ANONIMA</t>
  </si>
  <si>
    <t>SCHEJTER LILA ELISA</t>
  </si>
  <si>
    <t>ANDREANI AGUSTINA SUSANA</t>
  </si>
  <si>
    <t>11 - Factura C</t>
  </si>
  <si>
    <t>03/09/2024</t>
  </si>
  <si>
    <t>GRUPO CONCESIONARIO DEL OESTE SA</t>
  </si>
  <si>
    <t>AUTOPISTAS DEL SOL S A</t>
  </si>
  <si>
    <t>CONSORCIO BARTOLOME MITRE 2466</t>
  </si>
  <si>
    <t>04/09/2024</t>
  </si>
  <si>
    <t>RUBRICOM SOCIEDAD ANONIMA</t>
  </si>
  <si>
    <t>UZUMAKI S.A.S.</t>
  </si>
  <si>
    <t>USD</t>
  </si>
  <si>
    <t>05/09/2024</t>
  </si>
  <si>
    <t>BIODINAMICA ASISTENCIA S.R.L.</t>
  </si>
  <si>
    <t>3 - Nota de Crédito A</t>
  </si>
  <si>
    <t>06/09/2024</t>
  </si>
  <si>
    <t>FARMACIA DE MEDRANO 533 SOCIEDAD EN COMANDITA SIMPLE</t>
  </si>
  <si>
    <t>CORREDORES VIALES SOCIEDAD ANONIMA</t>
  </si>
  <si>
    <t>08/09/2024</t>
  </si>
  <si>
    <t>AUTOPISTAS URBANAS S A</t>
  </si>
  <si>
    <t>PROSEGUR ACTIVA ARGENTINA SA</t>
  </si>
  <si>
    <t>09/09/2024</t>
  </si>
  <si>
    <t>TARGET MEDICAL S.A.</t>
  </si>
  <si>
    <t>10/09/2024</t>
  </si>
  <si>
    <t>HECKER LAURA NOEMI</t>
  </si>
  <si>
    <t>ZG MULTITEC SRL</t>
  </si>
  <si>
    <t>ASIAL S.R.L.</t>
  </si>
  <si>
    <t>ABOUD PABLO DANIEL</t>
  </si>
  <si>
    <t>11/09/2024</t>
  </si>
  <si>
    <t>NICOLAS TOBIAS SEQUEIRA Y MARIA GABRIELA RATTNER SOCIEDAD DE LA SECCION IV LGS</t>
  </si>
  <si>
    <t>MANGGINI PABLO Y MANGGINI ULISES SOC. DE HECHO.</t>
  </si>
  <si>
    <t>OVIEDO JIMENEZ TIZIANO LIONEL</t>
  </si>
  <si>
    <t>12/09/2024</t>
  </si>
  <si>
    <t>LEDESMA EMILIANO RUBEN</t>
  </si>
  <si>
    <t>13/09/2024</t>
  </si>
  <si>
    <t>CAMINOS DEL RIO URUGUAY S A DE CONSTRUCCIONES Y CONCESIONES VIALES</t>
  </si>
  <si>
    <t>MANZINI MARTA GRACIELA</t>
  </si>
  <si>
    <t>14/09/2024</t>
  </si>
  <si>
    <t>15/09/2024</t>
  </si>
  <si>
    <t>COORDINACION ECOLOGICA AREA METROPOLITANA SOCIEDAD DEL ESTADO</t>
  </si>
  <si>
    <t>16/09/2024</t>
  </si>
  <si>
    <t>LA JUNIOR S.R.L.</t>
  </si>
  <si>
    <t>MERCADO TOTAL SAS</t>
  </si>
  <si>
    <t>17/09/2024</t>
  </si>
  <si>
    <t>PISOS BODEN S.A.</t>
  </si>
  <si>
    <t>TELECOM ARGENTINA SOCIEDAD ANONIMA</t>
  </si>
  <si>
    <t>18/09/2024</t>
  </si>
  <si>
    <t>19/09/2024</t>
  </si>
  <si>
    <t>EXPRESO MAR DEL PLATA SOCIEDAD ANONIMA</t>
  </si>
  <si>
    <t>20/09/2024</t>
  </si>
  <si>
    <t>NOLASCO ALAN MANUEL</t>
  </si>
  <si>
    <t>21/09/2024</t>
  </si>
  <si>
    <t>MIGOYA MORIONDO MARIA INES</t>
  </si>
  <si>
    <t>23/09/2024</t>
  </si>
  <si>
    <t>NSS SA</t>
  </si>
  <si>
    <t>24/09/2024</t>
  </si>
  <si>
    <t>DIA ARGENTINA S A</t>
  </si>
  <si>
    <t>BARD MARISA SILVIA</t>
  </si>
  <si>
    <t>25/09/2024</t>
  </si>
  <si>
    <t>26/09/2024</t>
  </si>
  <si>
    <t>JUNIN 0 SRL</t>
  </si>
  <si>
    <t>27/09/2024</t>
  </si>
  <si>
    <t>CASA MAKAROVSKY S A C I I F</t>
  </si>
  <si>
    <t>28/09/2024</t>
  </si>
  <si>
    <t>CHIARA FLORENCIA</t>
  </si>
  <si>
    <t>29/09/2024</t>
  </si>
  <si>
    <t>MERCADOLIBRE S.R.L.</t>
  </si>
  <si>
    <t>30/09/2024</t>
  </si>
  <si>
    <t>POSNET SOCIEDAD DE RESPONSABILIDAD LIMITADA</t>
  </si>
  <si>
    <t>C.P.S.  COMUNICACIONES S.A.</t>
  </si>
  <si>
    <t>VERISURE ARGENTINA MONITOREO DE ALARMAS SA</t>
  </si>
  <si>
    <t>PAIS HECTOR GUILLERMO</t>
  </si>
  <si>
    <t>Comprobante</t>
  </si>
  <si>
    <t>Nombre</t>
  </si>
  <si>
    <t>Cond. IVA</t>
  </si>
  <si>
    <t>CUIT o Doc.</t>
  </si>
  <si>
    <t>Gravado</t>
  </si>
  <si>
    <t>No Gravado</t>
  </si>
  <si>
    <t>20/08/2024</t>
  </si>
  <si>
    <t>FA-A 0700-01871084</t>
  </si>
  <si>
    <t>Corredores Viales Sociedad Anonima</t>
  </si>
  <si>
    <t>IVA Responsable Inscripto</t>
  </si>
  <si>
    <t>27/08/2024</t>
  </si>
  <si>
    <t>TF-A0005-00002285</t>
  </si>
  <si>
    <t>Espada Faraldo, Margarita Mercedes</t>
  </si>
  <si>
    <t>28/08/2024</t>
  </si>
  <si>
    <t>TF-A0005-00002291</t>
  </si>
  <si>
    <t>TF-A0012-00041830</t>
  </si>
  <si>
    <t>Mavisur S A</t>
  </si>
  <si>
    <t>FA-A 2189-00075919</t>
  </si>
  <si>
    <t>Coto Centro Integral De Comercializacion Sociedad Anonima</t>
  </si>
  <si>
    <t>FA-A 0001-00004517</t>
  </si>
  <si>
    <t>Rehab S.R.L.</t>
  </si>
  <si>
    <t>FA-A 0002-00000248</t>
  </si>
  <si>
    <t>Schejter, Lila Elisa</t>
  </si>
  <si>
    <t>FA-C 0002-00000302</t>
  </si>
  <si>
    <t>Blasco, Maria Guadalupe</t>
  </si>
  <si>
    <t>Responsable Monotributo</t>
  </si>
  <si>
    <t>FA-C 0003-00000874</t>
  </si>
  <si>
    <t>FA-A 0005-00000102</t>
  </si>
  <si>
    <t>Andreani, Agustina Susana</t>
  </si>
  <si>
    <t>FA-A 0005-00158399</t>
  </si>
  <si>
    <t>Silvestrin Fabris Soc Resp Ltda</t>
  </si>
  <si>
    <t>FA-A 0017-00002245</t>
  </si>
  <si>
    <t>Relief Center S.R.L.</t>
  </si>
  <si>
    <t>FA-A 0500-01611886</t>
  </si>
  <si>
    <t>Soluciones Multimedia S A</t>
  </si>
  <si>
    <t>FA-A 3051-00801967</t>
  </si>
  <si>
    <t>Telefonica Moviles Argentina Sociedad Anonima</t>
  </si>
  <si>
    <t>FA-A 0002-00000216</t>
  </si>
  <si>
    <t>CONSORCIO BTOME MITRE 2466</t>
  </si>
  <si>
    <t>FA-A 0629-05407463</t>
  </si>
  <si>
    <t>Grupo Concesionario Del Oeste Sa</t>
  </si>
  <si>
    <t>FA-A 0711-06097149</t>
  </si>
  <si>
    <t>Autopistas Del Sol S A</t>
  </si>
  <si>
    <t>FA-A 2635-00001369</t>
  </si>
  <si>
    <t>Correo Andreani Sa</t>
  </si>
  <si>
    <t>FA-A 0002-00050685</t>
  </si>
  <si>
    <t>Rubricom Sociedad Anonima</t>
  </si>
  <si>
    <t>FA-A 0007-00003241</t>
  </si>
  <si>
    <t>Furlanetto, Martin</t>
  </si>
  <si>
    <t>FA-A 0017-00002255</t>
  </si>
  <si>
    <t>FA-A 0120-00004948</t>
  </si>
  <si>
    <t>Panatel Sociedad Anonima</t>
  </si>
  <si>
    <t>FA-A 0120-00004949</t>
  </si>
  <si>
    <t>FA-A 0401-00000066</t>
  </si>
  <si>
    <t>Uzumaki S.A.S.</t>
  </si>
  <si>
    <t>FA-A 0005-00005328</t>
  </si>
  <si>
    <t>Biodinamica Asistencia S.R.L.</t>
  </si>
  <si>
    <t>FA-A 0005-00005332</t>
  </si>
  <si>
    <t>FA-A 0008-00000306</t>
  </si>
  <si>
    <t>Farmacia De Medrano 533 Sociedad En Comandita Simple</t>
  </si>
  <si>
    <t>TF-A0028-00011642</t>
  </si>
  <si>
    <t>Castaño Autovox Srl</t>
  </si>
  <si>
    <t>FA-A 0700-01905419</t>
  </si>
  <si>
    <t>FA-A 5015-00643182</t>
  </si>
  <si>
    <t>Autopistas Urbanas S A</t>
  </si>
  <si>
    <t>FA-C 0001-00000148</t>
  </si>
  <si>
    <t>Cancino, Pamela Rita</t>
  </si>
  <si>
    <t>FA-A 0005-00001908</t>
  </si>
  <si>
    <t>Italomed Productos Srl</t>
  </si>
  <si>
    <t>FA-A 0006-00054121</t>
  </si>
  <si>
    <t>Target Medical S.A.</t>
  </si>
  <si>
    <t>FA-A 3101-00161895</t>
  </si>
  <si>
    <t>FA-A 0002-00008403</t>
  </si>
  <si>
    <t>Hecker, Laura Noemi</t>
  </si>
  <si>
    <t>FA-C 0003-00000986</t>
  </si>
  <si>
    <t>Vazquez, Ricardo Oscar</t>
  </si>
  <si>
    <t>FA-A 0003-00004250</t>
  </si>
  <si>
    <t>Aboud, Pablo Daniel</t>
  </si>
  <si>
    <t>FA-A 0005-00031858</t>
  </si>
  <si>
    <t>Zg Multitec Srl</t>
  </si>
  <si>
    <t>FA-A 0008-00001684</t>
  </si>
  <si>
    <t>FA-C 0001-00000009</t>
  </si>
  <si>
    <t>Oviedo Jimenez, Tiziano Lionel</t>
  </si>
  <si>
    <t>FA-A 0001-00002468</t>
  </si>
  <si>
    <t>Nicolas Tobias Sequeira Y Maria Gabriela Rattner Sociedad De La Seccion Iv Lgs</t>
  </si>
  <si>
    <t>FA-A 0003-00007676</t>
  </si>
  <si>
    <t>Manggini Pablo Y Manggini Ulises Soc. De Hecho.</t>
  </si>
  <si>
    <t>FA-A 0002-00000778</t>
  </si>
  <si>
    <t>Di Feo, Martin Ezequiel</t>
  </si>
  <si>
    <t>FA-A 0004-00038394</t>
  </si>
  <si>
    <t>Ledesma, Emiliano Ruben</t>
  </si>
  <si>
    <t>FA-A 0005-00001915</t>
  </si>
  <si>
    <t>FA-A 0005-00001916</t>
  </si>
  <si>
    <t>TF-A0006-00019339</t>
  </si>
  <si>
    <t>Somos Energia S.A.</t>
  </si>
  <si>
    <t>TF-A0012-00003463</t>
  </si>
  <si>
    <t>GRANADOS HNOS. S.R.L.</t>
  </si>
  <si>
    <t>FA-A 0001-00004613</t>
  </si>
  <si>
    <t>FA-A 0001-00004620</t>
  </si>
  <si>
    <t>FA-A 0002-00000783</t>
  </si>
  <si>
    <t>FA-A 0002-00004940</t>
  </si>
  <si>
    <t>Manzini, Marta Graciela</t>
  </si>
  <si>
    <t>NC-A 0003-00000017</t>
  </si>
  <si>
    <t>Nardomarino, Ezequiel Eduardo</t>
  </si>
  <si>
    <t>FA-A 0003-00000170</t>
  </si>
  <si>
    <t>FA-A 0003-00000171</t>
  </si>
  <si>
    <t>FA-A 0005-00001920</t>
  </si>
  <si>
    <t>FA-A 0002-00000249</t>
  </si>
  <si>
    <t>FA-A 0006-00040318</t>
  </si>
  <si>
    <t>La Junior S.R.L.</t>
  </si>
  <si>
    <t>FA-A 2002-00072231</t>
  </si>
  <si>
    <t>Mercado Total Sas</t>
  </si>
  <si>
    <t>FA-A 5015-00644558</t>
  </si>
  <si>
    <t>FA-C 0001-00000247</t>
  </si>
  <si>
    <t>Sapuna, Mirian Karina</t>
  </si>
  <si>
    <t>FA-C 0001-00000248</t>
  </si>
  <si>
    <t>FA-A 0007-00000524</t>
  </si>
  <si>
    <t>Pisos Boden S.A.</t>
  </si>
  <si>
    <t>FA-A 0629-05447412</t>
  </si>
  <si>
    <t>FA-A 0711-06155254</t>
  </si>
  <si>
    <t>FA-A 4264-04388001</t>
  </si>
  <si>
    <t>Telecom Argentina Sociedad Anonima</t>
  </si>
  <si>
    <t>FA-C 0001-00000070</t>
  </si>
  <si>
    <t>Druetta, Andrea Mariel</t>
  </si>
  <si>
    <t>FA-C 0001-00000071</t>
  </si>
  <si>
    <t>FA-C 0001-00000249</t>
  </si>
  <si>
    <t>FA-C 0001-00000250</t>
  </si>
  <si>
    <t>FA-A 0002-00004942</t>
  </si>
  <si>
    <t>TF-A0008-00012741</t>
  </si>
  <si>
    <t>FA-C 0001-00000251</t>
  </si>
  <si>
    <t>FA-C 0001-00000252</t>
  </si>
  <si>
    <t>FA-A 0002-00000796</t>
  </si>
  <si>
    <t>TF-A0006-00001633</t>
  </si>
  <si>
    <t>Papelera Geopel S.R.L.</t>
  </si>
  <si>
    <t>FA-A 0007-00006066</t>
  </si>
  <si>
    <t>Triveño Roma, Ramon</t>
  </si>
  <si>
    <t>FA-C 0001-00000253</t>
  </si>
  <si>
    <t>FA-A 0002-00000250</t>
  </si>
  <si>
    <t>FA-A 0004-00000136</t>
  </si>
  <si>
    <t>Villalba, Miguel Angel</t>
  </si>
  <si>
    <t>FA-A 0005-00001937</t>
  </si>
  <si>
    <t>FA-A 0005-00003877</t>
  </si>
  <si>
    <t>FA-A 0017-00002312</t>
  </si>
  <si>
    <t>FA-C 0001-00000014</t>
  </si>
  <si>
    <t>Migoya Moriondo, Maria Ines</t>
  </si>
  <si>
    <t>FA-A 0005-03128526</t>
  </si>
  <si>
    <t>Nss Sa</t>
  </si>
  <si>
    <t>TF-A0006-00009495</t>
  </si>
  <si>
    <t>FA-A 0006-00054307</t>
  </si>
  <si>
    <t xml:space="preserve">Target Medical S.A. </t>
  </si>
  <si>
    <t>FA-A 0006-00085435</t>
  </si>
  <si>
    <t>Saludtex SA</t>
  </si>
  <si>
    <t>FA-A 0009-00164699</t>
  </si>
  <si>
    <t>Rodriguez Hermanos Transportes S.A.</t>
  </si>
  <si>
    <t>FA-A 0700-01936359</t>
  </si>
  <si>
    <t>FA-A 2399-00082822</t>
  </si>
  <si>
    <t>FA-A 5015-00648091</t>
  </si>
  <si>
    <t>FA-A 0002-00000025</t>
  </si>
  <si>
    <t>Bard, Marisa Silvia</t>
  </si>
  <si>
    <t>TF-A1055-00000854</t>
  </si>
  <si>
    <t>Dia Argentina S A</t>
  </si>
  <si>
    <t>FA-A 0004-00000137</t>
  </si>
  <si>
    <t>FA-A 0004-00071892</t>
  </si>
  <si>
    <t>Ortopedicos Alfolatex Sa</t>
  </si>
  <si>
    <t>FA-A 0006-00054346</t>
  </si>
  <si>
    <t>FA-A 0002-00000252</t>
  </si>
  <si>
    <t>FA-A 0003-00000172</t>
  </si>
  <si>
    <t>FA-A 0005-00000032</t>
  </si>
  <si>
    <t>FA-A 0006-00054365</t>
  </si>
  <si>
    <t>TF-A0007-00003292</t>
  </si>
  <si>
    <t>TF-A0008-00012831</t>
  </si>
  <si>
    <t>FA-A 0002-00000816</t>
  </si>
  <si>
    <t>FA-A 0002-00000819</t>
  </si>
  <si>
    <t>FA-C 0003-00000995</t>
  </si>
  <si>
    <t>FA-A 0003-00007702</t>
  </si>
  <si>
    <t>Casa Makarovsky S A C I I F</t>
  </si>
  <si>
    <t>TF-A0004-00000235</t>
  </si>
  <si>
    <t>UBDA S.A</t>
  </si>
  <si>
    <t>TF-A0004-00007727</t>
  </si>
  <si>
    <t>MONSEÑOR Z S.A.</t>
  </si>
  <si>
    <t>FA-A 0002-00000814</t>
  </si>
  <si>
    <t>FA-A 0003-00004276</t>
  </si>
  <si>
    <t>FA-A 0004-00000751</t>
  </si>
  <si>
    <t>FA-A 0011-00012331</t>
  </si>
  <si>
    <t>Comprobante no recibido</t>
  </si>
  <si>
    <t>Comprobantes AFIP no recepcionados</t>
  </si>
  <si>
    <t>IVA Extractos Bancarios</t>
  </si>
  <si>
    <t>Banco Credicoop</t>
  </si>
  <si>
    <t>IVA-ALIC ADIC RG 2408 S/COMIS-REC GASTOS</t>
  </si>
  <si>
    <t>IVA - ALICUOTA INSCRIPTO</t>
  </si>
  <si>
    <t>Banco Patagonia</t>
  </si>
  <si>
    <t>IVA Alicuota General</t>
  </si>
  <si>
    <t>IVA Percepcion</t>
  </si>
  <si>
    <t>TOTAL IVA S/ EXTRACTOS</t>
  </si>
  <si>
    <t>O.S.P.R.E.R.A</t>
  </si>
  <si>
    <t>RSC S.A.</t>
  </si>
  <si>
    <t>UZUMAKI SAS</t>
  </si>
  <si>
    <t xml:space="preserve">VERISURE ARG MONITOREO A SA </t>
  </si>
  <si>
    <t>LIN YUMEI</t>
  </si>
  <si>
    <t>GASTOS ADMIN</t>
  </si>
  <si>
    <t>POTA AMOBAMIENTOS SRL</t>
  </si>
  <si>
    <t>SUCESION DE SALEME CARAM</t>
  </si>
  <si>
    <t>EXPRESO BICENTENARIO SRL</t>
  </si>
  <si>
    <t>LOPEZ MATIAS</t>
  </si>
  <si>
    <t>AUTOPISTAS DE BUENOS AIRES (AUBASA) SA</t>
  </si>
  <si>
    <t>CORREDORES VIALES SA</t>
  </si>
  <si>
    <t>FREDES LUCAS FEDERICO</t>
  </si>
  <si>
    <t>ARMORAUT SA</t>
  </si>
  <si>
    <t>ARABIA FABIANA</t>
  </si>
  <si>
    <t>Mis Comprobantes Emitidos - CUIT 30710473168</t>
  </si>
  <si>
    <t>Tipo Doc. Receptor</t>
  </si>
  <si>
    <t>Nro. Doc. Receptor</t>
  </si>
  <si>
    <t>Denominación Receptor</t>
  </si>
  <si>
    <t>GALENO ARGENTINA SOCIEDAD ANONIMA</t>
  </si>
  <si>
    <t>6 - Factura B</t>
  </si>
  <si>
    <t>DNI</t>
  </si>
  <si>
    <t>8 - Nota de Crédito B</t>
  </si>
  <si>
    <t>201 - Factura de Crédito electrónica MiPyMEs (FCE) A</t>
  </si>
  <si>
    <t>MEJAIL MARIA CRISTINA</t>
  </si>
  <si>
    <t>OBRA SOCIAL DEL SINDICATO DE MECANICOS Y AFINES DEL TRANSPORTE AUTOMOTOR</t>
  </si>
  <si>
    <t>AMPARO SALUD S.R.L.</t>
  </si>
  <si>
    <t>OBRA SOCIAL DE LA ACTIVIDAD DE SEGUROS, REASEGUROS, CAPITALIZACION Y AHORRO Y PRESTAMO  PARA LA VIVI</t>
  </si>
  <si>
    <t>HC HOMECARE INTERNACION DOMICILIARIA S.A.</t>
  </si>
  <si>
    <t>OBRA SOCIAL UNION PERSONAL DE LA UNION DEL PERSONAL CIVIL DE LA NACION</t>
  </si>
  <si>
    <t>OBRA SOCIAL DEL PERSONAL DE LAS TELECOMUNICACIONES DE LA REPUBLICA ARGENTINA</t>
  </si>
  <si>
    <t>MEDICUS SOCIEDAD ANONIMA DE ASISTENCIA MEDICA Y CIENTIFICA</t>
  </si>
  <si>
    <t>OBRA SOCIAL DE LOS TRABAJADORES DE LA INDUSTRIA DEL GAS</t>
  </si>
  <si>
    <t>MGR IMPLANTES S.A.</t>
  </si>
  <si>
    <t>ALIANZE INTERNACION DOMICILIARIA S.R.L.</t>
  </si>
  <si>
    <t>LOCOCO CARMEN CLAUDIA</t>
  </si>
  <si>
    <t>CUTILLO CINTIA YAMILA</t>
  </si>
  <si>
    <t>VILLALBA ROLANDO ANTONIO</t>
  </si>
  <si>
    <t>BENEIT MORA YAZMIN</t>
  </si>
  <si>
    <t>ZUMBO MARIA LAURA</t>
  </si>
  <si>
    <t>RODRIGUEZ LAGARES MARIA SUSANA</t>
  </si>
  <si>
    <t>GONZALEZ DUARTE AURORA</t>
  </si>
  <si>
    <t>LUNA PATRICIA CLAUDIA ELIZABETH</t>
  </si>
  <si>
    <t>SEVARES BRIAN EZEQUIEL</t>
  </si>
  <si>
    <t>CERQUETTI CLAUDIA JULIA</t>
  </si>
  <si>
    <t>GALENO ASEGURADORA DE RIESGOS DEL TRABAJO SOCIEDAD ANONIMA</t>
  </si>
  <si>
    <t>BAUSO ALEJANDRO ADRIAN</t>
  </si>
  <si>
    <t>AGUERO EVANGELISTA DEL VALLE</t>
  </si>
  <si>
    <t>VETERE RICARDO GABRIEL</t>
  </si>
  <si>
    <t>LUQUE RAMIRO TOMAS</t>
  </si>
  <si>
    <t>UTRERA ADRIAN ALBERTO</t>
  </si>
  <si>
    <t>MARQUEZ ARAUJO BRAYAM EDUARDO</t>
  </si>
  <si>
    <t>MESSER ROSA CLAUDIA</t>
  </si>
  <si>
    <t>CUIL</t>
  </si>
  <si>
    <t>CANEPA JUAN CARLOS</t>
  </si>
  <si>
    <t>CANALS LENA</t>
  </si>
  <si>
    <t>OBRA SOCIAL DEL PERSONAL DE LA INDUSTRIA DEL PLASTICO</t>
  </si>
  <si>
    <t>POSE SEBASTIAN LEONARDO</t>
  </si>
  <si>
    <t>JORVATT ROBERT SOFIA</t>
  </si>
  <si>
    <t>CERVIÑO NORBERTO</t>
  </si>
  <si>
    <t>ZANCARINI LUIS JAVIER BERNARDO</t>
  </si>
  <si>
    <t>LOGIN DOOR S.A</t>
  </si>
  <si>
    <t>HERMAN PATRICIA ESTELA</t>
  </si>
  <si>
    <t>MANTILLA SULLON MANUEL JESUS</t>
  </si>
  <si>
    <t>CHAMORRO RUBEN DARIO</t>
  </si>
  <si>
    <t>AVALIAN SALUD Y BIENESTAR COOPERATIVA LIMITADA</t>
  </si>
  <si>
    <t>ITALIA FILOMENA SRL</t>
  </si>
  <si>
    <t>GOWLAND MAXIMO EDUARDO</t>
  </si>
  <si>
    <t>CHIRINO MARIA ANTONIA</t>
  </si>
  <si>
    <t>ALEGRIA MARIA TERESA</t>
  </si>
  <si>
    <t>PICOLEMAR SA</t>
  </si>
  <si>
    <t>BENNARDIS ENRIQUE JESUS</t>
  </si>
  <si>
    <t>TATULLI MARIA ISABEL</t>
  </si>
  <si>
    <t>FERNANDEZ BEATRIZ SUSANA</t>
  </si>
  <si>
    <t>CLIMENT BORZANI ANA GABRIELA</t>
  </si>
  <si>
    <t>GOMEZ MANUEL EMILIANO</t>
  </si>
  <si>
    <t>Totales por Tipo de Comprobante - AFIP</t>
  </si>
  <si>
    <t xml:space="preserve">FAC. "A" - </t>
  </si>
  <si>
    <t>DESPEGAR COM AR SA</t>
  </si>
  <si>
    <t>ORTOPEDIA CASA ESCALADA S.R.L.</t>
  </si>
  <si>
    <t>MIGOYA MORIONDO SOFIA</t>
  </si>
  <si>
    <t>Mis Comprobantes Recibidos - CUIT 30710473168</t>
  </si>
  <si>
    <t>01/11/2024</t>
  </si>
  <si>
    <t>MUSSO LUIS ADRIAN</t>
  </si>
  <si>
    <t>02/11/2024</t>
  </si>
  <si>
    <t>04/11/2024</t>
  </si>
  <si>
    <t>06/11/2024</t>
  </si>
  <si>
    <t>CONTABILIUM S.A.</t>
  </si>
  <si>
    <t>07/11/2024</t>
  </si>
  <si>
    <t>TURSARKISIAN MISISIAN VERONICA GEMA</t>
  </si>
  <si>
    <t>08/11/2024</t>
  </si>
  <si>
    <t>09/11/2024</t>
  </si>
  <si>
    <t>11/11/2024</t>
  </si>
  <si>
    <t>SOUSA ALDERETE ALEJANDRA MABEL</t>
  </si>
  <si>
    <t>12/11/2024</t>
  </si>
  <si>
    <t>RAKE S.A.</t>
  </si>
  <si>
    <t>13/11/2024</t>
  </si>
  <si>
    <t>RIVERO GABRIELA ROCIO</t>
  </si>
  <si>
    <t>14/11/2024</t>
  </si>
  <si>
    <t>REHAVITA S.A.</t>
  </si>
  <si>
    <t>EXPRESO LANCIONI S.A.</t>
  </si>
  <si>
    <t>SS METAL MECANICA S.R.L.</t>
  </si>
  <si>
    <t>RODRIGUEZ PATRICIO SALVADOR</t>
  </si>
  <si>
    <t>15/11/2024</t>
  </si>
  <si>
    <t>16/11/2024</t>
  </si>
  <si>
    <t>BIGBOX S.A.</t>
  </si>
  <si>
    <t>17/11/2024</t>
  </si>
  <si>
    <t>BLAUGRANA EVENTOS S.R.L.</t>
  </si>
  <si>
    <t>18/11/2024</t>
  </si>
  <si>
    <t>19/11/2024</t>
  </si>
  <si>
    <t>IMPORTACIONES BRANDON S.R.L.</t>
  </si>
  <si>
    <t>20/11/2024</t>
  </si>
  <si>
    <t>21/11/2024</t>
  </si>
  <si>
    <t>22/11/2024</t>
  </si>
  <si>
    <t>DISEÑOS JERY S R L</t>
  </si>
  <si>
    <t>23/11/2024</t>
  </si>
  <si>
    <t>25/11/2024</t>
  </si>
  <si>
    <t>SMART IT SOLUTIONS S.R.L</t>
  </si>
  <si>
    <t>26/11/2024</t>
  </si>
  <si>
    <t>BIENESTAR Y SOLUCIONES S.R.L.</t>
  </si>
  <si>
    <t>28/11/2024</t>
  </si>
  <si>
    <t>NOYA BEATRIZ SUSANA</t>
  </si>
  <si>
    <t>29/11/2024</t>
  </si>
  <si>
    <t>ITPROUSER S.A.</t>
  </si>
  <si>
    <t>BUGALLO FACUNDO</t>
  </si>
  <si>
    <t>30/11/2024</t>
  </si>
  <si>
    <t>Comprobantes Ticket FA-A</t>
  </si>
  <si>
    <t>Comprobantes AFIP - Recibidos</t>
  </si>
  <si>
    <t>Comprobantes AFIP - No Recibidos</t>
  </si>
  <si>
    <t>SCHERNETZKI ANSELMO</t>
  </si>
  <si>
    <t>ROMERO LEONARDO ARIEL</t>
  </si>
  <si>
    <t>RAIDEN RICARDO</t>
  </si>
  <si>
    <t>CARABALLO LUIS FERNANDO</t>
  </si>
  <si>
    <t>BELLIA MARIANA CRISTINA</t>
  </si>
  <si>
    <t>MORGAN SANTIAGO</t>
  </si>
  <si>
    <t>ROMERO JUAN CARLOS</t>
  </si>
  <si>
    <t>05/11/2024</t>
  </si>
  <si>
    <t>GASCO LEMOS ERIKA VANESA</t>
  </si>
  <si>
    <t>SALLES ANA MARIA</t>
  </si>
  <si>
    <t>EGESAC SOCIEDAD ANONIM</t>
  </si>
  <si>
    <t>CLINICA BASILEA SA</t>
  </si>
  <si>
    <t>FERNANDEZ DELFINA</t>
  </si>
  <si>
    <t>FERRAZIN CAROLINA ELEONORA INES</t>
  </si>
  <si>
    <t>GALLO GABRIELA VANINA</t>
  </si>
  <si>
    <t>GIGAGLIA MARIA LUCILA</t>
  </si>
  <si>
    <t>MINNICELLI GERMAN MARIO</t>
  </si>
  <si>
    <t>TORRES KARINA ISABEL</t>
  </si>
  <si>
    <t>KARIVALI DESPINA</t>
  </si>
  <si>
    <t>PEDROZO PAULA GABRIELA</t>
  </si>
  <si>
    <t>PINO ANA PAULA</t>
  </si>
  <si>
    <t>MATSUO MARGARITA NOEMI</t>
  </si>
  <si>
    <t>MONTI MARIA PAULA</t>
  </si>
  <si>
    <t>IZZO ADRIANA</t>
  </si>
  <si>
    <t>GODOY ALEJANDRA VALERIA</t>
  </si>
  <si>
    <t>BARUTTA JORGE SEBASTIAN</t>
  </si>
  <si>
    <t>CORTE SUPREMA DE JUSTICIA OBRA SOCIAL DEL PODER JUDICIAL</t>
  </si>
  <si>
    <t>FIDALGO ROBERTO</t>
  </si>
  <si>
    <t>XU LEI</t>
  </si>
  <si>
    <t>BIANCHI TERESA GERMANA</t>
  </si>
  <si>
    <t>LOPEZ GLADYS AZUCENA</t>
  </si>
  <si>
    <t>OLAVARRIA HERMINIA</t>
  </si>
  <si>
    <t>SALVATIERRA LUCIANA</t>
  </si>
  <si>
    <t>ARANA MARCELA OFELIA</t>
  </si>
  <si>
    <t>AGOSTINO MIRIAM GLADYS</t>
  </si>
  <si>
    <t>RICARDO BRAMBILLA VALENTINO BENJAMIN</t>
  </si>
  <si>
    <t>RAMOS MATIAS EZEQUIEL</t>
  </si>
  <si>
    <t>FERNANDEZ MUÑOZ SHEILA ELIZABETH</t>
  </si>
  <si>
    <t>JIMENEZ SUAREZ ANA CECILIA</t>
  </si>
  <si>
    <t>CANOBBIO AIDA LEONOR</t>
  </si>
  <si>
    <t>203 - Nota de Crédito electrónica MiPyMEs (FCE) A</t>
  </si>
  <si>
    <t>24/11/2024</t>
  </si>
  <si>
    <t>ESTABLECIMIENTO METALURGICO G C D S R L</t>
  </si>
  <si>
    <t>CASTIGLIA SEBASTIAN NICOLAS</t>
  </si>
  <si>
    <t>OJEDA JORGE ANTONIO</t>
  </si>
  <si>
    <t>SANCHEZ ALEJANDRA MARIA DEL CARMEN</t>
  </si>
  <si>
    <t>BENAVENTE VILLEGAS MARIA ANGELICA</t>
  </si>
  <si>
    <t>SC PILAR S.A.</t>
  </si>
  <si>
    <t>27/11/2024</t>
  </si>
  <si>
    <t>MARINELLI NELLY ESTHER</t>
  </si>
  <si>
    <t>SUCESION DE MARINI EDUARDO ROSA</t>
  </si>
  <si>
    <t>CORIGLIANO LORENA ELISA</t>
  </si>
  <si>
    <t>OVIEDO ZAYAS MAURO MARTIN</t>
  </si>
  <si>
    <t>DESALVO MIGUEL ANGEL</t>
  </si>
  <si>
    <t>GUTIERREZ CUADROS ROSANA</t>
  </si>
  <si>
    <t>SANCHEZ ANGEL FEDERICO</t>
  </si>
  <si>
    <t>LIM YONG KYU</t>
  </si>
</sst>
</file>

<file path=xl/styles.xml><?xml version="1.0" encoding="utf-8"?>
<styleSheet xmlns="http://schemas.openxmlformats.org/spreadsheetml/2006/main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7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0B050"/>
      <name val="Arial"/>
      <family val="2"/>
    </font>
    <font>
      <sz val="11"/>
      <name val="Calibri"/>
      <family val="2"/>
    </font>
    <font>
      <b/>
      <sz val="9"/>
      <color rgb="FF0070C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7CE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58" fillId="14" borderId="0" applyNumberFormat="0" applyBorder="0" applyAlignment="0" applyProtection="0"/>
    <xf numFmtId="0" fontId="59" fillId="15" borderId="0" applyNumberFormat="0" applyBorder="0" applyAlignment="0" applyProtection="0"/>
    <xf numFmtId="0" fontId="62" fillId="20" borderId="0" applyNumberFormat="0" applyBorder="0" applyAlignment="0" applyProtection="0"/>
  </cellStyleXfs>
  <cellXfs count="350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0" fontId="55" fillId="0" borderId="0" xfId="0" applyFont="1" applyFill="1" applyBorder="1"/>
    <xf numFmtId="2" fontId="55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56" fillId="0" borderId="1" xfId="0" applyNumberFormat="1" applyFont="1" applyBorder="1" applyAlignment="1">
      <alignment horizontal="center"/>
    </xf>
    <xf numFmtId="4" fontId="56" fillId="0" borderId="12" xfId="0" applyNumberFormat="1" applyFont="1" applyBorder="1" applyAlignment="1">
      <alignment horizontal="center"/>
    </xf>
    <xf numFmtId="167" fontId="56" fillId="0" borderId="3" xfId="0" applyNumberFormat="1" applyFont="1" applyBorder="1" applyAlignment="1">
      <alignment horizontal="center"/>
    </xf>
    <xf numFmtId="4" fontId="9" fillId="11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5" fillId="0" borderId="1" xfId="0" applyFont="1" applyBorder="1"/>
    <xf numFmtId="0" fontId="57" fillId="0" borderId="0" xfId="0" applyFont="1"/>
    <xf numFmtId="4" fontId="9" fillId="12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3" borderId="12" xfId="0" applyNumberFormat="1" applyFont="1" applyFill="1" applyBorder="1"/>
    <xf numFmtId="49" fontId="55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5" fillId="0" borderId="0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4" fontId="11" fillId="0" borderId="5" xfId="0" applyNumberFormat="1" applyFont="1" applyBorder="1"/>
    <xf numFmtId="4" fontId="59" fillId="0" borderId="0" xfId="12" applyNumberFormat="1" applyFill="1"/>
    <xf numFmtId="4" fontId="0" fillId="0" borderId="0" xfId="0" applyNumberFormat="1" applyFill="1"/>
    <xf numFmtId="4" fontId="60" fillId="0" borderId="0" xfId="11" applyNumberFormat="1" applyFont="1" applyFill="1"/>
    <xf numFmtId="44" fontId="0" fillId="0" borderId="0" xfId="10" applyFont="1"/>
    <xf numFmtId="4" fontId="0" fillId="0" borderId="20" xfId="0" applyNumberFormat="1" applyBorder="1"/>
    <xf numFmtId="4" fontId="44" fillId="0" borderId="39" xfId="0" applyNumberFormat="1" applyFont="1" applyBorder="1"/>
    <xf numFmtId="4" fontId="44" fillId="0" borderId="40" xfId="0" applyNumberFormat="1" applyFont="1" applyBorder="1"/>
    <xf numFmtId="4" fontId="44" fillId="0" borderId="41" xfId="0" applyNumberFormat="1" applyFont="1" applyBorder="1"/>
    <xf numFmtId="4" fontId="59" fillId="0" borderId="0" xfId="12" applyNumberFormat="1" applyFill="1" applyBorder="1" applyAlignment="1">
      <alignment horizontal="right" vertical="center"/>
    </xf>
    <xf numFmtId="4" fontId="11" fillId="16" borderId="1" xfId="0" applyNumberFormat="1" applyFont="1" applyFill="1" applyBorder="1"/>
    <xf numFmtId="4" fontId="56" fillId="0" borderId="1" xfId="0" applyNumberFormat="1" applyFont="1" applyFill="1" applyBorder="1" applyAlignment="1">
      <alignment horizontal="center"/>
    </xf>
    <xf numFmtId="4" fontId="56" fillId="0" borderId="12" xfId="0" applyNumberFormat="1" applyFont="1" applyFill="1" applyBorder="1" applyAlignment="1">
      <alignment horizontal="center"/>
    </xf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59" fillId="15" borderId="1" xfId="12" applyBorder="1"/>
    <xf numFmtId="1" fontId="0" fillId="17" borderId="1" xfId="0" applyNumberFormat="1" applyFont="1" applyFill="1" applyBorder="1"/>
    <xf numFmtId="0" fontId="11" fillId="0" borderId="1" xfId="0" applyFont="1" applyBorder="1"/>
    <xf numFmtId="0" fontId="55" fillId="0" borderId="1" xfId="0" applyFont="1" applyBorder="1" applyAlignment="1">
      <alignment horizontal="left"/>
    </xf>
    <xf numFmtId="1" fontId="61" fillId="0" borderId="1" xfId="0" applyNumberFormat="1" applyFont="1" applyFill="1" applyBorder="1"/>
    <xf numFmtId="0" fontId="61" fillId="0" borderId="1" xfId="0" applyFont="1" applyFill="1" applyBorder="1"/>
    <xf numFmtId="0" fontId="55" fillId="0" borderId="1" xfId="0" applyFont="1" applyFill="1" applyBorder="1"/>
    <xf numFmtId="2" fontId="55" fillId="0" borderId="1" xfId="0" applyNumberFormat="1" applyFont="1" applyFill="1" applyBorder="1" applyAlignment="1">
      <alignment horizontal="right" vertical="center"/>
    </xf>
    <xf numFmtId="0" fontId="55" fillId="18" borderId="1" xfId="0" applyFont="1" applyFill="1" applyBorder="1"/>
    <xf numFmtId="0" fontId="61" fillId="18" borderId="1" xfId="0" applyFont="1" applyFill="1" applyBorder="1"/>
    <xf numFmtId="49" fontId="55" fillId="18" borderId="1" xfId="0" applyNumberFormat="1" applyFont="1" applyFill="1" applyBorder="1" applyAlignment="1">
      <alignment horizontal="left"/>
    </xf>
    <xf numFmtId="1" fontId="61" fillId="18" borderId="1" xfId="0" applyNumberFormat="1" applyFont="1" applyFill="1" applyBorder="1"/>
    <xf numFmtId="0" fontId="61" fillId="19" borderId="1" xfId="0" applyFont="1" applyFill="1" applyBorder="1"/>
    <xf numFmtId="1" fontId="61" fillId="19" borderId="1" xfId="0" applyNumberFormat="1" applyFont="1" applyFill="1" applyBorder="1"/>
    <xf numFmtId="0" fontId="0" fillId="19" borderId="0" xfId="0" applyFill="1"/>
    <xf numFmtId="0" fontId="61" fillId="19" borderId="0" xfId="0" applyFont="1" applyFill="1"/>
    <xf numFmtId="2" fontId="61" fillId="19" borderId="1" xfId="0" applyNumberFormat="1" applyFont="1" applyFill="1" applyBorder="1"/>
    <xf numFmtId="0" fontId="55" fillId="18" borderId="1" xfId="0" applyFont="1" applyFill="1" applyBorder="1" applyAlignment="1">
      <alignment horizontal="left"/>
    </xf>
    <xf numFmtId="2" fontId="55" fillId="18" borderId="1" xfId="0" applyNumberFormat="1" applyFont="1" applyFill="1" applyBorder="1" applyAlignment="1">
      <alignment horizontal="right" vertical="center"/>
    </xf>
    <xf numFmtId="2" fontId="61" fillId="18" borderId="1" xfId="0" applyNumberFormat="1" applyFont="1" applyFill="1" applyBorder="1"/>
    <xf numFmtId="0" fontId="55" fillId="18" borderId="0" xfId="0" applyFont="1" applyFill="1"/>
    <xf numFmtId="0" fontId="61" fillId="18" borderId="0" xfId="0" applyFont="1" applyFill="1"/>
    <xf numFmtId="0" fontId="0" fillId="19" borderId="1" xfId="0" applyFont="1" applyFill="1" applyBorder="1"/>
    <xf numFmtId="1" fontId="0" fillId="19" borderId="1" xfId="0" applyNumberFormat="1" applyFont="1" applyFill="1" applyBorder="1"/>
    <xf numFmtId="2" fontId="0" fillId="19" borderId="1" xfId="0" applyNumberFormat="1" applyFont="1" applyFill="1" applyBorder="1"/>
    <xf numFmtId="0" fontId="26" fillId="16" borderId="1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0" fontId="66" fillId="21" borderId="1" xfId="0" applyFont="1" applyFill="1" applyBorder="1"/>
    <xf numFmtId="0" fontId="66" fillId="21" borderId="1" xfId="0" applyFont="1" applyFill="1" applyBorder="1" applyAlignment="1">
      <alignment horizontal="center"/>
    </xf>
    <xf numFmtId="0" fontId="67" fillId="0" borderId="1" xfId="0" applyFont="1" applyBorder="1"/>
    <xf numFmtId="4" fontId="66" fillId="21" borderId="1" xfId="0" applyNumberFormat="1" applyFont="1" applyFill="1" applyBorder="1" applyAlignment="1">
      <alignment horizontal="right" vertical="center"/>
    </xf>
    <xf numFmtId="4" fontId="55" fillId="0" borderId="1" xfId="0" applyNumberFormat="1" applyFont="1" applyBorder="1" applyAlignment="1">
      <alignment horizontal="right" vertical="center"/>
    </xf>
    <xf numFmtId="0" fontId="0" fillId="0" borderId="0" xfId="0" applyFont="1" applyFill="1" applyBorder="1"/>
    <xf numFmtId="0" fontId="59" fillId="15" borderId="42" xfId="12" applyBorder="1"/>
    <xf numFmtId="0" fontId="0" fillId="0" borderId="42" xfId="0" applyFont="1" applyFill="1" applyBorder="1"/>
    <xf numFmtId="1" fontId="0" fillId="0" borderId="42" xfId="0" applyNumberFormat="1" applyFont="1" applyFill="1" applyBorder="1"/>
    <xf numFmtId="4" fontId="0" fillId="0" borderId="42" xfId="0" applyNumberFormat="1" applyFont="1" applyFill="1" applyBorder="1"/>
    <xf numFmtId="0" fontId="68" fillId="0" borderId="42" xfId="0" applyFont="1" applyFill="1" applyBorder="1"/>
    <xf numFmtId="4" fontId="64" fillId="15" borderId="42" xfId="12" applyNumberFormat="1" applyFont="1" applyBorder="1"/>
    <xf numFmtId="4" fontId="0" fillId="12" borderId="42" xfId="0" applyNumberFormat="1" applyFont="1" applyFill="1" applyBorder="1"/>
    <xf numFmtId="4" fontId="26" fillId="11" borderId="42" xfId="0" applyNumberFormat="1" applyFont="1" applyFill="1" applyBorder="1"/>
    <xf numFmtId="0" fontId="64" fillId="15" borderId="42" xfId="12" applyFont="1" applyBorder="1"/>
    <xf numFmtId="4" fontId="0" fillId="22" borderId="42" xfId="0" applyNumberFormat="1" applyFont="1" applyFill="1" applyBorder="1"/>
    <xf numFmtId="2" fontId="0" fillId="0" borderId="42" xfId="0" applyNumberFormat="1" applyFont="1" applyFill="1" applyBorder="1"/>
    <xf numFmtId="2" fontId="0" fillId="22" borderId="42" xfId="0" applyNumberFormat="1" applyFont="1" applyFill="1" applyBorder="1"/>
    <xf numFmtId="0" fontId="0" fillId="22" borderId="42" xfId="0" applyFont="1" applyFill="1" applyBorder="1"/>
    <xf numFmtId="1" fontId="0" fillId="22" borderId="42" xfId="0" applyNumberFormat="1" applyFont="1" applyFill="1" applyBorder="1"/>
    <xf numFmtId="4" fontId="64" fillId="15" borderId="6" xfId="12" applyNumberFormat="1" applyFont="1" applyBorder="1"/>
    <xf numFmtId="0" fontId="69" fillId="0" borderId="1" xfId="0" applyFont="1" applyBorder="1"/>
    <xf numFmtId="0" fontId="0" fillId="0" borderId="42" xfId="0" applyFont="1" applyFill="1" applyBorder="1"/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56" fillId="0" borderId="1" xfId="0" applyFont="1" applyBorder="1" applyAlignment="1">
      <alignment horizontal="center" vertic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65" fillId="21" borderId="1" xfId="0" applyFont="1" applyFill="1" applyBorder="1" applyAlignment="1">
      <alignment horizontal="center"/>
    </xf>
    <xf numFmtId="0" fontId="0" fillId="0" borderId="42" xfId="0" applyFont="1" applyFill="1" applyBorder="1" applyAlignment="1">
      <alignment horizontal="center"/>
    </xf>
    <xf numFmtId="0" fontId="0" fillId="0" borderId="42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63" fillId="20" borderId="1" xfId="13" applyFont="1" applyBorder="1" applyAlignment="1">
      <alignment horizontal="center"/>
    </xf>
    <xf numFmtId="0" fontId="62" fillId="20" borderId="1" xfId="13" applyBorder="1" applyAlignment="1">
      <alignment horizontal="center"/>
    </xf>
    <xf numFmtId="0" fontId="0" fillId="23" borderId="42" xfId="0" applyFont="1" applyFill="1" applyBorder="1"/>
    <xf numFmtId="1" fontId="0" fillId="23" borderId="42" xfId="0" applyNumberFormat="1" applyFont="1" applyFill="1" applyBorder="1"/>
    <xf numFmtId="2" fontId="0" fillId="0" borderId="0" xfId="0" applyNumberFormat="1" applyFont="1" applyFill="1" applyBorder="1"/>
  </cellXfs>
  <cellStyles count="14">
    <cellStyle name="Buena" xfId="12" builtinId="26"/>
    <cellStyle name="Error" xfId="1"/>
    <cellStyle name="Error 2" xfId="2"/>
    <cellStyle name="Incorrecto" xfId="13" builtinId="27"/>
    <cellStyle name="Millares" xfId="3" builtinId="3"/>
    <cellStyle name="Moneda" xfId="10" builtinId="4"/>
    <cellStyle name="Neutral" xfId="11" builtinId="28"/>
    <cellStyle name="No completar" xfId="4"/>
    <cellStyle name="No completar 2" xfId="5"/>
    <cellStyle name="Normal" xfId="0" builtinId="0"/>
    <cellStyle name="Normal 2" xfId="6"/>
    <cellStyle name="Normal 3" xfId="7"/>
    <cellStyle name="Normal 3_Compras-Ventas 2011_Compras y Ventas 2014" xfId="8"/>
    <cellStyle name="Normal 3_Compras-Ventas 2011_Compras y Ventas 2014_Compras-Ventas 2018" xfId="9"/>
  </cellStyles>
  <dxfs count="59"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colors>
    <mruColors>
      <color rgb="FF00FF00"/>
      <color rgb="FF99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7"/>
  <sheetViews>
    <sheetView topLeftCell="A549" zoomScale="150" zoomScaleNormal="150" workbookViewId="0">
      <selection activeCell="D568" sqref="D568"/>
    </sheetView>
  </sheetViews>
  <sheetFormatPr baseColWidth="10" defaultRowHeight="15"/>
  <cols>
    <col min="1" max="1" width="14" style="35" customWidth="1"/>
    <col min="2" max="2" width="34.42578125" customWidth="1"/>
    <col min="3" max="3" width="18.28515625" customWidth="1"/>
    <col min="6" max="6" width="14" style="97" bestFit="1" customWidth="1"/>
    <col min="7" max="7" width="11.42578125" style="97"/>
  </cols>
  <sheetData>
    <row r="1" spans="1:7">
      <c r="F1" s="98" t="s">
        <v>7</v>
      </c>
      <c r="G1" s="97" t="s">
        <v>34</v>
      </c>
    </row>
    <row r="2" spans="1:7" ht="15.75" thickBot="1">
      <c r="F2" s="98" t="s">
        <v>19</v>
      </c>
      <c r="G2" s="97" t="s">
        <v>32</v>
      </c>
    </row>
    <row r="3" spans="1:7" s="7" customFormat="1" ht="15.75" thickBot="1">
      <c r="A3" s="82" t="s">
        <v>7</v>
      </c>
      <c r="B3" s="96" t="s">
        <v>19</v>
      </c>
      <c r="C3" s="75" t="s">
        <v>2</v>
      </c>
      <c r="F3" s="98" t="s">
        <v>2</v>
      </c>
      <c r="G3" s="97" t="s">
        <v>33</v>
      </c>
    </row>
    <row r="4" spans="1:7">
      <c r="A4" s="83">
        <v>30628205090</v>
      </c>
      <c r="B4" s="76" t="s">
        <v>144</v>
      </c>
      <c r="C4" s="77" t="s">
        <v>80</v>
      </c>
    </row>
    <row r="5" spans="1:7">
      <c r="A5" s="232">
        <v>30711678820</v>
      </c>
      <c r="B5" s="78" t="s">
        <v>383</v>
      </c>
      <c r="C5" s="79" t="s">
        <v>41</v>
      </c>
    </row>
    <row r="6" spans="1:7">
      <c r="A6" s="203">
        <v>33716367539</v>
      </c>
      <c r="B6" s="76" t="s">
        <v>344</v>
      </c>
      <c r="C6" s="79" t="s">
        <v>41</v>
      </c>
    </row>
    <row r="7" spans="1:7">
      <c r="A7" s="83">
        <v>30660373108</v>
      </c>
      <c r="B7" s="76" t="s">
        <v>304</v>
      </c>
      <c r="C7" s="79" t="s">
        <v>54</v>
      </c>
    </row>
    <row r="8" spans="1:7">
      <c r="A8" s="83">
        <v>20300210881</v>
      </c>
      <c r="B8" s="76" t="s">
        <v>353</v>
      </c>
      <c r="C8" s="79" t="s">
        <v>41</v>
      </c>
    </row>
    <row r="9" spans="1:7">
      <c r="A9" s="83">
        <v>27229910782</v>
      </c>
      <c r="B9" s="76" t="s">
        <v>557</v>
      </c>
      <c r="C9" s="79" t="s">
        <v>41</v>
      </c>
    </row>
    <row r="10" spans="1:7">
      <c r="A10" s="83">
        <v>20242709897</v>
      </c>
      <c r="B10" s="76" t="s">
        <v>561</v>
      </c>
      <c r="C10" s="79" t="s">
        <v>41</v>
      </c>
    </row>
    <row r="11" spans="1:7">
      <c r="A11" s="83">
        <v>20281669053</v>
      </c>
      <c r="B11" s="76" t="s">
        <v>194</v>
      </c>
      <c r="C11" s="79" t="s">
        <v>36</v>
      </c>
    </row>
    <row r="12" spans="1:7">
      <c r="A12" s="83">
        <v>20174240125</v>
      </c>
      <c r="B12" s="76" t="s">
        <v>214</v>
      </c>
      <c r="C12" s="79" t="s">
        <v>54</v>
      </c>
    </row>
    <row r="13" spans="1:7">
      <c r="A13" s="83">
        <v>30641659106</v>
      </c>
      <c r="B13" s="76" t="s">
        <v>310</v>
      </c>
      <c r="C13" s="79" t="s">
        <v>54</v>
      </c>
    </row>
    <row r="14" spans="1:7">
      <c r="A14" s="83">
        <v>33709914109</v>
      </c>
      <c r="B14" s="76" t="s">
        <v>320</v>
      </c>
      <c r="C14" s="79" t="s">
        <v>54</v>
      </c>
    </row>
    <row r="15" spans="1:7">
      <c r="A15" s="203">
        <v>20267161616</v>
      </c>
      <c r="B15" s="76" t="s">
        <v>420</v>
      </c>
      <c r="C15" s="79" t="s">
        <v>54</v>
      </c>
    </row>
    <row r="16" spans="1:7">
      <c r="A16" s="91">
        <v>20110352108</v>
      </c>
      <c r="B16" s="76" t="s">
        <v>575</v>
      </c>
      <c r="C16" s="79" t="s">
        <v>124</v>
      </c>
    </row>
    <row r="17" spans="1:4">
      <c r="A17" s="84">
        <v>30645337979</v>
      </c>
      <c r="B17" s="80" t="s">
        <v>164</v>
      </c>
      <c r="C17" s="79" t="s">
        <v>80</v>
      </c>
    </row>
    <row r="18" spans="1:4">
      <c r="A18" s="83">
        <v>30656038752</v>
      </c>
      <c r="B18" s="76" t="s">
        <v>244</v>
      </c>
      <c r="C18" s="79" t="s">
        <v>43</v>
      </c>
    </row>
    <row r="19" spans="1:4">
      <c r="A19" s="83">
        <v>30707014756</v>
      </c>
      <c r="B19" s="76" t="s">
        <v>482</v>
      </c>
      <c r="C19" s="79" t="s">
        <v>54</v>
      </c>
    </row>
    <row r="20" spans="1:4">
      <c r="A20" s="85">
        <v>30716375176</v>
      </c>
      <c r="B20" s="76" t="s">
        <v>57</v>
      </c>
      <c r="C20" s="79" t="s">
        <v>41</v>
      </c>
    </row>
    <row r="21" spans="1:4">
      <c r="A21" s="203">
        <v>30710406037</v>
      </c>
      <c r="B21" s="76" t="s">
        <v>457</v>
      </c>
      <c r="C21" s="79" t="s">
        <v>41</v>
      </c>
      <c r="D21" s="99"/>
    </row>
    <row r="22" spans="1:4">
      <c r="A22" s="203">
        <v>30715678310</v>
      </c>
      <c r="B22" s="76" t="s">
        <v>234</v>
      </c>
      <c r="C22" s="79" t="s">
        <v>54</v>
      </c>
      <c r="D22" s="99"/>
    </row>
    <row r="23" spans="1:4">
      <c r="A23" s="91">
        <v>27265533006</v>
      </c>
      <c r="B23" s="76" t="s">
        <v>516</v>
      </c>
      <c r="C23" s="79" t="s">
        <v>41</v>
      </c>
    </row>
    <row r="24" spans="1:4">
      <c r="A24" s="83">
        <v>27133963524</v>
      </c>
      <c r="B24" s="76" t="s">
        <v>398</v>
      </c>
      <c r="C24" s="79" t="s">
        <v>41</v>
      </c>
    </row>
    <row r="25" spans="1:4">
      <c r="A25" s="85">
        <v>27101205733</v>
      </c>
      <c r="B25" s="80" t="s">
        <v>133</v>
      </c>
      <c r="C25" s="79" t="s">
        <v>41</v>
      </c>
    </row>
    <row r="26" spans="1:4">
      <c r="A26" s="85">
        <v>30574816870</v>
      </c>
      <c r="B26" s="76" t="s">
        <v>191</v>
      </c>
      <c r="C26" s="79" t="s">
        <v>192</v>
      </c>
    </row>
    <row r="27" spans="1:4">
      <c r="A27" s="83">
        <v>30710986416</v>
      </c>
      <c r="B27" s="76" t="s">
        <v>270</v>
      </c>
      <c r="C27" s="79" t="s">
        <v>43</v>
      </c>
    </row>
    <row r="28" spans="1:4">
      <c r="A28" s="83">
        <v>30683702060</v>
      </c>
      <c r="B28" s="76" t="s">
        <v>485</v>
      </c>
      <c r="C28" s="79" t="s">
        <v>41</v>
      </c>
    </row>
    <row r="29" spans="1:4">
      <c r="A29" s="83">
        <v>27252316057</v>
      </c>
      <c r="B29" s="76" t="s">
        <v>519</v>
      </c>
      <c r="C29" s="79" t="s">
        <v>38</v>
      </c>
    </row>
    <row r="30" spans="1:4">
      <c r="A30" s="83">
        <v>30711492409</v>
      </c>
      <c r="B30" s="76" t="s">
        <v>407</v>
      </c>
      <c r="C30" s="79" t="s">
        <v>41</v>
      </c>
    </row>
    <row r="31" spans="1:4">
      <c r="A31" s="83">
        <v>30600907553</v>
      </c>
      <c r="B31" s="76" t="s">
        <v>207</v>
      </c>
      <c r="C31" s="79" t="s">
        <v>54</v>
      </c>
    </row>
    <row r="32" spans="1:4">
      <c r="A32" s="203">
        <v>30715290835</v>
      </c>
      <c r="B32" s="78" t="s">
        <v>419</v>
      </c>
      <c r="C32" s="79" t="s">
        <v>54</v>
      </c>
    </row>
    <row r="33" spans="1:7">
      <c r="A33" s="83">
        <v>30708973501</v>
      </c>
      <c r="B33" s="78" t="s">
        <v>63</v>
      </c>
      <c r="C33" s="79" t="s">
        <v>43</v>
      </c>
    </row>
    <row r="34" spans="1:7">
      <c r="A34" s="84">
        <v>30590354798</v>
      </c>
      <c r="B34" s="80" t="s">
        <v>81</v>
      </c>
      <c r="C34" s="79" t="s">
        <v>80</v>
      </c>
    </row>
    <row r="35" spans="1:7">
      <c r="A35" s="38">
        <v>30690973517</v>
      </c>
      <c r="B35" s="78" t="s">
        <v>349</v>
      </c>
      <c r="C35" s="79" t="s">
        <v>80</v>
      </c>
    </row>
    <row r="36" spans="1:7">
      <c r="A36" s="83">
        <v>30714416622</v>
      </c>
      <c r="B36" s="78" t="s">
        <v>254</v>
      </c>
      <c r="C36" s="79" t="s">
        <v>54</v>
      </c>
    </row>
    <row r="37" spans="1:7">
      <c r="A37" s="83">
        <v>30708436506</v>
      </c>
      <c r="B37" s="78" t="s">
        <v>282</v>
      </c>
      <c r="C37" s="79" t="s">
        <v>80</v>
      </c>
    </row>
    <row r="38" spans="1:7">
      <c r="A38" s="237">
        <v>30677237119</v>
      </c>
      <c r="B38" s="238" t="s">
        <v>429</v>
      </c>
      <c r="C38" s="239" t="s">
        <v>371</v>
      </c>
    </row>
    <row r="39" spans="1:7">
      <c r="A39" s="203">
        <v>30574876474</v>
      </c>
      <c r="B39" s="78" t="s">
        <v>370</v>
      </c>
      <c r="C39" s="79" t="s">
        <v>371</v>
      </c>
    </row>
    <row r="40" spans="1:7">
      <c r="A40" s="83">
        <v>20379223185</v>
      </c>
      <c r="B40" s="78" t="s">
        <v>406</v>
      </c>
      <c r="C40" s="79" t="s">
        <v>41</v>
      </c>
    </row>
    <row r="41" spans="1:7">
      <c r="A41" s="83">
        <v>33714662819</v>
      </c>
      <c r="B41" s="78" t="s">
        <v>47</v>
      </c>
      <c r="C41" s="79" t="s">
        <v>41</v>
      </c>
    </row>
    <row r="42" spans="1:7">
      <c r="A42" s="85">
        <v>33716314869</v>
      </c>
      <c r="B42" s="78" t="s">
        <v>58</v>
      </c>
      <c r="C42" s="79" t="s">
        <v>41</v>
      </c>
    </row>
    <row r="43" spans="1:7">
      <c r="A43" s="83">
        <v>30715923374</v>
      </c>
      <c r="B43" s="78" t="s">
        <v>220</v>
      </c>
      <c r="C43" s="79" t="s">
        <v>41</v>
      </c>
    </row>
    <row r="44" spans="1:7">
      <c r="A44" s="83">
        <v>33714642079</v>
      </c>
      <c r="B44" s="76" t="s">
        <v>210</v>
      </c>
      <c r="C44" s="81" t="s">
        <v>54</v>
      </c>
    </row>
    <row r="45" spans="1:7">
      <c r="A45" s="83">
        <v>33711430879</v>
      </c>
      <c r="B45" s="76" t="s">
        <v>277</v>
      </c>
      <c r="C45" s="81" t="s">
        <v>41</v>
      </c>
    </row>
    <row r="46" spans="1:7">
      <c r="A46" s="83">
        <v>33716391049</v>
      </c>
      <c r="B46" s="76" t="s">
        <v>281</v>
      </c>
      <c r="C46" s="81" t="s">
        <v>54</v>
      </c>
    </row>
    <row r="47" spans="1:7">
      <c r="A47" s="83">
        <v>30707267077</v>
      </c>
      <c r="B47" s="76" t="s">
        <v>405</v>
      </c>
      <c r="C47" s="81" t="s">
        <v>41</v>
      </c>
      <c r="F47"/>
      <c r="G47"/>
    </row>
    <row r="48" spans="1:7">
      <c r="A48" s="83">
        <v>20109274268</v>
      </c>
      <c r="B48" s="76" t="s">
        <v>267</v>
      </c>
      <c r="C48" s="81" t="s">
        <v>36</v>
      </c>
      <c r="F48"/>
      <c r="G48"/>
    </row>
    <row r="49" spans="1:7">
      <c r="A49" s="83">
        <v>20172955763</v>
      </c>
      <c r="B49" s="76" t="s">
        <v>412</v>
      </c>
      <c r="C49" s="81" t="s">
        <v>41</v>
      </c>
      <c r="F49"/>
      <c r="G49"/>
    </row>
    <row r="50" spans="1:7">
      <c r="A50" s="83">
        <v>20119743959</v>
      </c>
      <c r="B50" s="76" t="s">
        <v>335</v>
      </c>
      <c r="C50" s="81" t="s">
        <v>41</v>
      </c>
      <c r="F50"/>
      <c r="G50"/>
    </row>
    <row r="51" spans="1:7">
      <c r="A51" s="83">
        <v>30711091552</v>
      </c>
      <c r="B51" s="76" t="s">
        <v>242</v>
      </c>
      <c r="C51" s="81" t="s">
        <v>54</v>
      </c>
      <c r="F51"/>
      <c r="G51"/>
    </row>
    <row r="52" spans="1:7">
      <c r="A52" s="84">
        <v>30715833243</v>
      </c>
      <c r="B52" s="76" t="s">
        <v>152</v>
      </c>
      <c r="C52" s="81" t="s">
        <v>41</v>
      </c>
      <c r="F52"/>
      <c r="G52"/>
    </row>
    <row r="53" spans="1:7">
      <c r="A53" s="85">
        <v>30712230459</v>
      </c>
      <c r="B53" s="76" t="s">
        <v>60</v>
      </c>
      <c r="C53" s="81" t="s">
        <v>41</v>
      </c>
      <c r="F53"/>
      <c r="G53"/>
    </row>
    <row r="54" spans="1:7">
      <c r="A54" s="83">
        <v>27265832178</v>
      </c>
      <c r="B54" s="76" t="s">
        <v>478</v>
      </c>
      <c r="C54" s="81" t="s">
        <v>41</v>
      </c>
      <c r="F54"/>
      <c r="G54"/>
    </row>
    <row r="55" spans="1:7">
      <c r="A55" s="83">
        <v>20043137817</v>
      </c>
      <c r="B55" s="76" t="s">
        <v>532</v>
      </c>
      <c r="C55" s="81" t="s">
        <v>54</v>
      </c>
      <c r="F55"/>
      <c r="G55"/>
    </row>
    <row r="56" spans="1:7">
      <c r="A56" s="83">
        <v>20400104094</v>
      </c>
      <c r="B56" s="76" t="s">
        <v>233</v>
      </c>
      <c r="C56" s="81" t="s">
        <v>38</v>
      </c>
      <c r="F56"/>
      <c r="G56"/>
    </row>
    <row r="57" spans="1:7">
      <c r="A57" s="84">
        <v>20086277523</v>
      </c>
      <c r="B57" s="76" t="s">
        <v>37</v>
      </c>
      <c r="C57" s="81" t="s">
        <v>38</v>
      </c>
      <c r="F57"/>
      <c r="G57"/>
    </row>
    <row r="58" spans="1:7">
      <c r="A58" s="83">
        <v>20389908569</v>
      </c>
      <c r="B58" s="76" t="s">
        <v>278</v>
      </c>
      <c r="C58" s="81" t="s">
        <v>38</v>
      </c>
      <c r="F58"/>
      <c r="G58"/>
    </row>
    <row r="59" spans="1:7">
      <c r="A59" s="91">
        <v>33714174539</v>
      </c>
      <c r="B59" s="76" t="s">
        <v>363</v>
      </c>
      <c r="C59" s="81" t="s">
        <v>41</v>
      </c>
      <c r="F59"/>
      <c r="G59"/>
    </row>
    <row r="60" spans="1:7">
      <c r="A60" s="91">
        <v>20291406212</v>
      </c>
      <c r="B60" s="76" t="s">
        <v>400</v>
      </c>
      <c r="C60" s="81" t="s">
        <v>41</v>
      </c>
      <c r="F60"/>
      <c r="G60"/>
    </row>
    <row r="61" spans="1:7">
      <c r="A61" s="91">
        <v>30716371812</v>
      </c>
      <c r="B61" s="76" t="s">
        <v>546</v>
      </c>
      <c r="C61" s="81" t="s">
        <v>41</v>
      </c>
      <c r="F61"/>
      <c r="G61"/>
    </row>
    <row r="62" spans="1:7">
      <c r="A62" s="83">
        <v>27211511023</v>
      </c>
      <c r="B62" s="76" t="s">
        <v>259</v>
      </c>
      <c r="C62" s="81" t="s">
        <v>41</v>
      </c>
      <c r="F62"/>
      <c r="G62"/>
    </row>
    <row r="63" spans="1:7">
      <c r="A63" s="83">
        <v>30714295957</v>
      </c>
      <c r="B63" s="76" t="s">
        <v>436</v>
      </c>
      <c r="C63" s="81" t="s">
        <v>54</v>
      </c>
      <c r="F63"/>
      <c r="G63"/>
    </row>
    <row r="64" spans="1:7">
      <c r="A64" s="83">
        <v>27289847141</v>
      </c>
      <c r="B64" s="76" t="s">
        <v>287</v>
      </c>
      <c r="C64" s="81" t="s">
        <v>54</v>
      </c>
    </row>
    <row r="65" spans="1:3">
      <c r="A65" s="83">
        <v>23255855204</v>
      </c>
      <c r="B65" s="76" t="s">
        <v>506</v>
      </c>
      <c r="C65" s="81" t="s">
        <v>36</v>
      </c>
    </row>
    <row r="66" spans="1:3">
      <c r="A66" s="237">
        <v>27338342840</v>
      </c>
      <c r="B66" s="227" t="s">
        <v>432</v>
      </c>
      <c r="C66" s="228" t="s">
        <v>41</v>
      </c>
    </row>
    <row r="67" spans="1:3">
      <c r="A67" s="83">
        <v>30709876135</v>
      </c>
      <c r="B67" s="76" t="s">
        <v>150</v>
      </c>
      <c r="C67" s="81" t="s">
        <v>41</v>
      </c>
    </row>
    <row r="68" spans="1:3">
      <c r="A68" s="83">
        <v>30571666037</v>
      </c>
      <c r="B68" s="76" t="s">
        <v>578</v>
      </c>
      <c r="C68" s="81" t="s">
        <v>54</v>
      </c>
    </row>
    <row r="69" spans="1:3">
      <c r="A69" s="83">
        <v>27364044319</v>
      </c>
      <c r="B69" s="76" t="s">
        <v>154</v>
      </c>
      <c r="C69" s="81" t="s">
        <v>41</v>
      </c>
    </row>
    <row r="70" spans="1:3">
      <c r="A70" s="83">
        <v>30715116274</v>
      </c>
      <c r="B70" s="80" t="s">
        <v>136</v>
      </c>
      <c r="C70" s="81" t="s">
        <v>41</v>
      </c>
    </row>
    <row r="71" spans="1:3">
      <c r="A71" s="83">
        <v>27326703384</v>
      </c>
      <c r="B71" s="76" t="s">
        <v>504</v>
      </c>
      <c r="C71" s="81" t="s">
        <v>124</v>
      </c>
    </row>
    <row r="72" spans="1:3">
      <c r="A72" s="83">
        <v>20129871947</v>
      </c>
      <c r="B72" s="76" t="s">
        <v>211</v>
      </c>
      <c r="C72" s="81" t="s">
        <v>41</v>
      </c>
    </row>
    <row r="73" spans="1:3">
      <c r="A73" s="90">
        <v>30648604021</v>
      </c>
      <c r="B73" s="76" t="s">
        <v>492</v>
      </c>
      <c r="C73" s="81" t="s">
        <v>41</v>
      </c>
    </row>
    <row r="74" spans="1:3">
      <c r="A74" s="90">
        <v>20372769808</v>
      </c>
      <c r="B74" s="76" t="s">
        <v>433</v>
      </c>
      <c r="C74" s="81" t="s">
        <v>54</v>
      </c>
    </row>
    <row r="75" spans="1:3">
      <c r="A75" s="91">
        <v>30575818826</v>
      </c>
      <c r="B75" s="76" t="s">
        <v>272</v>
      </c>
      <c r="C75" s="81" t="s">
        <v>54</v>
      </c>
    </row>
    <row r="76" spans="1:3">
      <c r="A76" s="91">
        <v>30575945232</v>
      </c>
      <c r="B76" s="76" t="s">
        <v>209</v>
      </c>
      <c r="C76" s="81" t="s">
        <v>54</v>
      </c>
    </row>
    <row r="77" spans="1:3">
      <c r="A77" s="233">
        <v>33712276539</v>
      </c>
      <c r="B77" s="76" t="s">
        <v>352</v>
      </c>
      <c r="C77" s="81" t="s">
        <v>54</v>
      </c>
    </row>
    <row r="78" spans="1:3">
      <c r="A78" s="91">
        <v>30716174766</v>
      </c>
      <c r="B78" s="76" t="s">
        <v>339</v>
      </c>
      <c r="C78" s="81" t="s">
        <v>41</v>
      </c>
    </row>
    <row r="79" spans="1:3">
      <c r="A79" s="91">
        <v>33715179119</v>
      </c>
      <c r="B79" s="76" t="s">
        <v>358</v>
      </c>
      <c r="C79" s="81" t="s">
        <v>54</v>
      </c>
    </row>
    <row r="80" spans="1:3">
      <c r="A80" s="233">
        <v>30590360763</v>
      </c>
      <c r="B80" s="76" t="s">
        <v>351</v>
      </c>
      <c r="C80" s="81" t="s">
        <v>54</v>
      </c>
    </row>
    <row r="81" spans="1:3">
      <c r="A81" s="91">
        <v>30707612971</v>
      </c>
      <c r="B81" s="76" t="s">
        <v>75</v>
      </c>
      <c r="C81" s="81" t="s">
        <v>80</v>
      </c>
    </row>
    <row r="82" spans="1:3">
      <c r="A82" s="91">
        <v>30714758116</v>
      </c>
      <c r="B82" s="76" t="s">
        <v>558</v>
      </c>
      <c r="C82" s="81" t="s">
        <v>41</v>
      </c>
    </row>
    <row r="83" spans="1:3">
      <c r="A83" s="91">
        <v>27318630157</v>
      </c>
      <c r="B83" s="76" t="s">
        <v>593</v>
      </c>
      <c r="C83" s="81" t="s">
        <v>54</v>
      </c>
    </row>
    <row r="84" spans="1:3">
      <c r="A84" s="234">
        <v>30707535934</v>
      </c>
      <c r="B84" s="76" t="s">
        <v>303</v>
      </c>
      <c r="C84" s="81" t="s">
        <v>54</v>
      </c>
    </row>
    <row r="85" spans="1:3">
      <c r="A85" s="91">
        <v>30696692951</v>
      </c>
      <c r="B85" s="76" t="s">
        <v>574</v>
      </c>
      <c r="C85" s="81" t="s">
        <v>54</v>
      </c>
    </row>
    <row r="86" spans="1:3">
      <c r="A86" s="233">
        <v>30594832783</v>
      </c>
      <c r="B86" s="76" t="s">
        <v>389</v>
      </c>
      <c r="C86" s="81" t="s">
        <v>54</v>
      </c>
    </row>
    <row r="87" spans="1:3">
      <c r="A87" s="91">
        <v>30707986189</v>
      </c>
      <c r="B87" s="80" t="s">
        <v>228</v>
      </c>
      <c r="C87" s="81" t="s">
        <v>41</v>
      </c>
    </row>
    <row r="88" spans="1:3">
      <c r="A88" s="92">
        <v>23334822869</v>
      </c>
      <c r="B88" s="76" t="s">
        <v>480</v>
      </c>
      <c r="C88" s="81" t="s">
        <v>54</v>
      </c>
    </row>
    <row r="89" spans="1:3">
      <c r="A89" s="203">
        <v>23258785479</v>
      </c>
      <c r="B89" s="76" t="s">
        <v>456</v>
      </c>
      <c r="C89" s="81" t="s">
        <v>54</v>
      </c>
    </row>
    <row r="90" spans="1:3">
      <c r="A90" s="83">
        <v>20274215632</v>
      </c>
      <c r="B90" s="76" t="s">
        <v>584</v>
      </c>
      <c r="C90" s="81" t="s">
        <v>54</v>
      </c>
    </row>
    <row r="91" spans="1:3">
      <c r="A91" s="83">
        <v>30688140923</v>
      </c>
      <c r="B91" s="76" t="s">
        <v>196</v>
      </c>
      <c r="C91" s="81" t="s">
        <v>41</v>
      </c>
    </row>
    <row r="92" spans="1:3">
      <c r="A92" s="203">
        <v>30708736186</v>
      </c>
      <c r="B92" s="76" t="s">
        <v>594</v>
      </c>
      <c r="C92" s="81" t="s">
        <v>54</v>
      </c>
    </row>
    <row r="93" spans="1:3">
      <c r="A93" s="83">
        <v>23359537069</v>
      </c>
      <c r="B93" s="76" t="s">
        <v>509</v>
      </c>
      <c r="C93" s="81" t="s">
        <v>41</v>
      </c>
    </row>
    <row r="94" spans="1:3">
      <c r="A94" s="91">
        <v>33710268059</v>
      </c>
      <c r="B94" s="76" t="s">
        <v>213</v>
      </c>
      <c r="C94" s="81" t="s">
        <v>43</v>
      </c>
    </row>
    <row r="95" spans="1:3">
      <c r="A95" s="87">
        <v>30605344352</v>
      </c>
      <c r="B95" s="76" t="s">
        <v>49</v>
      </c>
      <c r="C95" s="81" t="s">
        <v>48</v>
      </c>
    </row>
    <row r="96" spans="1:3">
      <c r="A96" s="91">
        <v>20134281783</v>
      </c>
      <c r="B96" s="76" t="s">
        <v>149</v>
      </c>
      <c r="C96" s="81" t="s">
        <v>41</v>
      </c>
    </row>
    <row r="97" spans="1:3">
      <c r="A97" s="236">
        <v>30682998330</v>
      </c>
      <c r="B97" s="76" t="s">
        <v>362</v>
      </c>
      <c r="C97" s="81" t="s">
        <v>54</v>
      </c>
    </row>
    <row r="98" spans="1:3">
      <c r="A98" s="83">
        <v>20200212143</v>
      </c>
      <c r="B98" s="76" t="s">
        <v>307</v>
      </c>
      <c r="C98" s="81" t="s">
        <v>54</v>
      </c>
    </row>
    <row r="99" spans="1:3">
      <c r="A99" s="233">
        <v>20233248283</v>
      </c>
      <c r="B99" s="76" t="s">
        <v>342</v>
      </c>
      <c r="C99" s="81" t="s">
        <v>41</v>
      </c>
    </row>
    <row r="100" spans="1:3">
      <c r="A100" s="83">
        <v>33699685459</v>
      </c>
      <c r="B100" s="76" t="s">
        <v>332</v>
      </c>
      <c r="C100" s="81" t="s">
        <v>54</v>
      </c>
    </row>
    <row r="101" spans="1:3">
      <c r="A101" s="85">
        <v>30708574836</v>
      </c>
      <c r="B101" s="76" t="s">
        <v>187</v>
      </c>
      <c r="C101" s="81" t="s">
        <v>186</v>
      </c>
    </row>
    <row r="102" spans="1:3">
      <c r="A102" s="83">
        <v>27065000216</v>
      </c>
      <c r="B102" s="76" t="s">
        <v>315</v>
      </c>
      <c r="C102" s="81" t="s">
        <v>41</v>
      </c>
    </row>
    <row r="103" spans="1:3">
      <c r="A103" s="86">
        <v>30548083156</v>
      </c>
      <c r="B103" s="80" t="s">
        <v>126</v>
      </c>
      <c r="C103" s="81" t="s">
        <v>124</v>
      </c>
    </row>
    <row r="104" spans="1:3">
      <c r="A104" s="83">
        <v>30696850972</v>
      </c>
      <c r="B104" s="76" t="s">
        <v>372</v>
      </c>
      <c r="C104" s="81" t="s">
        <v>39</v>
      </c>
    </row>
    <row r="105" spans="1:3">
      <c r="A105" s="83">
        <v>30709175897</v>
      </c>
      <c r="B105" s="76" t="s">
        <v>374</v>
      </c>
      <c r="C105" s="81" t="s">
        <v>54</v>
      </c>
    </row>
    <row r="106" spans="1:3">
      <c r="A106" s="83">
        <v>30707833293</v>
      </c>
      <c r="B106" s="76" t="s">
        <v>434</v>
      </c>
      <c r="C106" s="81" t="s">
        <v>41</v>
      </c>
    </row>
    <row r="107" spans="1:3">
      <c r="A107" s="83">
        <v>33708543409</v>
      </c>
      <c r="B107" s="76" t="s">
        <v>535</v>
      </c>
      <c r="C107" s="81" t="s">
        <v>54</v>
      </c>
    </row>
    <row r="108" spans="1:3">
      <c r="A108" s="83">
        <v>30715242903</v>
      </c>
      <c r="B108" s="80" t="s">
        <v>174</v>
      </c>
      <c r="C108" s="81" t="s">
        <v>41</v>
      </c>
    </row>
    <row r="109" spans="1:3">
      <c r="A109" s="83">
        <v>30711275106</v>
      </c>
      <c r="B109" s="76" t="s">
        <v>331</v>
      </c>
      <c r="C109" s="81" t="s">
        <v>54</v>
      </c>
    </row>
    <row r="110" spans="1:3">
      <c r="A110" s="84">
        <v>30516186670</v>
      </c>
      <c r="B110" s="80" t="s">
        <v>162</v>
      </c>
      <c r="C110" s="81" t="s">
        <v>54</v>
      </c>
    </row>
    <row r="111" spans="1:3">
      <c r="A111" s="203">
        <v>27340766445</v>
      </c>
      <c r="B111" s="76" t="s">
        <v>380</v>
      </c>
      <c r="C111" s="81" t="s">
        <v>54</v>
      </c>
    </row>
    <row r="112" spans="1:3">
      <c r="A112" s="197">
        <v>20403969886</v>
      </c>
      <c r="B112" s="76" t="s">
        <v>395</v>
      </c>
      <c r="C112" s="81" t="s">
        <v>41</v>
      </c>
    </row>
    <row r="113" spans="1:3">
      <c r="A113" s="83">
        <v>20253515512</v>
      </c>
      <c r="B113" s="76" t="s">
        <v>536</v>
      </c>
      <c r="C113" s="81" t="s">
        <v>41</v>
      </c>
    </row>
    <row r="114" spans="1:3">
      <c r="A114" s="83">
        <v>33716792299</v>
      </c>
      <c r="B114" s="76" t="s">
        <v>414</v>
      </c>
      <c r="C114" s="81" t="s">
        <v>54</v>
      </c>
    </row>
    <row r="115" spans="1:3">
      <c r="A115" s="83">
        <v>30708656018</v>
      </c>
      <c r="B115" s="76" t="s">
        <v>555</v>
      </c>
      <c r="C115" s="81" t="s">
        <v>54</v>
      </c>
    </row>
    <row r="116" spans="1:3">
      <c r="A116" s="83">
        <v>20167634436</v>
      </c>
      <c r="B116" s="76" t="s">
        <v>226</v>
      </c>
      <c r="C116" s="81" t="s">
        <v>54</v>
      </c>
    </row>
    <row r="117" spans="1:3">
      <c r="A117" s="91">
        <v>30701307115</v>
      </c>
      <c r="B117" s="76" t="s">
        <v>283</v>
      </c>
      <c r="C117" s="81" t="s">
        <v>36</v>
      </c>
    </row>
    <row r="118" spans="1:3">
      <c r="A118" s="91">
        <v>30708285818</v>
      </c>
      <c r="B118" s="76" t="s">
        <v>511</v>
      </c>
      <c r="C118" s="81" t="s">
        <v>41</v>
      </c>
    </row>
    <row r="119" spans="1:3">
      <c r="A119" s="234">
        <v>20325314983</v>
      </c>
      <c r="B119" s="76" t="s">
        <v>345</v>
      </c>
      <c r="C119" s="81" t="s">
        <v>41</v>
      </c>
    </row>
    <row r="120" spans="1:3">
      <c r="A120" s="93">
        <v>20107037021</v>
      </c>
      <c r="B120" s="76" t="s">
        <v>314</v>
      </c>
      <c r="C120" s="81" t="s">
        <v>41</v>
      </c>
    </row>
    <row r="121" spans="1:3">
      <c r="A121" s="93">
        <v>20045615473</v>
      </c>
      <c r="B121" s="76" t="s">
        <v>42</v>
      </c>
      <c r="C121" s="81" t="s">
        <v>43</v>
      </c>
    </row>
    <row r="122" spans="1:3">
      <c r="A122" s="83">
        <v>30685849751</v>
      </c>
      <c r="B122" s="76" t="s">
        <v>549</v>
      </c>
      <c r="C122" s="81" t="s">
        <v>54</v>
      </c>
    </row>
    <row r="123" spans="1:3">
      <c r="A123" s="91">
        <v>30708155795</v>
      </c>
      <c r="B123" s="76" t="s">
        <v>525</v>
      </c>
      <c r="C123" s="81" t="s">
        <v>41</v>
      </c>
    </row>
    <row r="124" spans="1:3">
      <c r="A124" s="91">
        <v>27948446168</v>
      </c>
      <c r="B124" s="76" t="s">
        <v>279</v>
      </c>
      <c r="C124" s="81" t="s">
        <v>41</v>
      </c>
    </row>
    <row r="125" spans="1:3">
      <c r="A125" s="91">
        <v>20219935464</v>
      </c>
      <c r="B125" s="76" t="s">
        <v>273</v>
      </c>
      <c r="C125" s="81" t="s">
        <v>36</v>
      </c>
    </row>
    <row r="126" spans="1:3">
      <c r="A126" s="85">
        <v>20271532483</v>
      </c>
      <c r="B126" s="76" t="s">
        <v>53</v>
      </c>
      <c r="C126" s="81" t="s">
        <v>41</v>
      </c>
    </row>
    <row r="127" spans="1:3">
      <c r="A127" s="83">
        <v>30541849307</v>
      </c>
      <c r="B127" s="76" t="s">
        <v>284</v>
      </c>
      <c r="C127" s="81" t="s">
        <v>54</v>
      </c>
    </row>
    <row r="128" spans="1:3">
      <c r="A128" s="91">
        <v>20243132852</v>
      </c>
      <c r="B128" s="76" t="s">
        <v>588</v>
      </c>
      <c r="C128" s="81" t="s">
        <v>589</v>
      </c>
    </row>
    <row r="129" spans="1:3">
      <c r="A129" s="233">
        <v>30711510822</v>
      </c>
      <c r="B129" s="76" t="s">
        <v>451</v>
      </c>
      <c r="C129" s="81" t="s">
        <v>54</v>
      </c>
    </row>
    <row r="130" spans="1:3">
      <c r="A130" s="91">
        <v>30694549817</v>
      </c>
      <c r="B130" s="76" t="s">
        <v>248</v>
      </c>
      <c r="C130" s="81" t="s">
        <v>41</v>
      </c>
    </row>
    <row r="131" spans="1:3">
      <c r="A131" s="91">
        <v>30715819461</v>
      </c>
      <c r="B131" s="76" t="s">
        <v>530</v>
      </c>
      <c r="C131" s="81" t="s">
        <v>51</v>
      </c>
    </row>
    <row r="132" spans="1:3" ht="15.75" thickBot="1">
      <c r="A132" s="91">
        <v>30710374801</v>
      </c>
      <c r="B132" s="80" t="s">
        <v>159</v>
      </c>
      <c r="C132" s="81" t="s">
        <v>51</v>
      </c>
    </row>
    <row r="133" spans="1:3">
      <c r="A133" s="91">
        <v>30716884631</v>
      </c>
      <c r="B133" s="76" t="s">
        <v>533</v>
      </c>
      <c r="C133" s="77" t="s">
        <v>54</v>
      </c>
    </row>
    <row r="134" spans="1:3">
      <c r="A134" s="91">
        <v>27206941419</v>
      </c>
      <c r="B134" s="76" t="s">
        <v>517</v>
      </c>
      <c r="C134" s="81" t="s">
        <v>38</v>
      </c>
    </row>
    <row r="135" spans="1:3">
      <c r="A135" s="91">
        <v>30702966066</v>
      </c>
      <c r="B135" s="76" t="s">
        <v>237</v>
      </c>
      <c r="C135" s="81" t="s">
        <v>41</v>
      </c>
    </row>
    <row r="136" spans="1:3">
      <c r="A136" s="87">
        <v>23281233084</v>
      </c>
      <c r="B136" s="76" t="s">
        <v>184</v>
      </c>
      <c r="C136" s="81" t="s">
        <v>185</v>
      </c>
    </row>
    <row r="137" spans="1:3">
      <c r="A137" s="91">
        <v>20211398060</v>
      </c>
      <c r="B137" s="76" t="s">
        <v>384</v>
      </c>
      <c r="C137" s="81" t="s">
        <v>41</v>
      </c>
    </row>
    <row r="138" spans="1:3">
      <c r="A138" s="233">
        <v>30711727236</v>
      </c>
      <c r="B138" s="76" t="s">
        <v>346</v>
      </c>
      <c r="C138" s="81" t="s">
        <v>54</v>
      </c>
    </row>
    <row r="139" spans="1:3">
      <c r="A139" s="91">
        <v>30714318221</v>
      </c>
      <c r="B139" s="76" t="s">
        <v>289</v>
      </c>
      <c r="C139" s="81" t="s">
        <v>54</v>
      </c>
    </row>
    <row r="140" spans="1:3">
      <c r="A140" s="91">
        <v>20083442612</v>
      </c>
      <c r="B140" s="76" t="s">
        <v>439</v>
      </c>
      <c r="C140" s="81" t="s">
        <v>54</v>
      </c>
    </row>
    <row r="141" spans="1:3">
      <c r="A141" s="88">
        <v>30537882871</v>
      </c>
      <c r="B141" s="80" t="s">
        <v>121</v>
      </c>
      <c r="C141" s="81" t="s">
        <v>43</v>
      </c>
    </row>
    <row r="142" spans="1:3">
      <c r="A142" s="91">
        <v>30593630338</v>
      </c>
      <c r="B142" s="76" t="s">
        <v>390</v>
      </c>
      <c r="C142" s="81" t="s">
        <v>54</v>
      </c>
    </row>
    <row r="143" spans="1:3">
      <c r="A143" s="91">
        <v>30696676026</v>
      </c>
      <c r="B143" s="76" t="s">
        <v>538</v>
      </c>
      <c r="C143" s="81" t="s">
        <v>41</v>
      </c>
    </row>
    <row r="144" spans="1:3">
      <c r="A144" s="91">
        <v>30686489325</v>
      </c>
      <c r="B144" s="76" t="s">
        <v>468</v>
      </c>
      <c r="C144" s="81" t="s">
        <v>54</v>
      </c>
    </row>
    <row r="145" spans="1:3">
      <c r="A145" s="91">
        <v>30709131865</v>
      </c>
      <c r="B145" s="76" t="s">
        <v>262</v>
      </c>
      <c r="C145" s="81" t="s">
        <v>54</v>
      </c>
    </row>
    <row r="146" spans="1:3">
      <c r="A146" s="89">
        <v>20259499632</v>
      </c>
      <c r="B146" s="76" t="s">
        <v>182</v>
      </c>
      <c r="C146" s="81" t="s">
        <v>183</v>
      </c>
    </row>
    <row r="147" spans="1:3">
      <c r="A147" s="91">
        <v>30588092468</v>
      </c>
      <c r="B147" s="76" t="s">
        <v>338</v>
      </c>
      <c r="C147" s="81" t="s">
        <v>54</v>
      </c>
    </row>
    <row r="148" spans="1:3">
      <c r="A148" s="91">
        <v>30707118454</v>
      </c>
      <c r="B148" s="76" t="s">
        <v>459</v>
      </c>
      <c r="C148" s="81" t="s">
        <v>80</v>
      </c>
    </row>
    <row r="149" spans="1:3">
      <c r="A149" s="91">
        <v>30709368067</v>
      </c>
      <c r="B149" s="80" t="s">
        <v>160</v>
      </c>
      <c r="C149" s="81" t="s">
        <v>51</v>
      </c>
    </row>
    <row r="150" spans="1:3">
      <c r="A150" s="91">
        <v>20140958213</v>
      </c>
      <c r="B150" s="76" t="s">
        <v>403</v>
      </c>
      <c r="C150" s="81" t="s">
        <v>41</v>
      </c>
    </row>
    <row r="151" spans="1:3">
      <c r="A151" s="91">
        <v>30659276964</v>
      </c>
      <c r="B151" s="76" t="s">
        <v>528</v>
      </c>
      <c r="C151" s="81" t="s">
        <v>529</v>
      </c>
    </row>
    <row r="152" spans="1:3">
      <c r="A152" s="91">
        <v>20145036101</v>
      </c>
      <c r="B152" s="76" t="s">
        <v>286</v>
      </c>
      <c r="C152" s="81" t="s">
        <v>36</v>
      </c>
    </row>
    <row r="153" spans="1:3">
      <c r="A153" s="91">
        <v>30711328498</v>
      </c>
      <c r="B153" s="76" t="s">
        <v>596</v>
      </c>
      <c r="C153" s="81" t="s">
        <v>589</v>
      </c>
    </row>
    <row r="154" spans="1:3">
      <c r="A154" s="91">
        <v>30715537512</v>
      </c>
      <c r="B154" s="76" t="s">
        <v>441</v>
      </c>
      <c r="C154" s="81" t="s">
        <v>54</v>
      </c>
    </row>
    <row r="155" spans="1:3">
      <c r="A155" s="91">
        <v>30537679855</v>
      </c>
      <c r="B155" s="76" t="s">
        <v>408</v>
      </c>
      <c r="C155" s="81" t="s">
        <v>54</v>
      </c>
    </row>
    <row r="156" spans="1:3">
      <c r="A156" s="84" t="s">
        <v>70</v>
      </c>
      <c r="B156" s="100" t="s">
        <v>71</v>
      </c>
      <c r="C156" s="81" t="s">
        <v>36</v>
      </c>
    </row>
    <row r="157" spans="1:3">
      <c r="A157" s="83">
        <v>30708542349</v>
      </c>
      <c r="B157" s="76" t="s">
        <v>560</v>
      </c>
      <c r="C157" s="81" t="s">
        <v>36</v>
      </c>
    </row>
    <row r="158" spans="1:3">
      <c r="A158" s="233">
        <v>30526582884</v>
      </c>
      <c r="B158" s="76" t="s">
        <v>402</v>
      </c>
      <c r="C158" s="81" t="s">
        <v>36</v>
      </c>
    </row>
    <row r="159" spans="1:3">
      <c r="A159" s="91">
        <v>30577744579</v>
      </c>
      <c r="B159" s="76" t="s">
        <v>323</v>
      </c>
      <c r="C159" s="81" t="s">
        <v>36</v>
      </c>
    </row>
    <row r="160" spans="1:3">
      <c r="A160" s="91">
        <v>30715949292</v>
      </c>
      <c r="B160" s="76" t="s">
        <v>508</v>
      </c>
      <c r="C160" s="81" t="s">
        <v>124</v>
      </c>
    </row>
    <row r="161" spans="1:3">
      <c r="A161" s="89">
        <v>30715980807</v>
      </c>
      <c r="B161" s="76" t="s">
        <v>52</v>
      </c>
      <c r="C161" s="81" t="s">
        <v>41</v>
      </c>
    </row>
    <row r="162" spans="1:3">
      <c r="A162" s="83">
        <v>20359718765</v>
      </c>
      <c r="B162" s="76" t="s">
        <v>569</v>
      </c>
      <c r="C162" s="81" t="s">
        <v>54</v>
      </c>
    </row>
    <row r="163" spans="1:3">
      <c r="A163" s="91">
        <v>30643518364</v>
      </c>
      <c r="B163" s="76" t="s">
        <v>559</v>
      </c>
      <c r="C163" s="81" t="s">
        <v>41</v>
      </c>
    </row>
    <row r="164" spans="1:3">
      <c r="A164" s="91">
        <v>30692138747</v>
      </c>
      <c r="B164" s="76" t="s">
        <v>329</v>
      </c>
      <c r="C164" s="81" t="s">
        <v>54</v>
      </c>
    </row>
    <row r="165" spans="1:3">
      <c r="A165" s="233">
        <v>33712234429</v>
      </c>
      <c r="B165" s="76" t="s">
        <v>450</v>
      </c>
      <c r="C165" s="81" t="s">
        <v>54</v>
      </c>
    </row>
    <row r="166" spans="1:3">
      <c r="A166" s="91">
        <v>20353576012</v>
      </c>
      <c r="B166" s="76" t="s">
        <v>231</v>
      </c>
      <c r="C166" s="81" t="s">
        <v>54</v>
      </c>
    </row>
    <row r="167" spans="1:3">
      <c r="A167" s="91">
        <v>20343766441</v>
      </c>
      <c r="B167" s="76" t="s">
        <v>216</v>
      </c>
      <c r="C167" s="81" t="s">
        <v>177</v>
      </c>
    </row>
    <row r="168" spans="1:3">
      <c r="A168" s="88">
        <v>27062343449</v>
      </c>
      <c r="B168" s="80" t="s">
        <v>404</v>
      </c>
      <c r="C168" s="81" t="s">
        <v>36</v>
      </c>
    </row>
    <row r="169" spans="1:3">
      <c r="A169" s="91">
        <v>30676642230</v>
      </c>
      <c r="B169" s="76" t="s">
        <v>460</v>
      </c>
      <c r="C169" s="81" t="s">
        <v>54</v>
      </c>
    </row>
    <row r="170" spans="1:3">
      <c r="A170" s="91">
        <v>30709453293</v>
      </c>
      <c r="B170" s="76" t="s">
        <v>215</v>
      </c>
      <c r="C170" s="81" t="s">
        <v>54</v>
      </c>
    </row>
    <row r="171" spans="1:3">
      <c r="A171" s="233">
        <v>30714690554</v>
      </c>
      <c r="B171" s="76" t="s">
        <v>424</v>
      </c>
      <c r="C171" s="81" t="s">
        <v>54</v>
      </c>
    </row>
    <row r="172" spans="1:3">
      <c r="A172" s="91">
        <v>30716620634</v>
      </c>
      <c r="B172" s="76" t="s">
        <v>563</v>
      </c>
      <c r="C172" s="81" t="s">
        <v>54</v>
      </c>
    </row>
    <row r="173" spans="1:3">
      <c r="A173" s="233">
        <v>30705466021</v>
      </c>
      <c r="B173" s="76" t="s">
        <v>425</v>
      </c>
      <c r="C173" s="81" t="s">
        <v>41</v>
      </c>
    </row>
    <row r="174" spans="1:3">
      <c r="A174" s="91">
        <v>27301358852</v>
      </c>
      <c r="B174" s="76" t="s">
        <v>458</v>
      </c>
      <c r="C174" s="81" t="s">
        <v>36</v>
      </c>
    </row>
    <row r="175" spans="1:3">
      <c r="A175" s="91">
        <v>20314536852</v>
      </c>
      <c r="B175" s="76" t="s">
        <v>543</v>
      </c>
      <c r="C175" s="81" t="s">
        <v>36</v>
      </c>
    </row>
    <row r="176" spans="1:3">
      <c r="A176" s="91">
        <v>30710657250</v>
      </c>
      <c r="B176" s="76" t="s">
        <v>463</v>
      </c>
      <c r="C176" s="81" t="s">
        <v>54</v>
      </c>
    </row>
    <row r="177" spans="1:3">
      <c r="A177" s="88">
        <v>30657418877</v>
      </c>
      <c r="B177" s="80" t="s">
        <v>82</v>
      </c>
      <c r="C177" s="81" t="s">
        <v>80</v>
      </c>
    </row>
    <row r="178" spans="1:3">
      <c r="A178" s="91">
        <v>30708049928</v>
      </c>
      <c r="B178" s="76" t="s">
        <v>446</v>
      </c>
      <c r="C178" s="81" t="s">
        <v>80</v>
      </c>
    </row>
    <row r="179" spans="1:3">
      <c r="A179" s="91">
        <v>20284183534</v>
      </c>
      <c r="B179" s="76" t="s">
        <v>448</v>
      </c>
      <c r="C179" s="81" t="s">
        <v>54</v>
      </c>
    </row>
    <row r="180" spans="1:3">
      <c r="A180" s="89">
        <v>20115545397</v>
      </c>
      <c r="B180" s="80" t="s">
        <v>125</v>
      </c>
      <c r="C180" s="81" t="s">
        <v>51</v>
      </c>
    </row>
    <row r="181" spans="1:3">
      <c r="A181" s="91">
        <v>20211408511</v>
      </c>
      <c r="B181" s="76" t="s">
        <v>484</v>
      </c>
      <c r="C181" s="81" t="s">
        <v>54</v>
      </c>
    </row>
    <row r="182" spans="1:3">
      <c r="A182" s="89">
        <v>27242941301</v>
      </c>
      <c r="B182" s="76" t="s">
        <v>199</v>
      </c>
      <c r="C182" s="81" t="s">
        <v>38</v>
      </c>
    </row>
    <row r="183" spans="1:3">
      <c r="A183" s="91">
        <v>20344800473</v>
      </c>
      <c r="B183" s="76" t="s">
        <v>361</v>
      </c>
      <c r="C183" s="81" t="s">
        <v>41</v>
      </c>
    </row>
    <row r="184" spans="1:3">
      <c r="A184" s="87">
        <v>27204269527</v>
      </c>
      <c r="B184" s="76" t="s">
        <v>50</v>
      </c>
      <c r="C184" s="81" t="s">
        <v>51</v>
      </c>
    </row>
    <row r="185" spans="1:3">
      <c r="A185" s="91">
        <v>30522428163</v>
      </c>
      <c r="B185" s="76" t="s">
        <v>73</v>
      </c>
      <c r="C185" s="81" t="s">
        <v>80</v>
      </c>
    </row>
    <row r="186" spans="1:3">
      <c r="A186" s="91">
        <v>30685228501</v>
      </c>
      <c r="B186" s="80" t="s">
        <v>88</v>
      </c>
      <c r="C186" s="81" t="s">
        <v>80</v>
      </c>
    </row>
    <row r="187" spans="1:3">
      <c r="A187" s="91">
        <v>27061922984</v>
      </c>
      <c r="B187" s="76" t="s">
        <v>221</v>
      </c>
      <c r="C187" s="81" t="s">
        <v>41</v>
      </c>
    </row>
    <row r="188" spans="1:3">
      <c r="A188" s="91">
        <v>27121544917</v>
      </c>
      <c r="B188" s="76" t="s">
        <v>318</v>
      </c>
      <c r="C188" s="81" t="s">
        <v>38</v>
      </c>
    </row>
    <row r="189" spans="1:3">
      <c r="A189" s="91">
        <v>30715567578</v>
      </c>
      <c r="B189" s="76" t="s">
        <v>241</v>
      </c>
      <c r="C189" s="81" t="s">
        <v>54</v>
      </c>
    </row>
    <row r="190" spans="1:3">
      <c r="A190" s="91">
        <v>20186809565</v>
      </c>
      <c r="B190" s="76" t="s">
        <v>212</v>
      </c>
      <c r="C190" s="81" t="s">
        <v>41</v>
      </c>
    </row>
    <row r="191" spans="1:3">
      <c r="A191" s="91">
        <v>23405137119</v>
      </c>
      <c r="B191" s="76" t="s">
        <v>462</v>
      </c>
      <c r="C191" s="81" t="s">
        <v>36</v>
      </c>
    </row>
    <row r="192" spans="1:3">
      <c r="A192" s="91">
        <v>30594549712</v>
      </c>
      <c r="B192" s="76" t="s">
        <v>142</v>
      </c>
      <c r="C192" s="81" t="s">
        <v>54</v>
      </c>
    </row>
    <row r="193" spans="1:3">
      <c r="A193" s="88">
        <v>30708855975</v>
      </c>
      <c r="B193" s="76" t="s">
        <v>40</v>
      </c>
      <c r="C193" s="81" t="s">
        <v>41</v>
      </c>
    </row>
    <row r="194" spans="1:3">
      <c r="A194" s="87">
        <v>30546694263</v>
      </c>
      <c r="B194" s="76" t="s">
        <v>143</v>
      </c>
      <c r="C194" s="81" t="s">
        <v>80</v>
      </c>
    </row>
    <row r="195" spans="1:3">
      <c r="A195" s="91">
        <v>30709737348</v>
      </c>
      <c r="B195" s="76" t="s">
        <v>327</v>
      </c>
      <c r="C195" s="81" t="s">
        <v>41</v>
      </c>
    </row>
    <row r="196" spans="1:3">
      <c r="A196" s="91">
        <v>30690212265</v>
      </c>
      <c r="B196" s="76" t="s">
        <v>581</v>
      </c>
      <c r="C196" s="81" t="s">
        <v>36</v>
      </c>
    </row>
    <row r="197" spans="1:3">
      <c r="A197" s="91">
        <v>27304678165</v>
      </c>
      <c r="B197" s="76" t="s">
        <v>553</v>
      </c>
      <c r="C197" s="81" t="s">
        <v>41</v>
      </c>
    </row>
    <row r="198" spans="1:3">
      <c r="A198" s="89">
        <v>30711950113</v>
      </c>
      <c r="B198" s="76" t="s">
        <v>59</v>
      </c>
      <c r="C198" s="81" t="s">
        <v>41</v>
      </c>
    </row>
    <row r="199" spans="1:3">
      <c r="A199" s="91">
        <v>23076996989</v>
      </c>
      <c r="B199" s="76" t="s">
        <v>232</v>
      </c>
      <c r="C199" s="81" t="s">
        <v>54</v>
      </c>
    </row>
    <row r="200" spans="1:3">
      <c r="A200" s="233">
        <v>33709997489</v>
      </c>
      <c r="B200" s="76" t="s">
        <v>393</v>
      </c>
      <c r="C200" s="81" t="s">
        <v>41</v>
      </c>
    </row>
    <row r="201" spans="1:3">
      <c r="A201" s="91">
        <v>30715621866</v>
      </c>
      <c r="B201" s="76" t="s">
        <v>503</v>
      </c>
      <c r="C201" s="81" t="s">
        <v>124</v>
      </c>
    </row>
    <row r="202" spans="1:3">
      <c r="A202" s="91">
        <v>33710427629</v>
      </c>
      <c r="B202" s="76" t="s">
        <v>582</v>
      </c>
      <c r="C202" s="81" t="s">
        <v>36</v>
      </c>
    </row>
    <row r="203" spans="1:3">
      <c r="A203" s="91">
        <v>20323836427</v>
      </c>
      <c r="B203" s="76" t="s">
        <v>444</v>
      </c>
      <c r="C203" s="81" t="s">
        <v>41</v>
      </c>
    </row>
    <row r="204" spans="1:3">
      <c r="A204" s="89">
        <v>20292887648</v>
      </c>
      <c r="B204" s="76" t="s">
        <v>197</v>
      </c>
      <c r="C204" s="81" t="s">
        <v>41</v>
      </c>
    </row>
    <row r="205" spans="1:3">
      <c r="A205" s="91">
        <v>20077028545</v>
      </c>
      <c r="B205" s="76" t="s">
        <v>411</v>
      </c>
      <c r="C205" s="81" t="s">
        <v>54</v>
      </c>
    </row>
    <row r="206" spans="1:3">
      <c r="A206" s="91">
        <v>20410525888</v>
      </c>
      <c r="B206" s="76" t="s">
        <v>534</v>
      </c>
      <c r="C206" s="81" t="s">
        <v>41</v>
      </c>
    </row>
    <row r="207" spans="1:3">
      <c r="A207" s="91">
        <v>20239531963</v>
      </c>
      <c r="B207" s="76" t="s">
        <v>501</v>
      </c>
      <c r="C207" s="81" t="s">
        <v>41</v>
      </c>
    </row>
    <row r="208" spans="1:3">
      <c r="A208" s="87">
        <v>23920485979</v>
      </c>
      <c r="B208" s="76" t="s">
        <v>64</v>
      </c>
      <c r="C208" s="81" t="s">
        <v>41</v>
      </c>
    </row>
    <row r="209" spans="1:3">
      <c r="A209" s="91">
        <v>30714432865</v>
      </c>
      <c r="B209" s="76" t="s">
        <v>296</v>
      </c>
      <c r="C209" s="81" t="s">
        <v>54</v>
      </c>
    </row>
    <row r="210" spans="1:3">
      <c r="A210" s="91">
        <v>27365928016</v>
      </c>
      <c r="B210" s="76" t="s">
        <v>299</v>
      </c>
      <c r="C210" s="81" t="s">
        <v>177</v>
      </c>
    </row>
    <row r="211" spans="1:3">
      <c r="A211" s="233">
        <v>30712097600</v>
      </c>
      <c r="B211" s="76" t="s">
        <v>340</v>
      </c>
      <c r="C211" s="81" t="s">
        <v>54</v>
      </c>
    </row>
    <row r="212" spans="1:3">
      <c r="A212" s="91">
        <v>30712778403</v>
      </c>
      <c r="B212" s="80" t="s">
        <v>127</v>
      </c>
      <c r="C212" s="81" t="s">
        <v>51</v>
      </c>
    </row>
    <row r="213" spans="1:3">
      <c r="A213" s="233">
        <v>20181426846</v>
      </c>
      <c r="B213" s="76" t="s">
        <v>454</v>
      </c>
      <c r="C213" s="81" t="s">
        <v>54</v>
      </c>
    </row>
    <row r="214" spans="1:3">
      <c r="A214" s="226">
        <v>30663498513</v>
      </c>
      <c r="B214" s="227" t="s">
        <v>430</v>
      </c>
      <c r="C214" s="228" t="s">
        <v>371</v>
      </c>
    </row>
    <row r="215" spans="1:3">
      <c r="A215" s="233">
        <v>30671637689</v>
      </c>
      <c r="B215" s="76" t="s">
        <v>387</v>
      </c>
      <c r="C215" s="81" t="s">
        <v>54</v>
      </c>
    </row>
    <row r="216" spans="1:3">
      <c r="A216" s="91">
        <v>27147827682</v>
      </c>
      <c r="B216" s="80" t="s">
        <v>255</v>
      </c>
      <c r="C216" s="81" t="s">
        <v>38</v>
      </c>
    </row>
    <row r="217" spans="1:3">
      <c r="A217" s="91">
        <v>23175716009</v>
      </c>
      <c r="B217" s="76" t="s">
        <v>470</v>
      </c>
      <c r="C217" s="81" t="s">
        <v>36</v>
      </c>
    </row>
    <row r="218" spans="1:3">
      <c r="A218" s="91">
        <v>30715210904</v>
      </c>
      <c r="B218" s="76" t="s">
        <v>227</v>
      </c>
      <c r="C218" s="81" t="s">
        <v>41</v>
      </c>
    </row>
    <row r="219" spans="1:3">
      <c r="A219" s="91">
        <v>30716770881</v>
      </c>
      <c r="B219" s="76" t="s">
        <v>531</v>
      </c>
      <c r="C219" s="81" t="s">
        <v>54</v>
      </c>
    </row>
    <row r="220" spans="1:3">
      <c r="A220" s="91">
        <v>30710538014</v>
      </c>
      <c r="B220" s="76" t="s">
        <v>369</v>
      </c>
      <c r="C220" s="81" t="s">
        <v>80</v>
      </c>
    </row>
    <row r="221" spans="1:3">
      <c r="A221" s="233">
        <v>20351722585</v>
      </c>
      <c r="B221" s="76" t="s">
        <v>453</v>
      </c>
      <c r="C221" s="81" t="s">
        <v>41</v>
      </c>
    </row>
    <row r="222" spans="1:3">
      <c r="A222" s="233">
        <v>27165813893</v>
      </c>
      <c r="B222" s="76" t="s">
        <v>455</v>
      </c>
      <c r="C222" s="81" t="s">
        <v>41</v>
      </c>
    </row>
    <row r="223" spans="1:3">
      <c r="A223" s="83">
        <v>23219640269</v>
      </c>
      <c r="B223" s="76" t="s">
        <v>238</v>
      </c>
      <c r="C223" s="81" t="s">
        <v>41</v>
      </c>
    </row>
    <row r="224" spans="1:3">
      <c r="A224" s="91">
        <v>30710095171</v>
      </c>
      <c r="B224" s="76" t="s">
        <v>222</v>
      </c>
      <c r="C224" s="81" t="s">
        <v>41</v>
      </c>
    </row>
    <row r="225" spans="1:3">
      <c r="A225" s="91">
        <v>20295867931</v>
      </c>
      <c r="B225" s="76" t="s">
        <v>427</v>
      </c>
      <c r="C225" s="81" t="s">
        <v>54</v>
      </c>
    </row>
    <row r="226" spans="1:3">
      <c r="A226" s="91">
        <v>20361556691</v>
      </c>
      <c r="B226" s="76" t="s">
        <v>334</v>
      </c>
      <c r="C226" s="81" t="s">
        <v>54</v>
      </c>
    </row>
    <row r="227" spans="1:3">
      <c r="A227" s="91">
        <v>20313759246</v>
      </c>
      <c r="B227" s="80" t="s">
        <v>168</v>
      </c>
      <c r="C227" s="81" t="s">
        <v>169</v>
      </c>
    </row>
    <row r="228" spans="1:3">
      <c r="A228" s="91">
        <v>20186310838</v>
      </c>
      <c r="B228" s="76" t="s">
        <v>488</v>
      </c>
      <c r="C228" s="81" t="s">
        <v>41</v>
      </c>
    </row>
    <row r="229" spans="1:3">
      <c r="A229" s="91">
        <v>30576630057</v>
      </c>
      <c r="B229" s="76" t="s">
        <v>328</v>
      </c>
      <c r="C229" s="81" t="s">
        <v>54</v>
      </c>
    </row>
    <row r="230" spans="1:3">
      <c r="A230" s="88">
        <v>30714122718</v>
      </c>
      <c r="B230" s="76" t="s">
        <v>173</v>
      </c>
      <c r="C230" s="81" t="s">
        <v>41</v>
      </c>
    </row>
    <row r="231" spans="1:3">
      <c r="A231" s="87">
        <v>30714696153</v>
      </c>
      <c r="B231" s="76" t="s">
        <v>61</v>
      </c>
      <c r="C231" s="81" t="s">
        <v>41</v>
      </c>
    </row>
    <row r="232" spans="1:3">
      <c r="A232" s="91">
        <v>20242126158</v>
      </c>
      <c r="B232" s="76" t="s">
        <v>354</v>
      </c>
      <c r="C232" s="81" t="s">
        <v>41</v>
      </c>
    </row>
    <row r="233" spans="1:3">
      <c r="A233" s="91">
        <v>20309759444</v>
      </c>
      <c r="B233" s="76" t="s">
        <v>572</v>
      </c>
      <c r="C233" s="81" t="s">
        <v>41</v>
      </c>
    </row>
    <row r="234" spans="1:3">
      <c r="A234" s="91">
        <v>30712289046</v>
      </c>
      <c r="B234" s="76" t="s">
        <v>366</v>
      </c>
      <c r="C234" s="81" t="s">
        <v>54</v>
      </c>
    </row>
    <row r="235" spans="1:3">
      <c r="A235" s="91">
        <v>30687310434</v>
      </c>
      <c r="B235" s="76" t="s">
        <v>153</v>
      </c>
      <c r="C235" s="81" t="s">
        <v>54</v>
      </c>
    </row>
    <row r="236" spans="1:3">
      <c r="A236" s="91">
        <v>30687310434</v>
      </c>
      <c r="B236" s="76" t="s">
        <v>301</v>
      </c>
      <c r="C236" s="81" t="s">
        <v>54</v>
      </c>
    </row>
    <row r="237" spans="1:3">
      <c r="A237" s="91">
        <v>30515800219</v>
      </c>
      <c r="B237" s="76" t="s">
        <v>158</v>
      </c>
      <c r="C237" s="81" t="s">
        <v>54</v>
      </c>
    </row>
    <row r="238" spans="1:3">
      <c r="A238" s="91">
        <v>30651822021</v>
      </c>
      <c r="B238" s="76" t="s">
        <v>260</v>
      </c>
      <c r="C238" s="81" t="s">
        <v>41</v>
      </c>
    </row>
    <row r="239" spans="1:3">
      <c r="A239" s="88">
        <v>30598739540</v>
      </c>
      <c r="B239" s="80" t="s">
        <v>84</v>
      </c>
      <c r="C239" s="81" t="s">
        <v>80</v>
      </c>
    </row>
    <row r="240" spans="1:3">
      <c r="A240" s="233">
        <v>30554807301</v>
      </c>
      <c r="B240" s="76" t="s">
        <v>235</v>
      </c>
      <c r="C240" s="81" t="s">
        <v>54</v>
      </c>
    </row>
    <row r="241" spans="1:3">
      <c r="A241" s="91">
        <v>30697558868</v>
      </c>
      <c r="B241" s="76" t="s">
        <v>76</v>
      </c>
      <c r="C241" s="81" t="s">
        <v>80</v>
      </c>
    </row>
    <row r="242" spans="1:3">
      <c r="A242" s="91">
        <v>33708345399</v>
      </c>
      <c r="B242" s="76" t="s">
        <v>246</v>
      </c>
      <c r="C242" s="81" t="s">
        <v>41</v>
      </c>
    </row>
    <row r="243" spans="1:3">
      <c r="A243" s="91">
        <v>30999077508</v>
      </c>
      <c r="B243" s="80" t="s">
        <v>89</v>
      </c>
      <c r="C243" s="81" t="s">
        <v>80</v>
      </c>
    </row>
    <row r="244" spans="1:3">
      <c r="A244" s="91">
        <v>30708214813</v>
      </c>
      <c r="B244" s="76" t="s">
        <v>291</v>
      </c>
      <c r="C244" s="81" t="s">
        <v>41</v>
      </c>
    </row>
    <row r="245" spans="1:3">
      <c r="A245" s="91">
        <v>23368458449</v>
      </c>
      <c r="B245" s="76" t="s">
        <v>440</v>
      </c>
      <c r="C245" s="81" t="s">
        <v>36</v>
      </c>
    </row>
    <row r="246" spans="1:3">
      <c r="A246" s="91">
        <v>30707758682</v>
      </c>
      <c r="B246" s="76" t="s">
        <v>206</v>
      </c>
      <c r="C246" s="81" t="s">
        <v>80</v>
      </c>
    </row>
    <row r="247" spans="1:3">
      <c r="A247" s="88">
        <v>30712187316</v>
      </c>
      <c r="B247" s="76" t="s">
        <v>68</v>
      </c>
      <c r="C247" s="81" t="s">
        <v>41</v>
      </c>
    </row>
    <row r="248" spans="1:3">
      <c r="A248" s="91">
        <v>30547076679</v>
      </c>
      <c r="B248" s="76" t="s">
        <v>266</v>
      </c>
      <c r="C248" s="81" t="s">
        <v>54</v>
      </c>
    </row>
    <row r="249" spans="1:3">
      <c r="A249" s="91">
        <v>30715123483</v>
      </c>
      <c r="B249" s="76" t="s">
        <v>275</v>
      </c>
      <c r="C249" s="81" t="s">
        <v>36</v>
      </c>
    </row>
    <row r="250" spans="1:3">
      <c r="A250" s="91">
        <v>30708936762</v>
      </c>
      <c r="B250" s="76" t="s">
        <v>264</v>
      </c>
      <c r="C250" s="81" t="s">
        <v>54</v>
      </c>
    </row>
    <row r="251" spans="1:3">
      <c r="A251" s="91">
        <v>30715937006</v>
      </c>
      <c r="B251" s="76" t="s">
        <v>290</v>
      </c>
      <c r="C251" s="81" t="s">
        <v>41</v>
      </c>
    </row>
    <row r="252" spans="1:3">
      <c r="A252" s="91">
        <v>20167226524</v>
      </c>
      <c r="B252" s="76" t="s">
        <v>466</v>
      </c>
      <c r="C252" s="81" t="s">
        <v>54</v>
      </c>
    </row>
    <row r="253" spans="1:3">
      <c r="A253" s="91">
        <v>33707660509</v>
      </c>
      <c r="B253" s="76" t="s">
        <v>500</v>
      </c>
      <c r="C253" s="81" t="s">
        <v>54</v>
      </c>
    </row>
    <row r="254" spans="1:3">
      <c r="A254" s="91">
        <v>20244271740</v>
      </c>
      <c r="B254" s="76" t="s">
        <v>285</v>
      </c>
      <c r="C254" s="81" t="s">
        <v>41</v>
      </c>
    </row>
    <row r="255" spans="1:3">
      <c r="A255" s="91">
        <v>20182999661</v>
      </c>
      <c r="B255" s="80" t="s">
        <v>137</v>
      </c>
      <c r="C255" s="81" t="s">
        <v>54</v>
      </c>
    </row>
    <row r="256" spans="1:3">
      <c r="A256" s="91">
        <v>20924962756</v>
      </c>
      <c r="B256" s="76" t="s">
        <v>229</v>
      </c>
      <c r="C256" s="81" t="s">
        <v>41</v>
      </c>
    </row>
    <row r="257" spans="1:3">
      <c r="A257" s="91">
        <v>23941647804</v>
      </c>
      <c r="B257" s="80" t="s">
        <v>166</v>
      </c>
      <c r="C257" s="81" t="s">
        <v>38</v>
      </c>
    </row>
    <row r="258" spans="1:3">
      <c r="A258" s="83">
        <v>27310367813</v>
      </c>
      <c r="B258" s="76" t="s">
        <v>564</v>
      </c>
      <c r="C258" s="81" t="s">
        <v>41</v>
      </c>
    </row>
    <row r="259" spans="1:3">
      <c r="A259" s="83">
        <v>30709046779</v>
      </c>
      <c r="B259" s="76" t="s">
        <v>293</v>
      </c>
      <c r="C259" s="81" t="s">
        <v>41</v>
      </c>
    </row>
    <row r="260" spans="1:3">
      <c r="A260" s="83">
        <v>30711645884</v>
      </c>
      <c r="B260" s="76" t="s">
        <v>595</v>
      </c>
      <c r="C260" s="81" t="s">
        <v>54</v>
      </c>
    </row>
    <row r="261" spans="1:3">
      <c r="A261" s="84">
        <v>27304914071</v>
      </c>
      <c r="B261" s="80" t="s">
        <v>200</v>
      </c>
      <c r="C261" s="81" t="s">
        <v>43</v>
      </c>
    </row>
    <row r="262" spans="1:3">
      <c r="A262" s="83">
        <v>20220423655</v>
      </c>
      <c r="B262" s="80" t="s">
        <v>175</v>
      </c>
      <c r="C262" s="81" t="s">
        <v>41</v>
      </c>
    </row>
    <row r="263" spans="1:3">
      <c r="A263" s="203">
        <v>20393873583</v>
      </c>
      <c r="B263" s="76" t="s">
        <v>579</v>
      </c>
      <c r="C263" s="81" t="s">
        <v>54</v>
      </c>
    </row>
    <row r="264" spans="1:3">
      <c r="A264" s="83">
        <v>30525468956</v>
      </c>
      <c r="B264" s="76" t="s">
        <v>292</v>
      </c>
      <c r="C264" s="81" t="s">
        <v>41</v>
      </c>
    </row>
    <row r="265" spans="1:3">
      <c r="A265" s="203">
        <v>30701950883</v>
      </c>
      <c r="B265" s="76" t="s">
        <v>350</v>
      </c>
      <c r="C265" s="81" t="s">
        <v>54</v>
      </c>
    </row>
    <row r="266" spans="1:3">
      <c r="A266" s="91">
        <v>30540019297</v>
      </c>
      <c r="B266" s="76" t="s">
        <v>495</v>
      </c>
      <c r="C266" s="81" t="s">
        <v>54</v>
      </c>
    </row>
    <row r="267" spans="1:3">
      <c r="A267" s="83">
        <v>30686525607</v>
      </c>
      <c r="B267" s="76" t="s">
        <v>497</v>
      </c>
      <c r="C267" s="81" t="s">
        <v>54</v>
      </c>
    </row>
    <row r="268" spans="1:3">
      <c r="A268" s="91">
        <v>23945201304</v>
      </c>
      <c r="B268" s="76" t="s">
        <v>365</v>
      </c>
      <c r="C268" s="81" t="s">
        <v>41</v>
      </c>
    </row>
    <row r="269" spans="1:3">
      <c r="A269" s="203">
        <v>30712019359</v>
      </c>
      <c r="B269" s="76" t="s">
        <v>392</v>
      </c>
      <c r="C269" s="81" t="s">
        <v>41</v>
      </c>
    </row>
    <row r="270" spans="1:3">
      <c r="A270" s="83">
        <v>20160503336</v>
      </c>
      <c r="B270" s="76" t="s">
        <v>587</v>
      </c>
      <c r="C270" s="81" t="s">
        <v>54</v>
      </c>
    </row>
    <row r="271" spans="1:3">
      <c r="A271" s="83">
        <v>27129657710</v>
      </c>
      <c r="B271" s="76" t="s">
        <v>576</v>
      </c>
      <c r="C271" s="81" t="s">
        <v>41</v>
      </c>
    </row>
    <row r="272" spans="1:3">
      <c r="A272" s="89">
        <v>30711244383</v>
      </c>
      <c r="B272" s="76" t="s">
        <v>179</v>
      </c>
      <c r="C272" s="81" t="s">
        <v>80</v>
      </c>
    </row>
    <row r="273" spans="1:3">
      <c r="A273" s="91">
        <v>30709879258</v>
      </c>
      <c r="B273" s="76" t="s">
        <v>483</v>
      </c>
      <c r="C273" s="81" t="s">
        <v>36</v>
      </c>
    </row>
    <row r="274" spans="1:3">
      <c r="A274" s="91">
        <v>20180429388</v>
      </c>
      <c r="B274" s="76" t="s">
        <v>445</v>
      </c>
      <c r="C274" s="81" t="s">
        <v>41</v>
      </c>
    </row>
    <row r="275" spans="1:3">
      <c r="A275" s="91">
        <v>30716229552</v>
      </c>
      <c r="B275" s="76" t="s">
        <v>573</v>
      </c>
      <c r="C275" s="81" t="s">
        <v>54</v>
      </c>
    </row>
    <row r="276" spans="1:3">
      <c r="A276" s="91">
        <v>30643700952</v>
      </c>
      <c r="B276" s="76" t="s">
        <v>512</v>
      </c>
      <c r="C276" s="81" t="s">
        <v>41</v>
      </c>
    </row>
    <row r="277" spans="1:3">
      <c r="A277" s="91">
        <v>30712448586</v>
      </c>
      <c r="B277" s="76" t="s">
        <v>438</v>
      </c>
      <c r="C277" s="81" t="s">
        <v>54</v>
      </c>
    </row>
    <row r="278" spans="1:3">
      <c r="A278" s="91">
        <v>20929183143</v>
      </c>
      <c r="B278" s="76" t="s">
        <v>469</v>
      </c>
      <c r="C278" s="81" t="s">
        <v>54</v>
      </c>
    </row>
    <row r="279" spans="1:3">
      <c r="A279" s="87">
        <v>27385671526</v>
      </c>
      <c r="B279" s="76" t="s">
        <v>193</v>
      </c>
      <c r="C279" s="81" t="s">
        <v>41</v>
      </c>
    </row>
    <row r="280" spans="1:3">
      <c r="A280" s="83">
        <v>30657715383</v>
      </c>
      <c r="B280" s="76" t="s">
        <v>591</v>
      </c>
      <c r="C280" s="81" t="s">
        <v>54</v>
      </c>
    </row>
    <row r="281" spans="1:3">
      <c r="A281" s="91">
        <v>30715589032</v>
      </c>
      <c r="B281" s="76" t="s">
        <v>348</v>
      </c>
      <c r="C281" s="81" t="s">
        <v>41</v>
      </c>
    </row>
    <row r="282" spans="1:3">
      <c r="A282" s="91">
        <v>27119876171</v>
      </c>
      <c r="B282" s="76" t="s">
        <v>78</v>
      </c>
      <c r="C282" s="81" t="s">
        <v>80</v>
      </c>
    </row>
    <row r="283" spans="1:3">
      <c r="A283" s="91">
        <v>33708218699</v>
      </c>
      <c r="B283" s="76" t="s">
        <v>526</v>
      </c>
      <c r="C283" s="81" t="s">
        <v>54</v>
      </c>
    </row>
    <row r="284" spans="1:3">
      <c r="A284" s="91">
        <v>27251466756</v>
      </c>
      <c r="B284" s="76" t="s">
        <v>324</v>
      </c>
      <c r="C284" s="81" t="s">
        <v>38</v>
      </c>
    </row>
    <row r="285" spans="1:3">
      <c r="A285" s="91">
        <v>27101420391</v>
      </c>
      <c r="B285" s="76" t="s">
        <v>225</v>
      </c>
      <c r="C285" s="81" t="s">
        <v>41</v>
      </c>
    </row>
    <row r="286" spans="1:3">
      <c r="A286" s="91">
        <v>27228778937</v>
      </c>
      <c r="B286" s="76" t="s">
        <v>138</v>
      </c>
      <c r="C286" s="81" t="s">
        <v>41</v>
      </c>
    </row>
    <row r="287" spans="1:3">
      <c r="A287" s="91">
        <v>20202134700</v>
      </c>
      <c r="B287" s="80" t="s">
        <v>120</v>
      </c>
      <c r="C287" s="81" t="s">
        <v>43</v>
      </c>
    </row>
    <row r="288" spans="1:3">
      <c r="A288" s="83">
        <v>27256001980</v>
      </c>
      <c r="B288" s="76" t="s">
        <v>537</v>
      </c>
      <c r="C288" s="81" t="s">
        <v>38</v>
      </c>
    </row>
    <row r="289" spans="1:3">
      <c r="A289" s="91">
        <v>30678628324</v>
      </c>
      <c r="B289" s="76" t="s">
        <v>325</v>
      </c>
      <c r="C289" s="81" t="s">
        <v>54</v>
      </c>
    </row>
    <row r="290" spans="1:3">
      <c r="A290" s="233">
        <v>27232408737</v>
      </c>
      <c r="B290" s="76" t="s">
        <v>386</v>
      </c>
      <c r="C290" s="81" t="s">
        <v>54</v>
      </c>
    </row>
    <row r="291" spans="1:3">
      <c r="A291" s="91">
        <v>30705740670</v>
      </c>
      <c r="B291" s="76" t="s">
        <v>321</v>
      </c>
      <c r="C291" s="81" t="s">
        <v>54</v>
      </c>
    </row>
    <row r="292" spans="1:3">
      <c r="A292" s="91">
        <v>30710361351</v>
      </c>
      <c r="B292" s="76" t="s">
        <v>487</v>
      </c>
      <c r="C292" s="81" t="s">
        <v>54</v>
      </c>
    </row>
    <row r="293" spans="1:3">
      <c r="A293" s="91">
        <v>30612865333</v>
      </c>
      <c r="B293" s="76" t="s">
        <v>364</v>
      </c>
      <c r="C293" s="81" t="s">
        <v>54</v>
      </c>
    </row>
    <row r="294" spans="1:3">
      <c r="A294" s="91">
        <v>30707042679</v>
      </c>
      <c r="B294" s="76" t="s">
        <v>151</v>
      </c>
      <c r="C294" s="81" t="s">
        <v>41</v>
      </c>
    </row>
    <row r="295" spans="1:3">
      <c r="A295" s="233">
        <v>30710912579</v>
      </c>
      <c r="B295" s="76" t="s">
        <v>391</v>
      </c>
      <c r="C295" s="81" t="s">
        <v>41</v>
      </c>
    </row>
    <row r="296" spans="1:3">
      <c r="A296" s="83">
        <v>30658035033</v>
      </c>
      <c r="B296" s="76" t="s">
        <v>540</v>
      </c>
      <c r="C296" s="81" t="s">
        <v>80</v>
      </c>
    </row>
    <row r="297" spans="1:3">
      <c r="A297" s="83">
        <v>30546771314</v>
      </c>
      <c r="B297" s="76" t="s">
        <v>79</v>
      </c>
      <c r="C297" s="81" t="s">
        <v>80</v>
      </c>
    </row>
    <row r="298" spans="1:3">
      <c r="A298" s="83">
        <v>20299835260</v>
      </c>
      <c r="B298" s="76" t="s">
        <v>523</v>
      </c>
      <c r="C298" s="81" t="s">
        <v>41</v>
      </c>
    </row>
    <row r="299" spans="1:3">
      <c r="A299" s="83">
        <v>30710816049</v>
      </c>
      <c r="B299" s="76" t="s">
        <v>46</v>
      </c>
      <c r="C299" s="81" t="s">
        <v>41</v>
      </c>
    </row>
    <row r="300" spans="1:3">
      <c r="A300" s="83">
        <v>30703088534</v>
      </c>
      <c r="B300" s="76" t="s">
        <v>223</v>
      </c>
      <c r="C300" s="81" t="s">
        <v>41</v>
      </c>
    </row>
    <row r="301" spans="1:3">
      <c r="A301" s="91">
        <v>30711350213</v>
      </c>
      <c r="B301" s="76" t="s">
        <v>252</v>
      </c>
      <c r="C301" s="81" t="s">
        <v>41</v>
      </c>
    </row>
    <row r="302" spans="1:3">
      <c r="A302" s="91">
        <v>30709016012</v>
      </c>
      <c r="B302" s="76" t="s">
        <v>77</v>
      </c>
      <c r="C302" s="81" t="s">
        <v>80</v>
      </c>
    </row>
    <row r="303" spans="1:3">
      <c r="A303" s="83">
        <v>20182095215</v>
      </c>
      <c r="B303" s="76" t="s">
        <v>202</v>
      </c>
      <c r="C303" s="81" t="s">
        <v>203</v>
      </c>
    </row>
    <row r="304" spans="1:3">
      <c r="A304" s="197">
        <v>20265153209</v>
      </c>
      <c r="B304" s="76" t="s">
        <v>394</v>
      </c>
      <c r="C304" s="81" t="s">
        <v>36</v>
      </c>
    </row>
    <row r="305" spans="1:3">
      <c r="A305" s="83">
        <v>30685116657</v>
      </c>
      <c r="B305" s="76" t="s">
        <v>319</v>
      </c>
      <c r="C305" s="81" t="s">
        <v>54</v>
      </c>
    </row>
    <row r="306" spans="1:3">
      <c r="A306" s="83">
        <v>30715224468</v>
      </c>
      <c r="B306" s="76" t="s">
        <v>548</v>
      </c>
      <c r="C306" s="81" t="s">
        <v>41</v>
      </c>
    </row>
    <row r="307" spans="1:3">
      <c r="A307" s="85">
        <v>20291935401</v>
      </c>
      <c r="B307" s="80" t="s">
        <v>132</v>
      </c>
      <c r="C307" s="81" t="s">
        <v>41</v>
      </c>
    </row>
    <row r="308" spans="1:3">
      <c r="A308" s="91">
        <v>27250643182</v>
      </c>
      <c r="B308" s="76" t="s">
        <v>428</v>
      </c>
      <c r="C308" s="81" t="s">
        <v>54</v>
      </c>
    </row>
    <row r="309" spans="1:3">
      <c r="A309" s="83">
        <v>30708150351</v>
      </c>
      <c r="B309" s="76" t="s">
        <v>520</v>
      </c>
      <c r="C309" s="81" t="s">
        <v>54</v>
      </c>
    </row>
    <row r="310" spans="1:3">
      <c r="A310" s="83">
        <v>20127096733</v>
      </c>
      <c r="B310" s="76" t="s">
        <v>437</v>
      </c>
      <c r="C310" s="81" t="s">
        <v>41</v>
      </c>
    </row>
    <row r="311" spans="1:3">
      <c r="A311" s="83">
        <v>27202892936</v>
      </c>
      <c r="B311" s="76" t="s">
        <v>373</v>
      </c>
      <c r="C311" s="81" t="s">
        <v>41</v>
      </c>
    </row>
    <row r="312" spans="1:3">
      <c r="A312" s="83">
        <v>30709242888</v>
      </c>
      <c r="B312" s="76" t="s">
        <v>309</v>
      </c>
      <c r="C312" s="81" t="s">
        <v>41</v>
      </c>
    </row>
    <row r="313" spans="1:3">
      <c r="A313" s="83">
        <v>30708823151</v>
      </c>
      <c r="B313" s="76" t="s">
        <v>515</v>
      </c>
      <c r="C313" s="81" t="s">
        <v>41</v>
      </c>
    </row>
    <row r="314" spans="1:3">
      <c r="A314" s="83">
        <v>20045461611</v>
      </c>
      <c r="B314" s="76" t="s">
        <v>476</v>
      </c>
      <c r="C314" s="81" t="s">
        <v>54</v>
      </c>
    </row>
    <row r="315" spans="1:3">
      <c r="A315" s="234">
        <v>23306035444</v>
      </c>
      <c r="B315" s="76" t="s">
        <v>347</v>
      </c>
      <c r="C315" s="81" t="s">
        <v>41</v>
      </c>
    </row>
    <row r="316" spans="1:3">
      <c r="A316" s="91">
        <v>20174004146</v>
      </c>
      <c r="B316" s="76" t="s">
        <v>396</v>
      </c>
      <c r="C316" s="81" t="s">
        <v>36</v>
      </c>
    </row>
    <row r="317" spans="1:3">
      <c r="A317" s="91">
        <v>20334976433</v>
      </c>
      <c r="B317" s="76" t="s">
        <v>498</v>
      </c>
      <c r="C317" s="81" t="s">
        <v>36</v>
      </c>
    </row>
    <row r="318" spans="1:3">
      <c r="A318" s="83">
        <v>20315107807</v>
      </c>
      <c r="B318" s="76" t="s">
        <v>35</v>
      </c>
      <c r="C318" s="81" t="s">
        <v>36</v>
      </c>
    </row>
    <row r="319" spans="1:3">
      <c r="A319" s="91">
        <v>20363081755</v>
      </c>
      <c r="B319" s="76" t="s">
        <v>322</v>
      </c>
      <c r="C319" s="81" t="s">
        <v>36</v>
      </c>
    </row>
    <row r="320" spans="1:3">
      <c r="A320" s="87">
        <v>20232991527</v>
      </c>
      <c r="B320" s="76" t="s">
        <v>56</v>
      </c>
      <c r="C320" s="81" t="s">
        <v>41</v>
      </c>
    </row>
    <row r="321" spans="1:3">
      <c r="A321" s="91">
        <v>30715515012</v>
      </c>
      <c r="B321" s="76" t="s">
        <v>545</v>
      </c>
      <c r="C321" s="81" t="s">
        <v>124</v>
      </c>
    </row>
    <row r="322" spans="1:3">
      <c r="A322" s="91">
        <v>30714773255</v>
      </c>
      <c r="B322" s="76" t="s">
        <v>250</v>
      </c>
      <c r="C322" s="81" t="s">
        <v>54</v>
      </c>
    </row>
    <row r="323" spans="1:3">
      <c r="A323" s="89">
        <v>30715284142</v>
      </c>
      <c r="B323" s="76" t="s">
        <v>198</v>
      </c>
      <c r="C323" s="81" t="s">
        <v>54</v>
      </c>
    </row>
    <row r="324" spans="1:3">
      <c r="A324" s="91">
        <v>30717179389</v>
      </c>
      <c r="B324" s="76" t="s">
        <v>583</v>
      </c>
      <c r="C324" s="81" t="s">
        <v>54</v>
      </c>
    </row>
    <row r="325" spans="1:3">
      <c r="A325" s="91">
        <v>20171082464</v>
      </c>
      <c r="B325" s="76" t="s">
        <v>461</v>
      </c>
      <c r="C325" s="81" t="s">
        <v>54</v>
      </c>
    </row>
    <row r="326" spans="1:3">
      <c r="A326" s="83">
        <v>30709318965</v>
      </c>
      <c r="B326" s="76" t="s">
        <v>442</v>
      </c>
      <c r="C326" s="81" t="s">
        <v>41</v>
      </c>
    </row>
    <row r="327" spans="1:3">
      <c r="A327" s="91">
        <v>30702652975</v>
      </c>
      <c r="B327" s="76" t="s">
        <v>300</v>
      </c>
      <c r="C327" s="81" t="s">
        <v>39</v>
      </c>
    </row>
    <row r="328" spans="1:3">
      <c r="A328" s="87">
        <v>30715399519</v>
      </c>
      <c r="B328" s="80" t="s">
        <v>130</v>
      </c>
      <c r="C328" s="81" t="s">
        <v>131</v>
      </c>
    </row>
    <row r="329" spans="1:3">
      <c r="A329" s="91">
        <v>20222347719</v>
      </c>
      <c r="B329" s="76" t="s">
        <v>562</v>
      </c>
      <c r="C329" s="81" t="s">
        <v>54</v>
      </c>
    </row>
    <row r="330" spans="1:3">
      <c r="A330" s="91">
        <v>30536259194</v>
      </c>
      <c r="B330" s="80" t="s">
        <v>129</v>
      </c>
      <c r="C330" s="81" t="s">
        <v>36</v>
      </c>
    </row>
    <row r="331" spans="1:3">
      <c r="A331" s="234">
        <v>27209647252</v>
      </c>
      <c r="B331" s="76" t="s">
        <v>410</v>
      </c>
      <c r="C331" s="81" t="s">
        <v>41</v>
      </c>
    </row>
    <row r="332" spans="1:3">
      <c r="A332" s="91">
        <v>30646217977</v>
      </c>
      <c r="B332" s="76" t="s">
        <v>479</v>
      </c>
      <c r="C332" s="81" t="s">
        <v>80</v>
      </c>
    </row>
    <row r="333" spans="1:3">
      <c r="A333" s="91">
        <v>30500053522</v>
      </c>
      <c r="B333" s="76" t="s">
        <v>72</v>
      </c>
      <c r="C333" s="81" t="s">
        <v>80</v>
      </c>
    </row>
    <row r="334" spans="1:3">
      <c r="A334" s="91">
        <v>30546846217</v>
      </c>
      <c r="B334" s="80" t="s">
        <v>251</v>
      </c>
      <c r="C334" s="81" t="s">
        <v>80</v>
      </c>
    </row>
    <row r="335" spans="1:3">
      <c r="A335" s="83">
        <v>30717024393</v>
      </c>
      <c r="B335" s="76" t="s">
        <v>539</v>
      </c>
      <c r="C335" s="81" t="s">
        <v>54</v>
      </c>
    </row>
    <row r="336" spans="1:3">
      <c r="A336" s="83">
        <v>27405786066</v>
      </c>
      <c r="B336" s="76" t="s">
        <v>297</v>
      </c>
      <c r="C336" s="81" t="s">
        <v>54</v>
      </c>
    </row>
    <row r="337" spans="1:3">
      <c r="A337" s="83">
        <v>23383224829</v>
      </c>
      <c r="B337" s="76" t="s">
        <v>499</v>
      </c>
      <c r="C337" s="81" t="s">
        <v>38</v>
      </c>
    </row>
    <row r="338" spans="1:3">
      <c r="A338" s="83">
        <v>23411502619</v>
      </c>
      <c r="B338" s="76" t="s">
        <v>490</v>
      </c>
      <c r="C338" s="81" t="s">
        <v>38</v>
      </c>
    </row>
    <row r="339" spans="1:3">
      <c r="A339" s="83">
        <v>30711377944</v>
      </c>
      <c r="B339" s="76" t="s">
        <v>271</v>
      </c>
      <c r="C339" s="81" t="s">
        <v>54</v>
      </c>
    </row>
    <row r="340" spans="1:3">
      <c r="A340" s="83">
        <v>30678774495</v>
      </c>
      <c r="B340" s="76" t="s">
        <v>274</v>
      </c>
      <c r="C340" s="81" t="s">
        <v>54</v>
      </c>
    </row>
    <row r="341" spans="1:3">
      <c r="A341" s="83">
        <v>20238751560</v>
      </c>
      <c r="B341" s="76" t="s">
        <v>172</v>
      </c>
      <c r="C341" s="81" t="s">
        <v>54</v>
      </c>
    </row>
    <row r="342" spans="1:3">
      <c r="A342" s="91">
        <v>30661143610</v>
      </c>
      <c r="B342" s="76" t="s">
        <v>552</v>
      </c>
      <c r="C342" s="81" t="s">
        <v>41</v>
      </c>
    </row>
    <row r="343" spans="1:3">
      <c r="A343" s="91">
        <v>30714331082</v>
      </c>
      <c r="B343" s="76" t="s">
        <v>148</v>
      </c>
      <c r="C343" s="81" t="s">
        <v>41</v>
      </c>
    </row>
    <row r="344" spans="1:3">
      <c r="A344" s="91">
        <v>33707920349</v>
      </c>
      <c r="B344" s="76" t="s">
        <v>239</v>
      </c>
      <c r="C344" s="81" t="s">
        <v>41</v>
      </c>
    </row>
    <row r="345" spans="1:3">
      <c r="A345" s="233">
        <v>30661498575</v>
      </c>
      <c r="B345" s="80" t="s">
        <v>201</v>
      </c>
      <c r="C345" s="81" t="s">
        <v>41</v>
      </c>
    </row>
    <row r="346" spans="1:3">
      <c r="A346" s="233">
        <v>33716711469</v>
      </c>
      <c r="B346" s="76" t="s">
        <v>565</v>
      </c>
      <c r="C346" s="81" t="s">
        <v>41</v>
      </c>
    </row>
    <row r="347" spans="1:3">
      <c r="A347" s="85">
        <v>33709738459</v>
      </c>
      <c r="B347" s="76" t="s">
        <v>62</v>
      </c>
      <c r="C347" s="81" t="s">
        <v>41</v>
      </c>
    </row>
    <row r="348" spans="1:3">
      <c r="A348" s="91">
        <v>30696246234</v>
      </c>
      <c r="B348" s="80" t="s">
        <v>161</v>
      </c>
      <c r="C348" s="81" t="s">
        <v>41</v>
      </c>
    </row>
    <row r="349" spans="1:3">
      <c r="A349" s="91">
        <v>30565786306</v>
      </c>
      <c r="B349" s="76" t="s">
        <v>571</v>
      </c>
      <c r="C349" s="81" t="s">
        <v>80</v>
      </c>
    </row>
    <row r="350" spans="1:3">
      <c r="A350" s="91">
        <v>30683032227</v>
      </c>
      <c r="B350" s="76" t="s">
        <v>541</v>
      </c>
      <c r="C350" s="81" t="s">
        <v>80</v>
      </c>
    </row>
    <row r="351" spans="1:3">
      <c r="A351" s="91">
        <v>30585412453</v>
      </c>
      <c r="B351" s="76" t="s">
        <v>245</v>
      </c>
      <c r="C351" s="81" t="s">
        <v>80</v>
      </c>
    </row>
    <row r="352" spans="1:3">
      <c r="A352" s="91">
        <v>30590412631</v>
      </c>
      <c r="B352" s="76" t="s">
        <v>83</v>
      </c>
      <c r="C352" s="81" t="s">
        <v>80</v>
      </c>
    </row>
    <row r="353" spans="1:3">
      <c r="A353" s="91">
        <v>30546666189</v>
      </c>
      <c r="B353" s="80" t="s">
        <v>85</v>
      </c>
      <c r="C353" s="81" t="s">
        <v>80</v>
      </c>
    </row>
    <row r="354" spans="1:3">
      <c r="A354" s="89">
        <v>30608716390</v>
      </c>
      <c r="B354" s="80" t="s">
        <v>128</v>
      </c>
      <c r="C354" s="81" t="s">
        <v>80</v>
      </c>
    </row>
    <row r="355" spans="1:3">
      <c r="A355" s="91">
        <v>30658137642</v>
      </c>
      <c r="B355" s="80" t="s">
        <v>87</v>
      </c>
      <c r="C355" s="81" t="s">
        <v>80</v>
      </c>
    </row>
    <row r="356" spans="1:3">
      <c r="A356" s="91">
        <v>30707080198</v>
      </c>
      <c r="B356" s="76" t="s">
        <v>66</v>
      </c>
      <c r="C356" s="81" t="s">
        <v>41</v>
      </c>
    </row>
    <row r="357" spans="1:3">
      <c r="A357" s="88">
        <v>30643862928</v>
      </c>
      <c r="B357" s="80" t="s">
        <v>170</v>
      </c>
      <c r="C357" s="81" t="s">
        <v>41</v>
      </c>
    </row>
    <row r="358" spans="1:3">
      <c r="A358" s="91">
        <v>20330614014</v>
      </c>
      <c r="B358" s="76" t="s">
        <v>367</v>
      </c>
      <c r="C358" s="81" t="s">
        <v>41</v>
      </c>
    </row>
    <row r="359" spans="1:3">
      <c r="A359" s="91">
        <v>20277164192</v>
      </c>
      <c r="B359" s="80" t="s">
        <v>122</v>
      </c>
      <c r="C359" s="81" t="s">
        <v>43</v>
      </c>
    </row>
    <row r="360" spans="1:3">
      <c r="A360" s="91">
        <v>20043911369</v>
      </c>
      <c r="B360" s="76" t="s">
        <v>208</v>
      </c>
      <c r="C360" s="81" t="s">
        <v>41</v>
      </c>
    </row>
    <row r="361" spans="1:3">
      <c r="A361" s="91">
        <v>20275351254</v>
      </c>
      <c r="B361" s="76" t="s">
        <v>443</v>
      </c>
      <c r="C361" s="81" t="s">
        <v>41</v>
      </c>
    </row>
    <row r="362" spans="1:3">
      <c r="A362" s="91">
        <v>30695542476</v>
      </c>
      <c r="B362" s="76" t="s">
        <v>288</v>
      </c>
      <c r="C362" s="81" t="s">
        <v>43</v>
      </c>
    </row>
    <row r="363" spans="1:3">
      <c r="A363" s="91">
        <v>30587197215</v>
      </c>
      <c r="B363" s="76" t="s">
        <v>493</v>
      </c>
      <c r="C363" s="81" t="s">
        <v>54</v>
      </c>
    </row>
    <row r="364" spans="1:3">
      <c r="A364" s="91">
        <v>30591633984</v>
      </c>
      <c r="B364" s="76" t="s">
        <v>119</v>
      </c>
      <c r="C364" s="81" t="s">
        <v>41</v>
      </c>
    </row>
    <row r="365" spans="1:3">
      <c r="A365" s="91">
        <v>30716815710</v>
      </c>
      <c r="B365" s="76" t="s">
        <v>357</v>
      </c>
      <c r="C365" s="81" t="s">
        <v>51</v>
      </c>
    </row>
    <row r="366" spans="1:3">
      <c r="A366" s="83">
        <v>30605041287</v>
      </c>
      <c r="B366" s="76" t="s">
        <v>269</v>
      </c>
      <c r="C366" s="81" t="s">
        <v>54</v>
      </c>
    </row>
    <row r="367" spans="1:3">
      <c r="A367" s="83">
        <v>27218733803</v>
      </c>
      <c r="B367" s="76" t="s">
        <v>326</v>
      </c>
      <c r="C367" s="81" t="s">
        <v>51</v>
      </c>
    </row>
    <row r="368" spans="1:3">
      <c r="A368" s="203">
        <v>33693786369</v>
      </c>
      <c r="B368" s="76" t="s">
        <v>421</v>
      </c>
      <c r="C368" s="81" t="s">
        <v>54</v>
      </c>
    </row>
    <row r="369" spans="1:3">
      <c r="A369" s="83">
        <v>30627583873</v>
      </c>
      <c r="B369" s="76" t="s">
        <v>257</v>
      </c>
      <c r="C369" s="81" t="s">
        <v>54</v>
      </c>
    </row>
    <row r="370" spans="1:3">
      <c r="A370" s="83">
        <v>30715413678</v>
      </c>
      <c r="B370" s="76" t="s">
        <v>377</v>
      </c>
      <c r="C370" s="81" t="s">
        <v>54</v>
      </c>
    </row>
    <row r="371" spans="1:3">
      <c r="A371" s="83">
        <v>20108555417</v>
      </c>
      <c r="B371" s="76" t="s">
        <v>465</v>
      </c>
      <c r="C371" s="81" t="s">
        <v>41</v>
      </c>
    </row>
    <row r="372" spans="1:3">
      <c r="A372" s="83">
        <v>20280154602</v>
      </c>
      <c r="B372" s="76" t="s">
        <v>317</v>
      </c>
      <c r="C372" s="81" t="s">
        <v>36</v>
      </c>
    </row>
    <row r="373" spans="1:3">
      <c r="A373" s="197">
        <v>23282830299</v>
      </c>
      <c r="B373" s="227" t="s">
        <v>431</v>
      </c>
      <c r="C373" s="228" t="s">
        <v>41</v>
      </c>
    </row>
    <row r="374" spans="1:3">
      <c r="A374" s="91">
        <v>27316249154</v>
      </c>
      <c r="B374" s="76" t="s">
        <v>510</v>
      </c>
      <c r="C374" s="81" t="s">
        <v>41</v>
      </c>
    </row>
    <row r="375" spans="1:3">
      <c r="A375" s="91">
        <v>20274327678</v>
      </c>
      <c r="B375" s="76" t="s">
        <v>426</v>
      </c>
      <c r="C375" s="81" t="s">
        <v>36</v>
      </c>
    </row>
    <row r="376" spans="1:3">
      <c r="A376" s="91">
        <v>27182477368</v>
      </c>
      <c r="B376" s="76" t="s">
        <v>74</v>
      </c>
      <c r="C376" s="81" t="s">
        <v>80</v>
      </c>
    </row>
    <row r="377" spans="1:3">
      <c r="A377" s="91">
        <v>20307462207</v>
      </c>
      <c r="B377" s="76" t="s">
        <v>268</v>
      </c>
      <c r="C377" s="81" t="s">
        <v>54</v>
      </c>
    </row>
    <row r="378" spans="1:3">
      <c r="A378" s="91">
        <v>20113613646</v>
      </c>
      <c r="B378" s="76" t="s">
        <v>415</v>
      </c>
      <c r="C378" s="81" t="s">
        <v>54</v>
      </c>
    </row>
    <row r="379" spans="1:3">
      <c r="A379" s="91">
        <v>30601502085</v>
      </c>
      <c r="B379" s="76" t="s">
        <v>475</v>
      </c>
      <c r="C379" s="81" t="s">
        <v>54</v>
      </c>
    </row>
    <row r="380" spans="1:3">
      <c r="A380" s="91">
        <v>20184015820</v>
      </c>
      <c r="B380" s="76" t="s">
        <v>489</v>
      </c>
      <c r="C380" s="81" t="s">
        <v>54</v>
      </c>
    </row>
    <row r="381" spans="1:3">
      <c r="A381" s="91">
        <v>30646512952</v>
      </c>
      <c r="B381" s="76" t="s">
        <v>474</v>
      </c>
      <c r="C381" s="81" t="s">
        <v>54</v>
      </c>
    </row>
    <row r="382" spans="1:3">
      <c r="A382" s="91">
        <v>27279386715</v>
      </c>
      <c r="B382" s="76" t="s">
        <v>258</v>
      </c>
      <c r="C382" s="81" t="s">
        <v>54</v>
      </c>
    </row>
    <row r="383" spans="1:3">
      <c r="A383" s="91">
        <v>27370346742</v>
      </c>
      <c r="B383" s="76" t="s">
        <v>189</v>
      </c>
      <c r="C383" s="81" t="s">
        <v>177</v>
      </c>
    </row>
    <row r="384" spans="1:3">
      <c r="A384" s="91">
        <v>20046086806</v>
      </c>
      <c r="B384" s="76" t="s">
        <v>486</v>
      </c>
      <c r="C384" s="81" t="s">
        <v>54</v>
      </c>
    </row>
    <row r="385" spans="1:3">
      <c r="A385" s="87">
        <v>27265302225</v>
      </c>
      <c r="B385" s="80" t="s">
        <v>165</v>
      </c>
      <c r="C385" s="81" t="s">
        <v>41</v>
      </c>
    </row>
    <row r="386" spans="1:3">
      <c r="A386" s="91">
        <v>20264653313</v>
      </c>
      <c r="B386" s="76" t="s">
        <v>491</v>
      </c>
      <c r="C386" s="81" t="s">
        <v>36</v>
      </c>
    </row>
    <row r="387" spans="1:3">
      <c r="A387" s="91">
        <v>30577428618</v>
      </c>
      <c r="B387" s="76" t="s">
        <v>568</v>
      </c>
      <c r="C387" s="81" t="s">
        <v>54</v>
      </c>
    </row>
    <row r="388" spans="1:3">
      <c r="A388" s="91">
        <v>30715740806</v>
      </c>
      <c r="B388" s="76" t="s">
        <v>263</v>
      </c>
      <c r="C388" s="81" t="s">
        <v>54</v>
      </c>
    </row>
    <row r="389" spans="1:3">
      <c r="A389" s="91">
        <v>20362272441</v>
      </c>
      <c r="B389" s="76" t="s">
        <v>518</v>
      </c>
      <c r="C389" s="81" t="s">
        <v>41</v>
      </c>
    </row>
    <row r="390" spans="1:3">
      <c r="A390" s="91">
        <v>20253804336</v>
      </c>
      <c r="B390" s="76" t="s">
        <v>416</v>
      </c>
      <c r="C390" s="81" t="s">
        <v>41</v>
      </c>
    </row>
    <row r="391" spans="1:3">
      <c r="A391" s="91">
        <v>30707970010</v>
      </c>
      <c r="B391" s="76" t="s">
        <v>247</v>
      </c>
      <c r="C391" s="81" t="s">
        <v>41</v>
      </c>
    </row>
    <row r="392" spans="1:3">
      <c r="A392" s="91">
        <v>27368203829</v>
      </c>
      <c r="B392" s="76" t="s">
        <v>409</v>
      </c>
      <c r="C392" s="81" t="s">
        <v>41</v>
      </c>
    </row>
    <row r="393" spans="1:3">
      <c r="A393" s="91">
        <v>30709776564</v>
      </c>
      <c r="B393" s="76" t="s">
        <v>134</v>
      </c>
      <c r="C393" s="81" t="s">
        <v>135</v>
      </c>
    </row>
    <row r="394" spans="1:3">
      <c r="A394" s="233">
        <v>20285597405</v>
      </c>
      <c r="B394" s="76" t="s">
        <v>382</v>
      </c>
      <c r="C394" s="81" t="s">
        <v>54</v>
      </c>
    </row>
    <row r="395" spans="1:3">
      <c r="A395" s="233">
        <v>30716821478</v>
      </c>
      <c r="B395" s="76" t="s">
        <v>422</v>
      </c>
      <c r="C395" s="81" t="s">
        <v>41</v>
      </c>
    </row>
    <row r="396" spans="1:3">
      <c r="A396" s="88">
        <v>20182721787</v>
      </c>
      <c r="B396" s="80" t="s">
        <v>171</v>
      </c>
      <c r="C396" s="81" t="s">
        <v>41</v>
      </c>
    </row>
    <row r="397" spans="1:3">
      <c r="A397" s="91">
        <v>20289111329</v>
      </c>
      <c r="B397" s="76" t="s">
        <v>467</v>
      </c>
      <c r="C397" s="81" t="s">
        <v>41</v>
      </c>
    </row>
    <row r="398" spans="1:3">
      <c r="A398" s="91">
        <v>27233748205</v>
      </c>
      <c r="B398" s="76" t="s">
        <v>298</v>
      </c>
      <c r="C398" s="81" t="s">
        <v>41</v>
      </c>
    </row>
    <row r="399" spans="1:3">
      <c r="A399" s="91">
        <v>30707370552</v>
      </c>
      <c r="B399" s="76" t="s">
        <v>294</v>
      </c>
      <c r="C399" s="81" t="s">
        <v>41</v>
      </c>
    </row>
    <row r="400" spans="1:3">
      <c r="A400" s="91">
        <v>20142643384</v>
      </c>
      <c r="B400" s="76" t="s">
        <v>580</v>
      </c>
      <c r="C400" s="81" t="s">
        <v>41</v>
      </c>
    </row>
    <row r="401" spans="1:3">
      <c r="A401" s="91">
        <v>20202500138</v>
      </c>
      <c r="B401" s="80" t="s">
        <v>123</v>
      </c>
      <c r="C401" s="81" t="s">
        <v>124</v>
      </c>
    </row>
    <row r="402" spans="1:3">
      <c r="A402" s="91">
        <v>27181965709</v>
      </c>
      <c r="B402" s="76" t="s">
        <v>505</v>
      </c>
      <c r="C402" s="81" t="s">
        <v>36</v>
      </c>
    </row>
    <row r="403" spans="1:3">
      <c r="A403" s="91">
        <v>30715141201</v>
      </c>
      <c r="B403" s="76" t="s">
        <v>147</v>
      </c>
      <c r="C403" s="81" t="s">
        <v>41</v>
      </c>
    </row>
    <row r="404" spans="1:3">
      <c r="A404" s="91">
        <v>30709214078</v>
      </c>
      <c r="B404" s="76" t="s">
        <v>44</v>
      </c>
      <c r="C404" s="81" t="s">
        <v>41</v>
      </c>
    </row>
    <row r="405" spans="1:3">
      <c r="A405" s="88">
        <v>30711764921</v>
      </c>
      <c r="B405" s="76" t="s">
        <v>157</v>
      </c>
      <c r="C405" s="81" t="s">
        <v>41</v>
      </c>
    </row>
    <row r="406" spans="1:3">
      <c r="A406" s="91">
        <v>30710473990</v>
      </c>
      <c r="B406" s="76" t="s">
        <v>69</v>
      </c>
      <c r="C406" s="81" t="s">
        <v>54</v>
      </c>
    </row>
    <row r="407" spans="1:3">
      <c r="A407" s="91">
        <v>30711013969</v>
      </c>
      <c r="B407" s="76" t="s">
        <v>586</v>
      </c>
      <c r="C407" s="81" t="s">
        <v>36</v>
      </c>
    </row>
    <row r="408" spans="1:3">
      <c r="A408" s="91">
        <v>20319885812</v>
      </c>
      <c r="B408" s="76" t="s">
        <v>316</v>
      </c>
      <c r="C408" s="81" t="s">
        <v>41</v>
      </c>
    </row>
    <row r="409" spans="1:3">
      <c r="A409" s="91">
        <v>23106878269</v>
      </c>
      <c r="B409" s="76" t="s">
        <v>513</v>
      </c>
      <c r="C409" s="81" t="s">
        <v>41</v>
      </c>
    </row>
    <row r="410" spans="1:3">
      <c r="A410" s="91">
        <v>20133694146</v>
      </c>
      <c r="B410" s="76" t="s">
        <v>343</v>
      </c>
      <c r="C410" s="81" t="s">
        <v>54</v>
      </c>
    </row>
    <row r="411" spans="1:3">
      <c r="A411" s="91">
        <v>20117741398</v>
      </c>
      <c r="B411" s="76" t="s">
        <v>385</v>
      </c>
      <c r="C411" s="81" t="s">
        <v>54</v>
      </c>
    </row>
    <row r="412" spans="1:3">
      <c r="A412" s="91">
        <v>33716449829</v>
      </c>
      <c r="B412" s="76" t="s">
        <v>276</v>
      </c>
      <c r="C412" s="81" t="s">
        <v>36</v>
      </c>
    </row>
    <row r="413" spans="1:3">
      <c r="A413" s="233">
        <v>30642659312</v>
      </c>
      <c r="B413" s="76" t="s">
        <v>341</v>
      </c>
      <c r="C413" s="81" t="s">
        <v>41</v>
      </c>
    </row>
    <row r="414" spans="1:3">
      <c r="A414" s="88">
        <v>23233422029</v>
      </c>
      <c r="B414" s="80" t="s">
        <v>176</v>
      </c>
      <c r="C414" s="81" t="s">
        <v>41</v>
      </c>
    </row>
    <row r="415" spans="1:3">
      <c r="A415" s="91">
        <v>20183700805</v>
      </c>
      <c r="B415" s="76" t="s">
        <v>368</v>
      </c>
      <c r="C415" s="81" t="s">
        <v>38</v>
      </c>
    </row>
    <row r="416" spans="1:3">
      <c r="A416" s="91">
        <v>27313805293</v>
      </c>
      <c r="B416" s="76" t="s">
        <v>379</v>
      </c>
      <c r="C416" s="81" t="s">
        <v>54</v>
      </c>
    </row>
    <row r="417" spans="1:3">
      <c r="A417" s="91">
        <v>30708552808</v>
      </c>
      <c r="B417" s="76" t="s">
        <v>376</v>
      </c>
      <c r="C417" s="81" t="s">
        <v>54</v>
      </c>
    </row>
    <row r="418" spans="1:3">
      <c r="A418" s="87">
        <v>30715048066</v>
      </c>
      <c r="B418" s="76" t="s">
        <v>55</v>
      </c>
      <c r="C418" s="81" t="s">
        <v>54</v>
      </c>
    </row>
    <row r="419" spans="1:3">
      <c r="A419" s="91">
        <v>23122329119</v>
      </c>
      <c r="B419" s="76" t="s">
        <v>473</v>
      </c>
      <c r="C419" s="81" t="s">
        <v>54</v>
      </c>
    </row>
    <row r="420" spans="1:3">
      <c r="A420" s="91">
        <v>30710638973</v>
      </c>
      <c r="B420" s="76" t="s">
        <v>522</v>
      </c>
      <c r="C420" s="81" t="s">
        <v>54</v>
      </c>
    </row>
    <row r="421" spans="1:3">
      <c r="A421" s="88">
        <v>30595553535</v>
      </c>
      <c r="B421" s="80" t="s">
        <v>205</v>
      </c>
      <c r="C421" s="81" t="s">
        <v>181</v>
      </c>
    </row>
    <row r="422" spans="1:3">
      <c r="A422" s="91">
        <v>20044272009</v>
      </c>
      <c r="B422" s="76" t="s">
        <v>356</v>
      </c>
      <c r="C422" s="81" t="s">
        <v>51</v>
      </c>
    </row>
    <row r="423" spans="1:3">
      <c r="A423" s="91">
        <v>20254412490</v>
      </c>
      <c r="B423" s="76" t="s">
        <v>302</v>
      </c>
      <c r="C423" s="81" t="s">
        <v>54</v>
      </c>
    </row>
    <row r="424" spans="1:3">
      <c r="A424" s="89">
        <v>23111810184</v>
      </c>
      <c r="B424" s="76" t="s">
        <v>190</v>
      </c>
      <c r="C424" s="81" t="s">
        <v>80</v>
      </c>
    </row>
    <row r="425" spans="1:3">
      <c r="A425" s="91">
        <v>20394693864</v>
      </c>
      <c r="B425" s="76" t="s">
        <v>550</v>
      </c>
      <c r="C425" s="81" t="s">
        <v>54</v>
      </c>
    </row>
    <row r="426" spans="1:3">
      <c r="A426" s="91">
        <v>30711553564</v>
      </c>
      <c r="B426" s="76" t="s">
        <v>236</v>
      </c>
      <c r="C426" s="81" t="s">
        <v>41</v>
      </c>
    </row>
    <row r="427" spans="1:3">
      <c r="A427" s="91">
        <v>30588919826</v>
      </c>
      <c r="B427" s="76" t="s">
        <v>472</v>
      </c>
      <c r="C427" s="81" t="s">
        <v>54</v>
      </c>
    </row>
    <row r="428" spans="1:3">
      <c r="A428" s="91">
        <v>30586172308</v>
      </c>
      <c r="B428" s="76" t="s">
        <v>249</v>
      </c>
      <c r="C428" s="81" t="s">
        <v>51</v>
      </c>
    </row>
    <row r="429" spans="1:3">
      <c r="A429" s="91">
        <v>27217606255</v>
      </c>
      <c r="B429" s="76" t="s">
        <v>359</v>
      </c>
      <c r="C429" s="81" t="s">
        <v>41</v>
      </c>
    </row>
    <row r="430" spans="1:3">
      <c r="A430" s="91">
        <v>23255491784</v>
      </c>
      <c r="B430" s="76" t="s">
        <v>355</v>
      </c>
      <c r="C430" s="81" t="s">
        <v>41</v>
      </c>
    </row>
    <row r="431" spans="1:3">
      <c r="A431" s="91">
        <v>33693506099</v>
      </c>
      <c r="B431" s="76" t="s">
        <v>333</v>
      </c>
      <c r="C431" s="81" t="s">
        <v>54</v>
      </c>
    </row>
    <row r="432" spans="1:3">
      <c r="A432" s="91">
        <v>20268417762</v>
      </c>
      <c r="B432" s="76" t="s">
        <v>592</v>
      </c>
      <c r="C432" s="81" t="s">
        <v>54</v>
      </c>
    </row>
    <row r="433" spans="1:3">
      <c r="A433" s="91">
        <v>33710130189</v>
      </c>
      <c r="B433" s="76" t="s">
        <v>547</v>
      </c>
      <c r="C433" s="81" t="s">
        <v>41</v>
      </c>
    </row>
    <row r="434" spans="1:3">
      <c r="A434" s="91">
        <v>30690142860</v>
      </c>
      <c r="B434" s="76" t="s">
        <v>230</v>
      </c>
      <c r="C434" s="81" t="s">
        <v>36</v>
      </c>
    </row>
    <row r="435" spans="1:3">
      <c r="A435" s="91">
        <v>30710276273</v>
      </c>
      <c r="B435" s="76" t="s">
        <v>481</v>
      </c>
      <c r="C435" s="81" t="s">
        <v>36</v>
      </c>
    </row>
    <row r="436" spans="1:3">
      <c r="A436" s="91">
        <v>30709570664</v>
      </c>
      <c r="B436" s="76" t="s">
        <v>514</v>
      </c>
      <c r="C436" s="81" t="s">
        <v>41</v>
      </c>
    </row>
    <row r="437" spans="1:3">
      <c r="A437" s="91">
        <v>30638340689</v>
      </c>
      <c r="B437" s="76" t="s">
        <v>337</v>
      </c>
      <c r="C437" s="81" t="s">
        <v>41</v>
      </c>
    </row>
    <row r="438" spans="1:3">
      <c r="A438" s="91">
        <v>30709525839</v>
      </c>
      <c r="B438" s="76" t="s">
        <v>542</v>
      </c>
      <c r="C438" s="81" t="s">
        <v>41</v>
      </c>
    </row>
    <row r="439" spans="1:3">
      <c r="A439" s="233">
        <v>30710682026</v>
      </c>
      <c r="B439" s="76" t="s">
        <v>388</v>
      </c>
      <c r="C439" s="81" t="s">
        <v>54</v>
      </c>
    </row>
    <row r="440" spans="1:3">
      <c r="A440" s="91">
        <v>33709619719</v>
      </c>
      <c r="B440" s="76" t="s">
        <v>527</v>
      </c>
      <c r="C440" s="81" t="s">
        <v>54</v>
      </c>
    </row>
    <row r="441" spans="1:3">
      <c r="A441" s="91">
        <v>30645722554</v>
      </c>
      <c r="B441" s="76" t="s">
        <v>375</v>
      </c>
      <c r="C441" s="81" t="s">
        <v>54</v>
      </c>
    </row>
    <row r="442" spans="1:3">
      <c r="A442" s="91">
        <v>30715753541</v>
      </c>
      <c r="B442" s="76" t="s">
        <v>494</v>
      </c>
      <c r="C442" s="81" t="s">
        <v>54</v>
      </c>
    </row>
    <row r="443" spans="1:3">
      <c r="A443" s="91">
        <v>30598960093</v>
      </c>
      <c r="B443" s="76" t="s">
        <v>67</v>
      </c>
      <c r="C443" s="81" t="s">
        <v>41</v>
      </c>
    </row>
    <row r="444" spans="1:3">
      <c r="A444" s="91">
        <v>20351173913</v>
      </c>
      <c r="B444" s="76" t="s">
        <v>224</v>
      </c>
      <c r="C444" s="81" t="s">
        <v>41</v>
      </c>
    </row>
    <row r="445" spans="1:3">
      <c r="A445" s="91">
        <v>30702071506</v>
      </c>
      <c r="B445" s="76" t="s">
        <v>306</v>
      </c>
      <c r="C445" s="81" t="s">
        <v>54</v>
      </c>
    </row>
    <row r="446" spans="1:3">
      <c r="A446" s="91">
        <v>30711842809</v>
      </c>
      <c r="B446" s="76" t="s">
        <v>378</v>
      </c>
      <c r="C446" s="81" t="s">
        <v>54</v>
      </c>
    </row>
    <row r="447" spans="1:3">
      <c r="A447" s="91">
        <v>30654118767</v>
      </c>
      <c r="B447" s="76" t="s">
        <v>265</v>
      </c>
      <c r="C447" s="81" t="s">
        <v>41</v>
      </c>
    </row>
    <row r="448" spans="1:3">
      <c r="A448" s="235">
        <v>30716393360</v>
      </c>
      <c r="B448" s="76" t="s">
        <v>195</v>
      </c>
      <c r="C448" s="81" t="s">
        <v>41</v>
      </c>
    </row>
    <row r="449" spans="1:3">
      <c r="A449" s="91">
        <v>33715594949</v>
      </c>
      <c r="B449" s="76" t="s">
        <v>566</v>
      </c>
      <c r="C449" s="81" t="s">
        <v>124</v>
      </c>
    </row>
    <row r="450" spans="1:3">
      <c r="A450" s="89">
        <v>27066622997</v>
      </c>
      <c r="B450" s="76" t="s">
        <v>180</v>
      </c>
      <c r="C450" s="81" t="s">
        <v>181</v>
      </c>
    </row>
    <row r="451" spans="1:3">
      <c r="A451" s="91">
        <v>27283627573</v>
      </c>
      <c r="B451" s="76" t="s">
        <v>567</v>
      </c>
      <c r="C451" s="81" t="s">
        <v>124</v>
      </c>
    </row>
    <row r="452" spans="1:3">
      <c r="A452" s="233">
        <v>20300821872</v>
      </c>
      <c r="B452" s="76" t="s">
        <v>452</v>
      </c>
      <c r="C452" s="81" t="s">
        <v>54</v>
      </c>
    </row>
    <row r="453" spans="1:3">
      <c r="A453" s="91">
        <v>30715668994</v>
      </c>
      <c r="B453" s="76" t="s">
        <v>590</v>
      </c>
      <c r="C453" s="81" t="s">
        <v>41</v>
      </c>
    </row>
    <row r="454" spans="1:3">
      <c r="A454" s="91">
        <v>30577797281</v>
      </c>
      <c r="B454" s="76" t="s">
        <v>145</v>
      </c>
      <c r="C454" s="81" t="s">
        <v>80</v>
      </c>
    </row>
    <row r="455" spans="1:3">
      <c r="A455" s="91">
        <v>23250955529</v>
      </c>
      <c r="B455" s="76" t="s">
        <v>243</v>
      </c>
      <c r="C455" s="81" t="s">
        <v>54</v>
      </c>
    </row>
    <row r="456" spans="1:3">
      <c r="A456" s="91">
        <v>20314785593</v>
      </c>
      <c r="B456" s="76" t="s">
        <v>155</v>
      </c>
      <c r="C456" s="81" t="s">
        <v>41</v>
      </c>
    </row>
    <row r="457" spans="1:3">
      <c r="A457" s="91">
        <v>30715458744</v>
      </c>
      <c r="B457" s="76" t="s">
        <v>305</v>
      </c>
      <c r="C457" s="81" t="s">
        <v>54</v>
      </c>
    </row>
    <row r="458" spans="1:3">
      <c r="A458" s="234">
        <v>27267575997</v>
      </c>
      <c r="B458" s="76" t="s">
        <v>360</v>
      </c>
      <c r="C458" s="81" t="s">
        <v>36</v>
      </c>
    </row>
    <row r="459" spans="1:3">
      <c r="A459" s="91">
        <v>20310122212</v>
      </c>
      <c r="B459" s="76" t="s">
        <v>360</v>
      </c>
      <c r="C459" s="81" t="s">
        <v>41</v>
      </c>
    </row>
    <row r="460" spans="1:3">
      <c r="A460" s="91">
        <v>20229905199</v>
      </c>
      <c r="B460" s="76" t="s">
        <v>597</v>
      </c>
      <c r="C460" s="81" t="s">
        <v>54</v>
      </c>
    </row>
    <row r="461" spans="1:3">
      <c r="A461" s="91">
        <v>30505459179</v>
      </c>
      <c r="B461" s="76" t="s">
        <v>280</v>
      </c>
      <c r="C461" s="81" t="s">
        <v>41</v>
      </c>
    </row>
    <row r="462" spans="1:3">
      <c r="A462" s="91">
        <v>23145783224</v>
      </c>
      <c r="B462" s="76" t="s">
        <v>65</v>
      </c>
      <c r="C462" s="81" t="s">
        <v>41</v>
      </c>
    </row>
    <row r="463" spans="1:3">
      <c r="A463" s="91">
        <v>30710114176</v>
      </c>
      <c r="B463" s="76" t="s">
        <v>435</v>
      </c>
      <c r="C463" s="81" t="s">
        <v>54</v>
      </c>
    </row>
    <row r="464" spans="1:3">
      <c r="A464" s="91">
        <v>30700939797</v>
      </c>
      <c r="B464" s="76" t="s">
        <v>556</v>
      </c>
      <c r="C464" s="81" t="s">
        <v>41</v>
      </c>
    </row>
    <row r="465" spans="1:3">
      <c r="A465" s="91">
        <v>30710177658</v>
      </c>
      <c r="B465" s="76" t="s">
        <v>118</v>
      </c>
      <c r="C465" s="81" t="s">
        <v>41</v>
      </c>
    </row>
    <row r="466" spans="1:3">
      <c r="A466" s="91">
        <v>30687489221</v>
      </c>
      <c r="B466" s="76" t="s">
        <v>496</v>
      </c>
      <c r="C466" s="81" t="s">
        <v>36</v>
      </c>
    </row>
    <row r="467" spans="1:3">
      <c r="A467" s="233">
        <v>20283639941</v>
      </c>
      <c r="B467" s="76" t="s">
        <v>381</v>
      </c>
      <c r="C467" s="81" t="s">
        <v>54</v>
      </c>
    </row>
    <row r="468" spans="1:3">
      <c r="A468" s="88">
        <v>30708960736</v>
      </c>
      <c r="B468" s="80" t="s">
        <v>163</v>
      </c>
      <c r="C468" s="81" t="s">
        <v>41</v>
      </c>
    </row>
    <row r="469" spans="1:3">
      <c r="A469" s="91">
        <v>33716532769</v>
      </c>
      <c r="B469" s="76" t="s">
        <v>308</v>
      </c>
      <c r="C469" s="81" t="s">
        <v>41</v>
      </c>
    </row>
    <row r="470" spans="1:3">
      <c r="A470" s="91">
        <v>30639453738</v>
      </c>
      <c r="B470" s="76" t="s">
        <v>140</v>
      </c>
      <c r="C470" s="81" t="s">
        <v>39</v>
      </c>
    </row>
    <row r="471" spans="1:3">
      <c r="A471" s="91">
        <v>30639453975</v>
      </c>
      <c r="B471" s="76" t="s">
        <v>139</v>
      </c>
      <c r="C471" s="81" t="s">
        <v>39</v>
      </c>
    </row>
    <row r="472" spans="1:3">
      <c r="A472" s="91">
        <v>30678814357</v>
      </c>
      <c r="B472" s="76" t="s">
        <v>117</v>
      </c>
      <c r="C472" s="81" t="s">
        <v>39</v>
      </c>
    </row>
    <row r="473" spans="1:3">
      <c r="A473" s="91">
        <v>30712450408</v>
      </c>
      <c r="B473" s="76" t="s">
        <v>401</v>
      </c>
      <c r="C473" s="81" t="s">
        <v>54</v>
      </c>
    </row>
    <row r="474" spans="1:3">
      <c r="A474" s="91">
        <v>30716018373</v>
      </c>
      <c r="B474" s="76" t="s">
        <v>295</v>
      </c>
      <c r="C474" s="81" t="s">
        <v>36</v>
      </c>
    </row>
    <row r="475" spans="1:3">
      <c r="A475" s="91">
        <v>30616031143</v>
      </c>
      <c r="B475" s="76" t="s">
        <v>141</v>
      </c>
      <c r="C475" s="81" t="s">
        <v>54</v>
      </c>
    </row>
    <row r="476" spans="1:3">
      <c r="A476" s="91">
        <v>30683612916</v>
      </c>
      <c r="B476" s="76" t="s">
        <v>577</v>
      </c>
      <c r="C476" s="81" t="s">
        <v>36</v>
      </c>
    </row>
    <row r="477" spans="1:3">
      <c r="A477" s="91">
        <v>30711188416</v>
      </c>
      <c r="B477" s="76" t="s">
        <v>418</v>
      </c>
      <c r="C477" s="81" t="s">
        <v>36</v>
      </c>
    </row>
    <row r="478" spans="1:3">
      <c r="A478" s="91">
        <v>30711811253</v>
      </c>
      <c r="B478" s="76" t="s">
        <v>413</v>
      </c>
      <c r="C478" s="81" t="s">
        <v>41</v>
      </c>
    </row>
    <row r="479" spans="1:3">
      <c r="A479" s="88">
        <v>30712305513</v>
      </c>
      <c r="B479" s="80" t="s">
        <v>167</v>
      </c>
      <c r="C479" s="81" t="s">
        <v>41</v>
      </c>
    </row>
    <row r="480" spans="1:3">
      <c r="A480" s="91">
        <v>20131067446</v>
      </c>
      <c r="B480" s="76" t="s">
        <v>417</v>
      </c>
      <c r="C480" s="81" t="s">
        <v>41</v>
      </c>
    </row>
    <row r="481" spans="1:3">
      <c r="A481" s="91">
        <v>30646150406</v>
      </c>
      <c r="B481" s="76" t="s">
        <v>146</v>
      </c>
      <c r="C481" s="81" t="s">
        <v>41</v>
      </c>
    </row>
    <row r="482" spans="1:3">
      <c r="A482" s="91">
        <v>27299725761</v>
      </c>
      <c r="B482" s="76" t="s">
        <v>521</v>
      </c>
      <c r="C482" s="81" t="s">
        <v>41</v>
      </c>
    </row>
    <row r="483" spans="1:3">
      <c r="A483" s="91">
        <v>30531602273</v>
      </c>
      <c r="B483" s="80" t="s">
        <v>86</v>
      </c>
      <c r="C483" s="81" t="s">
        <v>80</v>
      </c>
    </row>
    <row r="484" spans="1:3">
      <c r="A484" s="234">
        <v>30556565798</v>
      </c>
      <c r="B484" s="76" t="s">
        <v>240</v>
      </c>
      <c r="C484" s="81" t="s">
        <v>36</v>
      </c>
    </row>
    <row r="485" spans="1:3">
      <c r="A485" s="87">
        <v>20257137326</v>
      </c>
      <c r="B485" s="76" t="s">
        <v>178</v>
      </c>
      <c r="C485" s="81" t="s">
        <v>41</v>
      </c>
    </row>
    <row r="486" spans="1:3">
      <c r="A486" s="91">
        <v>20216451679</v>
      </c>
      <c r="B486" s="76" t="s">
        <v>477</v>
      </c>
      <c r="C486" s="81" t="s">
        <v>41</v>
      </c>
    </row>
    <row r="487" spans="1:3">
      <c r="A487" s="233">
        <v>27415594742</v>
      </c>
      <c r="B487" s="76" t="s">
        <v>423</v>
      </c>
      <c r="C487" s="81" t="s">
        <v>41</v>
      </c>
    </row>
    <row r="488" spans="1:3">
      <c r="A488" s="88">
        <v>20247225243</v>
      </c>
      <c r="B488" s="76" t="s">
        <v>45</v>
      </c>
      <c r="C488" s="81" t="s">
        <v>41</v>
      </c>
    </row>
    <row r="489" spans="1:3">
      <c r="A489" s="91">
        <v>30561769644</v>
      </c>
      <c r="B489" s="76" t="s">
        <v>447</v>
      </c>
      <c r="C489" s="81" t="s">
        <v>54</v>
      </c>
    </row>
    <row r="490" spans="1:3">
      <c r="A490" s="91">
        <v>27247019370</v>
      </c>
      <c r="B490" s="76" t="s">
        <v>471</v>
      </c>
      <c r="C490" s="81" t="s">
        <v>41</v>
      </c>
    </row>
    <row r="491" spans="1:3">
      <c r="A491" s="91">
        <v>30707977120</v>
      </c>
      <c r="B491" s="76" t="s">
        <v>570</v>
      </c>
      <c r="C491" s="81" t="s">
        <v>54</v>
      </c>
    </row>
    <row r="492" spans="1:3">
      <c r="A492" s="87">
        <v>27211421202</v>
      </c>
      <c r="B492" s="76" t="s">
        <v>188</v>
      </c>
      <c r="C492" s="81" t="s">
        <v>41</v>
      </c>
    </row>
    <row r="493" spans="1:3">
      <c r="A493" s="91">
        <v>30540059078</v>
      </c>
      <c r="B493" s="76" t="s">
        <v>524</v>
      </c>
      <c r="C493" s="81" t="s">
        <v>54</v>
      </c>
    </row>
    <row r="494" spans="1:3">
      <c r="A494" s="91">
        <v>30714950750</v>
      </c>
      <c r="B494" s="76" t="s">
        <v>336</v>
      </c>
      <c r="C494" s="81" t="s">
        <v>41</v>
      </c>
    </row>
    <row r="495" spans="1:3">
      <c r="A495" s="91">
        <v>20317488476</v>
      </c>
      <c r="B495" s="76" t="s">
        <v>256</v>
      </c>
      <c r="C495" s="81" t="s">
        <v>41</v>
      </c>
    </row>
    <row r="496" spans="1:3">
      <c r="A496" s="91">
        <v>27256759646</v>
      </c>
      <c r="B496" s="76" t="s">
        <v>502</v>
      </c>
      <c r="C496" s="81" t="s">
        <v>41</v>
      </c>
    </row>
    <row r="497" spans="1:3">
      <c r="A497" s="234">
        <v>20321447997</v>
      </c>
      <c r="B497" s="76" t="s">
        <v>397</v>
      </c>
      <c r="C497" s="81" t="s">
        <v>54</v>
      </c>
    </row>
    <row r="498" spans="1:3">
      <c r="A498" s="91">
        <v>27237719145</v>
      </c>
      <c r="B498" s="76" t="s">
        <v>544</v>
      </c>
      <c r="C498" s="81" t="s">
        <v>41</v>
      </c>
    </row>
    <row r="499" spans="1:3">
      <c r="A499" s="91">
        <v>27169596439</v>
      </c>
      <c r="B499" s="76" t="s">
        <v>464</v>
      </c>
      <c r="C499" s="81" t="s">
        <v>54</v>
      </c>
    </row>
    <row r="500" spans="1:3">
      <c r="A500" s="88">
        <v>23929701364</v>
      </c>
      <c r="B500" s="80" t="s">
        <v>204</v>
      </c>
      <c r="C500" s="81" t="s">
        <v>36</v>
      </c>
    </row>
    <row r="501" spans="1:3">
      <c r="A501" s="91">
        <v>30714867349</v>
      </c>
      <c r="B501" s="76" t="s">
        <v>261</v>
      </c>
      <c r="C501" s="81" t="s">
        <v>54</v>
      </c>
    </row>
    <row r="502" spans="1:3">
      <c r="A502" s="91">
        <v>30708534907</v>
      </c>
      <c r="B502" s="76" t="s">
        <v>507</v>
      </c>
      <c r="C502" s="81" t="s">
        <v>41</v>
      </c>
    </row>
    <row r="503" spans="1:3">
      <c r="A503" s="91">
        <v>20231247239</v>
      </c>
      <c r="B503" s="76" t="s">
        <v>156</v>
      </c>
      <c r="C503" s="81" t="s">
        <v>41</v>
      </c>
    </row>
    <row r="504" spans="1:3">
      <c r="A504" s="91">
        <v>30717172651</v>
      </c>
      <c r="B504" s="76" t="s">
        <v>551</v>
      </c>
      <c r="C504" s="81" t="s">
        <v>41</v>
      </c>
    </row>
    <row r="505" spans="1:3">
      <c r="A505" s="83">
        <v>20332986636</v>
      </c>
      <c r="B505" s="76" t="s">
        <v>449</v>
      </c>
      <c r="C505" s="81" t="s">
        <v>36</v>
      </c>
    </row>
    <row r="506" spans="1:3">
      <c r="A506" s="91">
        <v>20167787372</v>
      </c>
      <c r="B506" s="76" t="s">
        <v>585</v>
      </c>
      <c r="C506" s="81" t="s">
        <v>36</v>
      </c>
    </row>
    <row r="507" spans="1:3">
      <c r="A507" s="91">
        <v>20921994908</v>
      </c>
      <c r="B507" s="76" t="s">
        <v>554</v>
      </c>
      <c r="C507" s="81" t="s">
        <v>54</v>
      </c>
    </row>
    <row r="508" spans="1:3">
      <c r="A508" s="91">
        <v>20168475803</v>
      </c>
      <c r="B508" s="76" t="s">
        <v>311</v>
      </c>
      <c r="C508" s="81" t="s">
        <v>54</v>
      </c>
    </row>
    <row r="509" spans="1:3">
      <c r="A509" s="91">
        <v>27944827345</v>
      </c>
      <c r="B509" s="76" t="s">
        <v>598</v>
      </c>
      <c r="C509" s="81" t="s">
        <v>54</v>
      </c>
    </row>
    <row r="510" spans="1:3">
      <c r="A510" s="91">
        <v>30708375582</v>
      </c>
      <c r="B510" s="76" t="s">
        <v>599</v>
      </c>
      <c r="C510" s="81" t="s">
        <v>36</v>
      </c>
    </row>
    <row r="511" spans="1:3">
      <c r="A511" s="91">
        <v>23936845509</v>
      </c>
      <c r="B511" s="76" t="s">
        <v>600</v>
      </c>
      <c r="C511" s="81" t="s">
        <v>54</v>
      </c>
    </row>
    <row r="512" spans="1:3">
      <c r="A512" s="91">
        <v>30707927409</v>
      </c>
      <c r="B512" s="76" t="s">
        <v>601</v>
      </c>
      <c r="C512" s="81" t="s">
        <v>36</v>
      </c>
    </row>
    <row r="513" spans="1:3">
      <c r="A513" s="91">
        <v>30626009618</v>
      </c>
      <c r="B513" s="76" t="s">
        <v>602</v>
      </c>
      <c r="C513" s="81" t="s">
        <v>36</v>
      </c>
    </row>
    <row r="514" spans="1:3">
      <c r="A514" s="91">
        <v>30709904872</v>
      </c>
      <c r="B514" s="76" t="s">
        <v>603</v>
      </c>
      <c r="C514" s="81" t="s">
        <v>36</v>
      </c>
    </row>
    <row r="515" spans="1:3">
      <c r="A515" s="91">
        <v>30643922157</v>
      </c>
      <c r="B515" s="76" t="s">
        <v>604</v>
      </c>
      <c r="C515" s="81" t="s">
        <v>36</v>
      </c>
    </row>
    <row r="516" spans="1:3">
      <c r="A516" s="91">
        <v>33717383139</v>
      </c>
      <c r="B516" s="76" t="s">
        <v>605</v>
      </c>
      <c r="C516" s="81" t="s">
        <v>54</v>
      </c>
    </row>
    <row r="517" spans="1:3">
      <c r="A517" s="91">
        <v>30708847247</v>
      </c>
      <c r="B517" s="76" t="s">
        <v>606</v>
      </c>
      <c r="C517" s="81" t="s">
        <v>36</v>
      </c>
    </row>
    <row r="518" spans="1:3">
      <c r="A518" s="91">
        <v>33710271149</v>
      </c>
      <c r="B518" s="76" t="s">
        <v>607</v>
      </c>
      <c r="C518" s="81" t="s">
        <v>54</v>
      </c>
    </row>
    <row r="519" spans="1:3">
      <c r="A519" s="91">
        <v>20396584809</v>
      </c>
      <c r="B519" s="76" t="s">
        <v>609</v>
      </c>
      <c r="C519" s="81" t="s">
        <v>41</v>
      </c>
    </row>
    <row r="520" spans="1:3">
      <c r="A520" s="91">
        <v>30709879258</v>
      </c>
      <c r="B520" s="76" t="s">
        <v>610</v>
      </c>
      <c r="C520" s="81" t="s">
        <v>36</v>
      </c>
    </row>
    <row r="521" spans="1:3">
      <c r="A521" s="91">
        <v>30711296987</v>
      </c>
      <c r="B521" s="76" t="s">
        <v>611</v>
      </c>
      <c r="C521" s="81" t="s">
        <v>54</v>
      </c>
    </row>
    <row r="522" spans="1:3">
      <c r="A522" s="91">
        <v>20392730444</v>
      </c>
      <c r="B522" s="76" t="s">
        <v>608</v>
      </c>
      <c r="C522" s="81" t="s">
        <v>36</v>
      </c>
    </row>
    <row r="523" spans="1:3">
      <c r="A523" s="91">
        <v>30715393251</v>
      </c>
      <c r="B523" s="76" t="s">
        <v>612</v>
      </c>
      <c r="C523" s="81" t="s">
        <v>54</v>
      </c>
    </row>
    <row r="524" spans="1:3">
      <c r="A524" s="91">
        <v>27119878468</v>
      </c>
      <c r="B524" s="76" t="s">
        <v>613</v>
      </c>
      <c r="C524" s="81" t="s">
        <v>41</v>
      </c>
    </row>
    <row r="525" spans="1:3">
      <c r="A525" s="91">
        <v>30715869663</v>
      </c>
      <c r="B525" s="76" t="s">
        <v>614</v>
      </c>
      <c r="C525" s="81" t="s">
        <v>54</v>
      </c>
    </row>
    <row r="526" spans="1:3">
      <c r="A526" s="91">
        <v>20224819049</v>
      </c>
      <c r="B526" s="76" t="s">
        <v>615</v>
      </c>
      <c r="C526" s="81" t="s">
        <v>54</v>
      </c>
    </row>
    <row r="527" spans="1:3">
      <c r="A527" s="91">
        <v>20920321292</v>
      </c>
      <c r="B527" s="76" t="s">
        <v>616</v>
      </c>
      <c r="C527" s="81" t="s">
        <v>54</v>
      </c>
    </row>
    <row r="528" spans="1:3">
      <c r="A528" s="91">
        <v>30526874249</v>
      </c>
      <c r="B528" s="76" t="s">
        <v>617</v>
      </c>
      <c r="C528" s="81" t="s">
        <v>54</v>
      </c>
    </row>
    <row r="529" spans="1:3">
      <c r="A529" s="91">
        <v>20181517957</v>
      </c>
      <c r="B529" s="76" t="s">
        <v>618</v>
      </c>
      <c r="C529" s="81" t="s">
        <v>41</v>
      </c>
    </row>
    <row r="530" spans="1:3">
      <c r="A530" s="91">
        <v>30606274161</v>
      </c>
      <c r="B530" s="76" t="s">
        <v>619</v>
      </c>
      <c r="C530" s="81" t="s">
        <v>80</v>
      </c>
    </row>
    <row r="531" spans="1:3">
      <c r="A531" s="91">
        <v>20426451167</v>
      </c>
      <c r="B531" s="76" t="s">
        <v>620</v>
      </c>
      <c r="C531" s="81" t="s">
        <v>36</v>
      </c>
    </row>
    <row r="532" spans="1:3">
      <c r="A532" s="91">
        <v>23928499804</v>
      </c>
      <c r="B532" s="76" t="s">
        <v>621</v>
      </c>
      <c r="C532" s="81" t="s">
        <v>54</v>
      </c>
    </row>
    <row r="533" spans="1:3">
      <c r="A533" s="91">
        <v>30581106234</v>
      </c>
      <c r="B533" s="76" t="s">
        <v>622</v>
      </c>
      <c r="C533" s="81" t="s">
        <v>36</v>
      </c>
    </row>
    <row r="534" spans="1:3">
      <c r="A534" s="91">
        <v>23324039759</v>
      </c>
      <c r="B534" s="76" t="s">
        <v>623</v>
      </c>
      <c r="C534" s="81" t="s">
        <v>54</v>
      </c>
    </row>
    <row r="535" spans="1:3">
      <c r="A535" s="91">
        <v>33531122599</v>
      </c>
      <c r="B535" s="76" t="s">
        <v>624</v>
      </c>
      <c r="C535" s="81" t="s">
        <v>36</v>
      </c>
    </row>
    <row r="536" spans="1:3">
      <c r="A536" s="91">
        <v>20272865869</v>
      </c>
      <c r="B536" s="76" t="s">
        <v>625</v>
      </c>
      <c r="C536" s="81" t="s">
        <v>41</v>
      </c>
    </row>
    <row r="537" spans="1:3">
      <c r="A537" s="91">
        <v>20259150249</v>
      </c>
      <c r="B537" s="76" t="s">
        <v>626</v>
      </c>
      <c r="C537" s="81" t="s">
        <v>54</v>
      </c>
    </row>
    <row r="538" spans="1:3">
      <c r="A538" s="91">
        <v>30693066022</v>
      </c>
      <c r="B538" s="76" t="s">
        <v>627</v>
      </c>
      <c r="C538" s="81" t="s">
        <v>54</v>
      </c>
    </row>
    <row r="539" spans="1:3">
      <c r="A539" s="91">
        <v>30612099614</v>
      </c>
      <c r="B539" s="76" t="s">
        <v>628</v>
      </c>
      <c r="C539" s="81" t="s">
        <v>80</v>
      </c>
    </row>
    <row r="540" spans="1:3">
      <c r="A540" s="91">
        <v>20410096103</v>
      </c>
      <c r="B540" s="76" t="s">
        <v>629</v>
      </c>
      <c r="C540" s="81" t="s">
        <v>54</v>
      </c>
    </row>
    <row r="541" spans="1:3">
      <c r="A541" s="91">
        <v>30711416656</v>
      </c>
      <c r="B541" s="76" t="s">
        <v>630</v>
      </c>
      <c r="C541" s="81" t="s">
        <v>80</v>
      </c>
    </row>
    <row r="542" spans="1:3">
      <c r="A542" s="91">
        <v>30712529721</v>
      </c>
      <c r="B542" s="76" t="s">
        <v>631</v>
      </c>
      <c r="C542" s="81" t="s">
        <v>80</v>
      </c>
    </row>
    <row r="543" spans="1:3">
      <c r="A543" s="91">
        <v>30707513094</v>
      </c>
      <c r="B543" s="76" t="s">
        <v>632</v>
      </c>
      <c r="C543" s="81" t="s">
        <v>80</v>
      </c>
    </row>
    <row r="544" spans="1:3">
      <c r="A544" s="91">
        <v>30571766287</v>
      </c>
      <c r="B544" s="76" t="s">
        <v>633</v>
      </c>
      <c r="C544" s="81" t="s">
        <v>80</v>
      </c>
    </row>
    <row r="545" spans="1:7">
      <c r="A545" s="91">
        <v>30712136754</v>
      </c>
      <c r="B545" s="76" t="s">
        <v>634</v>
      </c>
      <c r="C545" s="81" t="s">
        <v>80</v>
      </c>
    </row>
    <row r="546" spans="1:7">
      <c r="A546" s="91">
        <v>30636196858</v>
      </c>
      <c r="B546" s="76" t="s">
        <v>636</v>
      </c>
      <c r="C546" s="81" t="s">
        <v>80</v>
      </c>
    </row>
    <row r="547" spans="1:7">
      <c r="A547" s="91">
        <v>30604958640</v>
      </c>
      <c r="B547" s="76" t="s">
        <v>637</v>
      </c>
      <c r="C547" s="81" t="s">
        <v>80</v>
      </c>
    </row>
    <row r="548" spans="1:7">
      <c r="A548" s="91">
        <v>30547339416</v>
      </c>
      <c r="B548" s="76" t="s">
        <v>928</v>
      </c>
      <c r="C548" s="81" t="s">
        <v>80</v>
      </c>
    </row>
    <row r="549" spans="1:7">
      <c r="A549" s="91">
        <v>30716234114</v>
      </c>
      <c r="B549" s="76" t="s">
        <v>930</v>
      </c>
      <c r="C549" s="81" t="s">
        <v>41</v>
      </c>
    </row>
    <row r="550" spans="1:7">
      <c r="A550" s="91">
        <v>33716307749</v>
      </c>
      <c r="B550" s="76" t="s">
        <v>931</v>
      </c>
      <c r="C550" s="81" t="s">
        <v>41</v>
      </c>
    </row>
    <row r="551" spans="1:7">
      <c r="A551" s="91">
        <v>27940269100</v>
      </c>
      <c r="B551" s="76" t="s">
        <v>932</v>
      </c>
      <c r="C551" s="81" t="s">
        <v>54</v>
      </c>
    </row>
    <row r="552" spans="1:7">
      <c r="A552" s="91">
        <v>27243660535</v>
      </c>
      <c r="B552" s="76" t="s">
        <v>719</v>
      </c>
      <c r="C552" s="81" t="s">
        <v>933</v>
      </c>
    </row>
    <row r="553" spans="1:7">
      <c r="A553" s="91">
        <v>30714228060</v>
      </c>
      <c r="B553" s="76" t="s">
        <v>934</v>
      </c>
      <c r="C553" s="81" t="s">
        <v>41</v>
      </c>
    </row>
    <row r="554" spans="1:7">
      <c r="A554" s="91">
        <v>20186310005</v>
      </c>
      <c r="B554" s="76" t="s">
        <v>935</v>
      </c>
      <c r="C554" s="81" t="s">
        <v>54</v>
      </c>
    </row>
    <row r="555" spans="1:7">
      <c r="A555" s="91">
        <v>30711776040</v>
      </c>
      <c r="B555" s="76" t="s">
        <v>936</v>
      </c>
      <c r="C555" s="81" t="s">
        <v>36</v>
      </c>
    </row>
    <row r="556" spans="1:7">
      <c r="A556" s="91">
        <v>20253990903</v>
      </c>
      <c r="B556" s="76" t="s">
        <v>937</v>
      </c>
      <c r="C556" s="81" t="s">
        <v>41</v>
      </c>
    </row>
    <row r="557" spans="1:7">
      <c r="A557" s="91">
        <v>20184052858</v>
      </c>
      <c r="B557" s="76" t="s">
        <v>689</v>
      </c>
      <c r="C557" s="81" t="s">
        <v>54</v>
      </c>
    </row>
    <row r="558" spans="1:7">
      <c r="A558" s="91">
        <v>30677237119</v>
      </c>
      <c r="B558" s="76" t="s">
        <v>668</v>
      </c>
      <c r="C558" s="81" t="s">
        <v>589</v>
      </c>
      <c r="F558" s="285"/>
      <c r="G558" s="286"/>
    </row>
    <row r="559" spans="1:7">
      <c r="A559" s="91">
        <v>30574876474</v>
      </c>
      <c r="B559" s="76" t="s">
        <v>681</v>
      </c>
      <c r="C559" s="81" t="s">
        <v>589</v>
      </c>
      <c r="F559" s="285"/>
      <c r="G559" s="286"/>
    </row>
    <row r="560" spans="1:7">
      <c r="A560" s="91">
        <v>30714112836</v>
      </c>
      <c r="B560" s="76" t="s">
        <v>938</v>
      </c>
      <c r="C560" s="81" t="s">
        <v>589</v>
      </c>
      <c r="F560" s="285"/>
      <c r="G560" s="286"/>
    </row>
    <row r="561" spans="1:7">
      <c r="A561" s="91">
        <v>30677237119</v>
      </c>
      <c r="B561" s="76" t="s">
        <v>668</v>
      </c>
      <c r="C561" s="81" t="s">
        <v>589</v>
      </c>
      <c r="F561" s="285"/>
      <c r="G561" s="286"/>
    </row>
    <row r="562" spans="1:7">
      <c r="A562" s="91">
        <v>30663498513</v>
      </c>
      <c r="B562" s="76" t="s">
        <v>667</v>
      </c>
      <c r="C562" s="81" t="s">
        <v>589</v>
      </c>
      <c r="E562" s="285"/>
      <c r="F562" s="286"/>
      <c r="G562" s="286"/>
    </row>
    <row r="563" spans="1:7">
      <c r="A563" s="91">
        <v>30715804812</v>
      </c>
      <c r="B563" s="76" t="s">
        <v>939</v>
      </c>
      <c r="C563" s="81" t="s">
        <v>589</v>
      </c>
      <c r="F563" s="285"/>
      <c r="G563" s="286"/>
    </row>
    <row r="564" spans="1:7">
      <c r="A564" s="91">
        <v>20278292429</v>
      </c>
      <c r="B564" s="76" t="s">
        <v>940</v>
      </c>
      <c r="C564" s="81" t="s">
        <v>54</v>
      </c>
      <c r="F564" s="285"/>
      <c r="G564" s="286"/>
    </row>
    <row r="565" spans="1:7">
      <c r="A565" s="91">
        <v>30707304886</v>
      </c>
      <c r="B565" s="76" t="s">
        <v>941</v>
      </c>
      <c r="C565" s="81" t="s">
        <v>589</v>
      </c>
      <c r="F565" s="285"/>
      <c r="G565" s="286"/>
    </row>
    <row r="566" spans="1:7">
      <c r="A566" s="91">
        <v>20464199633</v>
      </c>
      <c r="B566" s="76" t="s">
        <v>693</v>
      </c>
      <c r="C566" s="81" t="s">
        <v>41</v>
      </c>
    </row>
    <row r="567" spans="1:7">
      <c r="A567" s="91">
        <v>27179026967</v>
      </c>
      <c r="B567" s="76" t="s">
        <v>942</v>
      </c>
      <c r="C567" s="81" t="s">
        <v>933</v>
      </c>
    </row>
    <row r="568" spans="1:7">
      <c r="A568" s="91">
        <v>30587842358</v>
      </c>
      <c r="B568" s="76" t="s">
        <v>1068</v>
      </c>
      <c r="C568" s="81" t="s">
        <v>80</v>
      </c>
    </row>
    <row r="569" spans="1:7">
      <c r="A569" s="91"/>
      <c r="B569" s="76"/>
      <c r="C569" s="81"/>
    </row>
    <row r="570" spans="1:7">
      <c r="A570" s="91"/>
      <c r="B570" s="76"/>
      <c r="C570" s="81"/>
    </row>
    <row r="571" spans="1:7">
      <c r="A571" s="91"/>
      <c r="B571" s="76"/>
      <c r="C571" s="81"/>
    </row>
    <row r="572" spans="1:7">
      <c r="A572" s="91"/>
      <c r="B572" s="76"/>
      <c r="C572" s="81"/>
    </row>
    <row r="573" spans="1:7">
      <c r="A573" s="91"/>
      <c r="B573" s="76"/>
      <c r="C573" s="81"/>
    </row>
    <row r="574" spans="1:7">
      <c r="A574" s="91"/>
      <c r="B574" s="76"/>
      <c r="C574" s="81"/>
    </row>
    <row r="575" spans="1:7">
      <c r="A575" s="91"/>
      <c r="B575" s="76"/>
      <c r="C575" s="81"/>
    </row>
    <row r="576" spans="1:7">
      <c r="A576" s="91"/>
      <c r="B576" s="76"/>
      <c r="C576" s="81"/>
    </row>
    <row r="577" spans="1:3">
      <c r="A577" s="91"/>
      <c r="B577" s="76"/>
      <c r="C577" s="81"/>
    </row>
    <row r="578" spans="1:3">
      <c r="A578" s="91"/>
      <c r="B578" s="76"/>
      <c r="C578" s="81"/>
    </row>
    <row r="579" spans="1:3">
      <c r="A579" s="91"/>
      <c r="B579" s="76"/>
      <c r="C579" s="81"/>
    </row>
    <row r="580" spans="1:3">
      <c r="A580" s="91"/>
      <c r="B580" s="76"/>
      <c r="C580" s="81"/>
    </row>
    <row r="581" spans="1:3">
      <c r="A581" s="91"/>
      <c r="B581" s="76"/>
      <c r="C581" s="81"/>
    </row>
    <row r="582" spans="1:3">
      <c r="A582" s="91"/>
      <c r="B582" s="76"/>
      <c r="C582" s="81"/>
    </row>
    <row r="583" spans="1:3">
      <c r="A583" s="91"/>
      <c r="B583" s="76"/>
      <c r="C583" s="81"/>
    </row>
    <row r="584" spans="1:3">
      <c r="A584" s="91"/>
      <c r="B584" s="76"/>
      <c r="C584" s="81"/>
    </row>
    <row r="585" spans="1:3">
      <c r="A585" s="91"/>
      <c r="B585" s="76"/>
      <c r="C585" s="81"/>
    </row>
    <row r="586" spans="1:3">
      <c r="A586" s="91"/>
      <c r="B586" s="76"/>
      <c r="C586" s="81"/>
    </row>
    <row r="587" spans="1:3">
      <c r="A587" s="91"/>
      <c r="B587" s="76"/>
      <c r="C587" s="81"/>
    </row>
    <row r="588" spans="1:3">
      <c r="A588" s="91"/>
      <c r="B588" s="76"/>
      <c r="C588" s="81"/>
    </row>
    <row r="589" spans="1:3">
      <c r="A589" s="91"/>
      <c r="B589" s="76"/>
      <c r="C589" s="81"/>
    </row>
    <row r="590" spans="1:3">
      <c r="A590" s="91"/>
      <c r="B590" s="76"/>
      <c r="C590" s="81"/>
    </row>
    <row r="591" spans="1:3">
      <c r="A591" s="91"/>
      <c r="B591" s="76"/>
      <c r="C591" s="81"/>
    </row>
    <row r="592" spans="1:3">
      <c r="A592" s="91"/>
      <c r="B592" s="76"/>
      <c r="C592" s="81"/>
    </row>
    <row r="593" spans="1:3">
      <c r="A593" s="91"/>
      <c r="B593" s="76"/>
      <c r="C593" s="81"/>
    </row>
    <row r="594" spans="1:3">
      <c r="A594" s="91"/>
      <c r="B594" s="76"/>
      <c r="C594" s="81"/>
    </row>
    <row r="595" spans="1:3">
      <c r="A595" s="91"/>
      <c r="B595" s="76"/>
      <c r="C595" s="81"/>
    </row>
    <row r="596" spans="1:3">
      <c r="A596" s="91"/>
      <c r="B596" s="76"/>
      <c r="C596" s="81"/>
    </row>
    <row r="597" spans="1:3">
      <c r="A597" s="91"/>
      <c r="B597" s="76"/>
      <c r="C597" s="81"/>
    </row>
    <row r="598" spans="1:3">
      <c r="A598" s="91"/>
      <c r="B598" s="76"/>
      <c r="C598" s="81"/>
    </row>
    <row r="599" spans="1:3">
      <c r="A599" s="91"/>
      <c r="B599" s="76"/>
      <c r="C599" s="81"/>
    </row>
    <row r="600" spans="1:3">
      <c r="A600" s="91"/>
      <c r="B600" s="76"/>
      <c r="C600" s="81"/>
    </row>
    <row r="601" spans="1:3">
      <c r="A601" s="91"/>
      <c r="B601" s="76"/>
      <c r="C601" s="81"/>
    </row>
    <row r="602" spans="1:3">
      <c r="A602" s="91"/>
      <c r="B602" s="76"/>
      <c r="C602" s="81"/>
    </row>
    <row r="603" spans="1:3">
      <c r="A603" s="91"/>
      <c r="B603" s="76"/>
      <c r="C603" s="81"/>
    </row>
    <row r="604" spans="1:3">
      <c r="A604" s="91"/>
      <c r="B604" s="76"/>
      <c r="C604" s="81"/>
    </row>
    <row r="605" spans="1:3">
      <c r="A605" s="91"/>
      <c r="B605" s="76"/>
      <c r="C605" s="81"/>
    </row>
    <row r="606" spans="1:3">
      <c r="A606" s="91"/>
      <c r="B606" s="76"/>
      <c r="C606" s="81"/>
    </row>
    <row r="607" spans="1:3">
      <c r="A607" s="91"/>
      <c r="B607" s="76"/>
      <c r="C607" s="81"/>
    </row>
    <row r="608" spans="1:3">
      <c r="A608" s="91"/>
      <c r="B608" s="76"/>
      <c r="C608" s="81"/>
    </row>
    <row r="609" spans="1:3">
      <c r="A609" s="91"/>
      <c r="B609" s="76"/>
      <c r="C609" s="81"/>
    </row>
    <row r="610" spans="1:3">
      <c r="A610" s="91"/>
      <c r="B610" s="76"/>
      <c r="C610" s="81"/>
    </row>
    <row r="611" spans="1:3">
      <c r="A611" s="91"/>
      <c r="B611" s="76"/>
      <c r="C611" s="81"/>
    </row>
    <row r="612" spans="1:3">
      <c r="A612" s="91"/>
      <c r="B612" s="76"/>
      <c r="C612" s="81"/>
    </row>
    <row r="613" spans="1:3">
      <c r="A613" s="91"/>
      <c r="B613" s="76"/>
      <c r="C613" s="81"/>
    </row>
    <row r="614" spans="1:3">
      <c r="A614" s="91"/>
      <c r="B614" s="76"/>
      <c r="C614" s="81"/>
    </row>
    <row r="615" spans="1:3">
      <c r="A615" s="91"/>
      <c r="B615" s="76"/>
      <c r="C615" s="81"/>
    </row>
    <row r="616" spans="1:3">
      <c r="A616" s="91"/>
      <c r="B616" s="76"/>
      <c r="C616" s="81"/>
    </row>
    <row r="617" spans="1:3">
      <c r="A617" s="91"/>
      <c r="B617" s="76"/>
      <c r="C617" s="81"/>
    </row>
    <row r="618" spans="1:3">
      <c r="A618" s="91"/>
      <c r="B618" s="76"/>
      <c r="C618" s="81"/>
    </row>
    <row r="619" spans="1:3">
      <c r="A619" s="91"/>
      <c r="B619" s="76"/>
      <c r="C619" s="81"/>
    </row>
    <row r="620" spans="1:3">
      <c r="A620" s="91"/>
      <c r="B620" s="76"/>
      <c r="C620" s="81"/>
    </row>
    <row r="621" spans="1:3">
      <c r="A621" s="91"/>
      <c r="B621" s="76"/>
      <c r="C621" s="81"/>
    </row>
    <row r="622" spans="1:3">
      <c r="A622" s="91"/>
      <c r="B622" s="76"/>
      <c r="C622" s="81"/>
    </row>
    <row r="623" spans="1:3">
      <c r="A623" s="91"/>
      <c r="B623" s="76"/>
      <c r="C623" s="81"/>
    </row>
    <row r="624" spans="1:3">
      <c r="A624" s="91"/>
      <c r="B624" s="76"/>
      <c r="C624" s="81"/>
    </row>
    <row r="625" spans="1:3">
      <c r="A625" s="91"/>
      <c r="B625" s="76"/>
      <c r="C625" s="81"/>
    </row>
    <row r="626" spans="1:3">
      <c r="A626" s="91"/>
      <c r="B626" s="76"/>
      <c r="C626" s="81"/>
    </row>
    <row r="627" spans="1:3">
      <c r="A627" s="91"/>
      <c r="B627" s="76"/>
      <c r="C627" s="81"/>
    </row>
    <row r="628" spans="1:3">
      <c r="A628" s="91"/>
      <c r="B628" s="76"/>
      <c r="C628" s="81"/>
    </row>
    <row r="629" spans="1:3">
      <c r="A629" s="91"/>
      <c r="B629" s="76"/>
      <c r="C629" s="81"/>
    </row>
    <row r="630" spans="1:3">
      <c r="A630" s="91"/>
      <c r="B630" s="76"/>
      <c r="C630" s="81"/>
    </row>
    <row r="631" spans="1:3">
      <c r="A631" s="91"/>
      <c r="B631" s="76"/>
      <c r="C631" s="81"/>
    </row>
    <row r="632" spans="1:3">
      <c r="A632" s="91"/>
      <c r="B632" s="76"/>
      <c r="C632" s="81"/>
    </row>
    <row r="633" spans="1:3">
      <c r="A633" s="91"/>
      <c r="B633" s="76"/>
      <c r="C633" s="81"/>
    </row>
    <row r="634" spans="1:3">
      <c r="A634" s="91"/>
      <c r="B634" s="76"/>
      <c r="C634" s="81"/>
    </row>
    <row r="635" spans="1:3">
      <c r="A635" s="91"/>
      <c r="B635" s="76"/>
      <c r="C635" s="81"/>
    </row>
    <row r="636" spans="1:3">
      <c r="A636" s="91"/>
      <c r="B636" s="76"/>
      <c r="C636" s="81"/>
    </row>
    <row r="637" spans="1:3">
      <c r="A637" s="91"/>
      <c r="B637" s="76"/>
      <c r="C637" s="81"/>
    </row>
    <row r="638" spans="1:3">
      <c r="A638" s="91"/>
      <c r="B638" s="76"/>
      <c r="C638" s="81"/>
    </row>
    <row r="639" spans="1:3">
      <c r="A639" s="91"/>
      <c r="B639" s="76"/>
      <c r="C639" s="81"/>
    </row>
    <row r="640" spans="1:3">
      <c r="A640" s="91"/>
      <c r="B640" s="76"/>
      <c r="C640" s="81"/>
    </row>
    <row r="641" spans="1:3">
      <c r="A641" s="91"/>
      <c r="B641" s="76"/>
      <c r="C641" s="81"/>
    </row>
    <row r="642" spans="1:3">
      <c r="A642" s="91"/>
      <c r="B642" s="76"/>
      <c r="C642" s="81"/>
    </row>
    <row r="643" spans="1:3">
      <c r="A643" s="91"/>
      <c r="B643" s="76"/>
      <c r="C643" s="81"/>
    </row>
    <row r="644" spans="1:3">
      <c r="A644" s="91"/>
      <c r="B644" s="76"/>
      <c r="C644" s="81"/>
    </row>
    <row r="645" spans="1:3">
      <c r="A645" s="91"/>
      <c r="B645" s="76"/>
      <c r="C645" s="81"/>
    </row>
    <row r="646" spans="1:3">
      <c r="A646" s="91"/>
      <c r="B646" s="76"/>
      <c r="C646" s="81"/>
    </row>
    <row r="647" spans="1:3">
      <c r="A647" s="91"/>
      <c r="B647" s="76"/>
      <c r="C647" s="81"/>
    </row>
    <row r="648" spans="1:3">
      <c r="A648" s="91"/>
      <c r="B648" s="76"/>
      <c r="C648" s="81"/>
    </row>
    <row r="649" spans="1:3">
      <c r="A649" s="91"/>
      <c r="B649" s="76"/>
      <c r="C649" s="81"/>
    </row>
    <row r="650" spans="1:3">
      <c r="A650" s="91"/>
      <c r="B650" s="76"/>
      <c r="C650" s="81"/>
    </row>
    <row r="651" spans="1:3">
      <c r="A651" s="91"/>
      <c r="B651" s="76"/>
      <c r="C651" s="81"/>
    </row>
    <row r="652" spans="1:3">
      <c r="A652" s="91"/>
      <c r="B652" s="76"/>
      <c r="C652" s="81"/>
    </row>
    <row r="653" spans="1:3">
      <c r="A653" s="91"/>
      <c r="B653" s="76"/>
      <c r="C653" s="81"/>
    </row>
    <row r="654" spans="1:3">
      <c r="A654" s="91"/>
      <c r="B654" s="76"/>
      <c r="C654" s="81"/>
    </row>
    <row r="655" spans="1:3">
      <c r="A655" s="91"/>
      <c r="B655" s="76"/>
      <c r="C655" s="81"/>
    </row>
    <row r="656" spans="1:3">
      <c r="A656" s="91"/>
      <c r="B656" s="76"/>
      <c r="C656" s="81"/>
    </row>
    <row r="657" spans="1:3">
      <c r="A657" s="91"/>
      <c r="B657" s="76"/>
      <c r="C657" s="81"/>
    </row>
    <row r="658" spans="1:3">
      <c r="A658" s="91"/>
      <c r="B658" s="76"/>
      <c r="C658" s="81"/>
    </row>
    <row r="659" spans="1:3">
      <c r="A659" s="91"/>
      <c r="B659" s="76"/>
      <c r="C659" s="81"/>
    </row>
    <row r="660" spans="1:3">
      <c r="A660" s="91"/>
      <c r="B660" s="76"/>
      <c r="C660" s="81"/>
    </row>
    <row r="661" spans="1:3">
      <c r="A661" s="91"/>
      <c r="B661" s="76"/>
      <c r="C661" s="81"/>
    </row>
    <row r="662" spans="1:3">
      <c r="A662" s="91"/>
      <c r="B662" s="76"/>
      <c r="C662" s="81"/>
    </row>
    <row r="663" spans="1:3">
      <c r="A663" s="91"/>
      <c r="B663" s="76"/>
      <c r="C663" s="81"/>
    </row>
    <row r="664" spans="1:3">
      <c r="A664" s="91"/>
      <c r="B664" s="76"/>
      <c r="C664" s="81"/>
    </row>
    <row r="665" spans="1:3">
      <c r="A665" s="91"/>
      <c r="B665" s="76"/>
      <c r="C665" s="81"/>
    </row>
    <row r="666" spans="1:3">
      <c r="A666" s="91"/>
      <c r="B666" s="76"/>
      <c r="C666" s="81"/>
    </row>
    <row r="667" spans="1:3">
      <c r="A667" s="91"/>
      <c r="B667" s="76"/>
      <c r="C667" s="81"/>
    </row>
    <row r="668" spans="1:3">
      <c r="A668" s="91"/>
      <c r="B668" s="76"/>
      <c r="C668" s="81"/>
    </row>
    <row r="669" spans="1:3">
      <c r="A669" s="91"/>
      <c r="B669" s="76"/>
      <c r="C669" s="81"/>
    </row>
    <row r="670" spans="1:3">
      <c r="A670" s="91"/>
      <c r="B670" s="76"/>
      <c r="C670" s="81"/>
    </row>
    <row r="671" spans="1:3">
      <c r="A671" s="91"/>
      <c r="B671" s="76"/>
      <c r="C671" s="81"/>
    </row>
    <row r="672" spans="1:3">
      <c r="A672" s="91"/>
      <c r="B672" s="76"/>
      <c r="C672" s="81"/>
    </row>
    <row r="673" spans="1:3">
      <c r="A673" s="91"/>
      <c r="B673" s="76"/>
      <c r="C673" s="81"/>
    </row>
    <row r="674" spans="1:3">
      <c r="A674" s="91"/>
      <c r="B674" s="76"/>
      <c r="C674" s="81"/>
    </row>
    <row r="675" spans="1:3">
      <c r="A675" s="91"/>
      <c r="B675" s="76"/>
      <c r="C675" s="81"/>
    </row>
    <row r="676" spans="1:3">
      <c r="A676" s="91"/>
      <c r="B676" s="76"/>
      <c r="C676" s="81"/>
    </row>
    <row r="677" spans="1:3">
      <c r="A677" s="91"/>
      <c r="B677" s="76"/>
      <c r="C677" s="81"/>
    </row>
    <row r="678" spans="1:3">
      <c r="A678" s="91"/>
      <c r="B678" s="76"/>
      <c r="C678" s="81"/>
    </row>
    <row r="679" spans="1:3">
      <c r="A679" s="91"/>
      <c r="B679" s="76"/>
      <c r="C679" s="81"/>
    </row>
    <row r="680" spans="1:3">
      <c r="A680" s="91"/>
      <c r="B680" s="76"/>
      <c r="C680" s="81"/>
    </row>
    <row r="681" spans="1:3">
      <c r="A681" s="91"/>
      <c r="B681" s="76"/>
      <c r="C681" s="81"/>
    </row>
    <row r="682" spans="1:3">
      <c r="A682" s="91"/>
      <c r="B682" s="76"/>
      <c r="C682" s="81"/>
    </row>
    <row r="683" spans="1:3">
      <c r="A683" s="91"/>
      <c r="B683" s="76"/>
      <c r="C683" s="81"/>
    </row>
    <row r="684" spans="1:3">
      <c r="A684" s="91"/>
      <c r="B684" s="76"/>
      <c r="C684" s="81"/>
    </row>
    <row r="685" spans="1:3">
      <c r="A685" s="91"/>
      <c r="B685" s="76"/>
      <c r="C685" s="81"/>
    </row>
    <row r="686" spans="1:3">
      <c r="A686" s="91"/>
      <c r="B686" s="76"/>
      <c r="C686" s="81"/>
    </row>
    <row r="687" spans="1:3">
      <c r="A687" s="91"/>
      <c r="B687" s="76"/>
      <c r="C687" s="81"/>
    </row>
    <row r="688" spans="1:3">
      <c r="A688" s="91"/>
      <c r="B688" s="76"/>
      <c r="C688" s="81"/>
    </row>
    <row r="689" spans="1:3">
      <c r="A689" s="91"/>
      <c r="B689" s="76"/>
      <c r="C689" s="81"/>
    </row>
    <row r="690" spans="1:3">
      <c r="A690" s="91"/>
      <c r="B690" s="76"/>
      <c r="C690" s="81"/>
    </row>
    <row r="691" spans="1:3">
      <c r="A691" s="91"/>
      <c r="B691" s="76"/>
      <c r="C691" s="81"/>
    </row>
    <row r="692" spans="1:3">
      <c r="A692" s="91"/>
      <c r="B692" s="76"/>
      <c r="C692" s="81"/>
    </row>
    <row r="693" spans="1:3">
      <c r="A693" s="91"/>
      <c r="B693" s="76"/>
      <c r="C693" s="81"/>
    </row>
    <row r="694" spans="1:3">
      <c r="A694" s="91"/>
      <c r="B694" s="76"/>
      <c r="C694" s="81"/>
    </row>
    <row r="695" spans="1:3">
      <c r="A695" s="91"/>
      <c r="B695" s="76"/>
      <c r="C695" s="81"/>
    </row>
    <row r="696" spans="1:3">
      <c r="A696" s="91"/>
      <c r="B696" s="76"/>
      <c r="C696" s="81"/>
    </row>
    <row r="697" spans="1:3">
      <c r="A697" s="91"/>
      <c r="B697" s="76"/>
      <c r="C697" s="81"/>
    </row>
    <row r="698" spans="1:3">
      <c r="A698" s="91"/>
      <c r="B698" s="76"/>
      <c r="C698" s="81"/>
    </row>
    <row r="699" spans="1:3">
      <c r="A699" s="91"/>
      <c r="B699" s="76"/>
      <c r="C699" s="81"/>
    </row>
    <row r="700" spans="1:3">
      <c r="A700" s="91"/>
      <c r="B700" s="76"/>
      <c r="C700" s="81"/>
    </row>
    <row r="701" spans="1:3">
      <c r="A701" s="91"/>
      <c r="B701" s="76"/>
      <c r="C701" s="81"/>
    </row>
    <row r="702" spans="1:3">
      <c r="A702" s="91"/>
      <c r="B702" s="76"/>
      <c r="C702" s="81"/>
    </row>
    <row r="703" spans="1:3">
      <c r="A703" s="91"/>
      <c r="B703" s="76"/>
      <c r="C703" s="81"/>
    </row>
    <row r="704" spans="1:3">
      <c r="A704" s="91"/>
      <c r="B704" s="76"/>
      <c r="C704" s="81"/>
    </row>
    <row r="705" spans="1:3">
      <c r="A705" s="91"/>
      <c r="B705" s="76"/>
      <c r="C705" s="81"/>
    </row>
    <row r="706" spans="1:3">
      <c r="A706" s="91"/>
      <c r="B706" s="76"/>
      <c r="C706" s="81"/>
    </row>
    <row r="707" spans="1:3">
      <c r="A707" s="91"/>
      <c r="B707" s="76"/>
      <c r="C707" s="81"/>
    </row>
    <row r="708" spans="1:3">
      <c r="A708" s="91"/>
      <c r="B708" s="76"/>
      <c r="C708" s="81"/>
    </row>
    <row r="709" spans="1:3">
      <c r="A709" s="91"/>
      <c r="B709" s="76"/>
      <c r="C709" s="81"/>
    </row>
    <row r="710" spans="1:3">
      <c r="A710" s="91"/>
      <c r="B710" s="76"/>
      <c r="C710" s="81"/>
    </row>
    <row r="711" spans="1:3">
      <c r="A711" s="91"/>
      <c r="B711" s="76"/>
      <c r="C711" s="81"/>
    </row>
    <row r="712" spans="1:3">
      <c r="A712" s="91"/>
      <c r="B712" s="76"/>
      <c r="C712" s="81"/>
    </row>
    <row r="713" spans="1:3">
      <c r="A713" s="91"/>
      <c r="B713" s="76"/>
      <c r="C713" s="81"/>
    </row>
    <row r="714" spans="1:3">
      <c r="A714" s="91"/>
      <c r="B714" s="76"/>
      <c r="C714" s="81"/>
    </row>
    <row r="715" spans="1:3">
      <c r="A715" s="91"/>
      <c r="B715" s="76"/>
      <c r="C715" s="81"/>
    </row>
    <row r="716" spans="1:3">
      <c r="A716" s="91"/>
      <c r="B716" s="76"/>
      <c r="C716" s="81"/>
    </row>
    <row r="717" spans="1:3">
      <c r="A717" s="91"/>
      <c r="B717" s="76"/>
      <c r="C717" s="81"/>
    </row>
    <row r="718" spans="1:3">
      <c r="A718" s="91"/>
      <c r="B718" s="76"/>
      <c r="C718" s="81"/>
    </row>
    <row r="719" spans="1:3">
      <c r="A719" s="91"/>
      <c r="B719" s="76"/>
      <c r="C719" s="81"/>
    </row>
    <row r="720" spans="1:3">
      <c r="A720" s="91"/>
      <c r="B720" s="76"/>
      <c r="C720" s="81"/>
    </row>
    <row r="721" spans="1:3">
      <c r="A721" s="91"/>
      <c r="B721" s="76"/>
      <c r="C721" s="81"/>
    </row>
    <row r="722" spans="1:3">
      <c r="A722" s="91"/>
      <c r="B722" s="76"/>
      <c r="C722" s="81"/>
    </row>
    <row r="723" spans="1:3">
      <c r="A723" s="91"/>
      <c r="B723" s="76"/>
      <c r="C723" s="81"/>
    </row>
    <row r="724" spans="1:3">
      <c r="A724" s="91"/>
      <c r="B724" s="76"/>
      <c r="C724" s="81"/>
    </row>
    <row r="725" spans="1:3">
      <c r="A725" s="91"/>
      <c r="B725" s="76"/>
      <c r="C725" s="81"/>
    </row>
    <row r="726" spans="1:3">
      <c r="A726" s="91"/>
      <c r="B726" s="76"/>
      <c r="C726" s="81"/>
    </row>
    <row r="727" spans="1:3">
      <c r="A727" s="91"/>
      <c r="B727" s="76"/>
      <c r="C727" s="81"/>
    </row>
    <row r="728" spans="1:3">
      <c r="A728" s="91"/>
      <c r="B728" s="76"/>
      <c r="C728" s="81"/>
    </row>
    <row r="729" spans="1:3">
      <c r="A729" s="91"/>
      <c r="B729" s="76"/>
      <c r="C729" s="81"/>
    </row>
    <row r="730" spans="1:3">
      <c r="A730" s="91"/>
      <c r="B730" s="76"/>
      <c r="C730" s="81"/>
    </row>
    <row r="731" spans="1:3">
      <c r="A731" s="91"/>
      <c r="B731" s="76"/>
      <c r="C731" s="81"/>
    </row>
    <row r="732" spans="1:3">
      <c r="A732" s="91"/>
      <c r="B732" s="76"/>
      <c r="C732" s="81"/>
    </row>
    <row r="733" spans="1:3">
      <c r="A733" s="91"/>
      <c r="B733" s="76"/>
      <c r="C733" s="81"/>
    </row>
    <row r="734" spans="1:3">
      <c r="A734" s="91"/>
      <c r="B734" s="76"/>
      <c r="C734" s="81"/>
    </row>
    <row r="735" spans="1:3">
      <c r="A735" s="91"/>
      <c r="B735" s="76"/>
      <c r="C735" s="81"/>
    </row>
    <row r="736" spans="1:3">
      <c r="A736" s="91"/>
      <c r="B736" s="76"/>
      <c r="C736" s="81"/>
    </row>
    <row r="737" spans="1:3">
      <c r="A737" s="91"/>
      <c r="B737" s="76"/>
      <c r="C737" s="81"/>
    </row>
    <row r="738" spans="1:3">
      <c r="A738" s="91"/>
      <c r="B738" s="76"/>
      <c r="C738" s="81"/>
    </row>
    <row r="739" spans="1:3">
      <c r="A739" s="91"/>
      <c r="B739" s="76"/>
      <c r="C739" s="81"/>
    </row>
    <row r="740" spans="1:3">
      <c r="A740" s="91"/>
      <c r="B740" s="76"/>
      <c r="C740" s="81"/>
    </row>
    <row r="741" spans="1:3">
      <c r="A741" s="91"/>
      <c r="B741" s="76"/>
      <c r="C741" s="81"/>
    </row>
    <row r="742" spans="1:3">
      <c r="A742" s="91"/>
      <c r="B742" s="76"/>
      <c r="C742" s="81"/>
    </row>
    <row r="743" spans="1:3">
      <c r="A743" s="91"/>
      <c r="B743" s="76"/>
      <c r="C743" s="81"/>
    </row>
    <row r="744" spans="1:3">
      <c r="A744" s="91"/>
      <c r="B744" s="76"/>
      <c r="C744" s="81"/>
    </row>
    <row r="745" spans="1:3">
      <c r="A745" s="91"/>
      <c r="B745" s="76"/>
      <c r="C745" s="81"/>
    </row>
    <row r="746" spans="1:3">
      <c r="A746" s="91"/>
      <c r="B746" s="76"/>
      <c r="C746" s="81"/>
    </row>
    <row r="747" spans="1:3">
      <c r="A747" s="91"/>
      <c r="B747" s="76"/>
      <c r="C747" s="81"/>
    </row>
    <row r="748" spans="1:3">
      <c r="A748" s="91"/>
      <c r="B748" s="76"/>
      <c r="C748" s="81"/>
    </row>
    <row r="749" spans="1:3">
      <c r="A749" s="91"/>
      <c r="B749" s="76"/>
      <c r="C749" s="81"/>
    </row>
    <row r="750" spans="1:3">
      <c r="A750" s="91"/>
      <c r="B750" s="76"/>
      <c r="C750" s="81"/>
    </row>
    <row r="751" spans="1:3">
      <c r="A751" s="91"/>
      <c r="B751" s="76"/>
      <c r="C751" s="81"/>
    </row>
    <row r="752" spans="1:3">
      <c r="A752" s="91"/>
      <c r="B752" s="76"/>
      <c r="C752" s="81"/>
    </row>
    <row r="753" spans="1:3">
      <c r="A753" s="91"/>
      <c r="B753" s="76"/>
      <c r="C753" s="81"/>
    </row>
    <row r="754" spans="1:3">
      <c r="A754" s="91"/>
      <c r="B754" s="76"/>
      <c r="C754" s="81"/>
    </row>
    <row r="755" spans="1:3">
      <c r="A755" s="91"/>
      <c r="B755" s="76"/>
      <c r="C755" s="81"/>
    </row>
    <row r="756" spans="1:3">
      <c r="A756" s="91"/>
      <c r="B756" s="76"/>
      <c r="C756" s="81"/>
    </row>
    <row r="757" spans="1:3">
      <c r="A757" s="91"/>
      <c r="B757" s="76"/>
      <c r="C757" s="81"/>
    </row>
    <row r="758" spans="1:3">
      <c r="A758" s="91"/>
      <c r="B758" s="76"/>
      <c r="C758" s="81"/>
    </row>
    <row r="759" spans="1:3">
      <c r="A759" s="91"/>
      <c r="B759" s="76"/>
      <c r="C759" s="81"/>
    </row>
    <row r="760" spans="1:3">
      <c r="A760" s="91"/>
      <c r="B760" s="76"/>
      <c r="C760" s="81"/>
    </row>
    <row r="761" spans="1:3">
      <c r="A761" s="91"/>
      <c r="B761" s="76"/>
      <c r="C761" s="81"/>
    </row>
    <row r="762" spans="1:3">
      <c r="A762" s="91"/>
      <c r="B762" s="76"/>
      <c r="C762" s="81"/>
    </row>
    <row r="763" spans="1:3">
      <c r="A763" s="91"/>
      <c r="B763" s="76"/>
      <c r="C763" s="81"/>
    </row>
    <row r="764" spans="1:3">
      <c r="A764" s="91"/>
      <c r="B764" s="76"/>
      <c r="C764" s="81"/>
    </row>
    <row r="765" spans="1:3">
      <c r="A765" s="91"/>
      <c r="B765" s="76"/>
      <c r="C765" s="81"/>
    </row>
    <row r="766" spans="1:3">
      <c r="A766" s="91"/>
      <c r="B766" s="76"/>
      <c r="C766" s="81"/>
    </row>
    <row r="767" spans="1:3">
      <c r="A767" s="91"/>
      <c r="B767" s="76"/>
      <c r="C767" s="81"/>
    </row>
    <row r="768" spans="1:3">
      <c r="A768" s="91"/>
      <c r="B768" s="76"/>
      <c r="C768" s="81"/>
    </row>
    <row r="769" spans="1:3">
      <c r="A769" s="91"/>
      <c r="B769" s="76"/>
      <c r="C769" s="81"/>
    </row>
    <row r="770" spans="1:3">
      <c r="A770" s="91"/>
      <c r="B770" s="76"/>
      <c r="C770" s="81"/>
    </row>
    <row r="771" spans="1:3">
      <c r="A771" s="91"/>
      <c r="B771" s="76"/>
      <c r="C771" s="81"/>
    </row>
    <row r="772" spans="1:3">
      <c r="A772" s="91"/>
      <c r="B772" s="76"/>
      <c r="C772" s="81"/>
    </row>
    <row r="773" spans="1:3">
      <c r="A773" s="91"/>
      <c r="B773" s="76"/>
      <c r="C773" s="81"/>
    </row>
    <row r="774" spans="1:3">
      <c r="A774" s="91"/>
      <c r="B774" s="76"/>
      <c r="C774" s="81"/>
    </row>
    <row r="775" spans="1:3">
      <c r="A775" s="91"/>
      <c r="B775" s="76"/>
      <c r="C775" s="81"/>
    </row>
    <row r="776" spans="1:3">
      <c r="A776" s="91"/>
      <c r="B776" s="76"/>
      <c r="C776" s="81"/>
    </row>
    <row r="777" spans="1:3">
      <c r="A777" s="91"/>
      <c r="B777" s="76"/>
      <c r="C777" s="81"/>
    </row>
    <row r="778" spans="1:3">
      <c r="A778" s="91"/>
      <c r="B778" s="76"/>
      <c r="C778" s="81"/>
    </row>
    <row r="779" spans="1:3">
      <c r="A779" s="91"/>
      <c r="B779" s="76"/>
      <c r="C779" s="81"/>
    </row>
    <row r="780" spans="1:3">
      <c r="A780" s="91"/>
      <c r="B780" s="76"/>
      <c r="C780" s="81"/>
    </row>
    <row r="781" spans="1:3">
      <c r="A781" s="91"/>
      <c r="B781" s="76"/>
      <c r="C781" s="81"/>
    </row>
    <row r="782" spans="1:3">
      <c r="A782" s="91"/>
      <c r="B782" s="76"/>
      <c r="C782" s="81"/>
    </row>
    <row r="783" spans="1:3">
      <c r="A783" s="91"/>
      <c r="B783" s="76"/>
      <c r="C783" s="81"/>
    </row>
    <row r="784" spans="1:3">
      <c r="A784" s="91"/>
      <c r="B784" s="76"/>
      <c r="C784" s="81"/>
    </row>
    <row r="785" spans="1:3">
      <c r="A785" s="91"/>
      <c r="B785" s="76"/>
      <c r="C785" s="81"/>
    </row>
    <row r="786" spans="1:3">
      <c r="A786" s="91"/>
      <c r="B786" s="76"/>
      <c r="C786" s="81"/>
    </row>
    <row r="787" spans="1:3">
      <c r="A787" s="91"/>
      <c r="B787" s="76"/>
      <c r="C787" s="81"/>
    </row>
    <row r="788" spans="1:3">
      <c r="A788" s="91"/>
      <c r="B788" s="76"/>
      <c r="C788" s="81"/>
    </row>
    <row r="789" spans="1:3">
      <c r="A789" s="91"/>
      <c r="B789" s="76"/>
      <c r="C789" s="81"/>
    </row>
    <row r="790" spans="1:3">
      <c r="A790" s="91"/>
      <c r="B790" s="76"/>
      <c r="C790" s="81"/>
    </row>
    <row r="791" spans="1:3">
      <c r="A791" s="91"/>
      <c r="B791" s="76"/>
      <c r="C791" s="81"/>
    </row>
    <row r="792" spans="1:3">
      <c r="A792" s="91"/>
      <c r="B792" s="76"/>
      <c r="C792" s="81"/>
    </row>
    <row r="793" spans="1:3">
      <c r="A793" s="91"/>
      <c r="B793" s="76"/>
      <c r="C793" s="81"/>
    </row>
    <row r="794" spans="1:3">
      <c r="A794" s="91"/>
      <c r="B794" s="76"/>
      <c r="C794" s="81"/>
    </row>
    <row r="795" spans="1:3">
      <c r="A795" s="91"/>
      <c r="B795" s="76"/>
      <c r="C795" s="81"/>
    </row>
    <row r="796" spans="1:3">
      <c r="A796" s="91"/>
      <c r="B796" s="76"/>
      <c r="C796" s="81"/>
    </row>
    <row r="797" spans="1:3">
      <c r="A797" s="91"/>
      <c r="B797" s="76"/>
      <c r="C797" s="81"/>
    </row>
  </sheetData>
  <autoFilter ref="A3:C540">
    <filterColumn colId="1"/>
    <filterColumn colId="2"/>
  </autoFilter>
  <sortState ref="A5:C508">
    <sortCondition ref="B5:B508"/>
  </sortState>
  <conditionalFormatting sqref="A10">
    <cfRule type="expression" dxfId="58" priority="83" stopIfTrue="1">
      <formula>AB10="ERROR CUIT"</formula>
    </cfRule>
  </conditionalFormatting>
  <conditionalFormatting sqref="A55 A62">
    <cfRule type="expression" dxfId="57" priority="82" stopIfTrue="1">
      <formula>Y55="ERROR CUIT"</formula>
    </cfRule>
  </conditionalFormatting>
  <conditionalFormatting sqref="A57">
    <cfRule type="expression" dxfId="56" priority="81" stopIfTrue="1">
      <formula>Y57="ERROR CUIT"</formula>
    </cfRule>
  </conditionalFormatting>
  <conditionalFormatting sqref="A58">
    <cfRule type="expression" dxfId="55" priority="80" stopIfTrue="1">
      <formula>Y58="ERROR CUIT"</formula>
    </cfRule>
  </conditionalFormatting>
  <conditionalFormatting sqref="A92">
    <cfRule type="expression" dxfId="54" priority="79" stopIfTrue="1">
      <formula>AB92="ERROR CUIT"</formula>
    </cfRule>
  </conditionalFormatting>
  <conditionalFormatting sqref="A93">
    <cfRule type="expression" dxfId="53" priority="78" stopIfTrue="1">
      <formula>AB93="ERROR CUIT"</formula>
    </cfRule>
  </conditionalFormatting>
  <conditionalFormatting sqref="A94">
    <cfRule type="expression" dxfId="52" priority="77" stopIfTrue="1">
      <formula>AB94="ERROR CUIT"</formula>
    </cfRule>
  </conditionalFormatting>
  <conditionalFormatting sqref="A95">
    <cfRule type="expression" dxfId="51" priority="76" stopIfTrue="1">
      <formula>AB95="ERROR CUIT"</formula>
    </cfRule>
  </conditionalFormatting>
  <conditionalFormatting sqref="A76">
    <cfRule type="expression" dxfId="50" priority="75" stopIfTrue="1">
      <formula>AB76="ERROR CUIT"</formula>
    </cfRule>
  </conditionalFormatting>
  <conditionalFormatting sqref="A77">
    <cfRule type="expression" dxfId="49" priority="74" stopIfTrue="1">
      <formula>AB77="ERROR CUIT"</formula>
    </cfRule>
  </conditionalFormatting>
  <conditionalFormatting sqref="A79">
    <cfRule type="expression" dxfId="48" priority="73" stopIfTrue="1">
      <formula>AB79="ERROR CUIT"</formula>
    </cfRule>
  </conditionalFormatting>
  <conditionalFormatting sqref="A89">
    <cfRule type="expression" dxfId="47" priority="72" stopIfTrue="1">
      <formula>AB89="ERROR CUIT"</formula>
    </cfRule>
  </conditionalFormatting>
  <conditionalFormatting sqref="A81">
    <cfRule type="expression" dxfId="46" priority="71" stopIfTrue="1">
      <formula>AB81="ERROR CUIT"</formula>
    </cfRule>
  </conditionalFormatting>
  <conditionalFormatting sqref="A82">
    <cfRule type="expression" dxfId="45" priority="70" stopIfTrue="1">
      <formula>AB82="ERROR CUIT"</formula>
    </cfRule>
  </conditionalFormatting>
  <conditionalFormatting sqref="A83">
    <cfRule type="expression" dxfId="44" priority="69" stopIfTrue="1">
      <formula>AB83="ERROR CUIT"</formula>
    </cfRule>
  </conditionalFormatting>
  <conditionalFormatting sqref="A84">
    <cfRule type="expression" dxfId="43" priority="68" stopIfTrue="1">
      <formula>AB84="ERROR CUIT"</formula>
    </cfRule>
  </conditionalFormatting>
  <conditionalFormatting sqref="A85">
    <cfRule type="expression" dxfId="42" priority="67" stopIfTrue="1">
      <formula>AB85="ERROR CUIT"</formula>
    </cfRule>
  </conditionalFormatting>
  <conditionalFormatting sqref="A86">
    <cfRule type="expression" dxfId="41" priority="66" stopIfTrue="1">
      <formula>AB86="ERROR CUIT"</formula>
    </cfRule>
  </conditionalFormatting>
  <conditionalFormatting sqref="A87">
    <cfRule type="expression" dxfId="40" priority="65" stopIfTrue="1">
      <formula>AB87="ERROR CUIT"</formula>
    </cfRule>
  </conditionalFormatting>
  <conditionalFormatting sqref="A88">
    <cfRule type="expression" dxfId="39" priority="64" stopIfTrue="1">
      <formula>AB88="ERROR CUIT"</formula>
    </cfRule>
  </conditionalFormatting>
  <conditionalFormatting sqref="A107">
    <cfRule type="expression" dxfId="38" priority="63" stopIfTrue="1">
      <formula>AB107="ERROR CUIT"</formula>
    </cfRule>
  </conditionalFormatting>
  <conditionalFormatting sqref="A80 A119">
    <cfRule type="expression" dxfId="37" priority="57" stopIfTrue="1">
      <formula>AC80="ERROR CUIT"</formula>
    </cfRule>
  </conditionalFormatting>
  <conditionalFormatting sqref="A12">
    <cfRule type="expression" dxfId="36" priority="56" stopIfTrue="1">
      <formula>AC12="ERROR CUIT"</formula>
    </cfRule>
  </conditionalFormatting>
  <conditionalFormatting sqref="A13">
    <cfRule type="expression" dxfId="35" priority="55" stopIfTrue="1">
      <formula>AC13="ERROR CUIT"</formula>
    </cfRule>
  </conditionalFormatting>
  <conditionalFormatting sqref="A21">
    <cfRule type="expression" dxfId="34" priority="54" stopIfTrue="1">
      <formula>AC21="ERROR CUIT"</formula>
    </cfRule>
  </conditionalFormatting>
  <conditionalFormatting sqref="A22">
    <cfRule type="expression" dxfId="33" priority="53" stopIfTrue="1">
      <formula>AC22="ERROR CUIT"</formula>
    </cfRule>
  </conditionalFormatting>
  <conditionalFormatting sqref="A23">
    <cfRule type="expression" dxfId="32" priority="52" stopIfTrue="1">
      <formula>AC23="ERROR CUIT"</formula>
    </cfRule>
  </conditionalFormatting>
  <conditionalFormatting sqref="A24">
    <cfRule type="expression" dxfId="31" priority="51" stopIfTrue="1">
      <formula>AC24="ERROR CUIT"</formula>
    </cfRule>
  </conditionalFormatting>
  <conditionalFormatting sqref="A15">
    <cfRule type="expression" dxfId="30" priority="50" stopIfTrue="1">
      <formula>AG26="ERROR CUIT"</formula>
    </cfRule>
  </conditionalFormatting>
  <conditionalFormatting sqref="A16">
    <cfRule type="expression" dxfId="29" priority="49" stopIfTrue="1">
      <formula>AC16="ERROR CUIT"</formula>
    </cfRule>
  </conditionalFormatting>
  <conditionalFormatting sqref="A17">
    <cfRule type="expression" dxfId="28" priority="48" stopIfTrue="1">
      <formula>AC17="ERROR CUIT"</formula>
    </cfRule>
  </conditionalFormatting>
  <conditionalFormatting sqref="A18">
    <cfRule type="expression" dxfId="27" priority="47" stopIfTrue="1">
      <formula>AC18="ERROR CUIT"</formula>
    </cfRule>
  </conditionalFormatting>
  <conditionalFormatting sqref="A19">
    <cfRule type="expression" dxfId="26" priority="46" stopIfTrue="1">
      <formula>AC19="ERROR CUIT"</formula>
    </cfRule>
  </conditionalFormatting>
  <conditionalFormatting sqref="A123">
    <cfRule type="expression" dxfId="25" priority="39" stopIfTrue="1">
      <formula>AC121="ERROR CUIT"</formula>
    </cfRule>
  </conditionalFormatting>
  <conditionalFormatting sqref="A124">
    <cfRule type="expression" dxfId="24" priority="38" stopIfTrue="1">
      <formula>AC122="ERROR CUIT"</formula>
    </cfRule>
  </conditionalFormatting>
  <conditionalFormatting sqref="A125">
    <cfRule type="expression" dxfId="23" priority="37" stopIfTrue="1">
      <formula>AC123="ERROR CUIT"</formula>
    </cfRule>
  </conditionalFormatting>
  <conditionalFormatting sqref="A27">
    <cfRule type="expression" dxfId="22" priority="25" stopIfTrue="1">
      <formula>AC27="ERROR CUIT"</formula>
    </cfRule>
  </conditionalFormatting>
  <conditionalFormatting sqref="A75">
    <cfRule type="expression" dxfId="21" priority="24" stopIfTrue="1">
      <formula>AC75="ERROR CUIT"</formula>
    </cfRule>
  </conditionalFormatting>
  <conditionalFormatting sqref="A110">
    <cfRule type="expression" dxfId="20" priority="19" stopIfTrue="1">
      <formula>AC110="ERROR CUIT"</formula>
    </cfRule>
  </conditionalFormatting>
  <conditionalFormatting sqref="A110">
    <cfRule type="expression" dxfId="19" priority="18" stopIfTrue="1">
      <formula>AC110="ERROR CUIT"</formula>
    </cfRule>
  </conditionalFormatting>
  <conditionalFormatting sqref="A111">
    <cfRule type="expression" dxfId="18" priority="17" stopIfTrue="1">
      <formula>AC111="ERROR CUIT"</formula>
    </cfRule>
  </conditionalFormatting>
  <conditionalFormatting sqref="A112">
    <cfRule type="expression" dxfId="17" priority="16" stopIfTrue="1">
      <formula>AC112="ERROR CUIT"</formula>
    </cfRule>
  </conditionalFormatting>
  <conditionalFormatting sqref="A113">
    <cfRule type="expression" dxfId="16" priority="15" stopIfTrue="1">
      <formula>AC113="ERROR CUIT"</formula>
    </cfRule>
  </conditionalFormatting>
  <conditionalFormatting sqref="A114">
    <cfRule type="expression" dxfId="15" priority="14" stopIfTrue="1">
      <formula>AC114="ERROR CUIT"</formula>
    </cfRule>
  </conditionalFormatting>
  <conditionalFormatting sqref="A115">
    <cfRule type="expression" dxfId="14" priority="13" stopIfTrue="1">
      <formula>AC115="ERROR CUIT"</formula>
    </cfRule>
  </conditionalFormatting>
  <conditionalFormatting sqref="A116">
    <cfRule type="expression" dxfId="13" priority="12" stopIfTrue="1">
      <formula>AC116="ERROR CUIT"</formula>
    </cfRule>
  </conditionalFormatting>
  <conditionalFormatting sqref="A117">
    <cfRule type="expression" dxfId="12" priority="11" stopIfTrue="1">
      <formula>AC117="ERROR CUIT"</formula>
    </cfRule>
  </conditionalFormatting>
  <conditionalFormatting sqref="A118">
    <cfRule type="expression" dxfId="11" priority="10" stopIfTrue="1">
      <formula>AC118="ERROR CUIT"</formula>
    </cfRule>
  </conditionalFormatting>
  <conditionalFormatting sqref="A118">
    <cfRule type="expression" dxfId="10" priority="9" stopIfTrue="1">
      <formula>AC118="ERROR CUIT"</formula>
    </cfRule>
  </conditionalFormatting>
  <conditionalFormatting sqref="A59">
    <cfRule type="expression" dxfId="9" priority="8" stopIfTrue="1">
      <formula>Z59="ERROR CUIT"</formula>
    </cfRule>
  </conditionalFormatting>
  <conditionalFormatting sqref="A60">
    <cfRule type="expression" dxfId="8" priority="7" stopIfTrue="1">
      <formula>Z60="ERROR CUIT"</formula>
    </cfRule>
  </conditionalFormatting>
  <conditionalFormatting sqref="A61">
    <cfRule type="expression" dxfId="7" priority="6" stopIfTrue="1">
      <formula>Z61="ERROR CUIT"</formula>
    </cfRule>
  </conditionalFormatting>
  <conditionalFormatting sqref="A63">
    <cfRule type="expression" dxfId="6" priority="5" stopIfTrue="1">
      <formula>Z63="ERROR CUIT"</formula>
    </cfRule>
  </conditionalFormatting>
  <conditionalFormatting sqref="A64">
    <cfRule type="expression" dxfId="5" priority="4" stopIfTrue="1">
      <formula>AC64="ERROR CUIT"</formula>
    </cfRule>
  </conditionalFormatting>
  <conditionalFormatting sqref="A65">
    <cfRule type="expression" dxfId="4" priority="3" stopIfTrue="1">
      <formula>AC65="ERROR CUIT"</formula>
    </cfRule>
  </conditionalFormatting>
  <conditionalFormatting sqref="A120">
    <cfRule type="expression" dxfId="3" priority="2" stopIfTrue="1">
      <formula>AC120="ERROR CUIT"</formula>
    </cfRule>
  </conditionalFormatting>
  <conditionalFormatting sqref="A121">
    <cfRule type="expression" dxfId="2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10:A119 A63:A65 A75 A27 A59:A61 A17:A20 A123:A125 A14">
      <formula1>11</formula1>
    </dataValidation>
    <dataValidation type="textLength" allowBlank="1" showInputMessage="1" showErrorMessage="1" sqref="B1:B48 B54:B1048576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29"/>
  <sheetViews>
    <sheetView topLeftCell="A61" zoomScaleNormal="100" workbookViewId="0">
      <selection activeCell="F87" sqref="F87"/>
    </sheetView>
  </sheetViews>
  <sheetFormatPr baseColWidth="10" defaultColWidth="9.140625" defaultRowHeight="15"/>
  <cols>
    <col min="1" max="1" width="13.7109375" style="57" customWidth="1"/>
    <col min="2" max="2" width="10" style="7" customWidth="1"/>
    <col min="3" max="3" width="14.28515625" style="7" customWidth="1"/>
    <col min="4" max="4" width="14" style="35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324" t="s">
        <v>28</v>
      </c>
      <c r="B1" s="324"/>
      <c r="C1" s="324"/>
      <c r="D1" s="324"/>
      <c r="E1" s="324"/>
      <c r="F1" s="324"/>
      <c r="G1" s="324"/>
      <c r="H1" s="324"/>
      <c r="I1" s="324"/>
      <c r="J1" s="325">
        <v>45597</v>
      </c>
      <c r="K1" s="325"/>
      <c r="L1" s="325"/>
      <c r="M1" s="325"/>
      <c r="N1" s="325"/>
    </row>
    <row r="2" spans="1:16" ht="18.75">
      <c r="A2" s="56"/>
      <c r="B2" s="9"/>
      <c r="C2" s="9"/>
      <c r="D2" s="34"/>
      <c r="E2" s="211"/>
      <c r="F2" s="44"/>
      <c r="G2" s="45"/>
      <c r="H2" s="45"/>
      <c r="I2" s="10"/>
      <c r="J2" s="10"/>
      <c r="K2" s="8"/>
      <c r="L2" s="11"/>
    </row>
    <row r="3" spans="1:16" ht="15.75" thickBot="1">
      <c r="F3" s="46"/>
      <c r="G3" s="47"/>
      <c r="H3" s="48"/>
      <c r="I3" s="18"/>
      <c r="J3" s="11"/>
      <c r="K3" s="11"/>
    </row>
    <row r="4" spans="1:16" ht="16.5" thickBot="1">
      <c r="A4" s="326" t="s">
        <v>6</v>
      </c>
      <c r="B4" s="327"/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8"/>
    </row>
    <row r="5" spans="1:16" ht="15.75" thickBot="1">
      <c r="A5" s="58"/>
      <c r="B5" s="3"/>
      <c r="C5" s="3"/>
      <c r="D5" s="36"/>
      <c r="E5" s="3"/>
      <c r="F5" s="30"/>
      <c r="G5" s="30"/>
      <c r="H5" s="30"/>
      <c r="I5" s="3"/>
      <c r="J5" s="1"/>
      <c r="K5" s="1"/>
    </row>
    <row r="6" spans="1:16" ht="16.5" thickBot="1">
      <c r="A6" s="321" t="s">
        <v>20</v>
      </c>
      <c r="B6" s="322"/>
      <c r="C6" s="323"/>
      <c r="D6" s="36"/>
      <c r="E6" s="3"/>
      <c r="F6" s="30"/>
      <c r="G6" s="30"/>
      <c r="H6" s="30"/>
      <c r="I6" s="3"/>
      <c r="J6" s="1"/>
      <c r="K6" s="1"/>
    </row>
    <row r="7" spans="1:16" ht="15.75" thickBot="1">
      <c r="A7" s="59" t="s">
        <v>1</v>
      </c>
      <c r="B7" s="29" t="s">
        <v>17</v>
      </c>
      <c r="C7" s="29" t="s">
        <v>5</v>
      </c>
      <c r="D7" s="37" t="s">
        <v>7</v>
      </c>
      <c r="E7" s="23" t="s">
        <v>19</v>
      </c>
      <c r="F7" s="29" t="s">
        <v>8</v>
      </c>
      <c r="G7" s="29" t="s">
        <v>9</v>
      </c>
      <c r="H7" s="29" t="s">
        <v>10</v>
      </c>
      <c r="I7" s="29" t="s">
        <v>11</v>
      </c>
      <c r="J7" s="29" t="s">
        <v>12</v>
      </c>
      <c r="K7" s="29" t="s">
        <v>13</v>
      </c>
      <c r="L7" s="29" t="s">
        <v>14</v>
      </c>
      <c r="M7" s="29" t="s">
        <v>30</v>
      </c>
      <c r="N7" s="29" t="s">
        <v>15</v>
      </c>
      <c r="O7" s="29" t="s">
        <v>4</v>
      </c>
      <c r="P7" s="29" t="s">
        <v>2</v>
      </c>
    </row>
    <row r="8" spans="1:16" ht="15" customHeight="1">
      <c r="A8" s="199">
        <v>45607</v>
      </c>
      <c r="B8" s="21">
        <v>8</v>
      </c>
      <c r="C8" s="201">
        <v>13270</v>
      </c>
      <c r="D8" s="203">
        <v>33715594949</v>
      </c>
      <c r="E8" s="202" t="str">
        <f>VLOOKUP(D8,Configuracion!$A$4:$C$590,2,FALSE)</f>
        <v>SOMOS ENERGIA SA</v>
      </c>
      <c r="F8" s="206">
        <v>80639.13</v>
      </c>
      <c r="G8" s="49">
        <f t="shared" ref="G8:G17" si="0">F8*21%</f>
        <v>16934.2173</v>
      </c>
      <c r="H8" s="49"/>
      <c r="I8" s="49"/>
      <c r="J8" s="49"/>
      <c r="K8" s="219">
        <v>5769.09</v>
      </c>
      <c r="L8" s="49"/>
      <c r="M8" s="224"/>
      <c r="N8" s="49">
        <v>657.51</v>
      </c>
      <c r="O8" s="204">
        <f t="shared" ref="O8:O17" si="1">SUM(F8:N8)</f>
        <v>103999.9473</v>
      </c>
      <c r="P8" s="209" t="str">
        <f>VLOOKUP(D8,Configuracion!$A$4:$C$590,3,FALSE)</f>
        <v>GASTOS VARIOS</v>
      </c>
    </row>
    <row r="9" spans="1:16" ht="15" customHeight="1">
      <c r="A9" s="199">
        <v>45584</v>
      </c>
      <c r="B9" s="21">
        <v>12</v>
      </c>
      <c r="C9" s="201">
        <v>12765</v>
      </c>
      <c r="D9" s="203">
        <v>30685116657</v>
      </c>
      <c r="E9" s="202" t="str">
        <f>VLOOKUP(D9,Configuracion!$A$4:$C$590,2,FALSE)</f>
        <v>MIRVAR SA</v>
      </c>
      <c r="F9" s="206">
        <v>37736.11</v>
      </c>
      <c r="G9" s="49">
        <f t="shared" si="0"/>
        <v>7924.5830999999998</v>
      </c>
      <c r="H9" s="49"/>
      <c r="I9" s="49"/>
      <c r="J9" s="49"/>
      <c r="K9" s="219"/>
      <c r="L9" s="49"/>
      <c r="M9" s="224"/>
      <c r="N9" s="49">
        <v>7345.16</v>
      </c>
      <c r="O9" s="204">
        <f t="shared" si="1"/>
        <v>53005.853100000008</v>
      </c>
      <c r="P9" s="209" t="str">
        <f>VLOOKUP(D9,Configuracion!$A$4:$C$590,3,FALSE)</f>
        <v>VARIOS</v>
      </c>
    </row>
    <row r="10" spans="1:16" ht="15" customHeight="1">
      <c r="A10" s="199">
        <v>45623</v>
      </c>
      <c r="B10" s="21">
        <v>6</v>
      </c>
      <c r="C10" s="201">
        <v>20262</v>
      </c>
      <c r="D10" s="203">
        <v>33715594949</v>
      </c>
      <c r="E10" s="202" t="str">
        <f>VLOOKUP(D10,Configuracion!$A$4:$C$590,2,FALSE)</f>
        <v>SOMOS ENERGIA SA</v>
      </c>
      <c r="F10" s="206">
        <v>99460.83</v>
      </c>
      <c r="G10" s="49">
        <f t="shared" si="0"/>
        <v>20886.774300000001</v>
      </c>
      <c r="H10" s="49"/>
      <c r="I10" s="49"/>
      <c r="J10" s="49"/>
      <c r="K10" s="219"/>
      <c r="L10" s="49"/>
      <c r="M10" s="224"/>
      <c r="N10" s="49">
        <v>12651.36</v>
      </c>
      <c r="O10" s="204">
        <f t="shared" si="1"/>
        <v>132998.96429999999</v>
      </c>
      <c r="P10" s="209" t="str">
        <f>VLOOKUP(D10,Configuracion!$A$4:$C$590,3,FALSE)</f>
        <v>GASTOS VARIOS</v>
      </c>
    </row>
    <row r="11" spans="1:16" ht="15" customHeight="1">
      <c r="A11" s="199">
        <v>45594</v>
      </c>
      <c r="B11" s="21">
        <v>6</v>
      </c>
      <c r="C11" s="201">
        <v>19925</v>
      </c>
      <c r="D11" s="203">
        <v>33715594949</v>
      </c>
      <c r="E11" s="202" t="str">
        <f>VLOOKUP(D11,Configuracion!$A$4:$C$590,2,FALSE)</f>
        <v>SOMOS ENERGIA SA</v>
      </c>
      <c r="F11" s="206">
        <v>34466.21</v>
      </c>
      <c r="G11" s="49">
        <f t="shared" si="0"/>
        <v>7237.9040999999997</v>
      </c>
      <c r="H11" s="49"/>
      <c r="I11" s="49"/>
      <c r="J11" s="49"/>
      <c r="K11" s="219"/>
      <c r="L11" s="49"/>
      <c r="M11" s="224"/>
      <c r="N11" s="49">
        <v>2639.95</v>
      </c>
      <c r="O11" s="204">
        <f t="shared" si="1"/>
        <v>44344.064099999996</v>
      </c>
      <c r="P11" s="209" t="str">
        <f>VLOOKUP(D11,Configuracion!$A$4:$C$590,3,FALSE)</f>
        <v>GASTOS VARIOS</v>
      </c>
    </row>
    <row r="12" spans="1:16" ht="15" customHeight="1">
      <c r="A12" s="199">
        <v>45598</v>
      </c>
      <c r="B12" s="21">
        <v>6</v>
      </c>
      <c r="C12" s="201">
        <v>199958</v>
      </c>
      <c r="D12" s="203">
        <v>33715594949</v>
      </c>
      <c r="E12" s="202" t="str">
        <f>VLOOKUP(D12,Configuracion!$A$4:$C$590,2,FALSE)</f>
        <v>SOMOS ENERGIA SA</v>
      </c>
      <c r="F12" s="206">
        <v>50154.49</v>
      </c>
      <c r="G12" s="49">
        <f t="shared" si="0"/>
        <v>10532.4429</v>
      </c>
      <c r="H12" s="49"/>
      <c r="I12" s="49"/>
      <c r="J12" s="49"/>
      <c r="K12" s="219"/>
      <c r="L12" s="49"/>
      <c r="M12" s="224"/>
      <c r="N12" s="49">
        <v>3997.11</v>
      </c>
      <c r="O12" s="204">
        <f t="shared" si="1"/>
        <v>64684.0429</v>
      </c>
      <c r="P12" s="209" t="str">
        <f>VLOOKUP(D12,Configuracion!$A$4:$C$590,3,FALSE)</f>
        <v>GASTOS VARIOS</v>
      </c>
    </row>
    <row r="13" spans="1:16" ht="15" customHeight="1">
      <c r="A13" s="199">
        <v>45603</v>
      </c>
      <c r="B13" s="21">
        <v>6</v>
      </c>
      <c r="C13" s="201">
        <v>20024</v>
      </c>
      <c r="D13" s="203">
        <v>33715594949</v>
      </c>
      <c r="E13" s="202" t="str">
        <f>VLOOKUP(D13,Configuracion!$A$4:$C$590,2,FALSE)</f>
        <v>SOMOS ENERGIA SA</v>
      </c>
      <c r="F13" s="206">
        <v>67728.33</v>
      </c>
      <c r="G13" s="49">
        <f t="shared" si="0"/>
        <v>14222.9493</v>
      </c>
      <c r="H13" s="49"/>
      <c r="I13" s="49"/>
      <c r="J13" s="49"/>
      <c r="K13" s="219"/>
      <c r="L13" s="49"/>
      <c r="M13" s="224"/>
      <c r="N13" s="49">
        <v>5397.67</v>
      </c>
      <c r="O13" s="204">
        <f t="shared" si="1"/>
        <v>87348.949299999993</v>
      </c>
      <c r="P13" s="209" t="str">
        <f>VLOOKUP(D13,Configuracion!$A$4:$C$590,3,FALSE)</f>
        <v>GASTOS VARIOS</v>
      </c>
    </row>
    <row r="14" spans="1:16" ht="15" customHeight="1">
      <c r="A14" s="199">
        <v>45617</v>
      </c>
      <c r="B14" s="21">
        <v>8</v>
      </c>
      <c r="C14" s="201">
        <v>13359</v>
      </c>
      <c r="D14" s="203">
        <v>33715594949</v>
      </c>
      <c r="E14" s="202" t="str">
        <f>VLOOKUP(D14,Configuracion!$A$4:$C$590,2,FALSE)</f>
        <v>SOMOS ENERGIA SA</v>
      </c>
      <c r="F14" s="206">
        <v>89743.55</v>
      </c>
      <c r="G14" s="49">
        <f t="shared" si="0"/>
        <v>18846.145499999999</v>
      </c>
      <c r="H14" s="49"/>
      <c r="I14" s="49"/>
      <c r="J14" s="49"/>
      <c r="K14" s="219"/>
      <c r="L14" s="49"/>
      <c r="M14" s="224"/>
      <c r="N14" s="49">
        <v>11415.32</v>
      </c>
      <c r="O14" s="204">
        <f t="shared" si="1"/>
        <v>120005.01550000001</v>
      </c>
      <c r="P14" s="209" t="str">
        <f>VLOOKUP(D14,Configuracion!$A$4:$C$590,3,FALSE)</f>
        <v>GASTOS VARIOS</v>
      </c>
    </row>
    <row r="15" spans="1:16" ht="15" customHeight="1">
      <c r="A15" s="199">
        <v>45616</v>
      </c>
      <c r="B15" s="21">
        <v>6</v>
      </c>
      <c r="C15" s="201">
        <v>1710</v>
      </c>
      <c r="D15" s="203">
        <v>30716815710</v>
      </c>
      <c r="E15" s="202" t="str">
        <f>VLOOKUP(D15,Configuracion!$A$4:$C$590,2,FALSE)</f>
        <v>PAPELERA GEOPEL SRL</v>
      </c>
      <c r="F15" s="206">
        <v>14800</v>
      </c>
      <c r="G15" s="49">
        <f t="shared" si="0"/>
        <v>3108</v>
      </c>
      <c r="H15" s="49"/>
      <c r="I15" s="49"/>
      <c r="J15" s="49"/>
      <c r="K15" s="219"/>
      <c r="L15" s="49"/>
      <c r="M15" s="224"/>
      <c r="N15" s="49"/>
      <c r="O15" s="204">
        <f t="shared" si="1"/>
        <v>17908</v>
      </c>
      <c r="P15" s="209" t="str">
        <f>VLOOKUP(D15,Configuracion!$A$4:$C$590,3,FALSE)</f>
        <v>LIBRERÍA</v>
      </c>
    </row>
    <row r="16" spans="1:16" ht="15" customHeight="1">
      <c r="A16" s="199">
        <v>45615</v>
      </c>
      <c r="B16" s="21">
        <v>326</v>
      </c>
      <c r="C16" s="201">
        <v>79605</v>
      </c>
      <c r="D16" s="203">
        <v>30556565798</v>
      </c>
      <c r="E16" s="202" t="str">
        <f>VLOOKUP(D16,Configuracion!$A$4:$C$590,2,FALSE)</f>
        <v>V M TRASP CRUZ DEL SUR SA</v>
      </c>
      <c r="F16" s="206">
        <v>21901.87</v>
      </c>
      <c r="G16" s="49">
        <f t="shared" si="0"/>
        <v>4599.3926999999994</v>
      </c>
      <c r="H16" s="49"/>
      <c r="I16" s="49"/>
      <c r="J16" s="49"/>
      <c r="K16" s="219"/>
      <c r="L16" s="49"/>
      <c r="M16" s="224"/>
      <c r="N16" s="49"/>
      <c r="O16" s="204">
        <f t="shared" si="1"/>
        <v>26501.262699999999</v>
      </c>
      <c r="P16" s="209" t="str">
        <f>VLOOKUP(D16,Configuracion!$A$4:$C$590,3,FALSE)</f>
        <v>FLETE</v>
      </c>
    </row>
    <row r="17" spans="1:16" ht="15" customHeight="1" thickBot="1">
      <c r="A17" s="199"/>
      <c r="B17" s="21"/>
      <c r="C17" s="201"/>
      <c r="D17" s="203"/>
      <c r="E17" s="202" t="e">
        <f>VLOOKUP(D17,Configuracion!$A$4:$C$590,2,FALSE)</f>
        <v>#N/A</v>
      </c>
      <c r="F17" s="206"/>
      <c r="G17" s="49">
        <f t="shared" si="0"/>
        <v>0</v>
      </c>
      <c r="H17" s="49"/>
      <c r="I17" s="49"/>
      <c r="J17" s="49"/>
      <c r="K17" s="219"/>
      <c r="L17" s="49"/>
      <c r="M17" s="224"/>
      <c r="N17" s="49"/>
      <c r="O17" s="204">
        <f t="shared" si="1"/>
        <v>0</v>
      </c>
      <c r="P17" s="209" t="e">
        <f>VLOOKUP(D17,Configuracion!$A$4:$C$590,3,FALSE)</f>
        <v>#N/A</v>
      </c>
    </row>
    <row r="18" spans="1:16" ht="15.75" customHeight="1" thickBot="1">
      <c r="A18" s="310" t="s">
        <v>4</v>
      </c>
      <c r="B18" s="311"/>
      <c r="C18" s="311"/>
      <c r="D18" s="311"/>
      <c r="E18" s="332"/>
      <c r="F18" s="33">
        <f t="shared" ref="F18:O18" si="2">SUM(F8:F17)</f>
        <v>496630.52</v>
      </c>
      <c r="G18" s="33">
        <f t="shared" si="2"/>
        <v>104292.40919999999</v>
      </c>
      <c r="H18" s="33">
        <f t="shared" si="2"/>
        <v>0</v>
      </c>
      <c r="I18" s="33">
        <f t="shared" si="2"/>
        <v>0</v>
      </c>
      <c r="J18" s="33">
        <f t="shared" si="2"/>
        <v>0</v>
      </c>
      <c r="K18" s="33">
        <f t="shared" si="2"/>
        <v>5769.09</v>
      </c>
      <c r="L18" s="33">
        <f t="shared" si="2"/>
        <v>0</v>
      </c>
      <c r="M18" s="33">
        <f t="shared" si="2"/>
        <v>0</v>
      </c>
      <c r="N18" s="33">
        <f t="shared" si="2"/>
        <v>44104.08</v>
      </c>
      <c r="O18" s="33">
        <f t="shared" si="2"/>
        <v>650796.09919999994</v>
      </c>
    </row>
    <row r="19" spans="1:16" ht="15.75" customHeight="1" thickBot="1">
      <c r="F19" s="24" t="s">
        <v>3</v>
      </c>
      <c r="G19" s="333">
        <f>G18+H18+I18</f>
        <v>104292.40919999999</v>
      </c>
      <c r="H19" s="334"/>
      <c r="I19" s="335"/>
    </row>
    <row r="20" spans="1:16" ht="15.75" thickBot="1">
      <c r="K20" t="s">
        <v>104</v>
      </c>
    </row>
    <row r="21" spans="1:16" ht="16.5" thickBot="1">
      <c r="A21" s="321" t="s">
        <v>29</v>
      </c>
      <c r="B21" s="322"/>
      <c r="C21" s="323"/>
      <c r="F21" s="4"/>
      <c r="G21" s="5"/>
      <c r="H21" s="5"/>
      <c r="I21" s="5"/>
    </row>
    <row r="22" spans="1:16">
      <c r="A22" s="60" t="s">
        <v>1</v>
      </c>
      <c r="B22" s="25" t="s">
        <v>17</v>
      </c>
      <c r="C22" s="25" t="s">
        <v>16</v>
      </c>
      <c r="D22" s="39" t="s">
        <v>7</v>
      </c>
      <c r="E22" s="25" t="s">
        <v>19</v>
      </c>
      <c r="F22" s="25" t="s">
        <v>4</v>
      </c>
      <c r="G22" s="242" t="s">
        <v>2</v>
      </c>
      <c r="H22" s="5"/>
      <c r="I22" s="5"/>
      <c r="J22" s="225"/>
      <c r="K22" s="225"/>
    </row>
    <row r="23" spans="1:16">
      <c r="A23" s="210"/>
      <c r="B23" s="20"/>
      <c r="C23" s="205"/>
      <c r="D23" s="197"/>
      <c r="E23" s="197" t="e">
        <f>VLOOKUP(D23,Configuracion!$A$4:$C$590,2,FALSE)</f>
        <v>#N/A</v>
      </c>
      <c r="F23" s="22"/>
      <c r="G23" s="209" t="e">
        <f>VLOOKUP(D23,Configuracion!$A$4:$C$590,3,FALSE)</f>
        <v>#N/A</v>
      </c>
      <c r="H23" s="231"/>
    </row>
    <row r="24" spans="1:16">
      <c r="A24" s="210"/>
      <c r="B24" s="20"/>
      <c r="C24" s="205"/>
      <c r="D24" s="197"/>
      <c r="E24" s="197" t="e">
        <f>VLOOKUP(D24,Configuracion!$A$4:$C$590,2,FALSE)</f>
        <v>#N/A</v>
      </c>
      <c r="F24" s="22"/>
      <c r="G24" s="209" t="e">
        <f>VLOOKUP(D24,Configuracion!$A$4:$C$590,3,FALSE)</f>
        <v>#N/A</v>
      </c>
      <c r="H24" s="5"/>
      <c r="I24" s="5"/>
    </row>
    <row r="25" spans="1:16">
      <c r="A25" s="210"/>
      <c r="B25" s="20"/>
      <c r="C25" s="205"/>
      <c r="D25" s="197"/>
      <c r="E25" s="197" t="e">
        <f>VLOOKUP(D25,Configuracion!$A$4:$C$590,2,FALSE)</f>
        <v>#N/A</v>
      </c>
      <c r="F25" s="22"/>
      <c r="G25" s="209" t="e">
        <f>VLOOKUP(D25,Configuracion!$A$4:$C$590,3,FALSE)</f>
        <v>#N/A</v>
      </c>
      <c r="H25" s="5"/>
      <c r="I25" s="5"/>
    </row>
    <row r="26" spans="1:16">
      <c r="A26" s="210"/>
      <c r="B26" s="20"/>
      <c r="C26" s="205"/>
      <c r="D26" s="197"/>
      <c r="E26" s="197" t="e">
        <f>VLOOKUP(D26,Configuracion!$A$4:$C$590,2,FALSE)</f>
        <v>#N/A</v>
      </c>
      <c r="F26" s="22"/>
      <c r="G26" s="209" t="e">
        <f>VLOOKUP(D26,Configuracion!$A$4:$C$590,3,FALSE)</f>
        <v>#N/A</v>
      </c>
      <c r="H26" s="5"/>
      <c r="I26" s="5"/>
    </row>
    <row r="27" spans="1:16">
      <c r="A27" s="210"/>
      <c r="B27" s="20"/>
      <c r="C27" s="205"/>
      <c r="D27" s="197"/>
      <c r="E27" s="197" t="e">
        <f>VLOOKUP(D27,Configuracion!$A$4:$C$590,2,FALSE)</f>
        <v>#N/A</v>
      </c>
      <c r="F27" s="22"/>
      <c r="G27" s="209" t="e">
        <f>VLOOKUP(D27,Configuracion!$A$4:$C$590,3,FALSE)</f>
        <v>#N/A</v>
      </c>
      <c r="H27" s="5"/>
      <c r="I27" s="5"/>
    </row>
    <row r="28" spans="1:16">
      <c r="A28" s="210"/>
      <c r="B28" s="20"/>
      <c r="C28" s="205"/>
      <c r="D28" s="197"/>
      <c r="E28" s="197" t="e">
        <f>VLOOKUP(D28,Configuracion!$A$4:$C$590,2,FALSE)</f>
        <v>#N/A</v>
      </c>
      <c r="F28" s="22"/>
      <c r="G28" s="209" t="e">
        <f>VLOOKUP(D28,Configuracion!$A$4:$C$590,3,FALSE)</f>
        <v>#N/A</v>
      </c>
      <c r="H28" s="5"/>
      <c r="I28" s="5"/>
    </row>
    <row r="29" spans="1:16">
      <c r="A29" s="210"/>
      <c r="B29" s="20"/>
      <c r="C29" s="205"/>
      <c r="D29" s="197"/>
      <c r="E29" s="197" t="e">
        <f>VLOOKUP(D29,Configuracion!$A$4:$C$590,2,FALSE)</f>
        <v>#N/A</v>
      </c>
      <c r="F29" s="22"/>
      <c r="G29" s="209" t="e">
        <f>VLOOKUP(D29,Configuracion!$A$4:$C$590,3,FALSE)</f>
        <v>#N/A</v>
      </c>
      <c r="H29" s="5"/>
      <c r="I29" s="5"/>
    </row>
    <row r="30" spans="1:16">
      <c r="A30" s="210"/>
      <c r="B30" s="20"/>
      <c r="C30" s="205"/>
      <c r="D30" s="197"/>
      <c r="E30" s="197" t="e">
        <f>VLOOKUP(D30,Configuracion!$A$4:$C$590,2,FALSE)</f>
        <v>#N/A</v>
      </c>
      <c r="F30" s="22"/>
      <c r="G30" s="209" t="e">
        <f>VLOOKUP(D30,Configuracion!$A$4:$C$590,3,FALSE)</f>
        <v>#N/A</v>
      </c>
      <c r="H30" s="5"/>
      <c r="I30" s="5"/>
    </row>
    <row r="31" spans="1:16">
      <c r="A31" s="210"/>
      <c r="B31" s="20"/>
      <c r="C31" s="205"/>
      <c r="D31" s="197"/>
      <c r="E31" s="197" t="e">
        <f>VLOOKUP(D31,Configuracion!$A$4:$C$590,2,FALSE)</f>
        <v>#N/A</v>
      </c>
      <c r="F31" s="22"/>
      <c r="G31" s="209" t="e">
        <f>VLOOKUP(D31,Configuracion!$A$4:$C$590,3,FALSE)</f>
        <v>#N/A</v>
      </c>
      <c r="H31" s="5"/>
      <c r="I31" s="5"/>
    </row>
    <row r="32" spans="1:16">
      <c r="A32" s="210"/>
      <c r="B32" s="20"/>
      <c r="C32" s="205"/>
      <c r="D32" s="197"/>
      <c r="E32" s="197" t="e">
        <f>VLOOKUP(D32,Configuracion!$A$4:$C$590,2,FALSE)</f>
        <v>#N/A</v>
      </c>
      <c r="F32" s="22"/>
      <c r="G32" s="209" t="e">
        <f>VLOOKUP(D32,Configuracion!$A$4:$C$590,3,FALSE)</f>
        <v>#N/A</v>
      </c>
      <c r="H32" s="5"/>
      <c r="I32" s="5"/>
    </row>
    <row r="33" spans="1:15">
      <c r="A33" s="210"/>
      <c r="B33" s="20"/>
      <c r="C33" s="205"/>
      <c r="D33" s="197"/>
      <c r="E33" s="197" t="e">
        <f>VLOOKUP(D33,Configuracion!$A$4:$C$590,2,FALSE)</f>
        <v>#N/A</v>
      </c>
      <c r="F33" s="22"/>
      <c r="G33" s="209" t="e">
        <f>VLOOKUP(D33,Configuracion!$A$4:$C$590,3,FALSE)</f>
        <v>#N/A</v>
      </c>
      <c r="H33" s="5"/>
      <c r="I33" s="5"/>
    </row>
    <row r="34" spans="1:15">
      <c r="A34" s="210"/>
      <c r="B34" s="20"/>
      <c r="C34" s="205"/>
      <c r="D34" s="197"/>
      <c r="E34" s="197" t="e">
        <f>VLOOKUP(D34,Configuracion!$A$4:$C$590,2,FALSE)</f>
        <v>#N/A</v>
      </c>
      <c r="F34" s="22"/>
      <c r="G34" s="209" t="e">
        <f>VLOOKUP(D34,Configuracion!$A$4:$C$590,3,FALSE)</f>
        <v>#N/A</v>
      </c>
      <c r="H34" s="5"/>
      <c r="I34" s="5"/>
    </row>
    <row r="35" spans="1:15">
      <c r="A35" s="210"/>
      <c r="B35" s="20"/>
      <c r="C35" s="205"/>
      <c r="D35" s="197"/>
      <c r="E35" s="197" t="e">
        <f>VLOOKUP(D35,Configuracion!$A$4:$C$590,2,FALSE)</f>
        <v>#N/A</v>
      </c>
      <c r="F35" s="22"/>
      <c r="G35" s="209" t="e">
        <f>VLOOKUP(D35,Configuracion!$A$4:$C$590,3,FALSE)</f>
        <v>#N/A</v>
      </c>
      <c r="H35" s="5"/>
      <c r="I35" s="5"/>
    </row>
    <row r="36" spans="1:15">
      <c r="A36" s="210"/>
      <c r="B36" s="20"/>
      <c r="C36" s="205"/>
      <c r="D36" s="197"/>
      <c r="E36" s="197" t="e">
        <f>VLOOKUP(D36,Configuracion!$A$4:$C$590,2,FALSE)</f>
        <v>#N/A</v>
      </c>
      <c r="F36" s="22"/>
      <c r="G36" s="209" t="e">
        <f>VLOOKUP(D36,Configuracion!$A$4:$C$590,3,FALSE)</f>
        <v>#N/A</v>
      </c>
      <c r="H36" s="5"/>
      <c r="I36" s="5"/>
    </row>
    <row r="37" spans="1:15">
      <c r="A37" s="210"/>
      <c r="B37" s="20"/>
      <c r="C37" s="205"/>
      <c r="D37" s="197"/>
      <c r="E37" s="197" t="e">
        <f>VLOOKUP(D37,Configuracion!$A$4:$C$590,2,FALSE)</f>
        <v>#N/A</v>
      </c>
      <c r="F37" s="22"/>
      <c r="G37" s="209" t="e">
        <f>VLOOKUP(D37,Configuracion!$A$4:$C$590,3,FALSE)</f>
        <v>#N/A</v>
      </c>
      <c r="H37" s="5"/>
      <c r="I37" s="5"/>
    </row>
    <row r="38" spans="1:15">
      <c r="A38" s="210"/>
      <c r="B38" s="20"/>
      <c r="C38" s="205"/>
      <c r="D38" s="197"/>
      <c r="E38" s="197" t="e">
        <f>VLOOKUP(D38,Configuracion!$A$4:$C$590,2,FALSE)</f>
        <v>#N/A</v>
      </c>
      <c r="F38" s="22"/>
      <c r="G38" s="209" t="e">
        <f>VLOOKUP(D38,Configuracion!$A$4:$C$590,3,FALSE)</f>
        <v>#N/A</v>
      </c>
      <c r="H38" s="5"/>
      <c r="I38" s="5"/>
    </row>
    <row r="39" spans="1:15">
      <c r="A39" s="210"/>
      <c r="B39" s="20"/>
      <c r="C39" s="205"/>
      <c r="D39" s="197"/>
      <c r="E39" s="197" t="e">
        <f>VLOOKUP(D39,Configuracion!$A$4:$C$590,2,FALSE)</f>
        <v>#N/A</v>
      </c>
      <c r="F39" s="22"/>
      <c r="G39" s="209" t="e">
        <f>VLOOKUP(D39,Configuracion!$A$4:$C$590,3,FALSE)</f>
        <v>#N/A</v>
      </c>
      <c r="H39" s="5"/>
      <c r="I39" s="5"/>
    </row>
    <row r="40" spans="1:15">
      <c r="A40" s="210"/>
      <c r="B40" s="20"/>
      <c r="C40" s="205"/>
      <c r="D40" s="197"/>
      <c r="E40" s="197" t="e">
        <f>VLOOKUP(D40,Configuracion!$A$4:$C$590,2,FALSE)</f>
        <v>#N/A</v>
      </c>
      <c r="F40" s="22"/>
      <c r="G40" s="209" t="e">
        <f>VLOOKUP(D40,Configuracion!$A$4:$C$590,3,FALSE)</f>
        <v>#N/A</v>
      </c>
      <c r="H40" s="5"/>
      <c r="I40" s="5"/>
    </row>
    <row r="41" spans="1:15">
      <c r="A41" s="210"/>
      <c r="B41" s="20"/>
      <c r="C41" s="205"/>
      <c r="D41" s="197"/>
      <c r="E41" s="197" t="e">
        <f>VLOOKUP(D41,Configuracion!$A$4:$C$590,2,FALSE)</f>
        <v>#N/A</v>
      </c>
      <c r="F41" s="22"/>
      <c r="G41" s="209" t="e">
        <f>VLOOKUP(D41,Configuracion!$A$4:$C$590,3,FALSE)</f>
        <v>#N/A</v>
      </c>
      <c r="H41" s="5"/>
      <c r="I41" s="5"/>
    </row>
    <row r="42" spans="1:15" ht="15.75" thickBot="1">
      <c r="A42" s="329" t="s">
        <v>4</v>
      </c>
      <c r="B42" s="330"/>
      <c r="C42" s="330"/>
      <c r="D42" s="330"/>
      <c r="E42" s="331"/>
      <c r="F42" s="33">
        <f>SUM(F23:F41)</f>
        <v>0</v>
      </c>
      <c r="G42" s="5"/>
      <c r="H42" s="5"/>
      <c r="I42" s="5"/>
    </row>
    <row r="43" spans="1:15" ht="15.75" thickBot="1">
      <c r="A43" s="31"/>
      <c r="B43" s="31"/>
      <c r="D43" s="40"/>
      <c r="E43" s="32"/>
      <c r="F43" s="50"/>
      <c r="G43" s="5"/>
      <c r="H43" s="5"/>
      <c r="I43" s="5"/>
    </row>
    <row r="44" spans="1:15" ht="16.5" thickBot="1">
      <c r="A44" s="321" t="s">
        <v>22</v>
      </c>
      <c r="B44" s="322"/>
      <c r="C44" s="323"/>
      <c r="D44" s="94"/>
      <c r="E44" s="55"/>
      <c r="F44" s="54"/>
      <c r="G44" s="5"/>
      <c r="H44" s="5"/>
      <c r="I44" s="5"/>
    </row>
    <row r="45" spans="1:15">
      <c r="A45" s="66" t="s">
        <v>1</v>
      </c>
      <c r="B45" s="336" t="s">
        <v>24</v>
      </c>
      <c r="C45" s="336"/>
      <c r="D45" s="67" t="s">
        <v>7</v>
      </c>
      <c r="E45" s="68" t="s">
        <v>19</v>
      </c>
      <c r="F45" s="68" t="s">
        <v>25</v>
      </c>
      <c r="G45" s="68" t="s">
        <v>3</v>
      </c>
      <c r="H45" s="68" t="s">
        <v>21</v>
      </c>
      <c r="I45" s="69" t="s">
        <v>23</v>
      </c>
      <c r="J45" s="225"/>
      <c r="K45" s="225"/>
      <c r="L45" s="225"/>
      <c r="M45" s="225"/>
      <c r="O45" s="146"/>
    </row>
    <row r="46" spans="1:15" ht="15.75">
      <c r="A46" s="218">
        <v>45565</v>
      </c>
      <c r="B46" s="314">
        <v>86205</v>
      </c>
      <c r="C46" s="314"/>
      <c r="D46" s="38">
        <v>30522428163</v>
      </c>
      <c r="E46" s="197" t="str">
        <f>VLOOKUP(D46,Configuracion!$A$4:$C$590,2,FALSE)</f>
        <v>GALENO ARGENTINA SA</v>
      </c>
      <c r="F46" s="254">
        <v>36314.959999999999</v>
      </c>
      <c r="G46" s="254">
        <v>190648.76</v>
      </c>
      <c r="H46" s="254">
        <v>18157.02</v>
      </c>
      <c r="I46" s="255">
        <v>18157.02</v>
      </c>
      <c r="J46" s="12"/>
      <c r="K46" s="12"/>
      <c r="L46" s="13"/>
      <c r="M46" s="2"/>
      <c r="N46" s="2"/>
    </row>
    <row r="47" spans="1:15" ht="15.75">
      <c r="A47" s="218">
        <v>45603</v>
      </c>
      <c r="B47" s="314">
        <v>97789</v>
      </c>
      <c r="C47" s="314"/>
      <c r="D47" s="38">
        <v>30522428163</v>
      </c>
      <c r="E47" s="197" t="str">
        <f>VLOOKUP(D47,Configuracion!$A$4:$C$590,2,FALSE)</f>
        <v>GALENO ARGENTINA SA</v>
      </c>
      <c r="F47" s="254">
        <v>20231.240000000002</v>
      </c>
      <c r="G47" s="254">
        <v>106214.87</v>
      </c>
      <c r="H47" s="254">
        <v>10115.700000000001</v>
      </c>
      <c r="I47" s="255">
        <v>10115.700000000001</v>
      </c>
      <c r="J47" s="12"/>
      <c r="K47" s="12"/>
      <c r="L47" s="13"/>
      <c r="M47" s="2"/>
      <c r="N47" s="2"/>
    </row>
    <row r="48" spans="1:15" ht="15.75">
      <c r="A48" s="218">
        <v>45566</v>
      </c>
      <c r="B48" s="314">
        <v>86767</v>
      </c>
      <c r="C48" s="314"/>
      <c r="D48" s="38">
        <v>30522428163</v>
      </c>
      <c r="E48" s="197" t="str">
        <f>VLOOKUP(D48,Configuracion!$A$4:$C$590,2,FALSE)</f>
        <v>GALENO ARGENTINA SA</v>
      </c>
      <c r="F48" s="254">
        <v>66222.86</v>
      </c>
      <c r="G48" s="254">
        <v>347671.49</v>
      </c>
      <c r="H48" s="254">
        <v>33111.57</v>
      </c>
      <c r="I48" s="255">
        <v>33111.57</v>
      </c>
      <c r="J48" s="12"/>
      <c r="K48" s="12"/>
      <c r="L48" s="13"/>
      <c r="M48" s="2"/>
      <c r="N48" s="2"/>
    </row>
    <row r="49" spans="1:14" ht="15.75">
      <c r="A49" s="218">
        <v>45581</v>
      </c>
      <c r="B49" s="314">
        <v>92605</v>
      </c>
      <c r="C49" s="314"/>
      <c r="D49" s="38">
        <v>30522428163</v>
      </c>
      <c r="E49" s="197" t="str">
        <f>VLOOKUP(D49,Configuracion!$A$4:$C$590,2,FALSE)</f>
        <v>GALENO ARGENTINA SA</v>
      </c>
      <c r="F49" s="254">
        <v>127811.57</v>
      </c>
      <c r="G49" s="254">
        <v>682118.18</v>
      </c>
      <c r="H49" s="254">
        <v>63905.79</v>
      </c>
      <c r="I49" s="255">
        <v>64963.64</v>
      </c>
      <c r="J49" s="12"/>
      <c r="K49" s="12"/>
      <c r="L49" s="13"/>
      <c r="M49" s="2"/>
      <c r="N49" s="2"/>
    </row>
    <row r="50" spans="1:14" ht="15.75">
      <c r="A50" s="218">
        <v>45595</v>
      </c>
      <c r="B50" s="314">
        <v>95940</v>
      </c>
      <c r="C50" s="314"/>
      <c r="D50" s="38">
        <v>30522428163</v>
      </c>
      <c r="E50" s="197" t="str">
        <f>VLOOKUP(D50,Configuracion!$A$4:$C$590,2,FALSE)</f>
        <v>GALENO ARGENTINA SA</v>
      </c>
      <c r="F50" s="254">
        <v>27865.66</v>
      </c>
      <c r="G50" s="254">
        <v>187958.68</v>
      </c>
      <c r="H50" s="254">
        <v>13933.88</v>
      </c>
      <c r="I50" s="254">
        <v>17900.830000000002</v>
      </c>
      <c r="J50" s="12"/>
      <c r="K50" s="12"/>
      <c r="L50" s="13"/>
      <c r="M50" s="2"/>
      <c r="N50" s="2"/>
    </row>
    <row r="51" spans="1:14" ht="15.75">
      <c r="A51" s="218">
        <v>45603</v>
      </c>
      <c r="B51" s="314">
        <v>97785</v>
      </c>
      <c r="C51" s="314"/>
      <c r="D51" s="38">
        <v>30522428163</v>
      </c>
      <c r="E51" s="197" t="str">
        <f>VLOOKUP(D51,Configuracion!$A$4:$C$590,2,FALSE)</f>
        <v>GALENO ARGENTINA SA</v>
      </c>
      <c r="F51" s="254">
        <v>20326.16</v>
      </c>
      <c r="G51" s="254">
        <v>115380.64</v>
      </c>
      <c r="H51" s="254">
        <v>10160.700000000001</v>
      </c>
      <c r="I51" s="255">
        <v>10988.63</v>
      </c>
      <c r="J51" s="12"/>
      <c r="K51" s="12"/>
      <c r="L51" s="13"/>
      <c r="M51" s="2"/>
      <c r="N51" s="2"/>
    </row>
    <row r="52" spans="1:14" ht="15.75">
      <c r="A52" s="218">
        <v>45601</v>
      </c>
      <c r="B52" s="314">
        <v>97161</v>
      </c>
      <c r="C52" s="314"/>
      <c r="D52" s="38">
        <v>30522428163</v>
      </c>
      <c r="E52" s="197" t="str">
        <f>VLOOKUP(D52,Configuracion!$A$4:$C$590,2,FALSE)</f>
        <v>GALENO ARGENTINA SA</v>
      </c>
      <c r="F52" s="254">
        <v>259502.53</v>
      </c>
      <c r="G52" s="254">
        <v>1420272.28</v>
      </c>
      <c r="H52" s="254">
        <v>131991.26</v>
      </c>
      <c r="I52" s="255">
        <v>135264.03</v>
      </c>
      <c r="J52" s="12"/>
      <c r="K52" s="12"/>
      <c r="L52" s="13"/>
      <c r="M52" s="2"/>
      <c r="N52" s="2"/>
    </row>
    <row r="53" spans="1:14" ht="15.75">
      <c r="A53" s="218">
        <v>45607</v>
      </c>
      <c r="B53" s="314">
        <v>79192</v>
      </c>
      <c r="C53" s="314"/>
      <c r="D53" s="38">
        <v>30585412453</v>
      </c>
      <c r="E53" s="197" t="str">
        <f>VLOOKUP(D53,Configuracion!$A$4:$C$590,2,FALSE)</f>
        <v>OSDOP</v>
      </c>
      <c r="F53" s="254">
        <v>184520</v>
      </c>
      <c r="G53" s="254"/>
      <c r="H53" s="254">
        <v>94500</v>
      </c>
      <c r="I53" s="255"/>
      <c r="J53" s="12"/>
      <c r="K53" s="12"/>
      <c r="L53" s="13"/>
      <c r="M53" s="2"/>
      <c r="N53" s="2"/>
    </row>
    <row r="54" spans="1:14" ht="15.75">
      <c r="A54" s="218">
        <v>45609</v>
      </c>
      <c r="B54" s="314">
        <v>7547</v>
      </c>
      <c r="C54" s="314"/>
      <c r="D54" s="38">
        <v>30608716390</v>
      </c>
      <c r="E54" s="197" t="str">
        <f>VLOOKUP(D54,Configuracion!$A$4:$C$590,2,FALSE)</f>
        <v>OSTEL</v>
      </c>
      <c r="F54" s="254"/>
      <c r="G54" s="254"/>
      <c r="H54" s="254">
        <v>257.17</v>
      </c>
      <c r="I54" s="255"/>
      <c r="J54" s="12"/>
      <c r="K54" s="12"/>
      <c r="L54" s="13"/>
      <c r="M54" s="2"/>
      <c r="N54" s="2"/>
    </row>
    <row r="55" spans="1:14" ht="15.75">
      <c r="A55" s="218">
        <v>45610</v>
      </c>
      <c r="B55" s="314">
        <v>6210</v>
      </c>
      <c r="C55" s="314"/>
      <c r="D55" s="38">
        <v>30712136754</v>
      </c>
      <c r="E55" s="197" t="str">
        <f>VLOOKUP(D55,Configuracion!$A$4:$C$590,2,FALSE)</f>
        <v>RSC SA</v>
      </c>
      <c r="F55" s="254"/>
      <c r="G55" s="254"/>
      <c r="H55" s="254">
        <v>2255.21</v>
      </c>
      <c r="I55" s="255"/>
      <c r="J55" s="12"/>
      <c r="K55" s="12"/>
      <c r="L55" s="13"/>
      <c r="M55" s="2"/>
      <c r="N55" s="2"/>
    </row>
    <row r="56" spans="1:14" ht="15.75">
      <c r="A56" s="218">
        <v>45610</v>
      </c>
      <c r="B56" s="314">
        <v>6180</v>
      </c>
      <c r="C56" s="314"/>
      <c r="D56" s="38">
        <v>30712136754</v>
      </c>
      <c r="E56" s="197" t="str">
        <f>VLOOKUP(D56,Configuracion!$A$4:$C$590,2,FALSE)</f>
        <v>RSC SA</v>
      </c>
      <c r="F56" s="254"/>
      <c r="G56" s="254"/>
      <c r="H56" s="254">
        <v>2310.62</v>
      </c>
      <c r="I56" s="255"/>
      <c r="J56" s="12"/>
      <c r="K56" s="12"/>
      <c r="L56" s="13"/>
      <c r="M56" s="2"/>
      <c r="N56" s="2"/>
    </row>
    <row r="57" spans="1:14" ht="15.75">
      <c r="A57" s="218">
        <v>45611</v>
      </c>
      <c r="B57" s="314">
        <v>98384</v>
      </c>
      <c r="C57" s="314"/>
      <c r="D57" s="38">
        <v>30500053522</v>
      </c>
      <c r="E57" s="197" t="str">
        <f>VLOOKUP(D57,Configuracion!$A$4:$C$590,2,FALSE)</f>
        <v>OBRA SOCIAL DE LA ACTIVIDAD DE SEGUROS, REASEGUROS, CAPITALIZACION Y AHORRO Y PRESTAMO  PARA LA VIVIENDA</v>
      </c>
      <c r="F57" s="254"/>
      <c r="G57" s="254"/>
      <c r="H57" s="254">
        <f>3305.79+2131.57</f>
        <v>5437.3600000000006</v>
      </c>
      <c r="I57" s="255"/>
      <c r="J57" s="12"/>
      <c r="K57" s="12"/>
      <c r="L57" s="13"/>
      <c r="M57" s="2"/>
      <c r="N57" s="2"/>
    </row>
    <row r="58" spans="1:14" ht="15.75">
      <c r="A58" s="218">
        <v>45617</v>
      </c>
      <c r="B58" s="314">
        <v>149239</v>
      </c>
      <c r="C58" s="314"/>
      <c r="D58" s="38">
        <v>30500053522</v>
      </c>
      <c r="E58" s="197" t="str">
        <f>VLOOKUP(D58,Configuracion!$A$4:$C$590,2,FALSE)</f>
        <v>OBRA SOCIAL DE LA ACTIVIDAD DE SEGUROS, REASEGUROS, CAPITALIZACION Y AHORRO Y PRESTAMO  PARA LA VIVIENDA</v>
      </c>
      <c r="F58" s="254">
        <v>1319.01</v>
      </c>
      <c r="G58" s="254"/>
      <c r="H58" s="254">
        <v>659.5</v>
      </c>
      <c r="I58" s="255"/>
      <c r="J58" s="12"/>
      <c r="K58" s="12"/>
      <c r="L58" s="13"/>
      <c r="M58" s="2"/>
      <c r="N58" s="2"/>
    </row>
    <row r="59" spans="1:14" ht="15.75">
      <c r="A59" s="218">
        <v>45625</v>
      </c>
      <c r="B59" s="314">
        <v>149622</v>
      </c>
      <c r="C59" s="314"/>
      <c r="D59" s="38">
        <v>30500053522</v>
      </c>
      <c r="E59" s="197" t="str">
        <f>VLOOKUP(D59,Configuracion!$A$4:$C$590,2,FALSE)</f>
        <v>OBRA SOCIAL DE LA ACTIVIDAD DE SEGUROS, REASEGUROS, CAPITALIZACION Y AHORRO Y PRESTAMO  PARA LA VIVIENDA</v>
      </c>
      <c r="F59" s="254">
        <v>1233.8800000000001</v>
      </c>
      <c r="G59" s="254"/>
      <c r="H59" s="254">
        <v>616.94000000000005</v>
      </c>
      <c r="I59" s="255"/>
      <c r="J59" s="12"/>
      <c r="K59" s="12"/>
      <c r="L59" s="13"/>
      <c r="M59" s="2"/>
      <c r="N59" s="2"/>
    </row>
    <row r="60" spans="1:14" ht="15.75">
      <c r="A60" s="218">
        <v>45625</v>
      </c>
      <c r="B60" s="314">
        <v>6360</v>
      </c>
      <c r="C60" s="314"/>
      <c r="D60" s="38">
        <v>30587842358</v>
      </c>
      <c r="E60" s="197" t="str">
        <f>VLOOKUP(D60,Configuracion!$A$4:$C$590,2,FALSE)</f>
        <v>CLINICA BASILEA SA</v>
      </c>
      <c r="F60" s="254"/>
      <c r="G60" s="254"/>
      <c r="H60" s="254">
        <v>1611.52</v>
      </c>
      <c r="I60" s="255"/>
      <c r="J60" s="12"/>
      <c r="K60" s="12"/>
      <c r="L60" s="13"/>
      <c r="M60" s="2"/>
      <c r="N60" s="2"/>
    </row>
    <row r="61" spans="1:14" ht="15.75">
      <c r="A61" s="218">
        <v>45615</v>
      </c>
      <c r="B61" s="314">
        <v>79138</v>
      </c>
      <c r="C61" s="314"/>
      <c r="D61" s="38">
        <v>30604958640</v>
      </c>
      <c r="E61" s="197" t="str">
        <f>VLOOKUP(D61,Configuracion!$A$4:$C$590,2,FALSE)</f>
        <v>Aca Salud Coop P.S. Medico A.L</v>
      </c>
      <c r="F61" s="254">
        <v>6550.32</v>
      </c>
      <c r="G61" s="254"/>
      <c r="H61" s="254">
        <v>17760.87</v>
      </c>
      <c r="I61" s="255"/>
      <c r="J61" s="12"/>
      <c r="K61" s="12"/>
      <c r="L61" s="13"/>
      <c r="M61" s="2"/>
      <c r="N61" s="2"/>
    </row>
    <row r="62" spans="1:14" ht="15.75">
      <c r="A62" s="218">
        <v>45621</v>
      </c>
      <c r="B62" s="314">
        <v>145290</v>
      </c>
      <c r="C62" s="314"/>
      <c r="D62" s="38">
        <v>30590354798</v>
      </c>
      <c r="E62" s="197" t="str">
        <f>VLOOKUP(D62,Configuracion!$A$4:$C$590,2,FALSE)</f>
        <v>ASOCIACION MUTUAL SANCOR SALUD</v>
      </c>
      <c r="F62" s="254">
        <v>15760</v>
      </c>
      <c r="G62" s="254"/>
      <c r="H62" s="254">
        <v>11220</v>
      </c>
      <c r="I62" s="255"/>
      <c r="J62" s="12"/>
      <c r="K62" s="12"/>
      <c r="L62" s="13"/>
      <c r="M62" s="2"/>
      <c r="N62" s="2"/>
    </row>
    <row r="63" spans="1:14" ht="15.75">
      <c r="A63" s="218">
        <v>45615</v>
      </c>
      <c r="B63" s="314">
        <v>144484</v>
      </c>
      <c r="C63" s="314"/>
      <c r="D63" s="38">
        <v>30590354798</v>
      </c>
      <c r="E63" s="197" t="str">
        <f>VLOOKUP(D63,Configuracion!$A$4:$C$590,2,FALSE)</f>
        <v>ASOCIACION MUTUAL SANCOR SALUD</v>
      </c>
      <c r="F63" s="254">
        <v>70548.88</v>
      </c>
      <c r="G63" s="254"/>
      <c r="H63" s="254"/>
      <c r="I63" s="255"/>
      <c r="J63" s="12"/>
      <c r="K63" s="12"/>
      <c r="L63" s="13"/>
      <c r="M63" s="2"/>
      <c r="N63" s="2"/>
    </row>
    <row r="64" spans="1:14" ht="15.75">
      <c r="A64" s="218">
        <v>45603</v>
      </c>
      <c r="B64" s="314">
        <v>142735</v>
      </c>
      <c r="C64" s="314"/>
      <c r="D64" s="38">
        <v>30590354798</v>
      </c>
      <c r="E64" s="197" t="str">
        <f>VLOOKUP(D64,Configuracion!$A$4:$C$590,2,FALSE)</f>
        <v>ASOCIACION MUTUAL SANCOR SALUD</v>
      </c>
      <c r="F64" s="254">
        <v>8460</v>
      </c>
      <c r="G64" s="254"/>
      <c r="H64" s="254"/>
      <c r="I64" s="255"/>
      <c r="J64" s="12"/>
      <c r="K64" s="12"/>
      <c r="L64" s="13"/>
      <c r="M64" s="2"/>
      <c r="N64" s="2"/>
    </row>
    <row r="65" spans="1:14" ht="15.75">
      <c r="A65" s="218">
        <v>45611</v>
      </c>
      <c r="B65" s="314">
        <v>144200</v>
      </c>
      <c r="C65" s="314"/>
      <c r="D65" s="38">
        <v>30590354798</v>
      </c>
      <c r="E65" s="197" t="str">
        <f>VLOOKUP(D65,Configuracion!$A$4:$C$590,2,FALSE)</f>
        <v>ASOCIACION MUTUAL SANCOR SALUD</v>
      </c>
      <c r="F65" s="254">
        <v>92821.2</v>
      </c>
      <c r="G65" s="254"/>
      <c r="H65" s="254"/>
      <c r="I65" s="255"/>
      <c r="J65" s="12"/>
      <c r="K65" s="12"/>
      <c r="L65" s="13"/>
      <c r="M65" s="2"/>
      <c r="N65" s="2"/>
    </row>
    <row r="66" spans="1:14" ht="15.75">
      <c r="A66" s="218">
        <v>45611</v>
      </c>
      <c r="B66" s="314">
        <v>5455</v>
      </c>
      <c r="C66" s="314"/>
      <c r="D66" s="38">
        <v>30683032227</v>
      </c>
      <c r="E66" s="197" t="str">
        <f>VLOOKUP(D66,Configuracion!$A$4:$C$590,2,FALSE)</f>
        <v>OS UNION PERSONAL</v>
      </c>
      <c r="F66" s="254">
        <v>0</v>
      </c>
      <c r="G66" s="254"/>
      <c r="H66" s="254">
        <v>583335.15</v>
      </c>
      <c r="I66" s="255"/>
      <c r="J66" s="12"/>
      <c r="K66" s="12"/>
      <c r="L66" s="13"/>
      <c r="M66" s="2"/>
      <c r="N66" s="2"/>
    </row>
    <row r="67" spans="1:14" ht="15.75">
      <c r="A67" s="218">
        <v>45617</v>
      </c>
      <c r="B67" s="314">
        <v>109347</v>
      </c>
      <c r="C67" s="314"/>
      <c r="D67" s="38">
        <v>30590412631</v>
      </c>
      <c r="E67" s="197" t="str">
        <f>VLOOKUP(D67,Configuracion!$A$4:$C$590,2,FALSE)</f>
        <v>OSMATA</v>
      </c>
      <c r="F67" s="254">
        <v>5232.3999999999996</v>
      </c>
      <c r="G67" s="254"/>
      <c r="H67" s="254"/>
      <c r="I67" s="255"/>
      <c r="J67" s="12"/>
      <c r="K67" s="12"/>
      <c r="L67" s="13"/>
      <c r="M67" s="2"/>
      <c r="N67" s="2"/>
    </row>
    <row r="68" spans="1:14" ht="15.75">
      <c r="A68" s="218">
        <v>45618</v>
      </c>
      <c r="B68" s="314">
        <v>109467</v>
      </c>
      <c r="C68" s="314"/>
      <c r="D68" s="38">
        <v>30590412631</v>
      </c>
      <c r="E68" s="197" t="str">
        <f>VLOOKUP(D68,Configuracion!$A$4:$C$590,2,FALSE)</f>
        <v>OSMATA</v>
      </c>
      <c r="F68" s="254">
        <v>3132.23</v>
      </c>
      <c r="G68" s="254"/>
      <c r="H68" s="254"/>
      <c r="I68" s="255"/>
      <c r="J68" s="12"/>
      <c r="K68" s="12"/>
      <c r="L68" s="13"/>
      <c r="M68" s="2"/>
      <c r="N68" s="2"/>
    </row>
    <row r="69" spans="1:14" ht="15.75">
      <c r="A69" s="218">
        <v>45568</v>
      </c>
      <c r="B69" s="314">
        <v>338243</v>
      </c>
      <c r="C69" s="314"/>
      <c r="D69" s="38">
        <v>30546771314</v>
      </c>
      <c r="E69" s="197" t="str">
        <f>VLOOKUP(D69,Configuracion!$A$4:$C$590,2,FALSE)</f>
        <v>MEDICUS SA</v>
      </c>
      <c r="F69" s="254">
        <v>2388.83</v>
      </c>
      <c r="G69" s="254">
        <v>15675.37</v>
      </c>
      <c r="H69" s="254">
        <v>8397.52</v>
      </c>
      <c r="I69" s="255"/>
      <c r="J69" s="12"/>
      <c r="K69" s="12"/>
      <c r="L69" s="13"/>
      <c r="M69" s="2"/>
      <c r="N69" s="2"/>
    </row>
    <row r="70" spans="1:14" ht="15.75">
      <c r="A70" s="218">
        <v>45579</v>
      </c>
      <c r="B70" s="314">
        <v>339524</v>
      </c>
      <c r="C70" s="314"/>
      <c r="D70" s="38">
        <v>30546771314</v>
      </c>
      <c r="E70" s="197" t="str">
        <f>VLOOKUP(D70,Configuracion!$A$4:$C$590,2,FALSE)</f>
        <v>MEDICUS SA</v>
      </c>
      <c r="F70" s="254">
        <v>1024.79</v>
      </c>
      <c r="G70" s="254">
        <v>4304.13</v>
      </c>
      <c r="H70" s="254">
        <v>2305.79</v>
      </c>
      <c r="I70" s="255"/>
      <c r="J70" s="12"/>
      <c r="K70" s="12"/>
      <c r="L70" s="13"/>
      <c r="M70" s="2"/>
      <c r="N70" s="2"/>
    </row>
    <row r="71" spans="1:14" ht="15.75">
      <c r="A71" s="218">
        <v>45602</v>
      </c>
      <c r="B71" s="314">
        <v>290084</v>
      </c>
      <c r="C71" s="314"/>
      <c r="D71" s="38">
        <v>30546771314</v>
      </c>
      <c r="E71" s="197" t="str">
        <f>VLOOKUP(D71,Configuracion!$A$4:$C$590,2,FALSE)</f>
        <v>MEDICUS SA</v>
      </c>
      <c r="F71" s="254"/>
      <c r="G71" s="254">
        <v>3067.28</v>
      </c>
      <c r="H71" s="254">
        <v>1643.18</v>
      </c>
      <c r="I71" s="255"/>
      <c r="J71" s="12"/>
      <c r="K71" s="12"/>
      <c r="L71" s="13"/>
      <c r="M71" s="2"/>
      <c r="N71" s="2"/>
    </row>
    <row r="72" spans="1:14" ht="15.75">
      <c r="A72" s="218"/>
      <c r="B72" s="314"/>
      <c r="C72" s="314"/>
      <c r="D72" s="38">
        <v>0</v>
      </c>
      <c r="E72" s="197" t="e">
        <f>VLOOKUP(D72,Configuracion!$A$4:$C$590,2,FALSE)</f>
        <v>#N/A</v>
      </c>
      <c r="F72" s="254"/>
      <c r="G72" s="254"/>
      <c r="H72" s="254"/>
      <c r="I72" s="255"/>
      <c r="J72" s="12"/>
      <c r="K72" s="12"/>
      <c r="L72" s="13"/>
      <c r="M72" s="2"/>
      <c r="N72" s="2"/>
    </row>
    <row r="73" spans="1:14" ht="15.75">
      <c r="A73" s="218"/>
      <c r="B73" s="314"/>
      <c r="C73" s="314"/>
      <c r="D73" s="38">
        <v>0</v>
      </c>
      <c r="E73" s="197" t="e">
        <f>VLOOKUP(D73,Configuracion!$A$4:$C$590,2,FALSE)</f>
        <v>#N/A</v>
      </c>
      <c r="F73" s="254"/>
      <c r="G73" s="254"/>
      <c r="H73" s="254"/>
      <c r="I73" s="255"/>
      <c r="J73" s="12"/>
      <c r="K73" s="12"/>
      <c r="L73" s="13"/>
      <c r="M73" s="2"/>
      <c r="N73" s="2"/>
    </row>
    <row r="74" spans="1:14" ht="15.75">
      <c r="A74" s="218"/>
      <c r="B74" s="314"/>
      <c r="C74" s="314"/>
      <c r="D74" s="38">
        <v>0</v>
      </c>
      <c r="E74" s="197" t="e">
        <f>VLOOKUP(D74,Configuracion!$A$4:$C$590,2,FALSE)</f>
        <v>#N/A</v>
      </c>
      <c r="F74" s="254"/>
      <c r="G74" s="254"/>
      <c r="H74" s="254"/>
      <c r="I74" s="255"/>
      <c r="J74" s="12"/>
      <c r="K74" s="12"/>
      <c r="L74" s="13"/>
      <c r="M74" s="2"/>
      <c r="N74" s="2"/>
    </row>
    <row r="75" spans="1:14" ht="15.75">
      <c r="A75" s="218"/>
      <c r="B75" s="314"/>
      <c r="C75" s="314"/>
      <c r="D75" s="38">
        <v>0</v>
      </c>
      <c r="E75" s="197" t="e">
        <f>VLOOKUP(D75,Configuracion!$A$4:$C$590,2,FALSE)</f>
        <v>#N/A</v>
      </c>
      <c r="F75" s="254"/>
      <c r="G75" s="254"/>
      <c r="H75" s="254"/>
      <c r="I75" s="255"/>
      <c r="J75" s="12"/>
      <c r="K75" s="12"/>
      <c r="L75" s="13"/>
      <c r="M75" s="2"/>
      <c r="N75" s="2"/>
    </row>
    <row r="76" spans="1:14" ht="15.75">
      <c r="A76" s="218"/>
      <c r="B76" s="314"/>
      <c r="C76" s="314"/>
      <c r="D76" s="38">
        <v>0</v>
      </c>
      <c r="E76" s="38" t="e">
        <f>VLOOKUP(D76,Configuracion!$A$4:$C$590,2,FALSE)</f>
        <v>#N/A</v>
      </c>
      <c r="F76" s="216"/>
      <c r="G76" s="216"/>
      <c r="H76" s="216"/>
      <c r="I76" s="217"/>
      <c r="J76" s="12"/>
      <c r="K76" s="12"/>
      <c r="L76" s="13"/>
      <c r="M76" s="2"/>
      <c r="N76" s="2"/>
    </row>
    <row r="77" spans="1:14" ht="15.75">
      <c r="A77" s="218"/>
      <c r="B77" s="314"/>
      <c r="C77" s="314"/>
      <c r="D77" s="38">
        <v>0</v>
      </c>
      <c r="E77" s="38" t="e">
        <f>VLOOKUP(D77,Configuracion!$A$4:$C$590,2,FALSE)</f>
        <v>#N/A</v>
      </c>
      <c r="F77" s="216"/>
      <c r="G77" s="216"/>
      <c r="H77" s="216"/>
      <c r="I77" s="217"/>
      <c r="J77" s="12"/>
      <c r="K77" s="12"/>
      <c r="L77" s="13"/>
      <c r="M77" s="2"/>
      <c r="N77" s="2"/>
    </row>
    <row r="78" spans="1:14" ht="15.75">
      <c r="A78" s="218"/>
      <c r="B78" s="314"/>
      <c r="C78" s="314"/>
      <c r="D78" s="38">
        <v>0</v>
      </c>
      <c r="E78" s="38" t="e">
        <f>VLOOKUP(D78,Configuracion!$A$4:$C$590,2,FALSE)</f>
        <v>#N/A</v>
      </c>
      <c r="F78" s="216"/>
      <c r="G78" s="216"/>
      <c r="H78" s="216"/>
      <c r="I78" s="217"/>
      <c r="J78" s="12"/>
      <c r="K78" s="12"/>
      <c r="L78" s="13"/>
      <c r="M78" s="2"/>
      <c r="N78" s="2"/>
    </row>
    <row r="79" spans="1:14" ht="15.75">
      <c r="A79" s="218"/>
      <c r="B79" s="314"/>
      <c r="C79" s="314"/>
      <c r="D79" s="38">
        <v>0</v>
      </c>
      <c r="E79" s="38" t="e">
        <f>VLOOKUP(D79,Configuracion!$A$4:$C$590,2,FALSE)</f>
        <v>#N/A</v>
      </c>
      <c r="F79" s="216"/>
      <c r="G79" s="216"/>
      <c r="H79" s="216"/>
      <c r="I79" s="217"/>
      <c r="J79" s="12"/>
      <c r="K79" s="12"/>
      <c r="L79" s="13"/>
      <c r="M79" s="2"/>
      <c r="N79" s="2"/>
    </row>
    <row r="80" spans="1:14" ht="15.75">
      <c r="A80" s="218"/>
      <c r="B80" s="314"/>
      <c r="C80" s="314"/>
      <c r="D80" s="38">
        <v>0</v>
      </c>
      <c r="E80" s="38" t="e">
        <f>VLOOKUP(D80,Configuracion!$A$4:$C$590,2,FALSE)</f>
        <v>#N/A</v>
      </c>
      <c r="F80" s="216"/>
      <c r="G80" s="216"/>
      <c r="H80" s="216"/>
      <c r="I80" s="217"/>
      <c r="J80" s="12"/>
      <c r="K80" s="12"/>
      <c r="L80" s="13"/>
      <c r="M80" s="2"/>
      <c r="N80" s="2"/>
    </row>
    <row r="81" spans="1:14" ht="15.75">
      <c r="A81" s="218"/>
      <c r="B81" s="314"/>
      <c r="C81" s="314"/>
      <c r="D81" s="38">
        <v>0</v>
      </c>
      <c r="E81" s="38" t="e">
        <f>VLOOKUP(D81,Configuracion!$A$4:$C$590,2,FALSE)</f>
        <v>#N/A</v>
      </c>
      <c r="F81" s="216"/>
      <c r="G81" s="216"/>
      <c r="H81" s="216"/>
      <c r="I81" s="217"/>
      <c r="J81" s="12"/>
      <c r="K81" s="12"/>
      <c r="L81" s="13"/>
      <c r="M81" s="2"/>
      <c r="N81" s="2"/>
    </row>
    <row r="82" spans="1:14" ht="15.75">
      <c r="A82" s="218"/>
      <c r="B82" s="314"/>
      <c r="C82" s="314"/>
      <c r="D82" s="38">
        <v>0</v>
      </c>
      <c r="E82" s="38" t="e">
        <f>VLOOKUP(D82,Configuracion!$A$4:$C$590,2,FALSE)</f>
        <v>#N/A</v>
      </c>
      <c r="F82" s="216"/>
      <c r="G82" s="216"/>
      <c r="H82" s="216"/>
      <c r="I82" s="217"/>
      <c r="J82" s="12"/>
      <c r="K82" s="12"/>
      <c r="L82" s="13"/>
      <c r="M82" s="2"/>
      <c r="N82" s="2"/>
    </row>
    <row r="83" spans="1:14" ht="15.75">
      <c r="A83" s="218"/>
      <c r="B83" s="314"/>
      <c r="C83" s="314"/>
      <c r="D83" s="38">
        <v>0</v>
      </c>
      <c r="E83" s="38" t="e">
        <f>VLOOKUP(D83,Configuracion!$A$4:$C$590,2,FALSE)</f>
        <v>#N/A</v>
      </c>
      <c r="F83" s="216"/>
      <c r="G83" s="216"/>
      <c r="H83" s="216"/>
      <c r="I83" s="217"/>
      <c r="J83" s="12"/>
      <c r="K83" s="12"/>
      <c r="L83" s="13"/>
      <c r="M83" s="2"/>
      <c r="N83" s="2"/>
    </row>
    <row r="84" spans="1:14" ht="15.75">
      <c r="A84" s="218"/>
      <c r="B84" s="314"/>
      <c r="C84" s="314"/>
      <c r="D84" s="38">
        <v>0</v>
      </c>
      <c r="E84" s="38" t="e">
        <f>VLOOKUP(D84,Configuracion!$A$4:$C$590,2,FALSE)</f>
        <v>#N/A</v>
      </c>
      <c r="F84" s="216"/>
      <c r="G84" s="216"/>
      <c r="H84" s="216"/>
      <c r="I84" s="217"/>
      <c r="J84" s="12"/>
      <c r="K84" s="12"/>
      <c r="L84" s="13"/>
      <c r="M84" s="2"/>
      <c r="N84" s="2"/>
    </row>
    <row r="85" spans="1:14" ht="15.75">
      <c r="A85" s="218"/>
      <c r="B85" s="314"/>
      <c r="C85" s="314"/>
      <c r="D85" s="38">
        <v>0</v>
      </c>
      <c r="E85" s="38" t="e">
        <f>VLOOKUP(D85,Configuracion!$A$4:$C$590,2,FALSE)</f>
        <v>#N/A</v>
      </c>
      <c r="F85" s="216"/>
      <c r="G85" s="216"/>
      <c r="H85" s="216"/>
      <c r="I85" s="217"/>
      <c r="J85" s="12"/>
      <c r="K85" s="12"/>
      <c r="L85" s="13"/>
      <c r="M85" s="2"/>
      <c r="N85" s="2"/>
    </row>
    <row r="86" spans="1:14" ht="16.5" thickBot="1">
      <c r="A86" s="318" t="s">
        <v>4</v>
      </c>
      <c r="B86" s="319"/>
      <c r="C86" s="319"/>
      <c r="D86" s="319"/>
      <c r="E86" s="320"/>
      <c r="F86" s="73">
        <f>SUM(F46:F85)</f>
        <v>951266.5199999999</v>
      </c>
      <c r="G86" s="73">
        <f>SUM(G46:G85)</f>
        <v>3073311.6799999997</v>
      </c>
      <c r="H86" s="73">
        <f>SUM(H46:H85)</f>
        <v>1013686.7500000001</v>
      </c>
      <c r="I86" s="73">
        <f>SUM(I46:I85)</f>
        <v>290501.42000000004</v>
      </c>
      <c r="J86" s="12"/>
      <c r="K86" s="12"/>
      <c r="L86" s="13"/>
      <c r="M86" s="2"/>
      <c r="N86" s="2"/>
    </row>
    <row r="87" spans="1:14">
      <c r="A87" s="31"/>
      <c r="B87" s="31"/>
      <c r="D87" s="40"/>
      <c r="E87" s="32"/>
      <c r="F87" s="50"/>
      <c r="G87" s="5"/>
      <c r="H87" s="5"/>
      <c r="I87" s="5"/>
      <c r="J87" s="14"/>
      <c r="K87" s="15"/>
      <c r="L87" s="11"/>
    </row>
    <row r="88" spans="1:14">
      <c r="A88" s="31"/>
      <c r="B88" s="31"/>
      <c r="D88" s="40"/>
      <c r="E88" s="32"/>
      <c r="F88" s="50"/>
      <c r="G88" s="5"/>
      <c r="H88" s="5"/>
      <c r="I88" s="5"/>
      <c r="J88" s="14"/>
      <c r="K88" s="15"/>
      <c r="L88" s="11"/>
    </row>
    <row r="89" spans="1:14" ht="15.75" thickBot="1">
      <c r="J89" s="14"/>
      <c r="K89" s="15"/>
      <c r="L89" s="11"/>
    </row>
    <row r="90" spans="1:14" ht="16.5" thickBot="1">
      <c r="A90" s="315" t="s">
        <v>0</v>
      </c>
      <c r="B90" s="316"/>
      <c r="C90" s="316"/>
      <c r="D90" s="316"/>
      <c r="E90" s="316"/>
      <c r="F90" s="316"/>
      <c r="G90" s="316"/>
      <c r="H90" s="316"/>
      <c r="I90" s="317"/>
      <c r="J90" s="14"/>
      <c r="K90" s="15"/>
      <c r="L90" s="11"/>
    </row>
    <row r="91" spans="1:14" ht="16.5" thickBot="1">
      <c r="A91" s="61"/>
      <c r="B91" s="12"/>
      <c r="C91" s="12"/>
      <c r="D91" s="95"/>
      <c r="E91" s="12"/>
      <c r="F91" s="12"/>
      <c r="G91" s="12"/>
      <c r="H91" s="12"/>
      <c r="I91" s="12"/>
      <c r="J91" s="14"/>
      <c r="K91" s="15"/>
      <c r="L91" s="11"/>
    </row>
    <row r="92" spans="1:14" ht="16.5" thickBot="1">
      <c r="A92" s="321" t="s">
        <v>26</v>
      </c>
      <c r="B92" s="322"/>
      <c r="C92" s="323"/>
      <c r="D92" s="95"/>
      <c r="E92" s="12"/>
      <c r="F92" s="12"/>
      <c r="G92" s="12"/>
      <c r="H92" s="12"/>
      <c r="I92" s="12"/>
      <c r="J92" s="14"/>
      <c r="K92" s="15"/>
      <c r="L92" s="11"/>
    </row>
    <row r="93" spans="1:14" ht="15.75" thickBot="1">
      <c r="A93" s="62" t="s">
        <v>1</v>
      </c>
      <c r="B93" s="23" t="s">
        <v>17</v>
      </c>
      <c r="C93" s="23" t="s">
        <v>18</v>
      </c>
      <c r="D93" s="41" t="s">
        <v>7</v>
      </c>
      <c r="E93" s="23" t="s">
        <v>19</v>
      </c>
      <c r="F93" s="23" t="s">
        <v>8</v>
      </c>
      <c r="G93" s="23" t="s">
        <v>3</v>
      </c>
      <c r="H93" s="23" t="s">
        <v>31</v>
      </c>
      <c r="I93" s="23" t="s">
        <v>4</v>
      </c>
      <c r="J93" s="14"/>
      <c r="K93" s="15"/>
      <c r="L93" s="11"/>
    </row>
    <row r="94" spans="1:14" ht="15.75" thickBot="1">
      <c r="A94" s="63"/>
      <c r="B94" s="26"/>
      <c r="C94" s="16"/>
      <c r="D94" s="38"/>
      <c r="E94" s="38" t="e">
        <f>VLOOKUP(D94,Configuracion!$A$4:$C$590,2,FALSE)</f>
        <v>#N/A</v>
      </c>
      <c r="F94" s="198"/>
      <c r="G94" s="19">
        <f t="shared" ref="G94:G97" si="3">F94*0.21</f>
        <v>0</v>
      </c>
      <c r="H94" s="74"/>
      <c r="I94" s="53">
        <f t="shared" ref="I94:I97" si="4">SUM(F94:H94)</f>
        <v>0</v>
      </c>
      <c r="J94" s="14"/>
      <c r="K94" s="15"/>
      <c r="L94" s="11"/>
    </row>
    <row r="95" spans="1:14" ht="15.75" thickBot="1">
      <c r="A95" s="63"/>
      <c r="B95" s="26"/>
      <c r="C95" s="16"/>
      <c r="D95" s="38"/>
      <c r="E95" s="38" t="e">
        <f>VLOOKUP(D95,Configuracion!$A$4:$C$590,2,FALSE)</f>
        <v>#N/A</v>
      </c>
      <c r="F95" s="198"/>
      <c r="G95" s="19">
        <f t="shared" si="3"/>
        <v>0</v>
      </c>
      <c r="H95" s="74"/>
      <c r="I95" s="53">
        <f t="shared" si="4"/>
        <v>0</v>
      </c>
      <c r="J95" s="14"/>
      <c r="K95" s="15"/>
      <c r="L95" s="11"/>
    </row>
    <row r="96" spans="1:14" ht="15.75" thickBot="1">
      <c r="A96" s="63"/>
      <c r="B96" s="26"/>
      <c r="C96" s="16"/>
      <c r="D96" s="38"/>
      <c r="E96" s="38" t="e">
        <f>VLOOKUP(D96,Configuracion!$A$4:$C$590,2,FALSE)</f>
        <v>#N/A</v>
      </c>
      <c r="F96" s="198"/>
      <c r="G96" s="19">
        <f t="shared" si="3"/>
        <v>0</v>
      </c>
      <c r="H96" s="74"/>
      <c r="I96" s="53">
        <f t="shared" si="4"/>
        <v>0</v>
      </c>
      <c r="J96" s="14"/>
      <c r="K96" s="15"/>
      <c r="L96" s="11"/>
    </row>
    <row r="97" spans="1:12" ht="15.75" thickBot="1">
      <c r="A97" s="63"/>
      <c r="B97" s="26"/>
      <c r="C97" s="16"/>
      <c r="D97" s="38"/>
      <c r="E97" s="38" t="e">
        <f>VLOOKUP(D97,Configuracion!$A$4:$C$590,2,FALSE)</f>
        <v>#N/A</v>
      </c>
      <c r="F97" s="198"/>
      <c r="G97" s="19">
        <f t="shared" si="3"/>
        <v>0</v>
      </c>
      <c r="H97" s="74"/>
      <c r="I97" s="53">
        <f t="shared" si="4"/>
        <v>0</v>
      </c>
      <c r="J97" s="14"/>
      <c r="K97" s="15"/>
      <c r="L97" s="11"/>
    </row>
    <row r="98" spans="1:12" ht="15.75" thickBot="1">
      <c r="A98" s="63"/>
      <c r="B98" s="26"/>
      <c r="C98" s="16"/>
      <c r="D98" s="38"/>
      <c r="E98" s="38" t="e">
        <f>VLOOKUP(D98,Configuracion!$A$4:$C$590,2,FALSE)</f>
        <v>#N/A</v>
      </c>
      <c r="F98" s="198"/>
      <c r="G98" s="19">
        <f t="shared" ref="G98:G102" si="5">F98*0.21</f>
        <v>0</v>
      </c>
      <c r="H98" s="74"/>
      <c r="I98" s="53">
        <f t="shared" ref="I98:I101" si="6">SUM(F98:H98)</f>
        <v>0</v>
      </c>
      <c r="J98" s="14"/>
      <c r="K98" s="15"/>
      <c r="L98" s="11"/>
    </row>
    <row r="99" spans="1:12" ht="15.75" thickBot="1">
      <c r="A99" s="63"/>
      <c r="B99" s="26"/>
      <c r="C99" s="16"/>
      <c r="D99" s="38"/>
      <c r="E99" s="38" t="e">
        <f>VLOOKUP(D99,Configuracion!$A$4:$C$590,2,FALSE)</f>
        <v>#N/A</v>
      </c>
      <c r="F99" s="198"/>
      <c r="G99" s="19">
        <f t="shared" si="5"/>
        <v>0</v>
      </c>
      <c r="H99" s="74"/>
      <c r="I99" s="53">
        <f t="shared" si="6"/>
        <v>0</v>
      </c>
      <c r="J99" s="14"/>
      <c r="K99" s="15"/>
      <c r="L99" s="11"/>
    </row>
    <row r="100" spans="1:12" ht="15.75" thickBot="1">
      <c r="A100" s="63"/>
      <c r="B100" s="26"/>
      <c r="C100" s="16"/>
      <c r="D100" s="38"/>
      <c r="E100" s="38" t="e">
        <f>VLOOKUP(D100,Configuracion!$A$4:$C$590,2,FALSE)</f>
        <v>#N/A</v>
      </c>
      <c r="F100" s="198"/>
      <c r="G100" s="19">
        <f t="shared" si="5"/>
        <v>0</v>
      </c>
      <c r="H100" s="74"/>
      <c r="I100" s="53">
        <f t="shared" si="6"/>
        <v>0</v>
      </c>
      <c r="J100" s="14"/>
      <c r="K100" s="15"/>
      <c r="L100" s="11"/>
    </row>
    <row r="101" spans="1:12" ht="15.75" thickBot="1">
      <c r="A101" s="63"/>
      <c r="B101" s="26"/>
      <c r="C101" s="16"/>
      <c r="D101" s="38"/>
      <c r="E101" s="38" t="e">
        <f>VLOOKUP(D101,Configuracion!$A$4:$C$590,2,FALSE)</f>
        <v>#N/A</v>
      </c>
      <c r="F101" s="198"/>
      <c r="G101" s="19">
        <f t="shared" si="5"/>
        <v>0</v>
      </c>
      <c r="H101" s="74"/>
      <c r="I101" s="53">
        <f t="shared" si="6"/>
        <v>0</v>
      </c>
      <c r="J101" s="14"/>
      <c r="K101" s="15"/>
      <c r="L101" s="11"/>
    </row>
    <row r="102" spans="1:12" ht="15.75" thickBot="1">
      <c r="A102" s="63"/>
      <c r="B102" s="26"/>
      <c r="C102" s="16"/>
      <c r="D102" s="38"/>
      <c r="E102" s="38" t="e">
        <f>VLOOKUP(D102,Configuracion!$A$4:$C$590,2,FALSE)</f>
        <v>#N/A</v>
      </c>
      <c r="F102" s="198"/>
      <c r="G102" s="19">
        <f t="shared" si="5"/>
        <v>0</v>
      </c>
      <c r="H102" s="74"/>
      <c r="I102" s="53">
        <f>SUM(F102:H102)</f>
        <v>0</v>
      </c>
      <c r="J102" s="14"/>
      <c r="K102" s="15"/>
      <c r="L102" s="11"/>
    </row>
    <row r="103" spans="1:12" ht="15.75" thickBot="1">
      <c r="A103" s="310" t="s">
        <v>4</v>
      </c>
      <c r="B103" s="311"/>
      <c r="C103" s="312"/>
      <c r="D103" s="312"/>
      <c r="E103" s="313"/>
      <c r="F103" s="51">
        <f>SUM(F94:F102)</f>
        <v>0</v>
      </c>
      <c r="G103" s="51">
        <f>SUM(G94:G102)</f>
        <v>0</v>
      </c>
      <c r="H103" s="51"/>
      <c r="I103" s="51">
        <f>SUM(I94:I102)</f>
        <v>0</v>
      </c>
    </row>
    <row r="104" spans="1:12">
      <c r="A104" s="65"/>
      <c r="B104" s="6"/>
      <c r="C104" s="17"/>
      <c r="D104" s="43"/>
      <c r="E104" s="17"/>
      <c r="F104" s="52"/>
      <c r="G104" s="52"/>
      <c r="H104" s="52"/>
      <c r="I104" s="11"/>
    </row>
    <row r="105" spans="1:12" ht="15.75" thickBot="1"/>
    <row r="106" spans="1:12" ht="16.5" thickBot="1">
      <c r="A106" s="321" t="s">
        <v>27</v>
      </c>
      <c r="B106" s="322"/>
      <c r="C106" s="323"/>
      <c r="D106" s="95"/>
      <c r="E106" s="12"/>
      <c r="F106" s="12"/>
      <c r="G106" s="12"/>
      <c r="H106" s="12"/>
    </row>
    <row r="107" spans="1:12" ht="15.75" thickBot="1">
      <c r="A107" s="62" t="s">
        <v>1</v>
      </c>
      <c r="B107" s="23" t="s">
        <v>17</v>
      </c>
      <c r="C107" s="23" t="s">
        <v>18</v>
      </c>
      <c r="D107" s="41" t="s">
        <v>7</v>
      </c>
      <c r="E107" s="23" t="s">
        <v>19</v>
      </c>
      <c r="F107" s="23" t="s">
        <v>8</v>
      </c>
      <c r="G107" s="23" t="s">
        <v>3</v>
      </c>
      <c r="H107" s="23" t="s">
        <v>4</v>
      </c>
    </row>
    <row r="108" spans="1:12">
      <c r="A108" s="63"/>
      <c r="B108" s="20"/>
      <c r="C108" s="16"/>
      <c r="D108" s="38"/>
      <c r="E108" s="38" t="e">
        <f>VLOOKUP(D108,Configuracion!$A$4:$C$590,2,FALSE)</f>
        <v>#N/A</v>
      </c>
      <c r="F108" s="19">
        <f>H108/1.21</f>
        <v>0</v>
      </c>
      <c r="G108" s="19">
        <f>F108*0.21</f>
        <v>0</v>
      </c>
      <c r="H108" s="200"/>
    </row>
    <row r="109" spans="1:12">
      <c r="A109" s="63"/>
      <c r="B109" s="20"/>
      <c r="C109" s="16"/>
      <c r="D109" s="38"/>
      <c r="E109" s="38" t="e">
        <f>VLOOKUP(D109,Configuracion!$A$4:$C$590,2,FALSE)</f>
        <v>#N/A</v>
      </c>
      <c r="F109" s="19">
        <f>H109/1.21</f>
        <v>0</v>
      </c>
      <c r="G109" s="19">
        <f>F109*0.21</f>
        <v>0</v>
      </c>
      <c r="H109" s="200"/>
    </row>
    <row r="110" spans="1:12">
      <c r="A110" s="63"/>
      <c r="B110" s="20"/>
      <c r="C110" s="16"/>
      <c r="D110" s="38"/>
      <c r="E110" s="38" t="e">
        <f>VLOOKUP(D110,Configuracion!$A$4:$C$590,2,FALSE)</f>
        <v>#N/A</v>
      </c>
      <c r="F110" s="19">
        <f>H110/1.21</f>
        <v>0</v>
      </c>
      <c r="G110" s="19">
        <f>F110*0.21</f>
        <v>0</v>
      </c>
      <c r="H110" s="200"/>
    </row>
    <row r="111" spans="1:12">
      <c r="A111" s="63"/>
      <c r="B111" s="20"/>
      <c r="C111" s="16"/>
      <c r="D111" s="38"/>
      <c r="E111" s="38" t="e">
        <f>VLOOKUP(D111,Configuracion!$A$4:$C$590,2,FALSE)</f>
        <v>#N/A</v>
      </c>
      <c r="F111" s="19">
        <f>H111/1.21</f>
        <v>0</v>
      </c>
      <c r="G111" s="19">
        <f>F111*0.21</f>
        <v>0</v>
      </c>
      <c r="H111" s="200"/>
    </row>
    <row r="112" spans="1:12" ht="15.75" thickBot="1">
      <c r="A112" s="64"/>
      <c r="B112" s="27"/>
      <c r="C112" s="28"/>
      <c r="D112" s="42"/>
      <c r="E112" s="38" t="e">
        <f>VLOOKUP(D112,Configuracion!$A$4:$C$590,2,FALSE)</f>
        <v>#N/A</v>
      </c>
      <c r="F112" s="19">
        <f>H112/1.21</f>
        <v>0</v>
      </c>
      <c r="G112" s="19">
        <f>F112*0.21</f>
        <v>0</v>
      </c>
      <c r="H112" s="200"/>
    </row>
    <row r="113" spans="1:8" ht="15.75" thickBot="1">
      <c r="A113" s="310" t="s">
        <v>4</v>
      </c>
      <c r="B113" s="311"/>
      <c r="C113" s="312"/>
      <c r="D113" s="312"/>
      <c r="E113" s="313"/>
      <c r="F113" s="51">
        <f>SUM(F108:F112)</f>
        <v>0</v>
      </c>
      <c r="G113" s="51">
        <f>SUM(G108:G112)</f>
        <v>0</v>
      </c>
      <c r="H113" s="51">
        <f>SUM(H108:H112)</f>
        <v>0</v>
      </c>
    </row>
    <row r="121" spans="1:8">
      <c r="F121" s="229"/>
    </row>
    <row r="123" spans="1:8">
      <c r="F123" s="240"/>
    </row>
    <row r="124" spans="1:8">
      <c r="F124" s="6"/>
    </row>
    <row r="125" spans="1:8">
      <c r="F125" s="6"/>
    </row>
    <row r="126" spans="1:8">
      <c r="F126" s="6"/>
    </row>
    <row r="127" spans="1:8">
      <c r="F127" s="6"/>
    </row>
    <row r="128" spans="1:8">
      <c r="F128" s="241"/>
    </row>
    <row r="129" spans="1:5">
      <c r="A129" s="213"/>
      <c r="B129" s="214"/>
      <c r="C129" s="214"/>
      <c r="D129" s="214"/>
      <c r="E129" s="214"/>
    </row>
  </sheetData>
  <autoFilter ref="A7:P42">
    <filterColumn colId="4"/>
  </autoFilter>
  <sortState ref="A8:P90">
    <sortCondition ref="E8:E90"/>
  </sortState>
  <mergeCells count="56">
    <mergeCell ref="B70:C70"/>
    <mergeCell ref="B63:C63"/>
    <mergeCell ref="B49:C49"/>
    <mergeCell ref="B50:C50"/>
    <mergeCell ref="B56:C56"/>
    <mergeCell ref="B54:C54"/>
    <mergeCell ref="B55:C55"/>
    <mergeCell ref="B51:C51"/>
    <mergeCell ref="B52:C52"/>
    <mergeCell ref="A106:C106"/>
    <mergeCell ref="A1:I1"/>
    <mergeCell ref="J1:N1"/>
    <mergeCell ref="A6:C6"/>
    <mergeCell ref="A21:C21"/>
    <mergeCell ref="A44:C44"/>
    <mergeCell ref="A4:N4"/>
    <mergeCell ref="A42:E42"/>
    <mergeCell ref="A18:E18"/>
    <mergeCell ref="G19:I19"/>
    <mergeCell ref="B45:C45"/>
    <mergeCell ref="B46:C46"/>
    <mergeCell ref="B47:C47"/>
    <mergeCell ref="B53:C53"/>
    <mergeCell ref="B59:C59"/>
    <mergeCell ref="B48:C48"/>
    <mergeCell ref="A90:I90"/>
    <mergeCell ref="A86:E86"/>
    <mergeCell ref="A92:C92"/>
    <mergeCell ref="B72:C72"/>
    <mergeCell ref="B73:C73"/>
    <mergeCell ref="B74:C74"/>
    <mergeCell ref="B75:C75"/>
    <mergeCell ref="B76:C76"/>
    <mergeCell ref="B82:C82"/>
    <mergeCell ref="B83:C83"/>
    <mergeCell ref="B77:C77"/>
    <mergeCell ref="B78:C78"/>
    <mergeCell ref="B79:C79"/>
    <mergeCell ref="B80:C80"/>
    <mergeCell ref="B81:C81"/>
    <mergeCell ref="A113:E113"/>
    <mergeCell ref="B85:C85"/>
    <mergeCell ref="B60:C60"/>
    <mergeCell ref="B57:C57"/>
    <mergeCell ref="B58:C58"/>
    <mergeCell ref="B61:C61"/>
    <mergeCell ref="B84:C84"/>
    <mergeCell ref="B64:C64"/>
    <mergeCell ref="B65:C65"/>
    <mergeCell ref="B66:C66"/>
    <mergeCell ref="B62:C62"/>
    <mergeCell ref="B71:C71"/>
    <mergeCell ref="B67:C67"/>
    <mergeCell ref="B68:C68"/>
    <mergeCell ref="B69:C69"/>
    <mergeCell ref="A103:E103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6"/>
  <sheetViews>
    <sheetView tabSelected="1" topLeftCell="A37" workbookViewId="0">
      <selection activeCell="G65" sqref="G65"/>
    </sheetView>
  </sheetViews>
  <sheetFormatPr baseColWidth="10" defaultRowHeight="15"/>
  <cols>
    <col min="1" max="1" width="32.7109375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1"/>
      <c r="B1" s="337" t="s">
        <v>90</v>
      </c>
      <c r="C1" s="338"/>
      <c r="D1" s="339"/>
      <c r="E1" s="102"/>
    </row>
    <row r="2" spans="1:8" ht="18.75" thickBot="1">
      <c r="A2" s="103" t="s">
        <v>91</v>
      </c>
      <c r="B2" s="102"/>
      <c r="C2" s="101"/>
      <c r="D2" s="220">
        <v>45597</v>
      </c>
      <c r="E2" s="104"/>
    </row>
    <row r="3" spans="1:8" ht="18.75" thickBot="1">
      <c r="A3" s="101"/>
      <c r="B3" s="105"/>
      <c r="C3" s="101"/>
      <c r="D3" s="101"/>
      <c r="E3" s="106"/>
    </row>
    <row r="4" spans="1:8" ht="15.75" thickBot="1">
      <c r="A4" s="107"/>
      <c r="B4" s="108" t="s">
        <v>92</v>
      </c>
      <c r="C4" s="223"/>
      <c r="D4" s="109"/>
      <c r="E4" s="110"/>
    </row>
    <row r="5" spans="1:8" ht="15.75" thickBot="1">
      <c r="A5" s="111"/>
      <c r="B5" s="112" t="s">
        <v>93</v>
      </c>
      <c r="C5" s="112" t="s">
        <v>94</v>
      </c>
      <c r="D5" s="113" t="s">
        <v>95</v>
      </c>
      <c r="E5" s="110"/>
    </row>
    <row r="6" spans="1:8">
      <c r="A6" s="114" t="s">
        <v>96</v>
      </c>
      <c r="B6" s="115">
        <f>+'Nov 24'!F103</f>
        <v>0</v>
      </c>
      <c r="C6" s="116">
        <f>(B6*0.21)</f>
        <v>0</v>
      </c>
      <c r="D6" s="116">
        <f>(B6+C6)</f>
        <v>0</v>
      </c>
      <c r="E6" s="215"/>
    </row>
    <row r="7" spans="1:8">
      <c r="A7" s="114" t="s">
        <v>97</v>
      </c>
      <c r="B7" s="115">
        <f>+'Nov 24'!F113</f>
        <v>0</v>
      </c>
      <c r="C7" s="116">
        <f>(B7*0.21)</f>
        <v>0</v>
      </c>
      <c r="D7" s="116">
        <f>(B7+C7)</f>
        <v>0</v>
      </c>
      <c r="E7" s="7"/>
    </row>
    <row r="8" spans="1:8">
      <c r="A8" s="114" t="s">
        <v>1005</v>
      </c>
      <c r="B8" s="117">
        <f>+'Resumen Ventas 11'!B3+'Resumen Ventas 11'!B5+'Resumen Ventas 11'!B6+'Resumen Ventas 11'!B4</f>
        <v>53169173.040000007</v>
      </c>
      <c r="C8" s="116">
        <f>+B8*0.21</f>
        <v>11165526.338400001</v>
      </c>
      <c r="D8" s="116">
        <f>(B8+C8)</f>
        <v>64334699.378400005</v>
      </c>
      <c r="E8" s="7"/>
    </row>
    <row r="9" spans="1:8">
      <c r="A9" s="114" t="s">
        <v>97</v>
      </c>
      <c r="B9" s="117">
        <f>+'Resumen Ventas 11'!B7+'Resumen Ventas 11'!B8</f>
        <v>12086888.740000019</v>
      </c>
      <c r="C9" s="116">
        <f>+'Resumen Ventas 11'!C7+'Resumen Ventas 11'!C8</f>
        <v>2538246.6354000038</v>
      </c>
      <c r="D9" s="116">
        <f>(B9+C9)</f>
        <v>14625135.375400022</v>
      </c>
      <c r="E9" s="7"/>
    </row>
    <row r="10" spans="1:8" ht="15.75" thickBot="1">
      <c r="A10" s="118"/>
      <c r="B10" s="207">
        <f>SUM(B6:B9)</f>
        <v>65256061.780000024</v>
      </c>
      <c r="C10" s="207">
        <f>SUM(C6:C9)</f>
        <v>13703772.973800004</v>
      </c>
      <c r="D10" s="208">
        <f>SUM(D6:D9)</f>
        <v>78959834.753800035</v>
      </c>
      <c r="E10" s="221"/>
      <c r="G10" s="247"/>
      <c r="H10" s="168"/>
    </row>
    <row r="11" spans="1:8">
      <c r="A11" s="118"/>
      <c r="B11" s="119"/>
      <c r="C11" s="119"/>
      <c r="D11" s="119"/>
      <c r="E11" s="7"/>
    </row>
    <row r="12" spans="1:8" ht="15.75" thickBot="1">
      <c r="A12" s="118"/>
      <c r="B12" s="120"/>
      <c r="C12" s="121"/>
      <c r="D12" s="122"/>
      <c r="E12" s="7"/>
    </row>
    <row r="13" spans="1:8" ht="15.75" thickBot="1">
      <c r="A13" s="123"/>
      <c r="B13" s="124" t="s">
        <v>98</v>
      </c>
      <c r="C13" s="109"/>
      <c r="D13" s="109"/>
      <c r="E13" s="125"/>
    </row>
    <row r="14" spans="1:8" ht="15.75" thickBot="1">
      <c r="A14" s="123"/>
      <c r="B14" s="112" t="s">
        <v>93</v>
      </c>
      <c r="C14" s="112" t="s">
        <v>94</v>
      </c>
      <c r="D14" s="113" t="s">
        <v>95</v>
      </c>
      <c r="E14" s="125"/>
    </row>
    <row r="15" spans="1:8">
      <c r="A15" s="301" t="s">
        <v>1054</v>
      </c>
      <c r="B15" s="116">
        <f>+'Nov 24'!F18</f>
        <v>496630.52</v>
      </c>
      <c r="C15" s="116">
        <f>+('Nov 24'!G18+'Nov 24'!H18+'Nov 24'!I18)</f>
        <v>104292.40919999999</v>
      </c>
      <c r="D15" s="116">
        <f>+'Nov 24'!O18</f>
        <v>650796.09919999994</v>
      </c>
      <c r="E15" s="126"/>
    </row>
    <row r="16" spans="1:8">
      <c r="A16" s="301" t="s">
        <v>1055</v>
      </c>
      <c r="B16" s="127">
        <v>33676874.419999987</v>
      </c>
      <c r="C16" s="243">
        <v>7031917.1653999984</v>
      </c>
      <c r="D16" s="248">
        <v>50481960.075400002</v>
      </c>
      <c r="E16" s="128"/>
      <c r="G16" s="252"/>
    </row>
    <row r="17" spans="1:5">
      <c r="A17" s="301" t="s">
        <v>1056</v>
      </c>
      <c r="B17" s="127">
        <v>180184.52</v>
      </c>
      <c r="C17" s="127">
        <v>36671.520000000004</v>
      </c>
      <c r="D17" s="127">
        <v>1130925.1599999999</v>
      </c>
      <c r="E17" s="128"/>
    </row>
    <row r="18" spans="1:5">
      <c r="A18" s="301" t="s">
        <v>635</v>
      </c>
      <c r="B18" s="72"/>
      <c r="C18" s="253">
        <v>15379.32</v>
      </c>
      <c r="D18" s="72"/>
      <c r="E18" s="128"/>
    </row>
    <row r="19" spans="1:5" ht="15.75" thickBot="1">
      <c r="A19" s="118"/>
      <c r="B19" s="249">
        <f>SUM(B15:B18)</f>
        <v>34353689.459999993</v>
      </c>
      <c r="C19" s="250">
        <f>SUM(C15:C18)</f>
        <v>7188260.4145999979</v>
      </c>
      <c r="D19" s="251">
        <f>SUM(D15:D18)</f>
        <v>52263681.334600002</v>
      </c>
      <c r="E19" s="7"/>
    </row>
    <row r="20" spans="1:5">
      <c r="A20" s="118"/>
      <c r="B20" s="129"/>
      <c r="C20" s="129"/>
      <c r="D20" s="129"/>
      <c r="E20" s="7"/>
    </row>
    <row r="21" spans="1:5" ht="15.75" thickBot="1">
      <c r="A21" s="118"/>
      <c r="C21" s="130"/>
      <c r="D21" s="130"/>
      <c r="E21" s="131"/>
    </row>
    <row r="22" spans="1:5" ht="15.75" thickBot="1">
      <c r="A22" s="124" t="s">
        <v>22</v>
      </c>
      <c r="B22" s="132" t="s">
        <v>99</v>
      </c>
      <c r="C22" s="132" t="s">
        <v>100</v>
      </c>
      <c r="D22" s="132" t="s">
        <v>101</v>
      </c>
      <c r="E22" s="132" t="s">
        <v>102</v>
      </c>
    </row>
    <row r="23" spans="1:5">
      <c r="A23" s="133" t="s">
        <v>103</v>
      </c>
      <c r="B23" s="134"/>
      <c r="C23" s="135"/>
      <c r="D23" s="136"/>
      <c r="E23" s="137"/>
    </row>
    <row r="24" spans="1:5">
      <c r="A24" s="133"/>
      <c r="B24" s="138"/>
      <c r="C24" s="71"/>
      <c r="D24" s="139"/>
      <c r="E24" s="70"/>
    </row>
    <row r="25" spans="1:5">
      <c r="A25" s="133"/>
      <c r="B25" s="138"/>
      <c r="C25" s="71"/>
      <c r="D25" s="139"/>
      <c r="E25" s="70"/>
    </row>
    <row r="26" spans="1:5">
      <c r="A26" s="133"/>
      <c r="B26" s="138"/>
      <c r="C26" s="71"/>
      <c r="D26" s="139"/>
      <c r="E26" s="70"/>
    </row>
    <row r="27" spans="1:5">
      <c r="A27" s="133"/>
      <c r="B27" s="138"/>
      <c r="C27" s="135"/>
      <c r="D27" s="136"/>
      <c r="E27" s="137"/>
    </row>
    <row r="28" spans="1:5">
      <c r="A28" s="133"/>
      <c r="B28" s="138"/>
      <c r="C28" s="135"/>
      <c r="D28" s="136"/>
      <c r="E28" s="137"/>
    </row>
    <row r="29" spans="1:5">
      <c r="A29" s="133"/>
      <c r="B29" s="138"/>
      <c r="C29" s="135"/>
      <c r="D29" s="136"/>
      <c r="E29" s="137"/>
    </row>
    <row r="30" spans="1:5">
      <c r="A30" s="133"/>
      <c r="B30" s="138"/>
      <c r="C30" s="135"/>
      <c r="D30" s="136"/>
      <c r="E30" s="137"/>
    </row>
    <row r="31" spans="1:5">
      <c r="A31" s="133"/>
      <c r="B31" s="140"/>
      <c r="C31" s="135"/>
      <c r="D31" s="136"/>
      <c r="E31" s="137"/>
    </row>
    <row r="32" spans="1:5">
      <c r="A32" s="133"/>
      <c r="B32" s="138"/>
      <c r="C32" s="135"/>
      <c r="D32" s="136"/>
      <c r="E32" s="137"/>
    </row>
    <row r="33" spans="1:6">
      <c r="A33" s="133"/>
      <c r="B33" s="140"/>
      <c r="C33" s="135"/>
      <c r="D33" s="136"/>
      <c r="E33" s="137"/>
    </row>
    <row r="34" spans="1:6">
      <c r="A34" s="133"/>
      <c r="B34" s="140"/>
      <c r="C34" s="135"/>
      <c r="D34" s="136"/>
      <c r="E34" s="137"/>
    </row>
    <row r="35" spans="1:6">
      <c r="A35" s="133"/>
      <c r="B35" s="140"/>
      <c r="C35" s="135"/>
      <c r="D35" s="136"/>
      <c r="E35" s="137"/>
    </row>
    <row r="36" spans="1:6">
      <c r="A36" s="133"/>
      <c r="B36" s="140"/>
      <c r="C36" s="135"/>
      <c r="D36" s="136"/>
      <c r="E36" s="137"/>
    </row>
    <row r="37" spans="1:6" ht="15.75" thickBot="1">
      <c r="A37" s="133"/>
      <c r="B37" s="140"/>
      <c r="C37" s="141"/>
      <c r="D37" s="142"/>
      <c r="E37" s="137"/>
      <c r="F37" t="s">
        <v>104</v>
      </c>
    </row>
    <row r="38" spans="1:6" ht="15.75" thickBot="1">
      <c r="A38" s="143"/>
      <c r="B38" s="6"/>
      <c r="C38" s="144">
        <f>+'Nov 24'!G86</f>
        <v>3073311.6799999997</v>
      </c>
      <c r="D38" s="6"/>
      <c r="E38" s="145"/>
    </row>
    <row r="39" spans="1:6" ht="15.75" thickBot="1">
      <c r="B39" s="7"/>
      <c r="C39" s="146"/>
      <c r="D39" s="7"/>
    </row>
    <row r="40" spans="1:6">
      <c r="A40" s="147" t="s">
        <v>105</v>
      </c>
      <c r="B40" s="148" t="s">
        <v>99</v>
      </c>
      <c r="C40" s="149" t="s">
        <v>100</v>
      </c>
      <c r="D40" s="148" t="s">
        <v>101</v>
      </c>
      <c r="E40" s="148" t="s">
        <v>102</v>
      </c>
    </row>
    <row r="41" spans="1:6">
      <c r="A41" s="150"/>
      <c r="B41" s="151"/>
      <c r="C41" s="152"/>
      <c r="D41" s="141"/>
      <c r="E41" s="137"/>
    </row>
    <row r="42" spans="1:6">
      <c r="A42" s="133"/>
      <c r="B42" s="153"/>
      <c r="C42" s="141"/>
      <c r="D42" s="141"/>
      <c r="E42" s="137"/>
    </row>
    <row r="43" spans="1:6" ht="15.75" thickBot="1">
      <c r="A43" s="154"/>
      <c r="B43" s="155"/>
      <c r="C43" s="156"/>
      <c r="D43" s="157"/>
      <c r="E43" s="158"/>
    </row>
    <row r="44" spans="1:6" ht="15.75" thickBot="1">
      <c r="A44" s="159"/>
      <c r="B44" s="120"/>
      <c r="C44" s="160">
        <f>SUM(C41:C43)</f>
        <v>0</v>
      </c>
      <c r="D44" s="6"/>
      <c r="E44" s="145"/>
    </row>
    <row r="45" spans="1:6">
      <c r="C45" s="146"/>
      <c r="E45" s="7"/>
    </row>
    <row r="46" spans="1:6">
      <c r="A46" s="161" t="s">
        <v>106</v>
      </c>
      <c r="B46" s="162"/>
      <c r="C46" s="72">
        <f>+C44+C38</f>
        <v>3073311.6799999997</v>
      </c>
      <c r="E46" s="7"/>
    </row>
    <row r="47" spans="1:6">
      <c r="A47" s="163"/>
      <c r="B47" s="163"/>
      <c r="C47" s="122"/>
      <c r="E47" s="7"/>
    </row>
    <row r="48" spans="1:6">
      <c r="A48" s="163"/>
      <c r="B48" s="163"/>
      <c r="C48" s="122"/>
      <c r="E48" s="7"/>
    </row>
    <row r="49" spans="1:5" ht="15.75" thickBot="1">
      <c r="C49" s="164" t="s">
        <v>107</v>
      </c>
      <c r="E49" s="7"/>
    </row>
    <row r="50" spans="1:5">
      <c r="A50" s="165" t="s">
        <v>108</v>
      </c>
      <c r="B50" s="166"/>
      <c r="C50" s="167">
        <f>+C10-C19</f>
        <v>6515512.5592000056</v>
      </c>
      <c r="D50" s="168"/>
      <c r="E50" s="7"/>
    </row>
    <row r="51" spans="1:5">
      <c r="A51" s="169"/>
      <c r="B51" s="163"/>
      <c r="C51" s="170"/>
      <c r="D51" s="168"/>
      <c r="E51" s="7"/>
    </row>
    <row r="52" spans="1:5">
      <c r="A52" s="171" t="s">
        <v>109</v>
      </c>
      <c r="B52" s="162"/>
      <c r="C52" s="172"/>
      <c r="D52" s="173" t="s">
        <v>110</v>
      </c>
      <c r="E52" s="7"/>
    </row>
    <row r="53" spans="1:5" ht="15.75" thickBot="1">
      <c r="A53" s="169"/>
      <c r="B53" s="163"/>
      <c r="C53" s="170"/>
      <c r="D53" s="168"/>
      <c r="E53" s="7"/>
    </row>
    <row r="54" spans="1:5" ht="15.75" thickBot="1">
      <c r="A54" s="174" t="s">
        <v>111</v>
      </c>
      <c r="B54" s="175"/>
      <c r="C54" s="176">
        <f>+C50-C52</f>
        <v>6515512.5592000056</v>
      </c>
      <c r="D54" s="177"/>
      <c r="E54" s="178"/>
    </row>
    <row r="55" spans="1:5">
      <c r="A55" s="179"/>
      <c r="B55" s="179"/>
      <c r="C55" s="180"/>
      <c r="D55" s="181"/>
      <c r="E55" s="178"/>
    </row>
    <row r="56" spans="1:5">
      <c r="A56" s="179"/>
      <c r="B56" s="179"/>
      <c r="C56" s="180"/>
      <c r="D56" s="181"/>
      <c r="E56" s="178"/>
    </row>
    <row r="57" spans="1:5" ht="15.75" thickBot="1">
      <c r="A57" s="179"/>
      <c r="B57" s="179"/>
      <c r="C57" s="180"/>
      <c r="D57" s="181"/>
      <c r="E57" s="178"/>
    </row>
    <row r="58" spans="1:5">
      <c r="A58" s="182" t="s">
        <v>112</v>
      </c>
      <c r="B58" s="183"/>
      <c r="C58" s="184">
        <f>+C44+C38</f>
        <v>3073311.6799999997</v>
      </c>
      <c r="D58" s="185"/>
      <c r="E58" s="7"/>
    </row>
    <row r="59" spans="1:5">
      <c r="A59" s="169"/>
      <c r="B59" s="163"/>
      <c r="C59" s="170"/>
      <c r="D59" s="168"/>
      <c r="E59" s="7"/>
    </row>
    <row r="60" spans="1:5">
      <c r="A60" s="186" t="s">
        <v>113</v>
      </c>
      <c r="B60" s="187"/>
      <c r="C60" s="230"/>
      <c r="D60" s="7"/>
    </row>
    <row r="61" spans="1:5" ht="15.75" thickBot="1">
      <c r="A61" s="188"/>
      <c r="B61" s="189"/>
      <c r="C61" s="170"/>
      <c r="D61" s="168"/>
      <c r="E61" s="7"/>
    </row>
    <row r="62" spans="1:5" ht="15.75" thickBot="1">
      <c r="A62" s="174" t="s">
        <v>114</v>
      </c>
      <c r="B62" s="175"/>
      <c r="C62" s="176">
        <f>+C58+C60</f>
        <v>3073311.6799999997</v>
      </c>
      <c r="D62" s="168"/>
      <c r="E62" s="7"/>
    </row>
    <row r="63" spans="1:5">
      <c r="A63" s="190"/>
      <c r="B63" s="118"/>
      <c r="C63" s="121"/>
      <c r="D63" s="168"/>
      <c r="E63" s="7"/>
    </row>
    <row r="64" spans="1:5" ht="15.75" thickBot="1">
      <c r="A64" s="107"/>
      <c r="B64" s="118"/>
      <c r="C64" s="146"/>
      <c r="D64" s="168"/>
      <c r="E64" s="7"/>
    </row>
    <row r="65" spans="1:5" ht="18.75" thickBot="1">
      <c r="A65" s="191" t="s">
        <v>115</v>
      </c>
      <c r="B65" s="192"/>
      <c r="C65" s="193">
        <f>+C54-C62</f>
        <v>3442200.8792000059</v>
      </c>
      <c r="D65" s="194"/>
      <c r="E65" s="195"/>
    </row>
    <row r="66" spans="1:5" ht="18">
      <c r="A66" s="196" t="s">
        <v>116</v>
      </c>
    </row>
    <row r="68" spans="1:5">
      <c r="C68" s="225"/>
    </row>
    <row r="69" spans="1:5">
      <c r="C69" s="245"/>
    </row>
    <row r="70" spans="1:5">
      <c r="C70" s="245"/>
    </row>
    <row r="71" spans="1:5">
      <c r="C71" s="245"/>
    </row>
    <row r="72" spans="1:5">
      <c r="C72" s="245"/>
    </row>
    <row r="73" spans="1:5">
      <c r="C73" s="245"/>
    </row>
    <row r="74" spans="1:5">
      <c r="C74" s="245"/>
    </row>
    <row r="75" spans="1:5">
      <c r="C75" s="245"/>
    </row>
    <row r="76" spans="1:5">
      <c r="C76" s="246"/>
    </row>
    <row r="77" spans="1:5">
      <c r="C77" s="244"/>
    </row>
    <row r="78" spans="1:5">
      <c r="C78" s="244"/>
    </row>
    <row r="79" spans="1:5">
      <c r="C79" s="244"/>
    </row>
    <row r="80" spans="1:5">
      <c r="C80" s="245"/>
    </row>
    <row r="81" spans="3:3">
      <c r="C81" s="225"/>
    </row>
    <row r="82" spans="3:3">
      <c r="C82" s="225"/>
    </row>
    <row r="83" spans="3:3">
      <c r="C83" s="225"/>
    </row>
    <row r="84" spans="3:3">
      <c r="C84" s="225"/>
    </row>
    <row r="85" spans="3:3">
      <c r="C85" s="225"/>
    </row>
    <row r="86" spans="3:3">
      <c r="C86" s="225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Q124"/>
  <sheetViews>
    <sheetView topLeftCell="I1" workbookViewId="0">
      <selection activeCell="I117" sqref="I114:Q117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4" width="15.5703125" customWidth="1"/>
    <col min="5" max="5" width="14.140625" customWidth="1"/>
    <col min="6" max="6" width="22.140625" customWidth="1"/>
    <col min="7" max="7" width="9.7109375" customWidth="1"/>
    <col min="8" max="8" width="15.71093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1" spans="1:17">
      <c r="A1" s="259" t="s">
        <v>102</v>
      </c>
      <c r="B1" s="259" t="s">
        <v>638</v>
      </c>
      <c r="C1" s="259" t="s">
        <v>639</v>
      </c>
      <c r="D1" s="259" t="s">
        <v>640</v>
      </c>
      <c r="E1" s="259" t="s">
        <v>641</v>
      </c>
      <c r="F1" s="259" t="s">
        <v>642</v>
      </c>
      <c r="G1" s="259" t="s">
        <v>643</v>
      </c>
      <c r="H1" s="259" t="s">
        <v>644</v>
      </c>
      <c r="I1" s="259" t="s">
        <v>645</v>
      </c>
      <c r="J1" s="259" t="s">
        <v>646</v>
      </c>
      <c r="K1" s="259" t="s">
        <v>647</v>
      </c>
      <c r="L1" s="259" t="s">
        <v>648</v>
      </c>
      <c r="M1" s="259" t="s">
        <v>649</v>
      </c>
      <c r="N1" s="259" t="s">
        <v>650</v>
      </c>
      <c r="O1" s="259" t="s">
        <v>651</v>
      </c>
      <c r="P1" s="259" t="s">
        <v>3</v>
      </c>
      <c r="Q1" s="259" t="s">
        <v>652</v>
      </c>
    </row>
    <row r="2" spans="1:17" hidden="1">
      <c r="A2" s="256" t="s">
        <v>653</v>
      </c>
      <c r="B2" s="256" t="s">
        <v>654</v>
      </c>
      <c r="C2" s="257">
        <v>2189</v>
      </c>
      <c r="D2" s="257">
        <v>75919</v>
      </c>
      <c r="E2" s="256"/>
      <c r="F2" s="257">
        <v>74356447170423</v>
      </c>
      <c r="G2" s="256" t="s">
        <v>7</v>
      </c>
      <c r="H2" s="260">
        <v>30548083156</v>
      </c>
      <c r="I2" s="256" t="s">
        <v>655</v>
      </c>
      <c r="J2" s="257">
        <v>1</v>
      </c>
      <c r="K2" s="256" t="s">
        <v>656</v>
      </c>
      <c r="L2" s="258">
        <v>6462.61</v>
      </c>
      <c r="M2" s="257">
        <v>0</v>
      </c>
      <c r="N2" s="257">
        <v>0</v>
      </c>
      <c r="O2" s="258">
        <v>452.38</v>
      </c>
      <c r="P2" s="258">
        <v>1357.15</v>
      </c>
      <c r="Q2" s="258">
        <v>8272.14</v>
      </c>
    </row>
    <row r="3" spans="1:17" hidden="1">
      <c r="A3" s="256" t="s">
        <v>657</v>
      </c>
      <c r="B3" s="256" t="s">
        <v>654</v>
      </c>
      <c r="C3" s="257">
        <v>500</v>
      </c>
      <c r="D3" s="257">
        <v>1611886</v>
      </c>
      <c r="E3" s="256"/>
      <c r="F3" s="257">
        <v>74357098226128</v>
      </c>
      <c r="G3" s="256" t="s">
        <v>7</v>
      </c>
      <c r="H3" s="260">
        <v>30654118767</v>
      </c>
      <c r="I3" s="256" t="s">
        <v>658</v>
      </c>
      <c r="J3" s="257">
        <v>1</v>
      </c>
      <c r="K3" s="256" t="s">
        <v>656</v>
      </c>
      <c r="L3" s="258">
        <v>89554.36</v>
      </c>
      <c r="M3" s="257">
        <v>0</v>
      </c>
      <c r="N3" s="257">
        <v>0</v>
      </c>
      <c r="O3" s="257">
        <v>0</v>
      </c>
      <c r="P3" s="258">
        <v>18806.419999999998</v>
      </c>
      <c r="Q3" s="258">
        <v>112850.92</v>
      </c>
    </row>
    <row r="4" spans="1:17" hidden="1">
      <c r="A4" s="256" t="s">
        <v>657</v>
      </c>
      <c r="B4" s="256" t="s">
        <v>654</v>
      </c>
      <c r="C4" s="257">
        <v>1</v>
      </c>
      <c r="D4" s="257">
        <v>4517</v>
      </c>
      <c r="E4" s="256"/>
      <c r="F4" s="257">
        <v>74361573927319</v>
      </c>
      <c r="G4" s="256" t="s">
        <v>7</v>
      </c>
      <c r="H4" s="260">
        <v>30715141201</v>
      </c>
      <c r="I4" s="256" t="s">
        <v>659</v>
      </c>
      <c r="J4" s="257">
        <v>1</v>
      </c>
      <c r="K4" s="256" t="s">
        <v>656</v>
      </c>
      <c r="L4" s="257">
        <v>1216380</v>
      </c>
      <c r="M4" s="257">
        <v>0</v>
      </c>
      <c r="N4" s="257">
        <v>0</v>
      </c>
      <c r="O4" s="257">
        <v>0</v>
      </c>
      <c r="P4" s="256">
        <v>255439.8</v>
      </c>
      <c r="Q4" s="256">
        <v>1471819.8</v>
      </c>
    </row>
    <row r="5" spans="1:17" hidden="1">
      <c r="A5" s="256" t="s">
        <v>657</v>
      </c>
      <c r="B5" s="256" t="s">
        <v>654</v>
      </c>
      <c r="C5" s="257">
        <v>5</v>
      </c>
      <c r="D5" s="257">
        <v>158399</v>
      </c>
      <c r="E5" s="256"/>
      <c r="F5" s="257">
        <v>74363528156508</v>
      </c>
      <c r="G5" s="256" t="s">
        <v>7</v>
      </c>
      <c r="H5" s="260">
        <v>30598960093</v>
      </c>
      <c r="I5" s="256" t="s">
        <v>660</v>
      </c>
      <c r="J5" s="257">
        <v>1</v>
      </c>
      <c r="K5" s="256" t="s">
        <v>656</v>
      </c>
      <c r="L5" s="256">
        <v>2376294.2000000002</v>
      </c>
      <c r="M5" s="257">
        <v>0</v>
      </c>
      <c r="N5" s="257">
        <v>0</v>
      </c>
      <c r="O5" s="257">
        <v>0</v>
      </c>
      <c r="P5" s="258">
        <v>337808.56</v>
      </c>
      <c r="Q5" s="258">
        <v>2832917.47</v>
      </c>
    </row>
    <row r="6" spans="1:17" hidden="1">
      <c r="A6" s="256" t="s">
        <v>657</v>
      </c>
      <c r="B6" s="256" t="s">
        <v>654</v>
      </c>
      <c r="C6" s="257">
        <v>17</v>
      </c>
      <c r="D6" s="257">
        <v>2245</v>
      </c>
      <c r="E6" s="256"/>
      <c r="F6" s="257">
        <v>74361547632750</v>
      </c>
      <c r="G6" s="256" t="s">
        <v>7</v>
      </c>
      <c r="H6" s="260">
        <v>30711764921</v>
      </c>
      <c r="I6" s="256" t="s">
        <v>661</v>
      </c>
      <c r="J6" s="257">
        <v>1</v>
      </c>
      <c r="K6" s="256" t="s">
        <v>656</v>
      </c>
      <c r="L6" s="257">
        <v>93973</v>
      </c>
      <c r="M6" s="257">
        <v>0</v>
      </c>
      <c r="N6" s="257">
        <v>0</v>
      </c>
      <c r="O6" s="257">
        <v>0</v>
      </c>
      <c r="P6" s="258">
        <v>19734.330000000002</v>
      </c>
      <c r="Q6" s="258">
        <v>113707.33</v>
      </c>
    </row>
    <row r="7" spans="1:17" hidden="1">
      <c r="A7" s="256" t="s">
        <v>657</v>
      </c>
      <c r="B7" s="256" t="s">
        <v>654</v>
      </c>
      <c r="C7" s="257">
        <v>3051</v>
      </c>
      <c r="D7" s="257">
        <v>801967</v>
      </c>
      <c r="E7" s="256"/>
      <c r="F7" s="257">
        <v>74367703518446</v>
      </c>
      <c r="G7" s="256" t="s">
        <v>7</v>
      </c>
      <c r="H7" s="260">
        <v>30678814357</v>
      </c>
      <c r="I7" s="256" t="s">
        <v>662</v>
      </c>
      <c r="J7" s="257">
        <v>1</v>
      </c>
      <c r="K7" s="256" t="s">
        <v>656</v>
      </c>
      <c r="L7" s="257">
        <v>14407</v>
      </c>
      <c r="M7" s="257">
        <v>0</v>
      </c>
      <c r="N7" s="257">
        <v>0</v>
      </c>
      <c r="O7" s="257">
        <v>0</v>
      </c>
      <c r="P7" s="258">
        <v>3889.89</v>
      </c>
      <c r="Q7" s="258">
        <v>20245.61</v>
      </c>
    </row>
    <row r="8" spans="1:17" hidden="1">
      <c r="A8" s="256" t="s">
        <v>657</v>
      </c>
      <c r="B8" s="256" t="s">
        <v>654</v>
      </c>
      <c r="C8" s="257">
        <v>2</v>
      </c>
      <c r="D8" s="257">
        <v>248</v>
      </c>
      <c r="E8" s="256"/>
      <c r="F8" s="257">
        <v>74363494027429</v>
      </c>
      <c r="G8" s="256" t="s">
        <v>7</v>
      </c>
      <c r="H8" s="260">
        <v>27144282383</v>
      </c>
      <c r="I8" s="256" t="s">
        <v>663</v>
      </c>
      <c r="J8" s="257">
        <v>1</v>
      </c>
      <c r="K8" s="256" t="s">
        <v>656</v>
      </c>
      <c r="L8" s="257">
        <v>160000</v>
      </c>
      <c r="M8" s="257">
        <v>0</v>
      </c>
      <c r="N8" s="257">
        <v>0</v>
      </c>
      <c r="O8" s="257">
        <v>0</v>
      </c>
      <c r="P8" s="257">
        <v>33600</v>
      </c>
      <c r="Q8" s="257">
        <v>193600</v>
      </c>
    </row>
    <row r="9" spans="1:17" hidden="1">
      <c r="A9" s="256" t="s">
        <v>657</v>
      </c>
      <c r="B9" s="256" t="s">
        <v>654</v>
      </c>
      <c r="C9" s="257">
        <v>5</v>
      </c>
      <c r="D9" s="257">
        <v>102</v>
      </c>
      <c r="E9" s="256"/>
      <c r="F9" s="257">
        <v>74367559790009</v>
      </c>
      <c r="G9" s="256" t="s">
        <v>7</v>
      </c>
      <c r="H9" s="260">
        <v>27329449357</v>
      </c>
      <c r="I9" s="256" t="s">
        <v>664</v>
      </c>
      <c r="J9" s="257">
        <v>1</v>
      </c>
      <c r="K9" s="256" t="s">
        <v>656</v>
      </c>
      <c r="L9" s="257">
        <v>64100</v>
      </c>
      <c r="M9" s="257">
        <v>16400</v>
      </c>
      <c r="N9" s="257">
        <v>0</v>
      </c>
      <c r="O9" s="257">
        <v>0</v>
      </c>
      <c r="P9" s="257">
        <v>13461</v>
      </c>
      <c r="Q9" s="257">
        <v>93961</v>
      </c>
    </row>
    <row r="10" spans="1:17" hidden="1">
      <c r="A10" s="256" t="s">
        <v>657</v>
      </c>
      <c r="B10" s="256" t="s">
        <v>665</v>
      </c>
      <c r="C10" s="257">
        <v>3</v>
      </c>
      <c r="D10" s="257">
        <v>874</v>
      </c>
      <c r="E10" s="256"/>
      <c r="F10" s="257">
        <v>74363563144286</v>
      </c>
      <c r="G10" s="256" t="s">
        <v>7</v>
      </c>
      <c r="H10" s="260">
        <v>20086277523</v>
      </c>
      <c r="I10" s="256" t="s">
        <v>37</v>
      </c>
      <c r="J10" s="257">
        <v>1</v>
      </c>
      <c r="K10" s="256" t="s">
        <v>656</v>
      </c>
      <c r="L10" s="256"/>
      <c r="M10" s="256"/>
      <c r="N10" s="256"/>
      <c r="O10" s="257">
        <v>0</v>
      </c>
      <c r="P10" s="256"/>
      <c r="Q10" s="257">
        <v>275500</v>
      </c>
    </row>
    <row r="11" spans="1:17" hidden="1">
      <c r="A11" s="256" t="s">
        <v>657</v>
      </c>
      <c r="B11" s="256" t="s">
        <v>665</v>
      </c>
      <c r="C11" s="257">
        <v>2</v>
      </c>
      <c r="D11" s="257">
        <v>302</v>
      </c>
      <c r="E11" s="256"/>
      <c r="F11" s="257">
        <v>74368278674869</v>
      </c>
      <c r="G11" s="256" t="s">
        <v>7</v>
      </c>
      <c r="H11" s="260">
        <v>27265832178</v>
      </c>
      <c r="I11" s="256" t="s">
        <v>478</v>
      </c>
      <c r="J11" s="257">
        <v>1</v>
      </c>
      <c r="K11" s="256" t="s">
        <v>656</v>
      </c>
      <c r="L11" s="256"/>
      <c r="M11" s="256"/>
      <c r="N11" s="256"/>
      <c r="O11" s="257">
        <v>0</v>
      </c>
      <c r="P11" s="256"/>
      <c r="Q11" s="257">
        <v>250000</v>
      </c>
    </row>
    <row r="12" spans="1:17" hidden="1">
      <c r="A12" s="256" t="s">
        <v>666</v>
      </c>
      <c r="B12" s="256" t="s">
        <v>654</v>
      </c>
      <c r="C12" s="257">
        <v>629</v>
      </c>
      <c r="D12" s="257">
        <v>5407463</v>
      </c>
      <c r="E12" s="256"/>
      <c r="F12" s="257">
        <v>34353802937243</v>
      </c>
      <c r="G12" s="256" t="s">
        <v>7</v>
      </c>
      <c r="H12" s="260">
        <v>30663498513</v>
      </c>
      <c r="I12" s="256" t="s">
        <v>667</v>
      </c>
      <c r="J12" s="257">
        <v>1</v>
      </c>
      <c r="K12" s="256" t="s">
        <v>656</v>
      </c>
      <c r="L12" s="258">
        <v>2121.64</v>
      </c>
      <c r="M12" s="257">
        <v>0</v>
      </c>
      <c r="N12" s="257">
        <v>0</v>
      </c>
      <c r="O12" s="257">
        <v>0</v>
      </c>
      <c r="P12" s="258">
        <v>445.54</v>
      </c>
      <c r="Q12" s="258">
        <v>2673.26</v>
      </c>
    </row>
    <row r="13" spans="1:17" hidden="1">
      <c r="A13" s="256" t="s">
        <v>666</v>
      </c>
      <c r="B13" s="256" t="s">
        <v>654</v>
      </c>
      <c r="C13" s="257">
        <v>711</v>
      </c>
      <c r="D13" s="257">
        <v>6097149</v>
      </c>
      <c r="E13" s="256"/>
      <c r="F13" s="257">
        <v>34359489663246</v>
      </c>
      <c r="G13" s="256" t="s">
        <v>7</v>
      </c>
      <c r="H13" s="260">
        <v>30677237119</v>
      </c>
      <c r="I13" s="256" t="s">
        <v>668</v>
      </c>
      <c r="J13" s="257">
        <v>1</v>
      </c>
      <c r="K13" s="256" t="s">
        <v>656</v>
      </c>
      <c r="L13" s="258">
        <v>7715.05</v>
      </c>
      <c r="M13" s="257">
        <v>0</v>
      </c>
      <c r="N13" s="258">
        <v>231.45</v>
      </c>
      <c r="O13" s="257">
        <v>0</v>
      </c>
      <c r="P13" s="258">
        <v>1620.16</v>
      </c>
      <c r="Q13" s="258">
        <v>9952.41</v>
      </c>
    </row>
    <row r="14" spans="1:17" hidden="1">
      <c r="A14" s="256" t="s">
        <v>666</v>
      </c>
      <c r="B14" s="256" t="s">
        <v>654</v>
      </c>
      <c r="C14" s="257">
        <v>2635</v>
      </c>
      <c r="D14" s="257">
        <v>1369</v>
      </c>
      <c r="E14" s="256"/>
      <c r="F14" s="257">
        <v>34359844249451</v>
      </c>
      <c r="G14" s="256" t="s">
        <v>7</v>
      </c>
      <c r="H14" s="260">
        <v>33699685459</v>
      </c>
      <c r="I14" s="256" t="s">
        <v>332</v>
      </c>
      <c r="J14" s="257">
        <v>1</v>
      </c>
      <c r="K14" s="256" t="s">
        <v>656</v>
      </c>
      <c r="L14" s="256">
        <v>12449.6</v>
      </c>
      <c r="M14" s="257">
        <v>0</v>
      </c>
      <c r="N14" s="257">
        <v>0</v>
      </c>
      <c r="O14" s="257">
        <v>0</v>
      </c>
      <c r="P14" s="258">
        <v>2614.42</v>
      </c>
      <c r="Q14" s="258">
        <v>15064.02</v>
      </c>
    </row>
    <row r="15" spans="1:17" hidden="1">
      <c r="A15" s="256" t="s">
        <v>666</v>
      </c>
      <c r="B15" s="256" t="s">
        <v>654</v>
      </c>
      <c r="C15" s="257">
        <v>2</v>
      </c>
      <c r="D15" s="257">
        <v>216</v>
      </c>
      <c r="E15" s="256"/>
      <c r="F15" s="257">
        <v>74362687536018</v>
      </c>
      <c r="G15" s="256" t="s">
        <v>7</v>
      </c>
      <c r="H15" s="260">
        <v>30605344352</v>
      </c>
      <c r="I15" s="256" t="s">
        <v>669</v>
      </c>
      <c r="J15" s="257">
        <v>1</v>
      </c>
      <c r="K15" s="256" t="s">
        <v>656</v>
      </c>
      <c r="L15" s="257">
        <v>834000</v>
      </c>
      <c r="M15" s="257">
        <v>0</v>
      </c>
      <c r="N15" s="257">
        <v>0</v>
      </c>
      <c r="O15" s="257">
        <v>0</v>
      </c>
      <c r="P15" s="257">
        <v>175140</v>
      </c>
      <c r="Q15" s="257">
        <v>1009140</v>
      </c>
    </row>
    <row r="16" spans="1:17" hidden="1">
      <c r="A16" s="256" t="s">
        <v>670</v>
      </c>
      <c r="B16" s="256" t="s">
        <v>654</v>
      </c>
      <c r="C16" s="257">
        <v>17</v>
      </c>
      <c r="D16" s="257">
        <v>2255</v>
      </c>
      <c r="E16" s="256"/>
      <c r="F16" s="257">
        <v>74361803741207</v>
      </c>
      <c r="G16" s="256" t="s">
        <v>7</v>
      </c>
      <c r="H16" s="260">
        <v>30711764921</v>
      </c>
      <c r="I16" s="256" t="s">
        <v>661</v>
      </c>
      <c r="J16" s="257">
        <v>1</v>
      </c>
      <c r="K16" s="256" t="s">
        <v>656</v>
      </c>
      <c r="L16" s="257">
        <v>527580</v>
      </c>
      <c r="M16" s="257">
        <v>0</v>
      </c>
      <c r="N16" s="257">
        <v>0</v>
      </c>
      <c r="O16" s="257">
        <v>0</v>
      </c>
      <c r="P16" s="256">
        <v>110791.8</v>
      </c>
      <c r="Q16" s="256">
        <v>638371.80000000005</v>
      </c>
    </row>
    <row r="17" spans="1:17" hidden="1">
      <c r="A17" s="256" t="s">
        <v>670</v>
      </c>
      <c r="B17" s="256" t="s">
        <v>654</v>
      </c>
      <c r="C17" s="257">
        <v>2</v>
      </c>
      <c r="D17" s="257">
        <v>50685</v>
      </c>
      <c r="E17" s="256"/>
      <c r="F17" s="257">
        <v>74365825946417</v>
      </c>
      <c r="G17" s="256" t="s">
        <v>7</v>
      </c>
      <c r="H17" s="260">
        <v>30595553535</v>
      </c>
      <c r="I17" s="256" t="s">
        <v>671</v>
      </c>
      <c r="J17" s="257">
        <v>1</v>
      </c>
      <c r="K17" s="256" t="s">
        <v>656</v>
      </c>
      <c r="L17" s="258">
        <v>4793.3900000000003</v>
      </c>
      <c r="M17" s="257">
        <v>0</v>
      </c>
      <c r="N17" s="257">
        <v>0</v>
      </c>
      <c r="O17" s="257">
        <v>0</v>
      </c>
      <c r="P17" s="258">
        <v>1006.61</v>
      </c>
      <c r="Q17" s="257">
        <v>5800</v>
      </c>
    </row>
    <row r="18" spans="1:17" hidden="1">
      <c r="A18" s="256" t="s">
        <v>670</v>
      </c>
      <c r="B18" s="256" t="s">
        <v>654</v>
      </c>
      <c r="C18" s="257">
        <v>120</v>
      </c>
      <c r="D18" s="257">
        <v>4949</v>
      </c>
      <c r="E18" s="256"/>
      <c r="F18" s="257">
        <v>74365804898856</v>
      </c>
      <c r="G18" s="256" t="s">
        <v>7</v>
      </c>
      <c r="H18" s="260">
        <v>30587197215</v>
      </c>
      <c r="I18" s="256" t="s">
        <v>493</v>
      </c>
      <c r="J18" s="257">
        <v>1</v>
      </c>
      <c r="K18" s="256" t="s">
        <v>656</v>
      </c>
      <c r="L18" s="258">
        <v>68595.039999999994</v>
      </c>
      <c r="M18" s="257">
        <v>0</v>
      </c>
      <c r="N18" s="257">
        <v>0</v>
      </c>
      <c r="O18" s="257">
        <v>0</v>
      </c>
      <c r="P18" s="258">
        <v>14404.96</v>
      </c>
      <c r="Q18" s="258">
        <v>86429.75</v>
      </c>
    </row>
    <row r="19" spans="1:17" hidden="1">
      <c r="A19" s="256" t="s">
        <v>670</v>
      </c>
      <c r="B19" s="256" t="s">
        <v>654</v>
      </c>
      <c r="C19" s="257">
        <v>7</v>
      </c>
      <c r="D19" s="257">
        <v>3241</v>
      </c>
      <c r="E19" s="256"/>
      <c r="F19" s="257">
        <v>74364799883128</v>
      </c>
      <c r="G19" s="256" t="s">
        <v>7</v>
      </c>
      <c r="H19" s="260">
        <v>20284183534</v>
      </c>
      <c r="I19" s="256" t="s">
        <v>448</v>
      </c>
      <c r="J19" s="257">
        <v>1</v>
      </c>
      <c r="K19" s="256" t="s">
        <v>656</v>
      </c>
      <c r="L19" s="256">
        <v>4545.5</v>
      </c>
      <c r="M19" s="257">
        <v>0</v>
      </c>
      <c r="N19" s="257">
        <v>0</v>
      </c>
      <c r="O19" s="257">
        <v>0</v>
      </c>
      <c r="P19" s="258">
        <v>954.56</v>
      </c>
      <c r="Q19" s="258">
        <v>5500.06</v>
      </c>
    </row>
    <row r="20" spans="1:17" hidden="1">
      <c r="A20" s="256" t="s">
        <v>670</v>
      </c>
      <c r="B20" s="256" t="s">
        <v>654</v>
      </c>
      <c r="C20" s="257">
        <v>120</v>
      </c>
      <c r="D20" s="257">
        <v>4948</v>
      </c>
      <c r="E20" s="256"/>
      <c r="F20" s="257">
        <v>74365800262038</v>
      </c>
      <c r="G20" s="256" t="s">
        <v>7</v>
      </c>
      <c r="H20" s="260">
        <v>30587197215</v>
      </c>
      <c r="I20" s="256" t="s">
        <v>493</v>
      </c>
      <c r="J20" s="257">
        <v>1</v>
      </c>
      <c r="K20" s="256" t="s">
        <v>656</v>
      </c>
      <c r="L20" s="258">
        <v>68595.039999999994</v>
      </c>
      <c r="M20" s="257">
        <v>0</v>
      </c>
      <c r="N20" s="257">
        <v>0</v>
      </c>
      <c r="O20" s="257">
        <v>0</v>
      </c>
      <c r="P20" s="258">
        <v>14404.96</v>
      </c>
      <c r="Q20" s="258">
        <v>86429.75</v>
      </c>
    </row>
    <row r="21" spans="1:17" hidden="1">
      <c r="A21" s="256" t="s">
        <v>670</v>
      </c>
      <c r="B21" s="256" t="s">
        <v>654</v>
      </c>
      <c r="C21" s="257">
        <v>401</v>
      </c>
      <c r="D21" s="257">
        <v>66</v>
      </c>
      <c r="E21" s="256"/>
      <c r="F21" s="257">
        <v>74364797895464</v>
      </c>
      <c r="G21" s="256" t="s">
        <v>7</v>
      </c>
      <c r="H21" s="260">
        <v>30716234114</v>
      </c>
      <c r="I21" s="256" t="s">
        <v>672</v>
      </c>
      <c r="J21" s="257">
        <v>1305</v>
      </c>
      <c r="K21" s="256" t="s">
        <v>673</v>
      </c>
      <c r="L21" s="256">
        <v>129.30000000000001</v>
      </c>
      <c r="M21" s="257">
        <v>0</v>
      </c>
      <c r="N21" s="257">
        <v>0</v>
      </c>
      <c r="O21" s="257">
        <v>0</v>
      </c>
      <c r="P21" s="258">
        <v>27.15</v>
      </c>
      <c r="Q21" s="258">
        <v>156.44999999999999</v>
      </c>
    </row>
    <row r="22" spans="1:17" hidden="1">
      <c r="A22" s="256" t="s">
        <v>674</v>
      </c>
      <c r="B22" s="256" t="s">
        <v>654</v>
      </c>
      <c r="C22" s="257">
        <v>2</v>
      </c>
      <c r="D22" s="257">
        <v>760</v>
      </c>
      <c r="E22" s="256"/>
      <c r="F22" s="257">
        <v>74369961703669</v>
      </c>
      <c r="G22" s="256" t="s">
        <v>7</v>
      </c>
      <c r="H22" s="260">
        <v>20272865869</v>
      </c>
      <c r="I22" s="256" t="s">
        <v>625</v>
      </c>
      <c r="J22" s="257">
        <v>1</v>
      </c>
      <c r="K22" s="256" t="s">
        <v>656</v>
      </c>
      <c r="L22" s="257">
        <v>84450</v>
      </c>
      <c r="M22" s="257">
        <v>0</v>
      </c>
      <c r="N22" s="257">
        <v>0</v>
      </c>
      <c r="O22" s="257">
        <v>0</v>
      </c>
      <c r="P22" s="256">
        <v>17734.5</v>
      </c>
      <c r="Q22" s="256">
        <v>102184.5</v>
      </c>
    </row>
    <row r="23" spans="1:17" hidden="1">
      <c r="A23" s="256" t="s">
        <v>674</v>
      </c>
      <c r="B23" s="256" t="s">
        <v>654</v>
      </c>
      <c r="C23" s="257">
        <v>5</v>
      </c>
      <c r="D23" s="257">
        <v>5331</v>
      </c>
      <c r="E23" s="256"/>
      <c r="F23" s="257">
        <v>74363959099503</v>
      </c>
      <c r="G23" s="256" t="s">
        <v>7</v>
      </c>
      <c r="H23" s="260">
        <v>30715833243</v>
      </c>
      <c r="I23" s="256" t="s">
        <v>675</v>
      </c>
      <c r="J23" s="257">
        <v>1</v>
      </c>
      <c r="K23" s="256" t="s">
        <v>656</v>
      </c>
      <c r="L23" s="258">
        <v>22238.59</v>
      </c>
      <c r="M23" s="257">
        <v>0</v>
      </c>
      <c r="N23" s="257">
        <v>0</v>
      </c>
      <c r="O23" s="257">
        <v>0</v>
      </c>
      <c r="P23" s="256">
        <v>4670.1000000000004</v>
      </c>
      <c r="Q23" s="258">
        <v>26908.69</v>
      </c>
    </row>
    <row r="24" spans="1:17" hidden="1">
      <c r="A24" s="256" t="s">
        <v>674</v>
      </c>
      <c r="B24" s="256" t="s">
        <v>654</v>
      </c>
      <c r="C24" s="257">
        <v>5</v>
      </c>
      <c r="D24" s="257">
        <v>5332</v>
      </c>
      <c r="E24" s="256"/>
      <c r="F24" s="257">
        <v>74363959206879</v>
      </c>
      <c r="G24" s="256" t="s">
        <v>7</v>
      </c>
      <c r="H24" s="260">
        <v>30715833243</v>
      </c>
      <c r="I24" s="256" t="s">
        <v>675</v>
      </c>
      <c r="J24" s="257">
        <v>1</v>
      </c>
      <c r="K24" s="256" t="s">
        <v>656</v>
      </c>
      <c r="L24" s="258">
        <v>44477.18</v>
      </c>
      <c r="M24" s="257">
        <v>0</v>
      </c>
      <c r="N24" s="257">
        <v>0</v>
      </c>
      <c r="O24" s="257">
        <v>0</v>
      </c>
      <c r="P24" s="258">
        <v>9340.2099999999991</v>
      </c>
      <c r="Q24" s="258">
        <v>53817.39</v>
      </c>
    </row>
    <row r="25" spans="1:17" hidden="1">
      <c r="A25" s="256" t="s">
        <v>674</v>
      </c>
      <c r="B25" s="256" t="s">
        <v>654</v>
      </c>
      <c r="C25" s="257">
        <v>5</v>
      </c>
      <c r="D25" s="257">
        <v>5328</v>
      </c>
      <c r="E25" s="256"/>
      <c r="F25" s="257">
        <v>74363948247842</v>
      </c>
      <c r="G25" s="256" t="s">
        <v>7</v>
      </c>
      <c r="H25" s="260">
        <v>30715833243</v>
      </c>
      <c r="I25" s="256" t="s">
        <v>675</v>
      </c>
      <c r="J25" s="257">
        <v>1</v>
      </c>
      <c r="K25" s="256" t="s">
        <v>656</v>
      </c>
      <c r="L25" s="258">
        <v>205349.64</v>
      </c>
      <c r="M25" s="257">
        <v>0</v>
      </c>
      <c r="N25" s="257">
        <v>0</v>
      </c>
      <c r="O25" s="257">
        <v>0</v>
      </c>
      <c r="P25" s="258">
        <v>43123.42</v>
      </c>
      <c r="Q25" s="258">
        <v>248473.06</v>
      </c>
    </row>
    <row r="26" spans="1:17" hidden="1">
      <c r="A26" s="256" t="s">
        <v>674</v>
      </c>
      <c r="B26" s="256" t="s">
        <v>676</v>
      </c>
      <c r="C26" s="257">
        <v>5</v>
      </c>
      <c r="D26" s="257">
        <v>803</v>
      </c>
      <c r="E26" s="256"/>
      <c r="F26" s="257">
        <v>74363959149539</v>
      </c>
      <c r="G26" s="256" t="s">
        <v>7</v>
      </c>
      <c r="H26" s="260">
        <v>30715833243</v>
      </c>
      <c r="I26" s="256" t="s">
        <v>675</v>
      </c>
      <c r="J26" s="257">
        <v>1</v>
      </c>
      <c r="K26" s="256" t="s">
        <v>656</v>
      </c>
      <c r="L26" s="258">
        <v>22238.59</v>
      </c>
      <c r="M26" s="257">
        <v>0</v>
      </c>
      <c r="N26" s="257">
        <v>0</v>
      </c>
      <c r="O26" s="257">
        <v>0</v>
      </c>
      <c r="P26" s="256">
        <v>4670.1000000000004</v>
      </c>
      <c r="Q26" s="258">
        <v>26908.69</v>
      </c>
    </row>
    <row r="27" spans="1:17" hidden="1">
      <c r="A27" s="256" t="s">
        <v>677</v>
      </c>
      <c r="B27" s="256" t="s">
        <v>654</v>
      </c>
      <c r="C27" s="257">
        <v>8</v>
      </c>
      <c r="D27" s="257">
        <v>306</v>
      </c>
      <c r="E27" s="256"/>
      <c r="F27" s="257">
        <v>74364088350892</v>
      </c>
      <c r="G27" s="256" t="s">
        <v>7</v>
      </c>
      <c r="H27" s="260">
        <v>30643518364</v>
      </c>
      <c r="I27" s="256" t="s">
        <v>678</v>
      </c>
      <c r="J27" s="257">
        <v>1</v>
      </c>
      <c r="K27" s="256" t="s">
        <v>656</v>
      </c>
      <c r="L27" s="257">
        <v>188610</v>
      </c>
      <c r="M27" s="257">
        <v>0</v>
      </c>
      <c r="N27" s="257">
        <v>0</v>
      </c>
      <c r="O27" s="257">
        <v>0</v>
      </c>
      <c r="P27" s="256">
        <v>39608.1</v>
      </c>
      <c r="Q27" s="256">
        <v>228218.1</v>
      </c>
    </row>
    <row r="28" spans="1:17" hidden="1">
      <c r="A28" s="256" t="s">
        <v>677</v>
      </c>
      <c r="B28" s="256" t="s">
        <v>654</v>
      </c>
      <c r="C28" s="257">
        <v>5</v>
      </c>
      <c r="D28" s="257">
        <v>1901</v>
      </c>
      <c r="E28" s="256"/>
      <c r="F28" s="257">
        <v>74366066637327</v>
      </c>
      <c r="G28" s="256" t="s">
        <v>7</v>
      </c>
      <c r="H28" s="260">
        <v>30712187316</v>
      </c>
      <c r="I28" s="256" t="s">
        <v>68</v>
      </c>
      <c r="J28" s="257">
        <v>1</v>
      </c>
      <c r="K28" s="256" t="s">
        <v>656</v>
      </c>
      <c r="L28" s="258">
        <v>293619.94</v>
      </c>
      <c r="M28" s="257">
        <v>0</v>
      </c>
      <c r="N28" s="257">
        <v>0</v>
      </c>
      <c r="O28" s="257">
        <v>0</v>
      </c>
      <c r="P28" s="258">
        <v>61660.19</v>
      </c>
      <c r="Q28" s="258">
        <v>355280.13</v>
      </c>
    </row>
    <row r="29" spans="1:17" hidden="1">
      <c r="A29" s="256" t="s">
        <v>677</v>
      </c>
      <c r="B29" s="256" t="s">
        <v>654</v>
      </c>
      <c r="C29" s="257">
        <v>700</v>
      </c>
      <c r="D29" s="257">
        <v>1905419</v>
      </c>
      <c r="E29" s="256"/>
      <c r="F29" s="257">
        <v>74372577628576</v>
      </c>
      <c r="G29" s="256" t="s">
        <v>7</v>
      </c>
      <c r="H29" s="260">
        <v>30715804812</v>
      </c>
      <c r="I29" s="256" t="s">
        <v>679</v>
      </c>
      <c r="J29" s="257">
        <v>1</v>
      </c>
      <c r="K29" s="256" t="s">
        <v>656</v>
      </c>
      <c r="L29" s="258">
        <v>3818.92</v>
      </c>
      <c r="M29" s="257">
        <v>0</v>
      </c>
      <c r="N29" s="257">
        <v>0</v>
      </c>
      <c r="O29" s="257">
        <v>0</v>
      </c>
      <c r="P29" s="258">
        <v>801.98</v>
      </c>
      <c r="Q29" s="258">
        <v>4811.8500000000004</v>
      </c>
    </row>
    <row r="30" spans="1:17" hidden="1">
      <c r="A30" s="256" t="s">
        <v>680</v>
      </c>
      <c r="B30" s="256" t="s">
        <v>654</v>
      </c>
      <c r="C30" s="257">
        <v>5015</v>
      </c>
      <c r="D30" s="257">
        <v>643182</v>
      </c>
      <c r="E30" s="256"/>
      <c r="F30" s="257">
        <v>74364287628815</v>
      </c>
      <c r="G30" s="256" t="s">
        <v>7</v>
      </c>
      <c r="H30" s="260">
        <v>30574876474</v>
      </c>
      <c r="I30" s="256" t="s">
        <v>681</v>
      </c>
      <c r="J30" s="257">
        <v>1</v>
      </c>
      <c r="K30" s="256" t="s">
        <v>656</v>
      </c>
      <c r="L30" s="258">
        <v>14073.49</v>
      </c>
      <c r="M30" s="257">
        <v>0</v>
      </c>
      <c r="N30" s="257">
        <v>0</v>
      </c>
      <c r="O30" s="257">
        <v>0</v>
      </c>
      <c r="P30" s="258">
        <v>2955.43</v>
      </c>
      <c r="Q30" s="258">
        <v>18858.47</v>
      </c>
    </row>
    <row r="31" spans="1:17">
      <c r="A31" s="281" t="s">
        <v>680</v>
      </c>
      <c r="B31" s="281" t="s">
        <v>654</v>
      </c>
      <c r="C31" s="282">
        <v>12</v>
      </c>
      <c r="D31" s="282">
        <v>1770378</v>
      </c>
      <c r="E31" s="281"/>
      <c r="F31" s="282">
        <v>74374364009998</v>
      </c>
      <c r="G31" s="281" t="s">
        <v>7</v>
      </c>
      <c r="H31" s="282">
        <v>30709776564</v>
      </c>
      <c r="I31" s="281" t="s">
        <v>682</v>
      </c>
      <c r="J31" s="257">
        <v>1</v>
      </c>
      <c r="K31" s="256" t="s">
        <v>656</v>
      </c>
      <c r="L31" s="257">
        <v>129241</v>
      </c>
      <c r="M31" s="257">
        <v>0</v>
      </c>
      <c r="N31" s="257">
        <v>0</v>
      </c>
      <c r="O31" s="257">
        <v>0</v>
      </c>
      <c r="P31" s="258">
        <v>27140.61</v>
      </c>
      <c r="Q31" s="258">
        <v>162843.68</v>
      </c>
    </row>
    <row r="32" spans="1:17" hidden="1">
      <c r="A32" s="256" t="s">
        <v>683</v>
      </c>
      <c r="B32" s="256" t="s">
        <v>654</v>
      </c>
      <c r="C32" s="257">
        <v>6</v>
      </c>
      <c r="D32" s="257">
        <v>54121</v>
      </c>
      <c r="E32" s="256"/>
      <c r="F32" s="257">
        <v>74378439780493</v>
      </c>
      <c r="G32" s="256" t="s">
        <v>7</v>
      </c>
      <c r="H32" s="260">
        <v>30710177658</v>
      </c>
      <c r="I32" s="256" t="s">
        <v>684</v>
      </c>
      <c r="J32" s="257">
        <v>1</v>
      </c>
      <c r="K32" s="256" t="s">
        <v>656</v>
      </c>
      <c r="L32" s="256">
        <v>700742.4</v>
      </c>
      <c r="M32" s="257">
        <v>0</v>
      </c>
      <c r="N32" s="257">
        <v>0</v>
      </c>
      <c r="O32" s="257">
        <v>0</v>
      </c>
      <c r="P32" s="256">
        <v>147155.9</v>
      </c>
      <c r="Q32" s="256">
        <v>847898.3</v>
      </c>
    </row>
    <row r="33" spans="1:17" hidden="1">
      <c r="A33" s="256" t="s">
        <v>683</v>
      </c>
      <c r="B33" s="256" t="s">
        <v>654</v>
      </c>
      <c r="C33" s="257">
        <v>5</v>
      </c>
      <c r="D33" s="257">
        <v>1908</v>
      </c>
      <c r="E33" s="256"/>
      <c r="F33" s="257">
        <v>74376416790528</v>
      </c>
      <c r="G33" s="256" t="s">
        <v>7</v>
      </c>
      <c r="H33" s="260">
        <v>30712187316</v>
      </c>
      <c r="I33" s="256" t="s">
        <v>68</v>
      </c>
      <c r="J33" s="257">
        <v>1</v>
      </c>
      <c r="K33" s="256" t="s">
        <v>656</v>
      </c>
      <c r="L33" s="258">
        <v>265780.37</v>
      </c>
      <c r="M33" s="257">
        <v>0</v>
      </c>
      <c r="N33" s="257">
        <v>0</v>
      </c>
      <c r="O33" s="257">
        <v>0</v>
      </c>
      <c r="P33" s="258">
        <v>55813.88</v>
      </c>
      <c r="Q33" s="258">
        <v>321594.25</v>
      </c>
    </row>
    <row r="34" spans="1:17" hidden="1">
      <c r="A34" s="256" t="s">
        <v>683</v>
      </c>
      <c r="B34" s="256" t="s">
        <v>654</v>
      </c>
      <c r="C34" s="257">
        <v>3101</v>
      </c>
      <c r="D34" s="257">
        <v>161895</v>
      </c>
      <c r="E34" s="256"/>
      <c r="F34" s="257">
        <v>74377575713159</v>
      </c>
      <c r="G34" s="256" t="s">
        <v>7</v>
      </c>
      <c r="H34" s="260">
        <v>30678814357</v>
      </c>
      <c r="I34" s="256" t="s">
        <v>662</v>
      </c>
      <c r="J34" s="257">
        <v>1</v>
      </c>
      <c r="K34" s="256" t="s">
        <v>656</v>
      </c>
      <c r="L34" s="258">
        <v>58748.38</v>
      </c>
      <c r="M34" s="257">
        <v>0</v>
      </c>
      <c r="N34" s="257">
        <v>0</v>
      </c>
      <c r="O34" s="257">
        <v>0</v>
      </c>
      <c r="P34" s="258">
        <v>15862.06</v>
      </c>
      <c r="Q34" s="258">
        <v>79310.31</v>
      </c>
    </row>
    <row r="35" spans="1:17" hidden="1">
      <c r="A35" s="256" t="s">
        <v>683</v>
      </c>
      <c r="B35" s="256" t="s">
        <v>676</v>
      </c>
      <c r="C35" s="257">
        <v>5</v>
      </c>
      <c r="D35" s="257">
        <v>192</v>
      </c>
      <c r="E35" s="256"/>
      <c r="F35" s="257">
        <v>74376416376753</v>
      </c>
      <c r="G35" s="256" t="s">
        <v>7</v>
      </c>
      <c r="H35" s="260">
        <v>30712187316</v>
      </c>
      <c r="I35" s="256" t="s">
        <v>68</v>
      </c>
      <c r="J35" s="257">
        <v>1</v>
      </c>
      <c r="K35" s="256" t="s">
        <v>656</v>
      </c>
      <c r="L35" s="258">
        <v>293619.94</v>
      </c>
      <c r="M35" s="257">
        <v>0</v>
      </c>
      <c r="N35" s="257">
        <v>0</v>
      </c>
      <c r="O35" s="257">
        <v>0</v>
      </c>
      <c r="P35" s="258">
        <v>61660.19</v>
      </c>
      <c r="Q35" s="258">
        <v>355280.13</v>
      </c>
    </row>
    <row r="36" spans="1:17" hidden="1">
      <c r="A36" s="256" t="s">
        <v>683</v>
      </c>
      <c r="B36" s="256" t="s">
        <v>665</v>
      </c>
      <c r="C36" s="257">
        <v>1</v>
      </c>
      <c r="D36" s="257">
        <v>148</v>
      </c>
      <c r="E36" s="256"/>
      <c r="F36" s="257">
        <v>74370408397319</v>
      </c>
      <c r="G36" s="256" t="s">
        <v>7</v>
      </c>
      <c r="H36" s="260">
        <v>27338342840</v>
      </c>
      <c r="I36" s="256" t="s">
        <v>432</v>
      </c>
      <c r="J36" s="257">
        <v>1</v>
      </c>
      <c r="K36" s="256" t="s">
        <v>656</v>
      </c>
      <c r="L36" s="256"/>
      <c r="M36" s="256"/>
      <c r="N36" s="256"/>
      <c r="O36" s="257">
        <v>0</v>
      </c>
      <c r="P36" s="256"/>
      <c r="Q36" s="257">
        <v>276800</v>
      </c>
    </row>
    <row r="37" spans="1:17" hidden="1">
      <c r="A37" s="256" t="s">
        <v>685</v>
      </c>
      <c r="B37" s="256" t="s">
        <v>654</v>
      </c>
      <c r="C37" s="257">
        <v>2</v>
      </c>
      <c r="D37" s="257">
        <v>8403</v>
      </c>
      <c r="E37" s="256"/>
      <c r="F37" s="257">
        <v>74372567359059</v>
      </c>
      <c r="G37" s="256" t="s">
        <v>7</v>
      </c>
      <c r="H37" s="260">
        <v>27363810182</v>
      </c>
      <c r="I37" s="256" t="s">
        <v>686</v>
      </c>
      <c r="J37" s="257">
        <v>1</v>
      </c>
      <c r="K37" s="256" t="s">
        <v>656</v>
      </c>
      <c r="L37" s="258">
        <v>3635.54</v>
      </c>
      <c r="M37" s="257">
        <v>0</v>
      </c>
      <c r="N37" s="257">
        <v>0</v>
      </c>
      <c r="O37" s="257">
        <v>0</v>
      </c>
      <c r="P37" s="258">
        <v>763.46</v>
      </c>
      <c r="Q37" s="257">
        <v>4399</v>
      </c>
    </row>
    <row r="38" spans="1:17" hidden="1">
      <c r="A38" s="256" t="s">
        <v>685</v>
      </c>
      <c r="B38" s="256" t="s">
        <v>654</v>
      </c>
      <c r="C38" s="257">
        <v>5</v>
      </c>
      <c r="D38" s="257">
        <v>31858</v>
      </c>
      <c r="E38" s="256"/>
      <c r="F38" s="257">
        <v>74370525870493</v>
      </c>
      <c r="G38" s="256" t="s">
        <v>7</v>
      </c>
      <c r="H38" s="260">
        <v>30710804830</v>
      </c>
      <c r="I38" s="256" t="s">
        <v>687</v>
      </c>
      <c r="J38" s="257">
        <v>1</v>
      </c>
      <c r="K38" s="256" t="s">
        <v>656</v>
      </c>
      <c r="L38" s="258">
        <v>29410.86</v>
      </c>
      <c r="M38" s="257">
        <v>0</v>
      </c>
      <c r="N38" s="257">
        <v>0</v>
      </c>
      <c r="O38" s="257">
        <v>0</v>
      </c>
      <c r="P38" s="258">
        <v>3088.14</v>
      </c>
      <c r="Q38" s="257">
        <v>32499</v>
      </c>
    </row>
    <row r="39" spans="1:17" hidden="1">
      <c r="A39" s="256" t="s">
        <v>685</v>
      </c>
      <c r="B39" s="256" t="s">
        <v>654</v>
      </c>
      <c r="C39" s="257">
        <v>8</v>
      </c>
      <c r="D39" s="257">
        <v>1684</v>
      </c>
      <c r="E39" s="256"/>
      <c r="F39" s="257">
        <v>74371529941038</v>
      </c>
      <c r="G39" s="256" t="s">
        <v>7</v>
      </c>
      <c r="H39" s="260">
        <v>30708973501</v>
      </c>
      <c r="I39" s="256" t="s">
        <v>688</v>
      </c>
      <c r="J39" s="257">
        <v>1</v>
      </c>
      <c r="K39" s="256" t="s">
        <v>656</v>
      </c>
      <c r="L39" s="257">
        <v>740255</v>
      </c>
      <c r="M39" s="257">
        <v>0</v>
      </c>
      <c r="N39" s="257">
        <v>0</v>
      </c>
      <c r="O39" s="257">
        <v>0</v>
      </c>
      <c r="P39" s="258">
        <v>155453.54999999999</v>
      </c>
      <c r="Q39" s="258">
        <v>895708.55</v>
      </c>
    </row>
    <row r="40" spans="1:17" hidden="1">
      <c r="A40" s="256" t="s">
        <v>685</v>
      </c>
      <c r="B40" s="256" t="s">
        <v>654</v>
      </c>
      <c r="C40" s="257">
        <v>3</v>
      </c>
      <c r="D40" s="257">
        <v>4250</v>
      </c>
      <c r="E40" s="256"/>
      <c r="F40" s="257">
        <v>74378552751950</v>
      </c>
      <c r="G40" s="256" t="s">
        <v>7</v>
      </c>
      <c r="H40" s="260">
        <v>20184052858</v>
      </c>
      <c r="I40" s="256" t="s">
        <v>689</v>
      </c>
      <c r="J40" s="257">
        <v>1</v>
      </c>
      <c r="K40" s="256" t="s">
        <v>656</v>
      </c>
      <c r="L40" s="258">
        <v>16859.48</v>
      </c>
      <c r="M40" s="257">
        <v>0</v>
      </c>
      <c r="N40" s="257">
        <v>0</v>
      </c>
      <c r="O40" s="257">
        <v>0</v>
      </c>
      <c r="P40" s="258">
        <v>3540.49</v>
      </c>
      <c r="Q40" s="258">
        <v>20399.95</v>
      </c>
    </row>
    <row r="41" spans="1:17" hidden="1">
      <c r="A41" s="256" t="s">
        <v>685</v>
      </c>
      <c r="B41" s="256" t="s">
        <v>665</v>
      </c>
      <c r="C41" s="257">
        <v>3</v>
      </c>
      <c r="D41" s="257">
        <v>986</v>
      </c>
      <c r="E41" s="256"/>
      <c r="F41" s="257">
        <v>74379527477577</v>
      </c>
      <c r="G41" s="256" t="s">
        <v>7</v>
      </c>
      <c r="H41" s="260">
        <v>20216451679</v>
      </c>
      <c r="I41" s="256" t="s">
        <v>477</v>
      </c>
      <c r="J41" s="257">
        <v>1</v>
      </c>
      <c r="K41" s="256" t="s">
        <v>656</v>
      </c>
      <c r="L41" s="256"/>
      <c r="M41" s="256"/>
      <c r="N41" s="256"/>
      <c r="O41" s="257">
        <v>0</v>
      </c>
      <c r="P41" s="256"/>
      <c r="Q41" s="257">
        <v>86000</v>
      </c>
    </row>
    <row r="42" spans="1:17" hidden="1">
      <c r="A42" s="256" t="s">
        <v>690</v>
      </c>
      <c r="B42" s="256" t="s">
        <v>654</v>
      </c>
      <c r="C42" s="257">
        <v>1</v>
      </c>
      <c r="D42" s="257">
        <v>2468</v>
      </c>
      <c r="E42" s="256"/>
      <c r="F42" s="257">
        <v>74379681409704</v>
      </c>
      <c r="G42" s="256" t="s">
        <v>7</v>
      </c>
      <c r="H42" s="260">
        <v>30717179389</v>
      </c>
      <c r="I42" s="256" t="s">
        <v>691</v>
      </c>
      <c r="J42" s="257">
        <v>1</v>
      </c>
      <c r="K42" s="256" t="s">
        <v>656</v>
      </c>
      <c r="L42" s="258">
        <v>82644.62</v>
      </c>
      <c r="M42" s="257">
        <v>0</v>
      </c>
      <c r="N42" s="257">
        <v>0</v>
      </c>
      <c r="O42" s="257">
        <v>0</v>
      </c>
      <c r="P42" s="258">
        <v>17355.37</v>
      </c>
      <c r="Q42" s="258">
        <v>99999.99</v>
      </c>
    </row>
    <row r="43" spans="1:17">
      <c r="A43" s="281" t="s">
        <v>690</v>
      </c>
      <c r="B43" s="281" t="s">
        <v>654</v>
      </c>
      <c r="C43" s="282">
        <v>5</v>
      </c>
      <c r="D43" s="282">
        <v>3378</v>
      </c>
      <c r="E43" s="281"/>
      <c r="F43" s="282">
        <v>74379704726153</v>
      </c>
      <c r="G43" s="281" t="s">
        <v>7</v>
      </c>
      <c r="H43" s="282">
        <v>30717179389</v>
      </c>
      <c r="I43" s="281" t="s">
        <v>691</v>
      </c>
      <c r="J43" s="282">
        <v>1</v>
      </c>
      <c r="K43" s="281" t="s">
        <v>656</v>
      </c>
      <c r="L43" s="283">
        <v>82644.63</v>
      </c>
      <c r="M43" s="257">
        <v>0</v>
      </c>
      <c r="N43" s="257">
        <v>0</v>
      </c>
      <c r="O43" s="257">
        <v>0</v>
      </c>
      <c r="P43" s="258">
        <v>17355.37</v>
      </c>
      <c r="Q43" s="257">
        <v>100000</v>
      </c>
    </row>
    <row r="44" spans="1:17" hidden="1">
      <c r="A44" s="256" t="s">
        <v>690</v>
      </c>
      <c r="B44" s="256" t="s">
        <v>654</v>
      </c>
      <c r="C44" s="257">
        <v>3</v>
      </c>
      <c r="D44" s="257">
        <v>7676</v>
      </c>
      <c r="E44" s="256"/>
      <c r="F44" s="257">
        <v>74379686794320</v>
      </c>
      <c r="G44" s="256" t="s">
        <v>7</v>
      </c>
      <c r="H44" s="260">
        <v>33708218699</v>
      </c>
      <c r="I44" s="256" t="s">
        <v>692</v>
      </c>
      <c r="J44" s="257">
        <v>1</v>
      </c>
      <c r="K44" s="256" t="s">
        <v>656</v>
      </c>
      <c r="L44" s="257">
        <v>15000</v>
      </c>
      <c r="M44" s="257">
        <v>0</v>
      </c>
      <c r="N44" s="257">
        <v>0</v>
      </c>
      <c r="O44" s="257">
        <v>0</v>
      </c>
      <c r="P44" s="257">
        <v>3150</v>
      </c>
      <c r="Q44" s="257">
        <v>18150</v>
      </c>
    </row>
    <row r="45" spans="1:17" hidden="1">
      <c r="A45" s="256" t="s">
        <v>690</v>
      </c>
      <c r="B45" s="256" t="s">
        <v>665</v>
      </c>
      <c r="C45" s="257">
        <v>1</v>
      </c>
      <c r="D45" s="257">
        <v>9</v>
      </c>
      <c r="E45" s="256"/>
      <c r="F45" s="257">
        <v>74373677716509</v>
      </c>
      <c r="G45" s="256" t="s">
        <v>7</v>
      </c>
      <c r="H45" s="260">
        <v>20464199633</v>
      </c>
      <c r="I45" s="256" t="s">
        <v>693</v>
      </c>
      <c r="J45" s="257">
        <v>1</v>
      </c>
      <c r="K45" s="256" t="s">
        <v>656</v>
      </c>
      <c r="L45" s="256"/>
      <c r="M45" s="256"/>
      <c r="N45" s="256"/>
      <c r="O45" s="257">
        <v>0</v>
      </c>
      <c r="P45" s="256"/>
      <c r="Q45" s="257">
        <v>499950</v>
      </c>
    </row>
    <row r="46" spans="1:17" hidden="1">
      <c r="A46" s="256" t="s">
        <v>694</v>
      </c>
      <c r="B46" s="256" t="s">
        <v>654</v>
      </c>
      <c r="C46" s="257">
        <v>2</v>
      </c>
      <c r="D46" s="257">
        <v>778</v>
      </c>
      <c r="E46" s="256"/>
      <c r="F46" s="257">
        <v>74379814460759</v>
      </c>
      <c r="G46" s="256" t="s">
        <v>7</v>
      </c>
      <c r="H46" s="260">
        <v>20272865869</v>
      </c>
      <c r="I46" s="256" t="s">
        <v>625</v>
      </c>
      <c r="J46" s="257">
        <v>1</v>
      </c>
      <c r="K46" s="256" t="s">
        <v>656</v>
      </c>
      <c r="L46" s="257">
        <v>128100</v>
      </c>
      <c r="M46" s="257">
        <v>0</v>
      </c>
      <c r="N46" s="257">
        <v>0</v>
      </c>
      <c r="O46" s="257">
        <v>0</v>
      </c>
      <c r="P46" s="257">
        <v>26901</v>
      </c>
      <c r="Q46" s="257">
        <v>155001</v>
      </c>
    </row>
    <row r="47" spans="1:17" hidden="1">
      <c r="A47" s="256" t="s">
        <v>694</v>
      </c>
      <c r="B47" s="256" t="s">
        <v>654</v>
      </c>
      <c r="C47" s="257">
        <v>4</v>
      </c>
      <c r="D47" s="257">
        <v>38394</v>
      </c>
      <c r="E47" s="256"/>
      <c r="F47" s="257">
        <v>74379814609856</v>
      </c>
      <c r="G47" s="256" t="s">
        <v>7</v>
      </c>
      <c r="H47" s="260">
        <v>20289111329</v>
      </c>
      <c r="I47" s="256" t="s">
        <v>695</v>
      </c>
      <c r="J47" s="257">
        <v>1</v>
      </c>
      <c r="K47" s="256" t="s">
        <v>656</v>
      </c>
      <c r="L47" s="256">
        <v>585730.80000000005</v>
      </c>
      <c r="M47" s="257">
        <v>0</v>
      </c>
      <c r="N47" s="257">
        <v>0</v>
      </c>
      <c r="O47" s="257">
        <v>0</v>
      </c>
      <c r="P47" s="258">
        <v>123003.47</v>
      </c>
      <c r="Q47" s="258">
        <v>708734.27</v>
      </c>
    </row>
    <row r="48" spans="1:17" hidden="1">
      <c r="A48" s="256" t="s">
        <v>694</v>
      </c>
      <c r="B48" s="256" t="s">
        <v>654</v>
      </c>
      <c r="C48" s="257">
        <v>5</v>
      </c>
      <c r="D48" s="257">
        <v>1915</v>
      </c>
      <c r="E48" s="256"/>
      <c r="F48" s="257">
        <v>74376761404173</v>
      </c>
      <c r="G48" s="256" t="s">
        <v>7</v>
      </c>
      <c r="H48" s="260">
        <v>30712187316</v>
      </c>
      <c r="I48" s="256" t="s">
        <v>68</v>
      </c>
      <c r="J48" s="257">
        <v>1</v>
      </c>
      <c r="K48" s="256" t="s">
        <v>656</v>
      </c>
      <c r="L48" s="258">
        <v>254033.05</v>
      </c>
      <c r="M48" s="257">
        <v>0</v>
      </c>
      <c r="N48" s="257">
        <v>0</v>
      </c>
      <c r="O48" s="257">
        <v>0</v>
      </c>
      <c r="P48" s="258">
        <v>53346.94</v>
      </c>
      <c r="Q48" s="258">
        <v>307379.99</v>
      </c>
    </row>
    <row r="49" spans="1:17" hidden="1">
      <c r="A49" s="256" t="s">
        <v>694</v>
      </c>
      <c r="B49" s="256" t="s">
        <v>654</v>
      </c>
      <c r="C49" s="257">
        <v>5</v>
      </c>
      <c r="D49" s="257">
        <v>1916</v>
      </c>
      <c r="E49" s="256"/>
      <c r="F49" s="257">
        <v>74376766353942</v>
      </c>
      <c r="G49" s="256" t="s">
        <v>7</v>
      </c>
      <c r="H49" s="260">
        <v>30712187316</v>
      </c>
      <c r="I49" s="256" t="s">
        <v>68</v>
      </c>
      <c r="J49" s="257">
        <v>1</v>
      </c>
      <c r="K49" s="256" t="s">
        <v>656</v>
      </c>
      <c r="L49" s="258">
        <v>472751.65</v>
      </c>
      <c r="M49" s="257">
        <v>0</v>
      </c>
      <c r="N49" s="257">
        <v>0</v>
      </c>
      <c r="O49" s="257">
        <v>0</v>
      </c>
      <c r="P49" s="258">
        <v>99277.85</v>
      </c>
      <c r="Q49" s="256">
        <v>572029.5</v>
      </c>
    </row>
    <row r="50" spans="1:17" hidden="1">
      <c r="A50" s="256" t="s">
        <v>696</v>
      </c>
      <c r="B50" s="256" t="s">
        <v>654</v>
      </c>
      <c r="C50" s="257">
        <v>1</v>
      </c>
      <c r="D50" s="257">
        <v>4620</v>
      </c>
      <c r="E50" s="256"/>
      <c r="F50" s="257">
        <v>74371942773283</v>
      </c>
      <c r="G50" s="256" t="s">
        <v>7</v>
      </c>
      <c r="H50" s="260">
        <v>30715141201</v>
      </c>
      <c r="I50" s="256" t="s">
        <v>659</v>
      </c>
      <c r="J50" s="257">
        <v>1</v>
      </c>
      <c r="K50" s="256" t="s">
        <v>656</v>
      </c>
      <c r="L50" s="257">
        <v>29295</v>
      </c>
      <c r="M50" s="257">
        <v>0</v>
      </c>
      <c r="N50" s="257">
        <v>0</v>
      </c>
      <c r="O50" s="257">
        <v>0</v>
      </c>
      <c r="P50" s="258">
        <v>6151.95</v>
      </c>
      <c r="Q50" s="258">
        <v>35446.949999999997</v>
      </c>
    </row>
    <row r="51" spans="1:17" hidden="1">
      <c r="A51" s="256" t="s">
        <v>696</v>
      </c>
      <c r="B51" s="256" t="s">
        <v>654</v>
      </c>
      <c r="C51" s="257">
        <v>5</v>
      </c>
      <c r="D51" s="257">
        <v>1920</v>
      </c>
      <c r="E51" s="256"/>
      <c r="F51" s="257">
        <v>74376932362480</v>
      </c>
      <c r="G51" s="256" t="s">
        <v>7</v>
      </c>
      <c r="H51" s="260">
        <v>30712187316</v>
      </c>
      <c r="I51" s="256" t="s">
        <v>68</v>
      </c>
      <c r="J51" s="257">
        <v>1</v>
      </c>
      <c r="K51" s="256" t="s">
        <v>656</v>
      </c>
      <c r="L51" s="256">
        <v>34718.6</v>
      </c>
      <c r="M51" s="257">
        <v>0</v>
      </c>
      <c r="N51" s="257">
        <v>0</v>
      </c>
      <c r="O51" s="257">
        <v>0</v>
      </c>
      <c r="P51" s="258">
        <v>7290.91</v>
      </c>
      <c r="Q51" s="258">
        <v>42009.51</v>
      </c>
    </row>
    <row r="52" spans="1:17" hidden="1">
      <c r="A52" s="256" t="s">
        <v>696</v>
      </c>
      <c r="B52" s="256" t="s">
        <v>654</v>
      </c>
      <c r="C52" s="257">
        <v>2</v>
      </c>
      <c r="D52" s="257">
        <v>783</v>
      </c>
      <c r="E52" s="256"/>
      <c r="F52" s="257">
        <v>74379875047216</v>
      </c>
      <c r="G52" s="256" t="s">
        <v>7</v>
      </c>
      <c r="H52" s="260">
        <v>20272865869</v>
      </c>
      <c r="I52" s="256" t="s">
        <v>625</v>
      </c>
      <c r="J52" s="257">
        <v>1</v>
      </c>
      <c r="K52" s="256" t="s">
        <v>656</v>
      </c>
      <c r="L52" s="257">
        <v>9950</v>
      </c>
      <c r="M52" s="257">
        <v>0</v>
      </c>
      <c r="N52" s="257">
        <v>0</v>
      </c>
      <c r="O52" s="257">
        <v>0</v>
      </c>
      <c r="P52" s="256">
        <v>2089.5</v>
      </c>
      <c r="Q52" s="256">
        <v>12039.5</v>
      </c>
    </row>
    <row r="53" spans="1:17" hidden="1">
      <c r="A53" s="256" t="s">
        <v>696</v>
      </c>
      <c r="B53" s="256" t="s">
        <v>654</v>
      </c>
      <c r="C53" s="257">
        <v>1</v>
      </c>
      <c r="D53" s="257">
        <v>4613</v>
      </c>
      <c r="E53" s="256"/>
      <c r="F53" s="257">
        <v>74371932408480</v>
      </c>
      <c r="G53" s="256" t="s">
        <v>7</v>
      </c>
      <c r="H53" s="260">
        <v>30715141201</v>
      </c>
      <c r="I53" s="256" t="s">
        <v>659</v>
      </c>
      <c r="J53" s="257">
        <v>1</v>
      </c>
      <c r="K53" s="256" t="s">
        <v>656</v>
      </c>
      <c r="L53" s="256">
        <v>3648847.5</v>
      </c>
      <c r="M53" s="257">
        <v>0</v>
      </c>
      <c r="N53" s="257">
        <v>0</v>
      </c>
      <c r="O53" s="257">
        <v>0</v>
      </c>
      <c r="P53" s="258">
        <v>766257.98</v>
      </c>
      <c r="Q53" s="258">
        <v>4415105.4800000004</v>
      </c>
    </row>
    <row r="54" spans="1:17">
      <c r="A54" s="281" t="s">
        <v>696</v>
      </c>
      <c r="B54" s="281" t="s">
        <v>654</v>
      </c>
      <c r="C54" s="282">
        <v>503</v>
      </c>
      <c r="D54" s="282">
        <v>1469491</v>
      </c>
      <c r="E54" s="281"/>
      <c r="F54" s="282">
        <v>74372992481197</v>
      </c>
      <c r="G54" s="281" t="s">
        <v>7</v>
      </c>
      <c r="H54" s="282">
        <v>30639935872</v>
      </c>
      <c r="I54" s="281" t="s">
        <v>697</v>
      </c>
      <c r="J54" s="282">
        <v>1</v>
      </c>
      <c r="K54" s="256" t="s">
        <v>656</v>
      </c>
      <c r="L54" s="258">
        <v>2934.75</v>
      </c>
      <c r="M54" s="257">
        <v>0</v>
      </c>
      <c r="N54" s="257">
        <v>0</v>
      </c>
      <c r="O54" s="257">
        <v>0</v>
      </c>
      <c r="P54" s="256">
        <v>616.29999999999995</v>
      </c>
      <c r="Q54" s="258">
        <v>3697.79</v>
      </c>
    </row>
    <row r="55" spans="1:17" hidden="1">
      <c r="A55" s="256" t="s">
        <v>696</v>
      </c>
      <c r="B55" s="256" t="s">
        <v>654</v>
      </c>
      <c r="C55" s="257">
        <v>2</v>
      </c>
      <c r="D55" s="257">
        <v>4940</v>
      </c>
      <c r="E55" s="256"/>
      <c r="F55" s="257">
        <v>74375873241825</v>
      </c>
      <c r="G55" s="256" t="s">
        <v>7</v>
      </c>
      <c r="H55" s="260">
        <v>27117233745</v>
      </c>
      <c r="I55" s="256" t="s">
        <v>698</v>
      </c>
      <c r="J55" s="257">
        <v>1</v>
      </c>
      <c r="K55" s="256" t="s">
        <v>656</v>
      </c>
      <c r="L55" s="257">
        <v>585519</v>
      </c>
      <c r="M55" s="257">
        <v>0</v>
      </c>
      <c r="N55" s="257">
        <v>0</v>
      </c>
      <c r="O55" s="257">
        <v>0</v>
      </c>
      <c r="P55" s="258">
        <v>122958.99</v>
      </c>
      <c r="Q55" s="258">
        <v>708477.99</v>
      </c>
    </row>
    <row r="56" spans="1:17" hidden="1">
      <c r="A56" s="256" t="s">
        <v>696</v>
      </c>
      <c r="B56" s="256" t="s">
        <v>654</v>
      </c>
      <c r="C56" s="257">
        <v>3</v>
      </c>
      <c r="D56" s="257">
        <v>170</v>
      </c>
      <c r="E56" s="256"/>
      <c r="F56" s="257">
        <v>74383333330765</v>
      </c>
      <c r="G56" s="256" t="s">
        <v>7</v>
      </c>
      <c r="H56" s="260">
        <v>20334976433</v>
      </c>
      <c r="I56" s="256" t="s">
        <v>498</v>
      </c>
      <c r="J56" s="257">
        <v>1</v>
      </c>
      <c r="K56" s="256" t="s">
        <v>656</v>
      </c>
      <c r="L56" s="257">
        <v>188330</v>
      </c>
      <c r="M56" s="257">
        <v>0</v>
      </c>
      <c r="N56" s="257">
        <v>0</v>
      </c>
      <c r="O56" s="257">
        <v>0</v>
      </c>
      <c r="P56" s="256">
        <v>39549.300000000003</v>
      </c>
      <c r="Q56" s="256">
        <v>227879.3</v>
      </c>
    </row>
    <row r="57" spans="1:17" hidden="1">
      <c r="A57" s="256" t="s">
        <v>696</v>
      </c>
      <c r="B57" s="256" t="s">
        <v>654</v>
      </c>
      <c r="C57" s="257">
        <v>3</v>
      </c>
      <c r="D57" s="257">
        <v>171</v>
      </c>
      <c r="E57" s="256"/>
      <c r="F57" s="257">
        <v>74383357920263</v>
      </c>
      <c r="G57" s="256" t="s">
        <v>7</v>
      </c>
      <c r="H57" s="260">
        <v>20334976433</v>
      </c>
      <c r="I57" s="256" t="s">
        <v>498</v>
      </c>
      <c r="J57" s="257">
        <v>1</v>
      </c>
      <c r="K57" s="256" t="s">
        <v>656</v>
      </c>
      <c r="L57" s="257">
        <v>153000</v>
      </c>
      <c r="M57" s="257">
        <v>0</v>
      </c>
      <c r="N57" s="257">
        <v>0</v>
      </c>
      <c r="O57" s="257">
        <v>0</v>
      </c>
      <c r="P57" s="257">
        <v>32130</v>
      </c>
      <c r="Q57" s="257">
        <v>185130</v>
      </c>
    </row>
    <row r="58" spans="1:17" hidden="1">
      <c r="A58" s="256" t="s">
        <v>696</v>
      </c>
      <c r="B58" s="256" t="s">
        <v>676</v>
      </c>
      <c r="C58" s="257">
        <v>3</v>
      </c>
      <c r="D58" s="257">
        <v>17</v>
      </c>
      <c r="E58" s="256"/>
      <c r="F58" s="257">
        <v>74383351889267</v>
      </c>
      <c r="G58" s="256" t="s">
        <v>7</v>
      </c>
      <c r="H58" s="260">
        <v>20334976433</v>
      </c>
      <c r="I58" s="256" t="s">
        <v>498</v>
      </c>
      <c r="J58" s="257">
        <v>1</v>
      </c>
      <c r="K58" s="256" t="s">
        <v>656</v>
      </c>
      <c r="L58" s="257">
        <v>188330</v>
      </c>
      <c r="M58" s="257">
        <v>0</v>
      </c>
      <c r="N58" s="257">
        <v>0</v>
      </c>
      <c r="O58" s="257">
        <v>0</v>
      </c>
      <c r="P58" s="256">
        <v>39549.300000000003</v>
      </c>
      <c r="Q58" s="256">
        <v>227879.3</v>
      </c>
    </row>
    <row r="59" spans="1:17">
      <c r="A59" s="281" t="s">
        <v>699</v>
      </c>
      <c r="B59" s="281" t="s">
        <v>654</v>
      </c>
      <c r="C59" s="282">
        <v>104</v>
      </c>
      <c r="D59" s="282">
        <v>6699395</v>
      </c>
      <c r="E59" s="281"/>
      <c r="F59" s="282">
        <v>74372033897848</v>
      </c>
      <c r="G59" s="281" t="s">
        <v>7</v>
      </c>
      <c r="H59" s="282">
        <v>30715804812</v>
      </c>
      <c r="I59" s="281" t="s">
        <v>679</v>
      </c>
      <c r="J59" s="257">
        <v>1</v>
      </c>
      <c r="K59" s="256" t="s">
        <v>656</v>
      </c>
      <c r="L59" s="256">
        <v>1675.3</v>
      </c>
      <c r="M59" s="257">
        <v>0</v>
      </c>
      <c r="N59" s="257">
        <v>0</v>
      </c>
      <c r="O59" s="257">
        <v>0</v>
      </c>
      <c r="P59" s="258">
        <v>351.81</v>
      </c>
      <c r="Q59" s="258">
        <v>2110.88</v>
      </c>
    </row>
    <row r="60" spans="1:17">
      <c r="A60" s="281" t="s">
        <v>700</v>
      </c>
      <c r="B60" s="281" t="s">
        <v>654</v>
      </c>
      <c r="C60" s="282">
        <v>113</v>
      </c>
      <c r="D60" s="282">
        <v>3802250</v>
      </c>
      <c r="E60" s="281"/>
      <c r="F60" s="282">
        <v>74380483594334</v>
      </c>
      <c r="G60" s="281" t="s">
        <v>7</v>
      </c>
      <c r="H60" s="282">
        <v>30577207190</v>
      </c>
      <c r="I60" s="281" t="s">
        <v>701</v>
      </c>
      <c r="J60" s="282">
        <v>1</v>
      </c>
      <c r="K60" s="256" t="s">
        <v>656</v>
      </c>
      <c r="L60" s="258">
        <v>2975.21</v>
      </c>
      <c r="M60" s="257">
        <v>0</v>
      </c>
      <c r="N60" s="257">
        <v>0</v>
      </c>
      <c r="O60" s="257">
        <v>0</v>
      </c>
      <c r="P60" s="258">
        <v>624.79</v>
      </c>
      <c r="Q60" s="258">
        <v>3689.26</v>
      </c>
    </row>
    <row r="61" spans="1:17">
      <c r="A61" s="281" t="s">
        <v>700</v>
      </c>
      <c r="B61" s="281" t="s">
        <v>665</v>
      </c>
      <c r="C61" s="282">
        <v>5</v>
      </c>
      <c r="D61" s="282">
        <v>168</v>
      </c>
      <c r="E61" s="281"/>
      <c r="F61" s="282">
        <v>74379160231271</v>
      </c>
      <c r="G61" s="281" t="s">
        <v>7</v>
      </c>
      <c r="H61" s="282">
        <v>27062343449</v>
      </c>
      <c r="I61" s="281" t="s">
        <v>404</v>
      </c>
      <c r="J61" s="257">
        <v>1</v>
      </c>
      <c r="K61" s="256" t="s">
        <v>656</v>
      </c>
      <c r="L61" s="256"/>
      <c r="M61" s="256"/>
      <c r="N61" s="256"/>
      <c r="O61" s="257">
        <v>0</v>
      </c>
      <c r="P61" s="256"/>
      <c r="Q61" s="257">
        <v>260000</v>
      </c>
    </row>
    <row r="62" spans="1:17">
      <c r="A62" s="281" t="s">
        <v>700</v>
      </c>
      <c r="B62" s="281" t="s">
        <v>665</v>
      </c>
      <c r="C62" s="282">
        <v>5</v>
      </c>
      <c r="D62" s="282">
        <v>169</v>
      </c>
      <c r="E62" s="281"/>
      <c r="F62" s="282">
        <v>74379160368355</v>
      </c>
      <c r="G62" s="281" t="s">
        <v>7</v>
      </c>
      <c r="H62" s="282">
        <v>27062343449</v>
      </c>
      <c r="I62" s="281" t="s">
        <v>404</v>
      </c>
      <c r="J62" s="257">
        <v>1</v>
      </c>
      <c r="K62" s="256" t="s">
        <v>656</v>
      </c>
      <c r="L62" s="256"/>
      <c r="M62" s="256"/>
      <c r="N62" s="256"/>
      <c r="O62" s="257">
        <v>0</v>
      </c>
      <c r="P62" s="256"/>
      <c r="Q62" s="257">
        <v>35000</v>
      </c>
    </row>
    <row r="63" spans="1:17" hidden="1">
      <c r="A63" s="256" t="s">
        <v>702</v>
      </c>
      <c r="B63" s="256" t="s">
        <v>654</v>
      </c>
      <c r="C63" s="257">
        <v>5015</v>
      </c>
      <c r="D63" s="257">
        <v>644558</v>
      </c>
      <c r="E63" s="256"/>
      <c r="F63" s="257">
        <v>74384236665042</v>
      </c>
      <c r="G63" s="256" t="s">
        <v>7</v>
      </c>
      <c r="H63" s="260">
        <v>30574876474</v>
      </c>
      <c r="I63" s="256" t="s">
        <v>681</v>
      </c>
      <c r="J63" s="257">
        <v>1</v>
      </c>
      <c r="K63" s="256" t="s">
        <v>656</v>
      </c>
      <c r="L63" s="258">
        <v>12702.19</v>
      </c>
      <c r="M63" s="257">
        <v>0</v>
      </c>
      <c r="N63" s="257">
        <v>0</v>
      </c>
      <c r="O63" s="257">
        <v>0</v>
      </c>
      <c r="P63" s="258">
        <v>2667.45</v>
      </c>
      <c r="Q63" s="258">
        <v>17020.919999999998</v>
      </c>
    </row>
    <row r="64" spans="1:17" hidden="1">
      <c r="A64" s="256" t="s">
        <v>702</v>
      </c>
      <c r="B64" s="256" t="s">
        <v>654</v>
      </c>
      <c r="C64" s="257">
        <v>6</v>
      </c>
      <c r="D64" s="257">
        <v>40318</v>
      </c>
      <c r="E64" s="256"/>
      <c r="F64" s="257">
        <v>74389250556652</v>
      </c>
      <c r="G64" s="256" t="s">
        <v>7</v>
      </c>
      <c r="H64" s="260">
        <v>30709459399</v>
      </c>
      <c r="I64" s="256" t="s">
        <v>703</v>
      </c>
      <c r="J64" s="257">
        <v>1</v>
      </c>
      <c r="K64" s="256" t="s">
        <v>656</v>
      </c>
      <c r="L64" s="258">
        <v>11807.44</v>
      </c>
      <c r="M64" s="257">
        <v>0</v>
      </c>
      <c r="N64" s="257">
        <v>0</v>
      </c>
      <c r="O64" s="257">
        <v>0</v>
      </c>
      <c r="P64" s="258">
        <v>2479.56</v>
      </c>
      <c r="Q64" s="257">
        <v>14287</v>
      </c>
    </row>
    <row r="65" spans="1:17" hidden="1">
      <c r="A65" s="256" t="s">
        <v>702</v>
      </c>
      <c r="B65" s="256" t="s">
        <v>654</v>
      </c>
      <c r="C65" s="257">
        <v>2002</v>
      </c>
      <c r="D65" s="257">
        <v>72231</v>
      </c>
      <c r="E65" s="256"/>
      <c r="F65" s="257">
        <v>74385199526054</v>
      </c>
      <c r="G65" s="256" t="s">
        <v>7</v>
      </c>
      <c r="H65" s="260">
        <v>30716425165</v>
      </c>
      <c r="I65" s="256" t="s">
        <v>704</v>
      </c>
      <c r="J65" s="257">
        <v>1</v>
      </c>
      <c r="K65" s="256" t="s">
        <v>656</v>
      </c>
      <c r="L65" s="258">
        <v>13842.98</v>
      </c>
      <c r="M65" s="257">
        <v>0</v>
      </c>
      <c r="N65" s="257">
        <v>0</v>
      </c>
      <c r="O65" s="257">
        <v>0</v>
      </c>
      <c r="P65" s="258">
        <v>2907.03</v>
      </c>
      <c r="Q65" s="257">
        <v>16750</v>
      </c>
    </row>
    <row r="66" spans="1:17" hidden="1">
      <c r="A66" s="256" t="s">
        <v>702</v>
      </c>
      <c r="B66" s="256" t="s">
        <v>654</v>
      </c>
      <c r="C66" s="257">
        <v>2</v>
      </c>
      <c r="D66" s="257">
        <v>249</v>
      </c>
      <c r="E66" s="256"/>
      <c r="F66" s="257">
        <v>74383195124025</v>
      </c>
      <c r="G66" s="256" t="s">
        <v>7</v>
      </c>
      <c r="H66" s="260">
        <v>27144282383</v>
      </c>
      <c r="I66" s="256" t="s">
        <v>663</v>
      </c>
      <c r="J66" s="257">
        <v>1</v>
      </c>
      <c r="K66" s="256" t="s">
        <v>656</v>
      </c>
      <c r="L66" s="257">
        <v>320000</v>
      </c>
      <c r="M66" s="257">
        <v>0</v>
      </c>
      <c r="N66" s="257">
        <v>0</v>
      </c>
      <c r="O66" s="257">
        <v>0</v>
      </c>
      <c r="P66" s="257">
        <v>67200</v>
      </c>
      <c r="Q66" s="257">
        <v>387200</v>
      </c>
    </row>
    <row r="67" spans="1:17" hidden="1">
      <c r="A67" s="256" t="s">
        <v>705</v>
      </c>
      <c r="B67" s="256" t="s">
        <v>654</v>
      </c>
      <c r="C67" s="257">
        <v>7</v>
      </c>
      <c r="D67" s="257">
        <v>524</v>
      </c>
      <c r="E67" s="256"/>
      <c r="F67" s="257">
        <v>74380369713013</v>
      </c>
      <c r="G67" s="256" t="s">
        <v>7</v>
      </c>
      <c r="H67" s="260">
        <v>30715630040</v>
      </c>
      <c r="I67" s="256" t="s">
        <v>706</v>
      </c>
      <c r="J67" s="257">
        <v>1</v>
      </c>
      <c r="K67" s="256" t="s">
        <v>656</v>
      </c>
      <c r="L67" s="258">
        <v>3517469.42</v>
      </c>
      <c r="M67" s="257">
        <v>0</v>
      </c>
      <c r="N67" s="257">
        <v>0</v>
      </c>
      <c r="O67" s="257">
        <v>0</v>
      </c>
      <c r="P67" s="258">
        <v>738668.58</v>
      </c>
      <c r="Q67" s="257">
        <v>4256138</v>
      </c>
    </row>
    <row r="68" spans="1:17" hidden="1">
      <c r="A68" s="256" t="s">
        <v>705</v>
      </c>
      <c r="B68" s="256" t="s">
        <v>654</v>
      </c>
      <c r="C68" s="257">
        <v>711</v>
      </c>
      <c r="D68" s="257">
        <v>6155254</v>
      </c>
      <c r="E68" s="256"/>
      <c r="F68" s="257">
        <v>34379169789485</v>
      </c>
      <c r="G68" s="256" t="s">
        <v>7</v>
      </c>
      <c r="H68" s="260">
        <v>30677237119</v>
      </c>
      <c r="I68" s="256" t="s">
        <v>668</v>
      </c>
      <c r="J68" s="257">
        <v>1</v>
      </c>
      <c r="K68" s="256" t="s">
        <v>656</v>
      </c>
      <c r="L68" s="256">
        <v>5515.3</v>
      </c>
      <c r="M68" s="257">
        <v>0</v>
      </c>
      <c r="N68" s="258">
        <v>165.46</v>
      </c>
      <c r="O68" s="257">
        <v>0</v>
      </c>
      <c r="P68" s="258">
        <v>1158.23</v>
      </c>
      <c r="Q68" s="258">
        <v>7114.76</v>
      </c>
    </row>
    <row r="69" spans="1:17" hidden="1">
      <c r="A69" s="256" t="s">
        <v>705</v>
      </c>
      <c r="B69" s="256" t="s">
        <v>654</v>
      </c>
      <c r="C69" s="257">
        <v>629</v>
      </c>
      <c r="D69" s="257">
        <v>5447412</v>
      </c>
      <c r="E69" s="256"/>
      <c r="F69" s="257">
        <v>34373728816629</v>
      </c>
      <c r="G69" s="256" t="s">
        <v>7</v>
      </c>
      <c r="H69" s="260">
        <v>30663498513</v>
      </c>
      <c r="I69" s="256" t="s">
        <v>667</v>
      </c>
      <c r="J69" s="257">
        <v>1</v>
      </c>
      <c r="K69" s="256" t="s">
        <v>656</v>
      </c>
      <c r="L69" s="258">
        <v>3440.74</v>
      </c>
      <c r="M69" s="257">
        <v>0</v>
      </c>
      <c r="N69" s="257">
        <v>0</v>
      </c>
      <c r="O69" s="257">
        <v>0</v>
      </c>
      <c r="P69" s="258">
        <v>722.56</v>
      </c>
      <c r="Q69" s="258">
        <v>4335.34</v>
      </c>
    </row>
    <row r="70" spans="1:17" hidden="1">
      <c r="A70" s="256" t="s">
        <v>705</v>
      </c>
      <c r="B70" s="256" t="s">
        <v>654</v>
      </c>
      <c r="C70" s="257">
        <v>4264</v>
      </c>
      <c r="D70" s="257">
        <v>4388001</v>
      </c>
      <c r="E70" s="256"/>
      <c r="F70" s="257">
        <v>74388498673820</v>
      </c>
      <c r="G70" s="256" t="s">
        <v>7</v>
      </c>
      <c r="H70" s="260">
        <v>30639453738</v>
      </c>
      <c r="I70" s="256" t="s">
        <v>707</v>
      </c>
      <c r="J70" s="257">
        <v>1</v>
      </c>
      <c r="K70" s="256" t="s">
        <v>656</v>
      </c>
      <c r="L70" s="258">
        <v>24142.14</v>
      </c>
      <c r="M70" s="257">
        <v>0</v>
      </c>
      <c r="N70" s="257">
        <v>0</v>
      </c>
      <c r="O70" s="257">
        <v>0</v>
      </c>
      <c r="P70" s="258">
        <v>5069.8500000000004</v>
      </c>
      <c r="Q70" s="258">
        <v>30901.93</v>
      </c>
    </row>
    <row r="71" spans="1:17" hidden="1">
      <c r="A71" s="256" t="s">
        <v>705</v>
      </c>
      <c r="B71" s="256" t="s">
        <v>665</v>
      </c>
      <c r="C71" s="257">
        <v>1</v>
      </c>
      <c r="D71" s="257">
        <v>248</v>
      </c>
      <c r="E71" s="256"/>
      <c r="F71" s="257">
        <v>74395443070489</v>
      </c>
      <c r="G71" s="256" t="s">
        <v>7</v>
      </c>
      <c r="H71" s="260">
        <v>27217606255</v>
      </c>
      <c r="I71" s="256" t="s">
        <v>359</v>
      </c>
      <c r="J71" s="257">
        <v>1</v>
      </c>
      <c r="K71" s="256" t="s">
        <v>656</v>
      </c>
      <c r="L71" s="256"/>
      <c r="M71" s="256"/>
      <c r="N71" s="256"/>
      <c r="O71" s="257">
        <v>0</v>
      </c>
      <c r="P71" s="256"/>
      <c r="Q71" s="258">
        <v>50223.03</v>
      </c>
    </row>
    <row r="72" spans="1:17" hidden="1">
      <c r="A72" s="256" t="s">
        <v>705</v>
      </c>
      <c r="B72" s="256" t="s">
        <v>665</v>
      </c>
      <c r="C72" s="257">
        <v>1</v>
      </c>
      <c r="D72" s="257">
        <v>247</v>
      </c>
      <c r="E72" s="256"/>
      <c r="F72" s="257">
        <v>74395442076201</v>
      </c>
      <c r="G72" s="256" t="s">
        <v>7</v>
      </c>
      <c r="H72" s="260">
        <v>27217606255</v>
      </c>
      <c r="I72" s="256" t="s">
        <v>359</v>
      </c>
      <c r="J72" s="257">
        <v>1</v>
      </c>
      <c r="K72" s="256" t="s">
        <v>656</v>
      </c>
      <c r="L72" s="256"/>
      <c r="M72" s="256"/>
      <c r="N72" s="256"/>
      <c r="O72" s="257">
        <v>0</v>
      </c>
      <c r="P72" s="256"/>
      <c r="Q72" s="258">
        <v>56703.42</v>
      </c>
    </row>
    <row r="73" spans="1:17" hidden="1">
      <c r="A73" s="256" t="s">
        <v>708</v>
      </c>
      <c r="B73" s="256" t="s">
        <v>654</v>
      </c>
      <c r="C73" s="257">
        <v>2</v>
      </c>
      <c r="D73" s="257">
        <v>4942</v>
      </c>
      <c r="E73" s="256"/>
      <c r="F73" s="257">
        <v>74385474906338</v>
      </c>
      <c r="G73" s="256" t="s">
        <v>7</v>
      </c>
      <c r="H73" s="260">
        <v>27117233745</v>
      </c>
      <c r="I73" s="256" t="s">
        <v>698</v>
      </c>
      <c r="J73" s="257">
        <v>1</v>
      </c>
      <c r="K73" s="256" t="s">
        <v>656</v>
      </c>
      <c r="L73" s="257">
        <v>585519</v>
      </c>
      <c r="M73" s="257">
        <v>0</v>
      </c>
      <c r="N73" s="257">
        <v>0</v>
      </c>
      <c r="O73" s="257">
        <v>0</v>
      </c>
      <c r="P73" s="258">
        <v>122958.99</v>
      </c>
      <c r="Q73" s="258">
        <v>708477.99</v>
      </c>
    </row>
    <row r="74" spans="1:17" hidden="1">
      <c r="A74" s="256" t="s">
        <v>708</v>
      </c>
      <c r="B74" s="256" t="s">
        <v>665</v>
      </c>
      <c r="C74" s="257">
        <v>1</v>
      </c>
      <c r="D74" s="257">
        <v>70</v>
      </c>
      <c r="E74" s="256"/>
      <c r="F74" s="257">
        <v>74384470115890</v>
      </c>
      <c r="G74" s="256" t="s">
        <v>7</v>
      </c>
      <c r="H74" s="260">
        <v>23281233084</v>
      </c>
      <c r="I74" s="256" t="s">
        <v>184</v>
      </c>
      <c r="J74" s="257">
        <v>1</v>
      </c>
      <c r="K74" s="256" t="s">
        <v>656</v>
      </c>
      <c r="L74" s="256"/>
      <c r="M74" s="256"/>
      <c r="N74" s="256"/>
      <c r="O74" s="257">
        <v>0</v>
      </c>
      <c r="P74" s="256"/>
      <c r="Q74" s="257">
        <v>215000</v>
      </c>
    </row>
    <row r="75" spans="1:17" hidden="1">
      <c r="A75" s="256" t="s">
        <v>708</v>
      </c>
      <c r="B75" s="256" t="s">
        <v>665</v>
      </c>
      <c r="C75" s="257">
        <v>1</v>
      </c>
      <c r="D75" s="257">
        <v>71</v>
      </c>
      <c r="E75" s="256"/>
      <c r="F75" s="257">
        <v>74384470845746</v>
      </c>
      <c r="G75" s="256" t="s">
        <v>7</v>
      </c>
      <c r="H75" s="260">
        <v>23281233084</v>
      </c>
      <c r="I75" s="256" t="s">
        <v>184</v>
      </c>
      <c r="J75" s="257">
        <v>1</v>
      </c>
      <c r="K75" s="256" t="s">
        <v>656</v>
      </c>
      <c r="L75" s="256"/>
      <c r="M75" s="256"/>
      <c r="N75" s="256"/>
      <c r="O75" s="257">
        <v>0</v>
      </c>
      <c r="P75" s="256"/>
      <c r="Q75" s="257">
        <v>215000</v>
      </c>
    </row>
    <row r="76" spans="1:17" hidden="1">
      <c r="A76" s="256" t="s">
        <v>708</v>
      </c>
      <c r="B76" s="256" t="s">
        <v>665</v>
      </c>
      <c r="C76" s="257">
        <v>1</v>
      </c>
      <c r="D76" s="257">
        <v>249</v>
      </c>
      <c r="E76" s="256"/>
      <c r="F76" s="257">
        <v>74395443331023</v>
      </c>
      <c r="G76" s="256" t="s">
        <v>7</v>
      </c>
      <c r="H76" s="260">
        <v>27217606255</v>
      </c>
      <c r="I76" s="256" t="s">
        <v>359</v>
      </c>
      <c r="J76" s="257">
        <v>1</v>
      </c>
      <c r="K76" s="256" t="s">
        <v>656</v>
      </c>
      <c r="L76" s="256"/>
      <c r="M76" s="256"/>
      <c r="N76" s="256"/>
      <c r="O76" s="257">
        <v>0</v>
      </c>
      <c r="P76" s="256"/>
      <c r="Q76" s="258">
        <v>55083.32</v>
      </c>
    </row>
    <row r="77" spans="1:17" hidden="1">
      <c r="A77" s="256" t="s">
        <v>708</v>
      </c>
      <c r="B77" s="256" t="s">
        <v>665</v>
      </c>
      <c r="C77" s="257">
        <v>1</v>
      </c>
      <c r="D77" s="257">
        <v>250</v>
      </c>
      <c r="E77" s="256"/>
      <c r="F77" s="257">
        <v>74395444517785</v>
      </c>
      <c r="G77" s="256" t="s">
        <v>7</v>
      </c>
      <c r="H77" s="260">
        <v>27217606255</v>
      </c>
      <c r="I77" s="256" t="s">
        <v>359</v>
      </c>
      <c r="J77" s="257">
        <v>1</v>
      </c>
      <c r="K77" s="256" t="s">
        <v>656</v>
      </c>
      <c r="L77" s="256"/>
      <c r="M77" s="256"/>
      <c r="N77" s="256"/>
      <c r="O77" s="257">
        <v>0</v>
      </c>
      <c r="P77" s="256"/>
      <c r="Q77" s="258">
        <v>148916.68</v>
      </c>
    </row>
    <row r="78" spans="1:17" hidden="1">
      <c r="A78" s="256" t="s">
        <v>709</v>
      </c>
      <c r="B78" s="256" t="s">
        <v>654</v>
      </c>
      <c r="C78" s="257">
        <v>2</v>
      </c>
      <c r="D78" s="257">
        <v>796</v>
      </c>
      <c r="E78" s="256"/>
      <c r="F78" s="257">
        <v>74389604255613</v>
      </c>
      <c r="G78" s="256" t="s">
        <v>7</v>
      </c>
      <c r="H78" s="260">
        <v>20272865869</v>
      </c>
      <c r="I78" s="256" t="s">
        <v>625</v>
      </c>
      <c r="J78" s="257">
        <v>1</v>
      </c>
      <c r="K78" s="256" t="s">
        <v>656</v>
      </c>
      <c r="L78" s="257">
        <v>253100</v>
      </c>
      <c r="M78" s="257">
        <v>0</v>
      </c>
      <c r="N78" s="257">
        <v>0</v>
      </c>
      <c r="O78" s="257">
        <v>0</v>
      </c>
      <c r="P78" s="257">
        <v>53151</v>
      </c>
      <c r="Q78" s="257">
        <v>306251</v>
      </c>
    </row>
    <row r="79" spans="1:17" hidden="1">
      <c r="A79" s="256" t="s">
        <v>709</v>
      </c>
      <c r="B79" s="256" t="s">
        <v>654</v>
      </c>
      <c r="C79" s="257">
        <v>7</v>
      </c>
      <c r="D79" s="257">
        <v>6066</v>
      </c>
      <c r="E79" s="256"/>
      <c r="F79" s="257">
        <v>74386569455318</v>
      </c>
      <c r="G79" s="256" t="s">
        <v>7</v>
      </c>
      <c r="H79" s="260">
        <v>20131067446</v>
      </c>
      <c r="I79" s="256" t="s">
        <v>417</v>
      </c>
      <c r="J79" s="257">
        <v>1</v>
      </c>
      <c r="K79" s="256" t="s">
        <v>656</v>
      </c>
      <c r="L79" s="256">
        <v>278865.59999999998</v>
      </c>
      <c r="M79" s="257">
        <v>0</v>
      </c>
      <c r="N79" s="257">
        <v>0</v>
      </c>
      <c r="O79" s="257">
        <v>0</v>
      </c>
      <c r="P79" s="258">
        <v>58561.78</v>
      </c>
      <c r="Q79" s="258">
        <v>337427.38</v>
      </c>
    </row>
    <row r="80" spans="1:17">
      <c r="A80" s="281" t="s">
        <v>709</v>
      </c>
      <c r="B80" s="281" t="s">
        <v>654</v>
      </c>
      <c r="C80" s="282">
        <v>11</v>
      </c>
      <c r="D80" s="282">
        <v>91964</v>
      </c>
      <c r="E80" s="281"/>
      <c r="F80" s="282">
        <v>74384582154669</v>
      </c>
      <c r="G80" s="281" t="s">
        <v>7</v>
      </c>
      <c r="H80" s="282">
        <v>30526582884</v>
      </c>
      <c r="I80" s="281" t="s">
        <v>710</v>
      </c>
      <c r="J80" s="257">
        <v>1</v>
      </c>
      <c r="K80" s="256" t="s">
        <v>656</v>
      </c>
      <c r="L80" s="258">
        <v>4462.8100000000004</v>
      </c>
      <c r="M80" s="257">
        <v>0</v>
      </c>
      <c r="N80" s="257">
        <v>0</v>
      </c>
      <c r="O80" s="257">
        <v>0</v>
      </c>
      <c r="P80" s="258">
        <v>937.19</v>
      </c>
      <c r="Q80" s="257">
        <v>5400</v>
      </c>
    </row>
    <row r="81" spans="1:17" hidden="1">
      <c r="A81" s="256" t="s">
        <v>709</v>
      </c>
      <c r="B81" s="256" t="s">
        <v>665</v>
      </c>
      <c r="C81" s="257">
        <v>3</v>
      </c>
      <c r="D81" s="257">
        <v>991</v>
      </c>
      <c r="E81" s="256"/>
      <c r="F81" s="257">
        <v>74389582435775</v>
      </c>
      <c r="G81" s="256" t="s">
        <v>7</v>
      </c>
      <c r="H81" s="260">
        <v>20216451679</v>
      </c>
      <c r="I81" s="256" t="s">
        <v>477</v>
      </c>
      <c r="J81" s="257">
        <v>1</v>
      </c>
      <c r="K81" s="256" t="s">
        <v>656</v>
      </c>
      <c r="L81" s="256"/>
      <c r="M81" s="256"/>
      <c r="N81" s="256"/>
      <c r="O81" s="257">
        <v>0</v>
      </c>
      <c r="P81" s="256"/>
      <c r="Q81" s="257">
        <v>160000</v>
      </c>
    </row>
    <row r="82" spans="1:17" hidden="1">
      <c r="A82" s="256" t="s">
        <v>709</v>
      </c>
      <c r="B82" s="256" t="s">
        <v>665</v>
      </c>
      <c r="C82" s="257">
        <v>1</v>
      </c>
      <c r="D82" s="257">
        <v>251</v>
      </c>
      <c r="E82" s="256"/>
      <c r="F82" s="257">
        <v>74395444759490</v>
      </c>
      <c r="G82" s="256" t="s">
        <v>7</v>
      </c>
      <c r="H82" s="260">
        <v>27217606255</v>
      </c>
      <c r="I82" s="256" t="s">
        <v>359</v>
      </c>
      <c r="J82" s="257">
        <v>1</v>
      </c>
      <c r="K82" s="256" t="s">
        <v>656</v>
      </c>
      <c r="L82" s="256"/>
      <c r="M82" s="256"/>
      <c r="N82" s="256"/>
      <c r="O82" s="257">
        <v>0</v>
      </c>
      <c r="P82" s="256"/>
      <c r="Q82" s="258">
        <v>96357.85</v>
      </c>
    </row>
    <row r="83" spans="1:17" hidden="1">
      <c r="A83" s="256" t="s">
        <v>709</v>
      </c>
      <c r="B83" s="256" t="s">
        <v>665</v>
      </c>
      <c r="C83" s="257">
        <v>1</v>
      </c>
      <c r="D83" s="257">
        <v>252</v>
      </c>
      <c r="E83" s="256"/>
      <c r="F83" s="257">
        <v>74395445013622</v>
      </c>
      <c r="G83" s="256" t="s">
        <v>7</v>
      </c>
      <c r="H83" s="260">
        <v>27217606255</v>
      </c>
      <c r="I83" s="256" t="s">
        <v>359</v>
      </c>
      <c r="J83" s="257">
        <v>1</v>
      </c>
      <c r="K83" s="256" t="s">
        <v>656</v>
      </c>
      <c r="L83" s="256"/>
      <c r="M83" s="256"/>
      <c r="N83" s="256"/>
      <c r="O83" s="257">
        <v>0</v>
      </c>
      <c r="P83" s="256"/>
      <c r="Q83" s="258">
        <v>105117.66</v>
      </c>
    </row>
    <row r="84" spans="1:17">
      <c r="A84" s="281" t="s">
        <v>711</v>
      </c>
      <c r="B84" s="281" t="s">
        <v>654</v>
      </c>
      <c r="C84" s="282">
        <v>2171</v>
      </c>
      <c r="D84" s="282">
        <v>6478</v>
      </c>
      <c r="E84" s="281"/>
      <c r="F84" s="282">
        <v>74386729481785</v>
      </c>
      <c r="G84" s="281" t="s">
        <v>7</v>
      </c>
      <c r="H84" s="282">
        <v>30548083156</v>
      </c>
      <c r="I84" s="281" t="s">
        <v>655</v>
      </c>
      <c r="J84" s="257">
        <v>1</v>
      </c>
      <c r="K84" s="256" t="s">
        <v>656</v>
      </c>
      <c r="L84" s="258">
        <v>4109.47</v>
      </c>
      <c r="M84" s="257">
        <v>0</v>
      </c>
      <c r="N84" s="257">
        <v>0</v>
      </c>
      <c r="O84" s="258">
        <v>328.75</v>
      </c>
      <c r="P84" s="258">
        <v>862.99</v>
      </c>
      <c r="Q84" s="258">
        <v>5301.21</v>
      </c>
    </row>
    <row r="85" spans="1:17" hidden="1">
      <c r="A85" s="256" t="s">
        <v>711</v>
      </c>
      <c r="B85" s="256" t="s">
        <v>654</v>
      </c>
      <c r="C85" s="257">
        <v>17</v>
      </c>
      <c r="D85" s="257">
        <v>2312</v>
      </c>
      <c r="E85" s="256"/>
      <c r="F85" s="257">
        <v>74381728297239</v>
      </c>
      <c r="G85" s="256" t="s">
        <v>7</v>
      </c>
      <c r="H85" s="260">
        <v>30711764921</v>
      </c>
      <c r="I85" s="256" t="s">
        <v>661</v>
      </c>
      <c r="J85" s="257">
        <v>1</v>
      </c>
      <c r="K85" s="256" t="s">
        <v>656</v>
      </c>
      <c r="L85" s="257">
        <v>21394</v>
      </c>
      <c r="M85" s="257">
        <v>0</v>
      </c>
      <c r="N85" s="257">
        <v>0</v>
      </c>
      <c r="O85" s="257">
        <v>0</v>
      </c>
      <c r="P85" s="258">
        <v>4492.74</v>
      </c>
      <c r="Q85" s="258">
        <v>25886.74</v>
      </c>
    </row>
    <row r="86" spans="1:17" hidden="1">
      <c r="A86" s="256" t="s">
        <v>711</v>
      </c>
      <c r="B86" s="256" t="s">
        <v>654</v>
      </c>
      <c r="C86" s="257">
        <v>5</v>
      </c>
      <c r="D86" s="257">
        <v>3877</v>
      </c>
      <c r="E86" s="256"/>
      <c r="F86" s="257">
        <v>74380716025151</v>
      </c>
      <c r="G86" s="256" t="s">
        <v>7</v>
      </c>
      <c r="H86" s="260">
        <v>20348485580</v>
      </c>
      <c r="I86" s="256" t="s">
        <v>712</v>
      </c>
      <c r="J86" s="257">
        <v>1</v>
      </c>
      <c r="K86" s="256" t="s">
        <v>656</v>
      </c>
      <c r="L86" s="258">
        <v>29099.82</v>
      </c>
      <c r="M86" s="257">
        <v>0</v>
      </c>
      <c r="N86" s="257">
        <v>0</v>
      </c>
      <c r="O86" s="257">
        <v>0</v>
      </c>
      <c r="P86" s="258">
        <v>6110.96</v>
      </c>
      <c r="Q86" s="258">
        <v>35210.78</v>
      </c>
    </row>
    <row r="87" spans="1:17" hidden="1">
      <c r="A87" s="256" t="s">
        <v>711</v>
      </c>
      <c r="B87" s="256" t="s">
        <v>654</v>
      </c>
      <c r="C87" s="257">
        <v>5</v>
      </c>
      <c r="D87" s="257">
        <v>1937</v>
      </c>
      <c r="E87" s="256"/>
      <c r="F87" s="257">
        <v>74386708279049</v>
      </c>
      <c r="G87" s="256" t="s">
        <v>7</v>
      </c>
      <c r="H87" s="260">
        <v>30712187316</v>
      </c>
      <c r="I87" s="256" t="s">
        <v>68</v>
      </c>
      <c r="J87" s="257">
        <v>1</v>
      </c>
      <c r="K87" s="256" t="s">
        <v>656</v>
      </c>
      <c r="L87" s="258">
        <v>213988.29</v>
      </c>
      <c r="M87" s="257">
        <v>0</v>
      </c>
      <c r="N87" s="257">
        <v>0</v>
      </c>
      <c r="O87" s="257">
        <v>0</v>
      </c>
      <c r="P87" s="258">
        <v>44937.54</v>
      </c>
      <c r="Q87" s="258">
        <v>258925.83</v>
      </c>
    </row>
    <row r="88" spans="1:17" hidden="1">
      <c r="A88" s="256" t="s">
        <v>711</v>
      </c>
      <c r="B88" s="256" t="s">
        <v>654</v>
      </c>
      <c r="C88" s="257">
        <v>2</v>
      </c>
      <c r="D88" s="257">
        <v>250</v>
      </c>
      <c r="E88" s="256"/>
      <c r="F88" s="257">
        <v>74383655585682</v>
      </c>
      <c r="G88" s="256" t="s">
        <v>7</v>
      </c>
      <c r="H88" s="260">
        <v>27144282383</v>
      </c>
      <c r="I88" s="256" t="s">
        <v>663</v>
      </c>
      <c r="J88" s="257">
        <v>1</v>
      </c>
      <c r="K88" s="256" t="s">
        <v>656</v>
      </c>
      <c r="L88" s="257">
        <v>320000</v>
      </c>
      <c r="M88" s="257">
        <v>0</v>
      </c>
      <c r="N88" s="257">
        <v>0</v>
      </c>
      <c r="O88" s="257">
        <v>0</v>
      </c>
      <c r="P88" s="257">
        <v>67200</v>
      </c>
      <c r="Q88" s="257">
        <v>387200</v>
      </c>
    </row>
    <row r="89" spans="1:17" hidden="1">
      <c r="A89" s="256" t="s">
        <v>711</v>
      </c>
      <c r="B89" s="256" t="s">
        <v>654</v>
      </c>
      <c r="C89" s="257">
        <v>4</v>
      </c>
      <c r="D89" s="257">
        <v>136</v>
      </c>
      <c r="E89" s="256"/>
      <c r="F89" s="257">
        <v>74386719534162</v>
      </c>
      <c r="G89" s="256" t="s">
        <v>7</v>
      </c>
      <c r="H89" s="260">
        <v>20317488476</v>
      </c>
      <c r="I89" s="256" t="s">
        <v>256</v>
      </c>
      <c r="J89" s="257">
        <v>1</v>
      </c>
      <c r="K89" s="256" t="s">
        <v>656</v>
      </c>
      <c r="L89" s="257">
        <v>1870000</v>
      </c>
      <c r="M89" s="257">
        <v>0</v>
      </c>
      <c r="N89" s="257">
        <v>0</v>
      </c>
      <c r="O89" s="257">
        <v>0</v>
      </c>
      <c r="P89" s="257">
        <v>392700</v>
      </c>
      <c r="Q89" s="257">
        <v>2262700</v>
      </c>
    </row>
    <row r="90" spans="1:17" hidden="1">
      <c r="A90" s="256" t="s">
        <v>711</v>
      </c>
      <c r="B90" s="256" t="s">
        <v>665</v>
      </c>
      <c r="C90" s="257">
        <v>1</v>
      </c>
      <c r="D90" s="257">
        <v>253</v>
      </c>
      <c r="E90" s="256"/>
      <c r="F90" s="257">
        <v>74395446386733</v>
      </c>
      <c r="G90" s="256" t="s">
        <v>7</v>
      </c>
      <c r="H90" s="260">
        <v>27217606255</v>
      </c>
      <c r="I90" s="256" t="s">
        <v>359</v>
      </c>
      <c r="J90" s="257">
        <v>1</v>
      </c>
      <c r="K90" s="256" t="s">
        <v>656</v>
      </c>
      <c r="L90" s="256"/>
      <c r="M90" s="256"/>
      <c r="N90" s="256"/>
      <c r="O90" s="257">
        <v>0</v>
      </c>
      <c r="P90" s="256"/>
      <c r="Q90" s="258">
        <v>87598.05</v>
      </c>
    </row>
    <row r="91" spans="1:17" hidden="1">
      <c r="A91" s="256" t="s">
        <v>713</v>
      </c>
      <c r="B91" s="256" t="s">
        <v>665</v>
      </c>
      <c r="C91" s="257">
        <v>1</v>
      </c>
      <c r="D91" s="257">
        <v>14</v>
      </c>
      <c r="E91" s="256"/>
      <c r="F91" s="257">
        <v>74395449158811</v>
      </c>
      <c r="G91" s="256" t="s">
        <v>7</v>
      </c>
      <c r="H91" s="260">
        <v>27443612705</v>
      </c>
      <c r="I91" s="256" t="s">
        <v>714</v>
      </c>
      <c r="J91" s="257">
        <v>1</v>
      </c>
      <c r="K91" s="256" t="s">
        <v>656</v>
      </c>
      <c r="L91" s="256"/>
      <c r="M91" s="256"/>
      <c r="N91" s="256"/>
      <c r="O91" s="257">
        <v>0</v>
      </c>
      <c r="P91" s="256"/>
      <c r="Q91" s="257">
        <v>600000</v>
      </c>
    </row>
    <row r="92" spans="1:17" hidden="1">
      <c r="A92" s="256" t="s">
        <v>715</v>
      </c>
      <c r="B92" s="256" t="s">
        <v>654</v>
      </c>
      <c r="C92" s="257">
        <v>5</v>
      </c>
      <c r="D92" s="257">
        <v>3128526</v>
      </c>
      <c r="E92" s="256"/>
      <c r="F92" s="257">
        <v>74395012609092</v>
      </c>
      <c r="G92" s="256" t="s">
        <v>7</v>
      </c>
      <c r="H92" s="260">
        <v>30702652975</v>
      </c>
      <c r="I92" s="256" t="s">
        <v>716</v>
      </c>
      <c r="J92" s="257">
        <v>1</v>
      </c>
      <c r="K92" s="256" t="s">
        <v>656</v>
      </c>
      <c r="L92" s="258">
        <v>28530.17</v>
      </c>
      <c r="M92" s="257">
        <v>0</v>
      </c>
      <c r="N92" s="257">
        <v>0</v>
      </c>
      <c r="O92" s="257">
        <v>0</v>
      </c>
      <c r="P92" s="258">
        <v>5991.34</v>
      </c>
      <c r="Q92" s="258">
        <v>35948.01</v>
      </c>
    </row>
    <row r="93" spans="1:17" hidden="1">
      <c r="A93" s="256" t="s">
        <v>715</v>
      </c>
      <c r="B93" s="256" t="s">
        <v>654</v>
      </c>
      <c r="C93" s="257">
        <v>5015</v>
      </c>
      <c r="D93" s="257">
        <v>648091</v>
      </c>
      <c r="E93" s="256"/>
      <c r="F93" s="257">
        <v>74394947432580</v>
      </c>
      <c r="G93" s="256" t="s">
        <v>7</v>
      </c>
      <c r="H93" s="260">
        <v>30574876474</v>
      </c>
      <c r="I93" s="256" t="s">
        <v>681</v>
      </c>
      <c r="J93" s="257">
        <v>1</v>
      </c>
      <c r="K93" s="256" t="s">
        <v>656</v>
      </c>
      <c r="L93" s="258">
        <v>17107.75</v>
      </c>
      <c r="M93" s="257">
        <v>0</v>
      </c>
      <c r="N93" s="257">
        <v>0</v>
      </c>
      <c r="O93" s="257">
        <v>0</v>
      </c>
      <c r="P93" s="258">
        <v>3592.62</v>
      </c>
      <c r="Q93" s="258">
        <v>22924.37</v>
      </c>
    </row>
    <row r="94" spans="1:17" hidden="1">
      <c r="A94" s="256" t="s">
        <v>715</v>
      </c>
      <c r="B94" s="256" t="s">
        <v>654</v>
      </c>
      <c r="C94" s="257">
        <v>700</v>
      </c>
      <c r="D94" s="257">
        <v>1936359</v>
      </c>
      <c r="E94" s="256"/>
      <c r="F94" s="257">
        <v>74392989880786</v>
      </c>
      <c r="G94" s="256" t="s">
        <v>7</v>
      </c>
      <c r="H94" s="260">
        <v>30715804812</v>
      </c>
      <c r="I94" s="256" t="s">
        <v>679</v>
      </c>
      <c r="J94" s="257">
        <v>1</v>
      </c>
      <c r="K94" s="256" t="s">
        <v>656</v>
      </c>
      <c r="L94" s="258">
        <v>6246.93</v>
      </c>
      <c r="M94" s="257">
        <v>0</v>
      </c>
      <c r="N94" s="257">
        <v>0</v>
      </c>
      <c r="O94" s="257">
        <v>0</v>
      </c>
      <c r="P94" s="258">
        <v>1311.86</v>
      </c>
      <c r="Q94" s="258">
        <v>7871.14</v>
      </c>
    </row>
    <row r="95" spans="1:17">
      <c r="A95" s="281" t="s">
        <v>715</v>
      </c>
      <c r="B95" s="281" t="s">
        <v>654</v>
      </c>
      <c r="C95" s="282">
        <v>700</v>
      </c>
      <c r="D95" s="282">
        <v>1936360</v>
      </c>
      <c r="E95" s="281"/>
      <c r="F95" s="282">
        <v>74392989880804</v>
      </c>
      <c r="G95" s="281" t="s">
        <v>7</v>
      </c>
      <c r="H95" s="282">
        <v>30715804812</v>
      </c>
      <c r="I95" s="281" t="s">
        <v>679</v>
      </c>
      <c r="J95" s="257">
        <v>1</v>
      </c>
      <c r="K95" s="256" t="s">
        <v>656</v>
      </c>
      <c r="L95" s="258">
        <v>728.62</v>
      </c>
      <c r="M95" s="257">
        <v>0</v>
      </c>
      <c r="N95" s="257">
        <v>0</v>
      </c>
      <c r="O95" s="257">
        <v>0</v>
      </c>
      <c r="P95" s="258">
        <v>153.01</v>
      </c>
      <c r="Q95" s="258">
        <v>881.63</v>
      </c>
    </row>
    <row r="96" spans="1:17" hidden="1">
      <c r="A96" s="256" t="s">
        <v>715</v>
      </c>
      <c r="B96" s="256" t="s">
        <v>654</v>
      </c>
      <c r="C96" s="257">
        <v>6</v>
      </c>
      <c r="D96" s="257">
        <v>85435</v>
      </c>
      <c r="E96" s="256"/>
      <c r="F96" s="257">
        <v>74394006853805</v>
      </c>
      <c r="G96" s="256" t="s">
        <v>7</v>
      </c>
      <c r="H96" s="260">
        <v>30711553564</v>
      </c>
      <c r="I96" s="256" t="s">
        <v>236</v>
      </c>
      <c r="J96" s="257">
        <v>1</v>
      </c>
      <c r="K96" s="256" t="s">
        <v>656</v>
      </c>
      <c r="L96" s="257">
        <v>999126</v>
      </c>
      <c r="M96" s="257">
        <v>0</v>
      </c>
      <c r="N96" s="257">
        <v>0</v>
      </c>
      <c r="O96" s="257">
        <v>0</v>
      </c>
      <c r="P96" s="258">
        <v>209816.46</v>
      </c>
      <c r="Q96" s="258">
        <v>1208942.46</v>
      </c>
    </row>
    <row r="97" spans="1:17" hidden="1">
      <c r="A97" s="256" t="s">
        <v>715</v>
      </c>
      <c r="B97" s="256" t="s">
        <v>654</v>
      </c>
      <c r="C97" s="257">
        <v>6</v>
      </c>
      <c r="D97" s="257">
        <v>54307</v>
      </c>
      <c r="E97" s="256"/>
      <c r="F97" s="257">
        <v>74398009565100</v>
      </c>
      <c r="G97" s="256" t="s">
        <v>7</v>
      </c>
      <c r="H97" s="260">
        <v>30710177658</v>
      </c>
      <c r="I97" s="256" t="s">
        <v>684</v>
      </c>
      <c r="J97" s="257">
        <v>1</v>
      </c>
      <c r="K97" s="256" t="s">
        <v>656</v>
      </c>
      <c r="L97" s="258">
        <v>122080.32000000001</v>
      </c>
      <c r="M97" s="257">
        <v>0</v>
      </c>
      <c r="N97" s="257">
        <v>0</v>
      </c>
      <c r="O97" s="257">
        <v>0</v>
      </c>
      <c r="P97" s="258">
        <v>25636.86</v>
      </c>
      <c r="Q97" s="258">
        <v>147717.18</v>
      </c>
    </row>
    <row r="98" spans="1:17" hidden="1">
      <c r="A98" s="256" t="s">
        <v>717</v>
      </c>
      <c r="B98" s="256" t="s">
        <v>654</v>
      </c>
      <c r="C98" s="257">
        <v>1055</v>
      </c>
      <c r="D98" s="257">
        <v>854</v>
      </c>
      <c r="E98" s="256"/>
      <c r="F98" s="257">
        <v>74391072835510</v>
      </c>
      <c r="G98" s="256" t="s">
        <v>7</v>
      </c>
      <c r="H98" s="260">
        <v>30685849751</v>
      </c>
      <c r="I98" s="256" t="s">
        <v>718</v>
      </c>
      <c r="J98" s="257">
        <v>1</v>
      </c>
      <c r="K98" s="256" t="s">
        <v>656</v>
      </c>
      <c r="L98" s="258">
        <v>6165.28</v>
      </c>
      <c r="M98" s="257">
        <v>0</v>
      </c>
      <c r="N98" s="257">
        <v>0</v>
      </c>
      <c r="O98" s="257">
        <v>0</v>
      </c>
      <c r="P98" s="258">
        <v>1294.71</v>
      </c>
      <c r="Q98" s="258">
        <v>7768.25</v>
      </c>
    </row>
    <row r="99" spans="1:17" hidden="1">
      <c r="A99" s="256" t="s">
        <v>717</v>
      </c>
      <c r="B99" s="256" t="s">
        <v>654</v>
      </c>
      <c r="C99" s="257">
        <v>2</v>
      </c>
      <c r="D99" s="257">
        <v>25</v>
      </c>
      <c r="E99" s="256"/>
      <c r="F99" s="257">
        <v>74395124728024</v>
      </c>
      <c r="G99" s="256" t="s">
        <v>7</v>
      </c>
      <c r="H99" s="260">
        <v>27243660535</v>
      </c>
      <c r="I99" s="256" t="s">
        <v>719</v>
      </c>
      <c r="J99" s="257">
        <v>1</v>
      </c>
      <c r="K99" s="256" t="s">
        <v>656</v>
      </c>
      <c r="L99" s="257">
        <v>360000</v>
      </c>
      <c r="M99" s="257">
        <v>0</v>
      </c>
      <c r="N99" s="257">
        <v>0</v>
      </c>
      <c r="O99" s="257">
        <v>0</v>
      </c>
      <c r="P99" s="257">
        <v>75600</v>
      </c>
      <c r="Q99" s="257">
        <v>435600</v>
      </c>
    </row>
    <row r="100" spans="1:17" hidden="1">
      <c r="A100" s="256" t="s">
        <v>720</v>
      </c>
      <c r="B100" s="256" t="s">
        <v>654</v>
      </c>
      <c r="C100" s="257">
        <v>6</v>
      </c>
      <c r="D100" s="257">
        <v>54346</v>
      </c>
      <c r="E100" s="256"/>
      <c r="F100" s="257">
        <v>74398248406433</v>
      </c>
      <c r="G100" s="256" t="s">
        <v>7</v>
      </c>
      <c r="H100" s="260">
        <v>30710177658</v>
      </c>
      <c r="I100" s="256" t="s">
        <v>684</v>
      </c>
      <c r="J100" s="257">
        <v>1</v>
      </c>
      <c r="K100" s="256" t="s">
        <v>656</v>
      </c>
      <c r="L100" s="258">
        <v>356854.44</v>
      </c>
      <c r="M100" s="257">
        <v>0</v>
      </c>
      <c r="N100" s="257">
        <v>0</v>
      </c>
      <c r="O100" s="257">
        <v>0</v>
      </c>
      <c r="P100" s="258">
        <v>74939.44</v>
      </c>
      <c r="Q100" s="258">
        <v>431793.88</v>
      </c>
    </row>
    <row r="101" spans="1:17" hidden="1">
      <c r="A101" s="256" t="s">
        <v>720</v>
      </c>
      <c r="B101" s="256" t="s">
        <v>654</v>
      </c>
      <c r="C101" s="257">
        <v>4</v>
      </c>
      <c r="D101" s="257">
        <v>71892</v>
      </c>
      <c r="E101" s="256"/>
      <c r="F101" s="257">
        <v>74399186438923</v>
      </c>
      <c r="G101" s="256" t="s">
        <v>7</v>
      </c>
      <c r="H101" s="260">
        <v>33709738459</v>
      </c>
      <c r="I101" s="256" t="s">
        <v>62</v>
      </c>
      <c r="J101" s="257">
        <v>1</v>
      </c>
      <c r="K101" s="256" t="s">
        <v>656</v>
      </c>
      <c r="L101" s="258">
        <v>655324.52</v>
      </c>
      <c r="M101" s="257">
        <v>0</v>
      </c>
      <c r="N101" s="257">
        <v>0</v>
      </c>
      <c r="O101" s="257">
        <v>0</v>
      </c>
      <c r="P101" s="258">
        <v>137618.15</v>
      </c>
      <c r="Q101" s="258">
        <v>792942.67</v>
      </c>
    </row>
    <row r="102" spans="1:17" hidden="1">
      <c r="A102" s="256" t="s">
        <v>720</v>
      </c>
      <c r="B102" s="256" t="s">
        <v>654</v>
      </c>
      <c r="C102" s="257">
        <v>4</v>
      </c>
      <c r="D102" s="257">
        <v>137</v>
      </c>
      <c r="E102" s="256"/>
      <c r="F102" s="257">
        <v>74396233311030</v>
      </c>
      <c r="G102" s="256" t="s">
        <v>7</v>
      </c>
      <c r="H102" s="260">
        <v>20317488476</v>
      </c>
      <c r="I102" s="256" t="s">
        <v>256</v>
      </c>
      <c r="J102" s="257">
        <v>1</v>
      </c>
      <c r="K102" s="256" t="s">
        <v>656</v>
      </c>
      <c r="L102" s="257">
        <v>105000</v>
      </c>
      <c r="M102" s="257">
        <v>0</v>
      </c>
      <c r="N102" s="257">
        <v>0</v>
      </c>
      <c r="O102" s="257">
        <v>0</v>
      </c>
      <c r="P102" s="257">
        <v>22050</v>
      </c>
      <c r="Q102" s="257">
        <v>127050</v>
      </c>
    </row>
    <row r="103" spans="1:17" hidden="1">
      <c r="A103" s="256" t="s">
        <v>721</v>
      </c>
      <c r="B103" s="256" t="s">
        <v>654</v>
      </c>
      <c r="C103" s="257">
        <v>6</v>
      </c>
      <c r="D103" s="257">
        <v>54365</v>
      </c>
      <c r="E103" s="256"/>
      <c r="F103" s="257">
        <v>74398371535029</v>
      </c>
      <c r="G103" s="256" t="s">
        <v>7</v>
      </c>
      <c r="H103" s="260">
        <v>30710177658</v>
      </c>
      <c r="I103" s="256" t="s">
        <v>684</v>
      </c>
      <c r="J103" s="257">
        <v>1</v>
      </c>
      <c r="K103" s="256" t="s">
        <v>656</v>
      </c>
      <c r="L103" s="257">
        <v>682125</v>
      </c>
      <c r="M103" s="257">
        <v>0</v>
      </c>
      <c r="N103" s="257">
        <v>0</v>
      </c>
      <c r="O103" s="257">
        <v>0</v>
      </c>
      <c r="P103" s="258">
        <v>143246.25</v>
      </c>
      <c r="Q103" s="258">
        <v>825371.25</v>
      </c>
    </row>
    <row r="104" spans="1:17" hidden="1">
      <c r="A104" s="256" t="s">
        <v>721</v>
      </c>
      <c r="B104" s="256" t="s">
        <v>654</v>
      </c>
      <c r="C104" s="257">
        <v>2</v>
      </c>
      <c r="D104" s="257">
        <v>814</v>
      </c>
      <c r="E104" s="256"/>
      <c r="F104" s="257">
        <v>74399376744950</v>
      </c>
      <c r="G104" s="256" t="s">
        <v>7</v>
      </c>
      <c r="H104" s="260">
        <v>20272865869</v>
      </c>
      <c r="I104" s="256" t="s">
        <v>625</v>
      </c>
      <c r="J104" s="257">
        <v>1</v>
      </c>
      <c r="K104" s="256" t="s">
        <v>656</v>
      </c>
      <c r="L104" s="257">
        <v>149150</v>
      </c>
      <c r="M104" s="257">
        <v>0</v>
      </c>
      <c r="N104" s="257">
        <v>0</v>
      </c>
      <c r="O104" s="257">
        <v>0</v>
      </c>
      <c r="P104" s="256">
        <v>31321.5</v>
      </c>
      <c r="Q104" s="256">
        <v>180471.5</v>
      </c>
    </row>
    <row r="105" spans="1:17" hidden="1">
      <c r="A105" s="256" t="s">
        <v>721</v>
      </c>
      <c r="B105" s="256" t="s">
        <v>654</v>
      </c>
      <c r="C105" s="257">
        <v>7</v>
      </c>
      <c r="D105" s="257">
        <v>3292</v>
      </c>
      <c r="E105" s="256"/>
      <c r="F105" s="257">
        <v>74394347552429</v>
      </c>
      <c r="G105" s="256" t="s">
        <v>7</v>
      </c>
      <c r="H105" s="260">
        <v>20284183534</v>
      </c>
      <c r="I105" s="256" t="s">
        <v>448</v>
      </c>
      <c r="J105" s="257">
        <v>1</v>
      </c>
      <c r="K105" s="256" t="s">
        <v>656</v>
      </c>
      <c r="L105" s="258">
        <v>9504.1299999999992</v>
      </c>
      <c r="M105" s="257">
        <v>0</v>
      </c>
      <c r="N105" s="257">
        <v>0</v>
      </c>
      <c r="O105" s="257">
        <v>0</v>
      </c>
      <c r="P105" s="258">
        <v>1995.87</v>
      </c>
      <c r="Q105" s="257">
        <v>11500</v>
      </c>
    </row>
    <row r="106" spans="1:17" hidden="1">
      <c r="A106" s="256" t="s">
        <v>721</v>
      </c>
      <c r="B106" s="256" t="s">
        <v>654</v>
      </c>
      <c r="C106" s="257">
        <v>4</v>
      </c>
      <c r="D106" s="257">
        <v>751</v>
      </c>
      <c r="E106" s="256"/>
      <c r="F106" s="257">
        <v>74399321763743</v>
      </c>
      <c r="G106" s="256" t="s">
        <v>7</v>
      </c>
      <c r="H106" s="260">
        <v>33715005129</v>
      </c>
      <c r="I106" s="256" t="s">
        <v>722</v>
      </c>
      <c r="J106" s="257">
        <v>1</v>
      </c>
      <c r="K106" s="256" t="s">
        <v>656</v>
      </c>
      <c r="L106" s="258">
        <v>51074.38</v>
      </c>
      <c r="M106" s="257">
        <v>0</v>
      </c>
      <c r="N106" s="257">
        <v>0</v>
      </c>
      <c r="O106" s="257">
        <v>0</v>
      </c>
      <c r="P106" s="258">
        <v>10725.62</v>
      </c>
      <c r="Q106" s="257">
        <v>61800</v>
      </c>
    </row>
    <row r="107" spans="1:17" hidden="1">
      <c r="A107" s="256" t="s">
        <v>721</v>
      </c>
      <c r="B107" s="256" t="s">
        <v>654</v>
      </c>
      <c r="C107" s="257">
        <v>2</v>
      </c>
      <c r="D107" s="257">
        <v>252</v>
      </c>
      <c r="E107" s="256"/>
      <c r="F107" s="257">
        <v>74393341884634</v>
      </c>
      <c r="G107" s="256" t="s">
        <v>7</v>
      </c>
      <c r="H107" s="260">
        <v>27144282383</v>
      </c>
      <c r="I107" s="256" t="s">
        <v>663</v>
      </c>
      <c r="J107" s="257">
        <v>1</v>
      </c>
      <c r="K107" s="256" t="s">
        <v>656</v>
      </c>
      <c r="L107" s="257">
        <v>300000</v>
      </c>
      <c r="M107" s="257">
        <v>0</v>
      </c>
      <c r="N107" s="257">
        <v>0</v>
      </c>
      <c r="O107" s="257">
        <v>0</v>
      </c>
      <c r="P107" s="257">
        <v>63000</v>
      </c>
      <c r="Q107" s="257">
        <v>363000</v>
      </c>
    </row>
    <row r="108" spans="1:17" hidden="1">
      <c r="A108" s="256" t="s">
        <v>721</v>
      </c>
      <c r="B108" s="256" t="s">
        <v>654</v>
      </c>
      <c r="C108" s="257">
        <v>5</v>
      </c>
      <c r="D108" s="257">
        <v>32</v>
      </c>
      <c r="E108" s="256"/>
      <c r="F108" s="257">
        <v>74393302801751</v>
      </c>
      <c r="G108" s="256" t="s">
        <v>7</v>
      </c>
      <c r="H108" s="260">
        <v>20929183143</v>
      </c>
      <c r="I108" s="256" t="s">
        <v>469</v>
      </c>
      <c r="J108" s="257">
        <v>1</v>
      </c>
      <c r="K108" s="256" t="s">
        <v>656</v>
      </c>
      <c r="L108" s="257">
        <v>50000</v>
      </c>
      <c r="M108" s="257">
        <v>0</v>
      </c>
      <c r="N108" s="257">
        <v>0</v>
      </c>
      <c r="O108" s="257">
        <v>0</v>
      </c>
      <c r="P108" s="257">
        <v>10500</v>
      </c>
      <c r="Q108" s="257">
        <v>60500</v>
      </c>
    </row>
    <row r="109" spans="1:17" hidden="1">
      <c r="A109" s="256" t="s">
        <v>721</v>
      </c>
      <c r="B109" s="256" t="s">
        <v>654</v>
      </c>
      <c r="C109" s="257">
        <v>3</v>
      </c>
      <c r="D109" s="257">
        <v>172</v>
      </c>
      <c r="E109" s="256"/>
      <c r="F109" s="257">
        <v>74393306239268</v>
      </c>
      <c r="G109" s="256" t="s">
        <v>7</v>
      </c>
      <c r="H109" s="260">
        <v>20334976433</v>
      </c>
      <c r="I109" s="256" t="s">
        <v>498</v>
      </c>
      <c r="J109" s="257">
        <v>1</v>
      </c>
      <c r="K109" s="256" t="s">
        <v>656</v>
      </c>
      <c r="L109" s="257">
        <v>90000</v>
      </c>
      <c r="M109" s="257">
        <v>0</v>
      </c>
      <c r="N109" s="257">
        <v>0</v>
      </c>
      <c r="O109" s="257">
        <v>0</v>
      </c>
      <c r="P109" s="257">
        <v>18900</v>
      </c>
      <c r="Q109" s="257">
        <v>108900</v>
      </c>
    </row>
    <row r="110" spans="1:17" hidden="1">
      <c r="A110" s="256" t="s">
        <v>723</v>
      </c>
      <c r="B110" s="256" t="s">
        <v>654</v>
      </c>
      <c r="C110" s="257">
        <v>2</v>
      </c>
      <c r="D110" s="257">
        <v>816</v>
      </c>
      <c r="E110" s="256"/>
      <c r="F110" s="257">
        <v>74399426462758</v>
      </c>
      <c r="G110" s="256" t="s">
        <v>7</v>
      </c>
      <c r="H110" s="260">
        <v>20272865869</v>
      </c>
      <c r="I110" s="256" t="s">
        <v>625</v>
      </c>
      <c r="J110" s="257">
        <v>1</v>
      </c>
      <c r="K110" s="256" t="s">
        <v>656</v>
      </c>
      <c r="L110" s="257">
        <v>9800</v>
      </c>
      <c r="M110" s="257">
        <v>0</v>
      </c>
      <c r="N110" s="257">
        <v>0</v>
      </c>
      <c r="O110" s="257">
        <v>0</v>
      </c>
      <c r="P110" s="257">
        <v>2058</v>
      </c>
      <c r="Q110" s="257">
        <v>11858</v>
      </c>
    </row>
    <row r="111" spans="1:17" hidden="1">
      <c r="A111" s="256" t="s">
        <v>723</v>
      </c>
      <c r="B111" s="256" t="s">
        <v>654</v>
      </c>
      <c r="C111" s="257">
        <v>3</v>
      </c>
      <c r="D111" s="257">
        <v>7702</v>
      </c>
      <c r="E111" s="256"/>
      <c r="F111" s="257">
        <v>74391443967683</v>
      </c>
      <c r="G111" s="256" t="s">
        <v>7</v>
      </c>
      <c r="H111" s="260">
        <v>30526492281</v>
      </c>
      <c r="I111" s="256" t="s">
        <v>724</v>
      </c>
      <c r="J111" s="257">
        <v>1</v>
      </c>
      <c r="K111" s="256" t="s">
        <v>656</v>
      </c>
      <c r="L111" s="257">
        <v>149600</v>
      </c>
      <c r="M111" s="257">
        <v>0</v>
      </c>
      <c r="N111" s="257">
        <v>0</v>
      </c>
      <c r="O111" s="257">
        <v>0</v>
      </c>
      <c r="P111" s="257">
        <v>31416</v>
      </c>
      <c r="Q111" s="257">
        <v>181016</v>
      </c>
    </row>
    <row r="112" spans="1:17" hidden="1">
      <c r="A112" s="256" t="s">
        <v>723</v>
      </c>
      <c r="B112" s="256" t="s">
        <v>654</v>
      </c>
      <c r="C112" s="257">
        <v>2</v>
      </c>
      <c r="D112" s="257">
        <v>819</v>
      </c>
      <c r="E112" s="256"/>
      <c r="F112" s="257">
        <v>74399429730188</v>
      </c>
      <c r="G112" s="256" t="s">
        <v>7</v>
      </c>
      <c r="H112" s="260">
        <v>20272865869</v>
      </c>
      <c r="I112" s="256" t="s">
        <v>625</v>
      </c>
      <c r="J112" s="257">
        <v>1</v>
      </c>
      <c r="K112" s="256" t="s">
        <v>656</v>
      </c>
      <c r="L112" s="257">
        <v>105000</v>
      </c>
      <c r="M112" s="257">
        <v>0</v>
      </c>
      <c r="N112" s="257">
        <v>0</v>
      </c>
      <c r="O112" s="257">
        <v>0</v>
      </c>
      <c r="P112" s="257">
        <v>22050</v>
      </c>
      <c r="Q112" s="257">
        <v>127050</v>
      </c>
    </row>
    <row r="113" spans="1:17" hidden="1">
      <c r="A113" s="256" t="s">
        <v>723</v>
      </c>
      <c r="B113" s="256" t="s">
        <v>665</v>
      </c>
      <c r="C113" s="257">
        <v>3</v>
      </c>
      <c r="D113" s="257">
        <v>995</v>
      </c>
      <c r="E113" s="256"/>
      <c r="F113" s="257">
        <v>74399453320296</v>
      </c>
      <c r="G113" s="256" t="s">
        <v>7</v>
      </c>
      <c r="H113" s="260">
        <v>20216451679</v>
      </c>
      <c r="I113" s="256" t="s">
        <v>477</v>
      </c>
      <c r="J113" s="257">
        <v>1</v>
      </c>
      <c r="K113" s="256" t="s">
        <v>656</v>
      </c>
      <c r="L113" s="256"/>
      <c r="M113" s="256"/>
      <c r="N113" s="256"/>
      <c r="O113" s="257">
        <v>0</v>
      </c>
      <c r="P113" s="256"/>
      <c r="Q113" s="257">
        <v>160000</v>
      </c>
    </row>
    <row r="114" spans="1:17">
      <c r="A114" s="281" t="s">
        <v>725</v>
      </c>
      <c r="B114" s="281" t="s">
        <v>654</v>
      </c>
      <c r="C114" s="282">
        <v>2189</v>
      </c>
      <c r="D114" s="282">
        <v>77373</v>
      </c>
      <c r="E114" s="281"/>
      <c r="F114" s="282">
        <v>74396609730132</v>
      </c>
      <c r="G114" s="281" t="s">
        <v>7</v>
      </c>
      <c r="H114" s="282">
        <v>30548083156</v>
      </c>
      <c r="I114" s="281" t="s">
        <v>655</v>
      </c>
      <c r="J114" s="257">
        <v>1</v>
      </c>
      <c r="K114" s="256" t="s">
        <v>656</v>
      </c>
      <c r="L114" s="258">
        <v>3905.09</v>
      </c>
      <c r="M114" s="257">
        <v>0</v>
      </c>
      <c r="N114" s="257">
        <v>0</v>
      </c>
      <c r="O114" s="256">
        <v>312.39999999999998</v>
      </c>
      <c r="P114" s="258">
        <v>820.07</v>
      </c>
      <c r="Q114" s="258">
        <v>5037.5600000000004</v>
      </c>
    </row>
    <row r="115" spans="1:17" hidden="1">
      <c r="A115" s="256" t="s">
        <v>725</v>
      </c>
      <c r="B115" s="256" t="s">
        <v>654</v>
      </c>
      <c r="C115" s="257">
        <v>2</v>
      </c>
      <c r="D115" s="257">
        <v>336</v>
      </c>
      <c r="E115" s="256"/>
      <c r="F115" s="257">
        <v>74409928953266</v>
      </c>
      <c r="G115" s="256" t="s">
        <v>7</v>
      </c>
      <c r="H115" s="260">
        <v>27251962559</v>
      </c>
      <c r="I115" s="256" t="s">
        <v>726</v>
      </c>
      <c r="J115" s="257">
        <v>1</v>
      </c>
      <c r="K115" s="256" t="s">
        <v>656</v>
      </c>
      <c r="L115" s="258">
        <v>42396.71</v>
      </c>
      <c r="M115" s="257">
        <v>0</v>
      </c>
      <c r="N115" s="257">
        <v>0</v>
      </c>
      <c r="O115" s="257">
        <v>0</v>
      </c>
      <c r="P115" s="258">
        <v>8903.31</v>
      </c>
      <c r="Q115" s="258">
        <v>51300.01</v>
      </c>
    </row>
    <row r="116" spans="1:17" hidden="1">
      <c r="A116" s="256" t="s">
        <v>727</v>
      </c>
      <c r="B116" s="256" t="s">
        <v>654</v>
      </c>
      <c r="C116" s="257">
        <v>25</v>
      </c>
      <c r="D116" s="257">
        <v>2868796</v>
      </c>
      <c r="E116" s="256"/>
      <c r="F116" s="257">
        <v>74404735015283</v>
      </c>
      <c r="G116" s="256" t="s">
        <v>7</v>
      </c>
      <c r="H116" s="260">
        <v>30703088534</v>
      </c>
      <c r="I116" s="256" t="s">
        <v>728</v>
      </c>
      <c r="J116" s="257">
        <v>1</v>
      </c>
      <c r="K116" s="256" t="s">
        <v>656</v>
      </c>
      <c r="L116" s="258">
        <v>37574.04</v>
      </c>
      <c r="M116" s="257">
        <v>0</v>
      </c>
      <c r="N116" s="257">
        <v>0</v>
      </c>
      <c r="O116" s="258">
        <v>3005.92</v>
      </c>
      <c r="P116" s="258">
        <v>7890.55</v>
      </c>
      <c r="Q116" s="258">
        <v>48470.51</v>
      </c>
    </row>
    <row r="117" spans="1:17">
      <c r="A117" s="281" t="s">
        <v>729</v>
      </c>
      <c r="B117" s="281" t="s">
        <v>654</v>
      </c>
      <c r="C117" s="282">
        <v>6</v>
      </c>
      <c r="D117" s="282">
        <v>17452146</v>
      </c>
      <c r="E117" s="281"/>
      <c r="F117" s="282">
        <v>74397511039418</v>
      </c>
      <c r="G117" s="281" t="s">
        <v>7</v>
      </c>
      <c r="H117" s="282">
        <v>30620177497</v>
      </c>
      <c r="I117" s="281" t="s">
        <v>730</v>
      </c>
      <c r="J117" s="257">
        <v>1</v>
      </c>
      <c r="K117" s="256" t="s">
        <v>656</v>
      </c>
      <c r="L117" s="257">
        <v>0</v>
      </c>
      <c r="M117" s="257">
        <v>0</v>
      </c>
      <c r="N117" s="257">
        <v>0</v>
      </c>
      <c r="O117" s="257">
        <v>0</v>
      </c>
      <c r="P117" s="257">
        <v>0</v>
      </c>
      <c r="Q117" s="257">
        <v>0</v>
      </c>
    </row>
    <row r="118" spans="1:17">
      <c r="A118" s="281" t="s">
        <v>729</v>
      </c>
      <c r="B118" s="281" t="s">
        <v>654</v>
      </c>
      <c r="C118" s="282">
        <v>6</v>
      </c>
      <c r="D118" s="282">
        <v>17599524</v>
      </c>
      <c r="E118" s="281"/>
      <c r="F118" s="282">
        <v>74397542581741</v>
      </c>
      <c r="G118" s="281" t="s">
        <v>7</v>
      </c>
      <c r="H118" s="282">
        <v>30620177497</v>
      </c>
      <c r="I118" s="281" t="s">
        <v>730</v>
      </c>
      <c r="J118" s="257">
        <v>1</v>
      </c>
      <c r="K118" s="256" t="s">
        <v>656</v>
      </c>
      <c r="L118" s="258">
        <v>26164.14</v>
      </c>
      <c r="M118" s="257">
        <v>0</v>
      </c>
      <c r="N118" s="257">
        <v>0</v>
      </c>
      <c r="O118" s="257">
        <v>0</v>
      </c>
      <c r="P118" s="258">
        <v>5494.47</v>
      </c>
      <c r="Q118" s="258">
        <v>33751.74</v>
      </c>
    </row>
    <row r="119" spans="1:17" hidden="1">
      <c r="A119" s="256" t="s">
        <v>729</v>
      </c>
      <c r="B119" s="256" t="s">
        <v>654</v>
      </c>
      <c r="C119" s="257">
        <v>5015</v>
      </c>
      <c r="D119" s="257">
        <v>650706</v>
      </c>
      <c r="E119" s="256"/>
      <c r="F119" s="257">
        <v>74404997363928</v>
      </c>
      <c r="G119" s="256" t="s">
        <v>7</v>
      </c>
      <c r="H119" s="260">
        <v>30574876474</v>
      </c>
      <c r="I119" s="256" t="s">
        <v>681</v>
      </c>
      <c r="J119" s="257">
        <v>1</v>
      </c>
      <c r="K119" s="256" t="s">
        <v>656</v>
      </c>
      <c r="L119" s="258">
        <v>24879.27</v>
      </c>
      <c r="M119" s="257">
        <v>0</v>
      </c>
      <c r="N119" s="257">
        <v>0</v>
      </c>
      <c r="O119" s="257">
        <v>0</v>
      </c>
      <c r="P119" s="258">
        <v>5224.63</v>
      </c>
      <c r="Q119" s="256">
        <v>33338.199999999997</v>
      </c>
    </row>
    <row r="120" spans="1:17" hidden="1">
      <c r="A120" s="256" t="s">
        <v>729</v>
      </c>
      <c r="B120" s="256" t="s">
        <v>654</v>
      </c>
      <c r="C120" s="257">
        <v>20</v>
      </c>
      <c r="D120" s="257">
        <v>197792</v>
      </c>
      <c r="E120" s="256"/>
      <c r="F120" s="257">
        <v>74402907225580</v>
      </c>
      <c r="G120" s="256" t="s">
        <v>7</v>
      </c>
      <c r="H120" s="260">
        <v>30696850972</v>
      </c>
      <c r="I120" s="256" t="s">
        <v>731</v>
      </c>
      <c r="J120" s="257">
        <v>1</v>
      </c>
      <c r="K120" s="256" t="s">
        <v>656</v>
      </c>
      <c r="L120" s="258">
        <v>19732.580000000002</v>
      </c>
      <c r="M120" s="257">
        <v>0</v>
      </c>
      <c r="N120" s="257">
        <v>0</v>
      </c>
      <c r="O120" s="257">
        <v>0</v>
      </c>
      <c r="P120" s="256">
        <v>5327.8</v>
      </c>
      <c r="Q120" s="258">
        <v>26047.02</v>
      </c>
    </row>
    <row r="121" spans="1:17" hidden="1">
      <c r="A121" s="256" t="s">
        <v>729</v>
      </c>
      <c r="B121" s="256" t="s">
        <v>654</v>
      </c>
      <c r="C121" s="257">
        <v>1</v>
      </c>
      <c r="D121" s="257">
        <v>591606</v>
      </c>
      <c r="E121" s="256"/>
      <c r="F121" s="257">
        <v>74409955268089</v>
      </c>
      <c r="G121" s="256" t="s">
        <v>7</v>
      </c>
      <c r="H121" s="260">
        <v>33716307749</v>
      </c>
      <c r="I121" s="256" t="s">
        <v>732</v>
      </c>
      <c r="J121" s="257">
        <v>1</v>
      </c>
      <c r="K121" s="256" t="s">
        <v>656</v>
      </c>
      <c r="L121" s="257">
        <v>318999</v>
      </c>
      <c r="M121" s="257">
        <v>0</v>
      </c>
      <c r="N121" s="257">
        <v>0</v>
      </c>
      <c r="O121" s="257">
        <v>0</v>
      </c>
      <c r="P121" s="258">
        <v>66989.789999999994</v>
      </c>
      <c r="Q121" s="258">
        <v>401938.74</v>
      </c>
    </row>
    <row r="122" spans="1:17" hidden="1">
      <c r="A122" s="256" t="s">
        <v>729</v>
      </c>
      <c r="B122" s="256" t="s">
        <v>654</v>
      </c>
      <c r="C122" s="257">
        <v>3</v>
      </c>
      <c r="D122" s="257">
        <v>4276</v>
      </c>
      <c r="E122" s="256"/>
      <c r="F122" s="257">
        <v>74408785825637</v>
      </c>
      <c r="G122" s="256" t="s">
        <v>7</v>
      </c>
      <c r="H122" s="260">
        <v>20184052858</v>
      </c>
      <c r="I122" s="256" t="s">
        <v>689</v>
      </c>
      <c r="J122" s="257">
        <v>1</v>
      </c>
      <c r="K122" s="256" t="s">
        <v>656</v>
      </c>
      <c r="L122" s="258">
        <v>71074.33</v>
      </c>
      <c r="M122" s="257">
        <v>0</v>
      </c>
      <c r="N122" s="257">
        <v>0</v>
      </c>
      <c r="O122" s="257">
        <v>0</v>
      </c>
      <c r="P122" s="258">
        <v>14925.61</v>
      </c>
      <c r="Q122" s="258">
        <v>85999.91</v>
      </c>
    </row>
    <row r="123" spans="1:17" hidden="1">
      <c r="A123" s="256" t="s">
        <v>729</v>
      </c>
      <c r="B123" s="256" t="s">
        <v>654</v>
      </c>
      <c r="C123" s="257">
        <v>2</v>
      </c>
      <c r="D123" s="257">
        <v>3548</v>
      </c>
      <c r="E123" s="256"/>
      <c r="F123" s="257">
        <v>74405740571811</v>
      </c>
      <c r="G123" s="256" t="s">
        <v>7</v>
      </c>
      <c r="H123" s="260">
        <v>30661498575</v>
      </c>
      <c r="I123" s="256" t="s">
        <v>201</v>
      </c>
      <c r="J123" s="257">
        <v>1</v>
      </c>
      <c r="K123" s="256" t="s">
        <v>656</v>
      </c>
      <c r="L123" s="258">
        <v>132396.71</v>
      </c>
      <c r="M123" s="257">
        <v>0</v>
      </c>
      <c r="N123" s="257">
        <v>0</v>
      </c>
      <c r="O123" s="257">
        <v>0</v>
      </c>
      <c r="P123" s="258">
        <v>27803.31</v>
      </c>
      <c r="Q123" s="257">
        <v>160200</v>
      </c>
    </row>
    <row r="124" spans="1:17">
      <c r="A124" s="281" t="s">
        <v>729</v>
      </c>
      <c r="B124" s="281" t="s">
        <v>654</v>
      </c>
      <c r="C124" s="282">
        <v>6</v>
      </c>
      <c r="D124" s="282">
        <v>804</v>
      </c>
      <c r="E124" s="281"/>
      <c r="F124" s="282">
        <v>74407826876177</v>
      </c>
      <c r="G124" s="281" t="s">
        <v>7</v>
      </c>
      <c r="H124" s="282">
        <v>20214946867</v>
      </c>
      <c r="I124" s="281" t="s">
        <v>733</v>
      </c>
      <c r="J124" s="257">
        <v>1</v>
      </c>
      <c r="K124" s="256" t="s">
        <v>656</v>
      </c>
      <c r="L124" s="258">
        <v>37189.24</v>
      </c>
      <c r="M124" s="257">
        <v>0</v>
      </c>
      <c r="N124" s="257">
        <v>0</v>
      </c>
      <c r="O124" s="257">
        <v>0</v>
      </c>
      <c r="P124" s="258">
        <v>7809.74</v>
      </c>
      <c r="Q124" s="257">
        <v>44999</v>
      </c>
    </row>
  </sheetData>
  <autoFilter ref="A1:Q124">
    <filterColumn colId="8">
      <colorFilter dxfId="1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/>
  <dimension ref="A1:G240"/>
  <sheetViews>
    <sheetView workbookViewId="0">
      <selection activeCell="F13" sqref="F13:F226"/>
    </sheetView>
  </sheetViews>
  <sheetFormatPr baseColWidth="10" defaultRowHeight="15"/>
  <cols>
    <col min="1" max="1" width="11.7109375" customWidth="1"/>
    <col min="2" max="2" width="20.28515625" customWidth="1"/>
    <col min="3" max="3" width="40.28515625" customWidth="1"/>
    <col min="4" max="4" width="22.5703125" customWidth="1"/>
    <col min="5" max="5" width="14.42578125" customWidth="1"/>
    <col min="6" max="6" width="14.140625" customWidth="1"/>
    <col min="7" max="7" width="11.140625" customWidth="1"/>
  </cols>
  <sheetData>
    <row r="1" spans="1:7">
      <c r="A1" s="273" t="s">
        <v>918</v>
      </c>
      <c r="B1" s="273"/>
      <c r="C1" s="273"/>
      <c r="D1" s="273"/>
    </row>
    <row r="4" spans="1:7">
      <c r="A4" s="261" t="s">
        <v>102</v>
      </c>
      <c r="B4" s="261" t="s">
        <v>734</v>
      </c>
      <c r="C4" s="261" t="s">
        <v>735</v>
      </c>
      <c r="D4" s="261" t="s">
        <v>736</v>
      </c>
      <c r="E4" s="261" t="s">
        <v>737</v>
      </c>
      <c r="F4" s="261" t="s">
        <v>738</v>
      </c>
      <c r="G4" s="261" t="s">
        <v>739</v>
      </c>
    </row>
    <row r="5" spans="1:7" hidden="1">
      <c r="A5" s="276" t="s">
        <v>657</v>
      </c>
      <c r="B5" s="269" t="s">
        <v>760</v>
      </c>
      <c r="C5" s="267" t="s">
        <v>37</v>
      </c>
      <c r="D5" s="267" t="s">
        <v>759</v>
      </c>
      <c r="E5" s="267">
        <v>20086277523</v>
      </c>
      <c r="F5" s="277">
        <v>0</v>
      </c>
      <c r="G5" s="277">
        <v>275500</v>
      </c>
    </row>
    <row r="6" spans="1:7" hidden="1">
      <c r="A6" s="268" t="s">
        <v>657</v>
      </c>
      <c r="B6" s="270">
        <v>874</v>
      </c>
      <c r="C6" s="268" t="s">
        <v>37</v>
      </c>
      <c r="D6" s="268"/>
      <c r="E6" s="270">
        <v>20086277523</v>
      </c>
      <c r="F6" s="268"/>
      <c r="G6" s="268"/>
    </row>
    <row r="7" spans="1:7" hidden="1">
      <c r="A7" s="276" t="s">
        <v>709</v>
      </c>
      <c r="B7" s="269" t="s">
        <v>868</v>
      </c>
      <c r="C7" s="267" t="s">
        <v>869</v>
      </c>
      <c r="D7" s="267" t="s">
        <v>743</v>
      </c>
      <c r="E7" s="267">
        <v>20131067446</v>
      </c>
      <c r="F7" s="277">
        <v>278865.59999999998</v>
      </c>
      <c r="G7" s="277">
        <v>0</v>
      </c>
    </row>
    <row r="8" spans="1:7" hidden="1">
      <c r="A8" s="268" t="s">
        <v>709</v>
      </c>
      <c r="B8" s="270">
        <v>6066</v>
      </c>
      <c r="C8" s="268" t="s">
        <v>417</v>
      </c>
      <c r="D8" s="268"/>
      <c r="E8" s="270">
        <v>20131067446</v>
      </c>
      <c r="F8" s="268">
        <v>278865.59999999998</v>
      </c>
      <c r="G8" s="270">
        <v>0</v>
      </c>
    </row>
    <row r="9" spans="1:7" hidden="1">
      <c r="A9" s="276" t="s">
        <v>685</v>
      </c>
      <c r="B9" s="269" t="s">
        <v>810</v>
      </c>
      <c r="C9" s="267" t="s">
        <v>811</v>
      </c>
      <c r="D9" s="267" t="s">
        <v>743</v>
      </c>
      <c r="E9" s="267">
        <v>20184052858</v>
      </c>
      <c r="F9" s="277">
        <v>16859.46</v>
      </c>
      <c r="G9" s="277">
        <v>0</v>
      </c>
    </row>
    <row r="10" spans="1:7" hidden="1">
      <c r="A10" s="276" t="s">
        <v>729</v>
      </c>
      <c r="B10" s="269" t="s">
        <v>915</v>
      </c>
      <c r="C10" s="267" t="s">
        <v>811</v>
      </c>
      <c r="D10" s="267" t="s">
        <v>743</v>
      </c>
      <c r="E10" s="267">
        <v>20184052858</v>
      </c>
      <c r="F10" s="277">
        <v>71074.3</v>
      </c>
      <c r="G10" s="277">
        <v>0</v>
      </c>
    </row>
    <row r="11" spans="1:7" hidden="1">
      <c r="A11" s="268" t="s">
        <v>685</v>
      </c>
      <c r="B11" s="270">
        <v>4250</v>
      </c>
      <c r="C11" s="268" t="s">
        <v>689</v>
      </c>
      <c r="D11" s="268"/>
      <c r="E11" s="270">
        <v>20184052858</v>
      </c>
      <c r="F11" s="278">
        <v>16859.48</v>
      </c>
      <c r="G11" s="270">
        <v>0</v>
      </c>
    </row>
    <row r="12" spans="1:7" hidden="1">
      <c r="A12" s="268" t="s">
        <v>729</v>
      </c>
      <c r="B12" s="270">
        <v>4276</v>
      </c>
      <c r="C12" s="268" t="s">
        <v>689</v>
      </c>
      <c r="D12" s="268"/>
      <c r="E12" s="270">
        <v>20184052858</v>
      </c>
      <c r="F12" s="278">
        <v>71074.33</v>
      </c>
      <c r="G12" s="270">
        <v>0</v>
      </c>
    </row>
    <row r="13" spans="1:7">
      <c r="A13" s="271" t="s">
        <v>729</v>
      </c>
      <c r="B13" s="272">
        <v>804</v>
      </c>
      <c r="C13" s="271" t="s">
        <v>733</v>
      </c>
      <c r="D13" s="271"/>
      <c r="E13" s="272">
        <v>20214946867</v>
      </c>
      <c r="F13" s="275">
        <v>37189.24</v>
      </c>
      <c r="G13" s="272">
        <v>0</v>
      </c>
    </row>
    <row r="14" spans="1:7" hidden="1">
      <c r="A14" s="276" t="s">
        <v>685</v>
      </c>
      <c r="B14" s="269" t="s">
        <v>808</v>
      </c>
      <c r="C14" s="267" t="s">
        <v>809</v>
      </c>
      <c r="D14" s="267" t="s">
        <v>759</v>
      </c>
      <c r="E14" s="267">
        <v>20216451679</v>
      </c>
      <c r="F14" s="277">
        <v>0</v>
      </c>
      <c r="G14" s="277">
        <v>86000</v>
      </c>
    </row>
    <row r="15" spans="1:7" hidden="1">
      <c r="A15" s="276" t="s">
        <v>723</v>
      </c>
      <c r="B15" s="269" t="s">
        <v>907</v>
      </c>
      <c r="C15" s="267" t="s">
        <v>809</v>
      </c>
      <c r="D15" s="267" t="s">
        <v>759</v>
      </c>
      <c r="E15" s="267">
        <v>20216451679</v>
      </c>
      <c r="F15" s="277">
        <v>0</v>
      </c>
      <c r="G15" s="277">
        <v>160000</v>
      </c>
    </row>
    <row r="16" spans="1:7" hidden="1">
      <c r="A16" s="268" t="s">
        <v>685</v>
      </c>
      <c r="B16" s="270">
        <v>986</v>
      </c>
      <c r="C16" s="268" t="s">
        <v>477</v>
      </c>
      <c r="D16" s="268"/>
      <c r="E16" s="270">
        <v>20216451679</v>
      </c>
      <c r="F16" s="268"/>
      <c r="G16" s="268"/>
    </row>
    <row r="17" spans="1:7" hidden="1">
      <c r="A17" s="268" t="s">
        <v>709</v>
      </c>
      <c r="B17" s="270">
        <v>991</v>
      </c>
      <c r="C17" s="268" t="s">
        <v>477</v>
      </c>
      <c r="D17" s="268"/>
      <c r="E17" s="270">
        <v>20216451679</v>
      </c>
      <c r="F17" s="268"/>
      <c r="G17" s="268"/>
    </row>
    <row r="18" spans="1:7" hidden="1">
      <c r="A18" s="268" t="s">
        <v>723</v>
      </c>
      <c r="B18" s="270">
        <v>995</v>
      </c>
      <c r="C18" s="268" t="s">
        <v>477</v>
      </c>
      <c r="D18" s="268"/>
      <c r="E18" s="270">
        <v>20216451679</v>
      </c>
      <c r="F18" s="268"/>
      <c r="G18" s="268"/>
    </row>
    <row r="19" spans="1:7" hidden="1">
      <c r="A19" s="262" t="s">
        <v>694</v>
      </c>
      <c r="B19" s="269" t="s">
        <v>821</v>
      </c>
      <c r="C19" s="222" t="s">
        <v>822</v>
      </c>
      <c r="D19" s="222" t="s">
        <v>743</v>
      </c>
      <c r="E19" s="265">
        <v>20272865869</v>
      </c>
      <c r="F19" s="266">
        <v>128100</v>
      </c>
      <c r="G19" s="266">
        <v>0</v>
      </c>
    </row>
    <row r="20" spans="1:7" hidden="1">
      <c r="A20" s="262" t="s">
        <v>696</v>
      </c>
      <c r="B20" s="269" t="s">
        <v>833</v>
      </c>
      <c r="C20" s="222" t="s">
        <v>822</v>
      </c>
      <c r="D20" s="222" t="s">
        <v>743</v>
      </c>
      <c r="E20" s="265">
        <v>20272865869</v>
      </c>
      <c r="F20" s="266">
        <v>9950</v>
      </c>
      <c r="G20" s="266">
        <v>0</v>
      </c>
    </row>
    <row r="21" spans="1:7" hidden="1">
      <c r="A21" s="262" t="s">
        <v>709</v>
      </c>
      <c r="B21" s="269" t="s">
        <v>865</v>
      </c>
      <c r="C21" s="222" t="s">
        <v>822</v>
      </c>
      <c r="D21" s="222" t="s">
        <v>743</v>
      </c>
      <c r="E21" s="265">
        <v>20272865869</v>
      </c>
      <c r="F21" s="266">
        <v>253100</v>
      </c>
      <c r="G21" s="266">
        <v>0</v>
      </c>
    </row>
    <row r="22" spans="1:7" hidden="1">
      <c r="A22" s="262" t="s">
        <v>723</v>
      </c>
      <c r="B22" s="269" t="s">
        <v>905</v>
      </c>
      <c r="C22" s="222" t="s">
        <v>822</v>
      </c>
      <c r="D22" s="222" t="s">
        <v>743</v>
      </c>
      <c r="E22" s="265">
        <v>20272865869</v>
      </c>
      <c r="F22" s="266">
        <v>9800</v>
      </c>
      <c r="G22" s="266">
        <v>0</v>
      </c>
    </row>
    <row r="23" spans="1:7" hidden="1">
      <c r="A23" s="262" t="s">
        <v>723</v>
      </c>
      <c r="B23" s="269" t="s">
        <v>906</v>
      </c>
      <c r="C23" s="222" t="s">
        <v>822</v>
      </c>
      <c r="D23" s="222" t="s">
        <v>743</v>
      </c>
      <c r="E23" s="265">
        <v>20272865869</v>
      </c>
      <c r="F23" s="266">
        <v>105000</v>
      </c>
      <c r="G23" s="266">
        <v>0</v>
      </c>
    </row>
    <row r="24" spans="1:7" hidden="1">
      <c r="A24" s="262" t="s">
        <v>729</v>
      </c>
      <c r="B24" s="269" t="s">
        <v>914</v>
      </c>
      <c r="C24" s="222" t="s">
        <v>822</v>
      </c>
      <c r="D24" s="222" t="s">
        <v>743</v>
      </c>
      <c r="E24" s="265">
        <v>20272865869</v>
      </c>
      <c r="F24" s="266">
        <v>149150</v>
      </c>
      <c r="G24" s="266">
        <v>0</v>
      </c>
    </row>
    <row r="25" spans="1:7" hidden="1">
      <c r="A25" s="268" t="s">
        <v>674</v>
      </c>
      <c r="B25" s="270">
        <v>760</v>
      </c>
      <c r="C25" s="268" t="s">
        <v>625</v>
      </c>
      <c r="D25" s="268"/>
      <c r="E25" s="270">
        <v>20272865869</v>
      </c>
      <c r="F25" s="270">
        <v>84450</v>
      </c>
      <c r="G25" s="270">
        <v>0</v>
      </c>
    </row>
    <row r="26" spans="1:7" hidden="1">
      <c r="A26" s="264" t="s">
        <v>694</v>
      </c>
      <c r="B26" s="270">
        <v>778</v>
      </c>
      <c r="C26" s="264" t="s">
        <v>625</v>
      </c>
      <c r="D26" s="264"/>
      <c r="E26" s="263">
        <v>20272865869</v>
      </c>
      <c r="F26" s="263">
        <v>128100</v>
      </c>
      <c r="G26" s="263">
        <v>0</v>
      </c>
    </row>
    <row r="27" spans="1:7" hidden="1">
      <c r="A27" s="264" t="s">
        <v>696</v>
      </c>
      <c r="B27" s="270">
        <v>783</v>
      </c>
      <c r="C27" s="264" t="s">
        <v>625</v>
      </c>
      <c r="D27" s="264"/>
      <c r="E27" s="263">
        <v>20272865869</v>
      </c>
      <c r="F27" s="263">
        <v>9950</v>
      </c>
      <c r="G27" s="263">
        <v>0</v>
      </c>
    </row>
    <row r="28" spans="1:7" hidden="1">
      <c r="A28" s="264" t="s">
        <v>709</v>
      </c>
      <c r="B28" s="270">
        <v>796</v>
      </c>
      <c r="C28" s="264" t="s">
        <v>625</v>
      </c>
      <c r="D28" s="264"/>
      <c r="E28" s="263">
        <v>20272865869</v>
      </c>
      <c r="F28" s="263">
        <v>253100</v>
      </c>
      <c r="G28" s="263">
        <v>0</v>
      </c>
    </row>
    <row r="29" spans="1:7" hidden="1">
      <c r="A29" s="264" t="s">
        <v>721</v>
      </c>
      <c r="B29" s="270">
        <v>814</v>
      </c>
      <c r="C29" s="264" t="s">
        <v>625</v>
      </c>
      <c r="D29" s="264"/>
      <c r="E29" s="263">
        <v>20272865869</v>
      </c>
      <c r="F29" s="263">
        <v>149150</v>
      </c>
      <c r="G29" s="263">
        <v>0</v>
      </c>
    </row>
    <row r="30" spans="1:7" hidden="1">
      <c r="A30" s="264" t="s">
        <v>723</v>
      </c>
      <c r="B30" s="270">
        <v>816</v>
      </c>
      <c r="C30" s="264" t="s">
        <v>625</v>
      </c>
      <c r="D30" s="264"/>
      <c r="E30" s="263">
        <v>20272865869</v>
      </c>
      <c r="F30" s="263">
        <v>9800</v>
      </c>
      <c r="G30" s="263">
        <v>0</v>
      </c>
    </row>
    <row r="31" spans="1:7" hidden="1">
      <c r="A31" s="264" t="s">
        <v>723</v>
      </c>
      <c r="B31" s="270">
        <v>819</v>
      </c>
      <c r="C31" s="264" t="s">
        <v>625</v>
      </c>
      <c r="D31" s="264"/>
      <c r="E31" s="263">
        <v>20272865869</v>
      </c>
      <c r="F31" s="263">
        <v>105000</v>
      </c>
      <c r="G31" s="263">
        <v>0</v>
      </c>
    </row>
    <row r="32" spans="1:7" hidden="1">
      <c r="A32" s="276" t="s">
        <v>670</v>
      </c>
      <c r="B32" s="269" t="s">
        <v>781</v>
      </c>
      <c r="C32" s="267" t="s">
        <v>782</v>
      </c>
      <c r="D32" s="267" t="s">
        <v>743</v>
      </c>
      <c r="E32" s="267">
        <v>20284183534</v>
      </c>
      <c r="F32" s="277">
        <v>4545.5</v>
      </c>
      <c r="G32" s="277">
        <v>0</v>
      </c>
    </row>
    <row r="33" spans="1:7" hidden="1">
      <c r="A33" s="276" t="s">
        <v>721</v>
      </c>
      <c r="B33" s="269" t="s">
        <v>903</v>
      </c>
      <c r="C33" s="267" t="s">
        <v>782</v>
      </c>
      <c r="D33" s="267" t="s">
        <v>743</v>
      </c>
      <c r="E33" s="267">
        <v>20284183534</v>
      </c>
      <c r="F33" s="277">
        <v>9504.130000000001</v>
      </c>
      <c r="G33" s="277">
        <v>0</v>
      </c>
    </row>
    <row r="34" spans="1:7" hidden="1">
      <c r="A34" s="268" t="s">
        <v>670</v>
      </c>
      <c r="B34" s="270">
        <v>3241</v>
      </c>
      <c r="C34" s="268" t="s">
        <v>448</v>
      </c>
      <c r="D34" s="268"/>
      <c r="E34" s="270">
        <v>20284183534</v>
      </c>
      <c r="F34" s="268">
        <v>4545.5</v>
      </c>
      <c r="G34" s="270">
        <v>0</v>
      </c>
    </row>
    <row r="35" spans="1:7" hidden="1">
      <c r="A35" s="268" t="s">
        <v>721</v>
      </c>
      <c r="B35" s="270">
        <v>3292</v>
      </c>
      <c r="C35" s="268" t="s">
        <v>448</v>
      </c>
      <c r="D35" s="268"/>
      <c r="E35" s="270">
        <v>20284183534</v>
      </c>
      <c r="F35" s="278">
        <v>9504.1299999999992</v>
      </c>
      <c r="G35" s="270">
        <v>0</v>
      </c>
    </row>
    <row r="36" spans="1:7" hidden="1">
      <c r="A36" s="276" t="s">
        <v>694</v>
      </c>
      <c r="B36" s="269" t="s">
        <v>823</v>
      </c>
      <c r="C36" s="267" t="s">
        <v>824</v>
      </c>
      <c r="D36" s="267" t="s">
        <v>743</v>
      </c>
      <c r="E36" s="267">
        <v>20289111329</v>
      </c>
      <c r="F36" s="277">
        <v>585730.80000000005</v>
      </c>
      <c r="G36" s="277">
        <v>0</v>
      </c>
    </row>
    <row r="37" spans="1:7" hidden="1">
      <c r="A37" s="268" t="s">
        <v>694</v>
      </c>
      <c r="B37" s="270">
        <v>38394</v>
      </c>
      <c r="C37" s="268" t="s">
        <v>695</v>
      </c>
      <c r="D37" s="268"/>
      <c r="E37" s="270">
        <v>20289111329</v>
      </c>
      <c r="F37" s="268">
        <v>585730.80000000005</v>
      </c>
      <c r="G37" s="270">
        <v>0</v>
      </c>
    </row>
    <row r="38" spans="1:7" hidden="1">
      <c r="A38" s="276" t="s">
        <v>711</v>
      </c>
      <c r="B38" s="269" t="s">
        <v>872</v>
      </c>
      <c r="C38" s="267" t="s">
        <v>873</v>
      </c>
      <c r="D38" s="267" t="s">
        <v>743</v>
      </c>
      <c r="E38" s="267">
        <v>20317488476</v>
      </c>
      <c r="F38" s="277">
        <v>1870000</v>
      </c>
      <c r="G38" s="277">
        <v>0</v>
      </c>
    </row>
    <row r="39" spans="1:7" hidden="1">
      <c r="A39" s="276" t="s">
        <v>720</v>
      </c>
      <c r="B39" s="269" t="s">
        <v>895</v>
      </c>
      <c r="C39" s="267" t="s">
        <v>873</v>
      </c>
      <c r="D39" s="267" t="s">
        <v>743</v>
      </c>
      <c r="E39" s="267">
        <v>20317488476</v>
      </c>
      <c r="F39" s="277">
        <v>105000</v>
      </c>
      <c r="G39" s="277">
        <v>0</v>
      </c>
    </row>
    <row r="40" spans="1:7" hidden="1">
      <c r="A40" s="268" t="s">
        <v>711</v>
      </c>
      <c r="B40" s="270">
        <v>136</v>
      </c>
      <c r="C40" s="268" t="s">
        <v>256</v>
      </c>
      <c r="D40" s="268"/>
      <c r="E40" s="270">
        <v>20317488476</v>
      </c>
      <c r="F40" s="270">
        <v>1870000</v>
      </c>
      <c r="G40" s="270">
        <v>0</v>
      </c>
    </row>
    <row r="41" spans="1:7" hidden="1">
      <c r="A41" s="268" t="s">
        <v>720</v>
      </c>
      <c r="B41" s="270">
        <v>137</v>
      </c>
      <c r="C41" s="268" t="s">
        <v>256</v>
      </c>
      <c r="D41" s="268"/>
      <c r="E41" s="270">
        <v>20317488476</v>
      </c>
      <c r="F41" s="270">
        <v>105000</v>
      </c>
      <c r="G41" s="270">
        <v>0</v>
      </c>
    </row>
    <row r="42" spans="1:7" hidden="1">
      <c r="A42" s="276" t="s">
        <v>696</v>
      </c>
      <c r="B42" s="269" t="s">
        <v>836</v>
      </c>
      <c r="C42" s="267" t="s">
        <v>837</v>
      </c>
      <c r="D42" s="267" t="s">
        <v>743</v>
      </c>
      <c r="E42" s="267">
        <v>20334976433</v>
      </c>
      <c r="F42" s="277">
        <v>-188330</v>
      </c>
      <c r="G42" s="277">
        <v>0</v>
      </c>
    </row>
    <row r="43" spans="1:7" hidden="1">
      <c r="A43" s="276" t="s">
        <v>696</v>
      </c>
      <c r="B43" s="269" t="s">
        <v>838</v>
      </c>
      <c r="C43" s="267" t="s">
        <v>837</v>
      </c>
      <c r="D43" s="267" t="s">
        <v>743</v>
      </c>
      <c r="E43" s="267">
        <v>20334976433</v>
      </c>
      <c r="F43" s="277">
        <v>188330</v>
      </c>
      <c r="G43" s="277">
        <v>0</v>
      </c>
    </row>
    <row r="44" spans="1:7" hidden="1">
      <c r="A44" s="276" t="s">
        <v>696</v>
      </c>
      <c r="B44" s="269" t="s">
        <v>839</v>
      </c>
      <c r="C44" s="267" t="s">
        <v>837</v>
      </c>
      <c r="D44" s="267" t="s">
        <v>743</v>
      </c>
      <c r="E44" s="267">
        <v>20334976433</v>
      </c>
      <c r="F44" s="277">
        <v>153000</v>
      </c>
      <c r="G44" s="277">
        <v>0</v>
      </c>
    </row>
    <row r="45" spans="1:7" hidden="1">
      <c r="A45" s="276" t="s">
        <v>721</v>
      </c>
      <c r="B45" s="269" t="s">
        <v>900</v>
      </c>
      <c r="C45" s="267" t="s">
        <v>837</v>
      </c>
      <c r="D45" s="267" t="s">
        <v>743</v>
      </c>
      <c r="E45" s="267">
        <v>20334976433</v>
      </c>
      <c r="F45" s="277">
        <v>90000</v>
      </c>
      <c r="G45" s="277">
        <v>0</v>
      </c>
    </row>
    <row r="46" spans="1:7" hidden="1">
      <c r="A46" s="268" t="s">
        <v>696</v>
      </c>
      <c r="B46" s="270">
        <v>170</v>
      </c>
      <c r="C46" s="268" t="s">
        <v>498</v>
      </c>
      <c r="D46" s="268"/>
      <c r="E46" s="270">
        <v>20334976433</v>
      </c>
      <c r="F46" s="270">
        <v>188330</v>
      </c>
      <c r="G46" s="270">
        <v>0</v>
      </c>
    </row>
    <row r="47" spans="1:7" hidden="1">
      <c r="A47" s="268" t="s">
        <v>696</v>
      </c>
      <c r="B47" s="270">
        <v>171</v>
      </c>
      <c r="C47" s="268" t="s">
        <v>498</v>
      </c>
      <c r="D47" s="268"/>
      <c r="E47" s="270">
        <v>20334976433</v>
      </c>
      <c r="F47" s="270">
        <v>153000</v>
      </c>
      <c r="G47" s="270">
        <v>0</v>
      </c>
    </row>
    <row r="48" spans="1:7" hidden="1">
      <c r="A48" s="268" t="s">
        <v>696</v>
      </c>
      <c r="B48" s="270">
        <v>17</v>
      </c>
      <c r="C48" s="268" t="s">
        <v>498</v>
      </c>
      <c r="D48" s="268"/>
      <c r="E48" s="270">
        <v>20334976433</v>
      </c>
      <c r="F48" s="270">
        <v>188330</v>
      </c>
      <c r="G48" s="270">
        <v>0</v>
      </c>
    </row>
    <row r="49" spans="1:7" hidden="1">
      <c r="A49" s="268" t="s">
        <v>721</v>
      </c>
      <c r="B49" s="270">
        <v>172</v>
      </c>
      <c r="C49" s="268" t="s">
        <v>498</v>
      </c>
      <c r="D49" s="268"/>
      <c r="E49" s="270">
        <v>20334976433</v>
      </c>
      <c r="F49" s="270">
        <v>90000</v>
      </c>
      <c r="G49" s="270">
        <v>0</v>
      </c>
    </row>
    <row r="50" spans="1:7" hidden="1">
      <c r="A50" s="276" t="s">
        <v>711</v>
      </c>
      <c r="B50" s="269" t="s">
        <v>875</v>
      </c>
      <c r="C50" s="267" t="s">
        <v>712</v>
      </c>
      <c r="D50" s="267" t="s">
        <v>743</v>
      </c>
      <c r="E50" s="267">
        <v>20348485580</v>
      </c>
      <c r="F50" s="277">
        <v>29099.82</v>
      </c>
      <c r="G50" s="277">
        <v>0</v>
      </c>
    </row>
    <row r="51" spans="1:7" hidden="1">
      <c r="A51" s="268" t="s">
        <v>711</v>
      </c>
      <c r="B51" s="270">
        <v>3877</v>
      </c>
      <c r="C51" s="268" t="s">
        <v>712</v>
      </c>
      <c r="D51" s="268"/>
      <c r="E51" s="270">
        <v>20348485580</v>
      </c>
      <c r="F51" s="278">
        <v>29099.82</v>
      </c>
      <c r="G51" s="270">
        <v>0</v>
      </c>
    </row>
    <row r="52" spans="1:7" hidden="1">
      <c r="A52" s="276" t="s">
        <v>690</v>
      </c>
      <c r="B52" s="269" t="s">
        <v>815</v>
      </c>
      <c r="C52" s="267" t="s">
        <v>816</v>
      </c>
      <c r="D52" s="267" t="s">
        <v>759</v>
      </c>
      <c r="E52" s="267">
        <v>20464199633</v>
      </c>
      <c r="F52" s="277">
        <v>0</v>
      </c>
      <c r="G52" s="277">
        <v>499950</v>
      </c>
    </row>
    <row r="53" spans="1:7" hidden="1">
      <c r="A53" s="268" t="s">
        <v>690</v>
      </c>
      <c r="B53" s="270">
        <v>9</v>
      </c>
      <c r="C53" s="268" t="s">
        <v>693</v>
      </c>
      <c r="D53" s="268"/>
      <c r="E53" s="270">
        <v>20464199633</v>
      </c>
      <c r="F53" s="268"/>
      <c r="G53" s="268"/>
    </row>
    <row r="54" spans="1:7" hidden="1">
      <c r="A54" s="276" t="s">
        <v>721</v>
      </c>
      <c r="B54" s="269" t="s">
        <v>901</v>
      </c>
      <c r="C54" s="267" t="s">
        <v>469</v>
      </c>
      <c r="D54" s="267" t="s">
        <v>743</v>
      </c>
      <c r="E54" s="267">
        <v>20929183143</v>
      </c>
      <c r="F54" s="277">
        <v>50000</v>
      </c>
      <c r="G54" s="277">
        <v>0</v>
      </c>
    </row>
    <row r="55" spans="1:7" hidden="1">
      <c r="A55" s="268" t="s">
        <v>721</v>
      </c>
      <c r="B55" s="270">
        <v>32</v>
      </c>
      <c r="C55" s="268" t="s">
        <v>469</v>
      </c>
      <c r="D55" s="268"/>
      <c r="E55" s="270">
        <v>20929183143</v>
      </c>
      <c r="F55" s="270">
        <v>50000</v>
      </c>
      <c r="G55" s="270">
        <v>0</v>
      </c>
    </row>
    <row r="56" spans="1:7" hidden="1">
      <c r="A56" s="276" t="s">
        <v>708</v>
      </c>
      <c r="B56" s="269" t="s">
        <v>856</v>
      </c>
      <c r="C56" s="267" t="s">
        <v>857</v>
      </c>
      <c r="D56" s="267" t="s">
        <v>759</v>
      </c>
      <c r="E56" s="267">
        <v>23281233084</v>
      </c>
      <c r="F56" s="277">
        <v>0</v>
      </c>
      <c r="G56" s="277">
        <v>215000</v>
      </c>
    </row>
    <row r="57" spans="1:7" hidden="1">
      <c r="A57" s="276" t="s">
        <v>708</v>
      </c>
      <c r="B57" s="269" t="s">
        <v>858</v>
      </c>
      <c r="C57" s="267" t="s">
        <v>857</v>
      </c>
      <c r="D57" s="267" t="s">
        <v>759</v>
      </c>
      <c r="E57" s="267">
        <v>23281233084</v>
      </c>
      <c r="F57" s="277">
        <v>0</v>
      </c>
      <c r="G57" s="277">
        <v>215000</v>
      </c>
    </row>
    <row r="58" spans="1:7" hidden="1">
      <c r="A58" s="268" t="s">
        <v>708</v>
      </c>
      <c r="B58" s="270">
        <v>70</v>
      </c>
      <c r="C58" s="268" t="s">
        <v>184</v>
      </c>
      <c r="D58" s="268"/>
      <c r="E58" s="270">
        <v>23281233084</v>
      </c>
      <c r="F58" s="268"/>
      <c r="G58" s="268"/>
    </row>
    <row r="59" spans="1:7" hidden="1">
      <c r="A59" s="268" t="s">
        <v>708</v>
      </c>
      <c r="B59" s="270">
        <v>71</v>
      </c>
      <c r="C59" s="268" t="s">
        <v>184</v>
      </c>
      <c r="D59" s="268"/>
      <c r="E59" s="270">
        <v>23281233084</v>
      </c>
      <c r="F59" s="268"/>
      <c r="G59" s="268"/>
    </row>
    <row r="60" spans="1:7">
      <c r="A60" s="271" t="s">
        <v>700</v>
      </c>
      <c r="B60" s="272">
        <v>168</v>
      </c>
      <c r="C60" s="271" t="s">
        <v>404</v>
      </c>
      <c r="D60" s="271"/>
      <c r="E60" s="272">
        <v>27062343449</v>
      </c>
      <c r="F60" s="271"/>
      <c r="G60" s="271"/>
    </row>
    <row r="61" spans="1:7">
      <c r="A61" s="271" t="s">
        <v>700</v>
      </c>
      <c r="B61" s="272">
        <v>169</v>
      </c>
      <c r="C61" s="271" t="s">
        <v>404</v>
      </c>
      <c r="D61" s="271"/>
      <c r="E61" s="272">
        <v>27062343449</v>
      </c>
      <c r="F61" s="271"/>
      <c r="G61" s="271"/>
    </row>
    <row r="62" spans="1:7" hidden="1">
      <c r="A62" s="276" t="s">
        <v>744</v>
      </c>
      <c r="B62" s="269" t="s">
        <v>745</v>
      </c>
      <c r="C62" s="267" t="s">
        <v>746</v>
      </c>
      <c r="D62" s="267" t="s">
        <v>743</v>
      </c>
      <c r="E62" s="267">
        <v>27114789033</v>
      </c>
      <c r="F62" s="277">
        <v>56363.64</v>
      </c>
      <c r="G62" s="277">
        <v>0</v>
      </c>
    </row>
    <row r="63" spans="1:7" hidden="1">
      <c r="A63" s="276" t="s">
        <v>747</v>
      </c>
      <c r="B63" s="269" t="s">
        <v>748</v>
      </c>
      <c r="C63" s="267" t="s">
        <v>746</v>
      </c>
      <c r="D63" s="267" t="s">
        <v>743</v>
      </c>
      <c r="E63" s="267">
        <v>27114789033</v>
      </c>
      <c r="F63" s="277">
        <v>10991.74</v>
      </c>
      <c r="G63" s="277">
        <v>0</v>
      </c>
    </row>
    <row r="64" spans="1:7" hidden="1">
      <c r="A64" s="276" t="s">
        <v>696</v>
      </c>
      <c r="B64" s="269" t="s">
        <v>834</v>
      </c>
      <c r="C64" s="267" t="s">
        <v>835</v>
      </c>
      <c r="D64" s="267" t="s">
        <v>743</v>
      </c>
      <c r="E64" s="267">
        <v>27117233745</v>
      </c>
      <c r="F64" s="277">
        <v>585519</v>
      </c>
      <c r="G64" s="277">
        <v>0</v>
      </c>
    </row>
    <row r="65" spans="1:7" hidden="1">
      <c r="A65" s="276" t="s">
        <v>708</v>
      </c>
      <c r="B65" s="269" t="s">
        <v>861</v>
      </c>
      <c r="C65" s="267" t="s">
        <v>835</v>
      </c>
      <c r="D65" s="267" t="s">
        <v>743</v>
      </c>
      <c r="E65" s="267">
        <v>27117233745</v>
      </c>
      <c r="F65" s="277">
        <v>585519</v>
      </c>
      <c r="G65" s="277">
        <v>0</v>
      </c>
    </row>
    <row r="66" spans="1:7" hidden="1">
      <c r="A66" s="268" t="s">
        <v>696</v>
      </c>
      <c r="B66" s="270">
        <v>4940</v>
      </c>
      <c r="C66" s="268" t="s">
        <v>698</v>
      </c>
      <c r="D66" s="268"/>
      <c r="E66" s="270">
        <v>27117233745</v>
      </c>
      <c r="F66" s="270">
        <v>585519</v>
      </c>
      <c r="G66" s="270">
        <v>0</v>
      </c>
    </row>
    <row r="67" spans="1:7" hidden="1">
      <c r="A67" s="268" t="s">
        <v>708</v>
      </c>
      <c r="B67" s="270">
        <v>4942</v>
      </c>
      <c r="C67" s="268" t="s">
        <v>698</v>
      </c>
      <c r="D67" s="268"/>
      <c r="E67" s="270">
        <v>27117233745</v>
      </c>
      <c r="F67" s="270">
        <v>585519</v>
      </c>
      <c r="G67" s="270">
        <v>0</v>
      </c>
    </row>
    <row r="68" spans="1:7" hidden="1">
      <c r="A68" s="276" t="s">
        <v>657</v>
      </c>
      <c r="B68" s="269" t="s">
        <v>755</v>
      </c>
      <c r="C68" s="267" t="s">
        <v>756</v>
      </c>
      <c r="D68" s="267" t="s">
        <v>743</v>
      </c>
      <c r="E68" s="267">
        <v>27144282383</v>
      </c>
      <c r="F68" s="277">
        <v>160000</v>
      </c>
      <c r="G68" s="277">
        <v>0</v>
      </c>
    </row>
    <row r="69" spans="1:7" hidden="1">
      <c r="A69" s="276" t="s">
        <v>702</v>
      </c>
      <c r="B69" s="269" t="s">
        <v>841</v>
      </c>
      <c r="C69" s="267" t="s">
        <v>756</v>
      </c>
      <c r="D69" s="267" t="s">
        <v>743</v>
      </c>
      <c r="E69" s="267">
        <v>27144282383</v>
      </c>
      <c r="F69" s="277">
        <v>320000</v>
      </c>
      <c r="G69" s="277">
        <v>0</v>
      </c>
    </row>
    <row r="70" spans="1:7" hidden="1">
      <c r="A70" s="276" t="s">
        <v>711</v>
      </c>
      <c r="B70" s="269" t="s">
        <v>871</v>
      </c>
      <c r="C70" s="267" t="s">
        <v>756</v>
      </c>
      <c r="D70" s="267" t="s">
        <v>743</v>
      </c>
      <c r="E70" s="267">
        <v>27144282383</v>
      </c>
      <c r="F70" s="277">
        <v>320000</v>
      </c>
      <c r="G70" s="277">
        <v>0</v>
      </c>
    </row>
    <row r="71" spans="1:7" hidden="1">
      <c r="A71" s="276" t="s">
        <v>721</v>
      </c>
      <c r="B71" s="269" t="s">
        <v>899</v>
      </c>
      <c r="C71" s="267" t="s">
        <v>756</v>
      </c>
      <c r="D71" s="267" t="s">
        <v>743</v>
      </c>
      <c r="E71" s="267">
        <v>27144282383</v>
      </c>
      <c r="F71" s="277">
        <v>300000</v>
      </c>
      <c r="G71" s="277">
        <v>0</v>
      </c>
    </row>
    <row r="72" spans="1:7" hidden="1">
      <c r="A72" s="268" t="s">
        <v>657</v>
      </c>
      <c r="B72" s="270">
        <v>248</v>
      </c>
      <c r="C72" s="268" t="s">
        <v>663</v>
      </c>
      <c r="D72" s="268"/>
      <c r="E72" s="270">
        <v>27144282383</v>
      </c>
      <c r="F72" s="270">
        <v>160000</v>
      </c>
      <c r="G72" s="270">
        <v>0</v>
      </c>
    </row>
    <row r="73" spans="1:7" hidden="1">
      <c r="A73" s="268" t="s">
        <v>702</v>
      </c>
      <c r="B73" s="270">
        <v>249</v>
      </c>
      <c r="C73" s="268" t="s">
        <v>663</v>
      </c>
      <c r="D73" s="268"/>
      <c r="E73" s="270">
        <v>27144282383</v>
      </c>
      <c r="F73" s="270">
        <v>320000</v>
      </c>
      <c r="G73" s="270">
        <v>0</v>
      </c>
    </row>
    <row r="74" spans="1:7" hidden="1">
      <c r="A74" s="268" t="s">
        <v>711</v>
      </c>
      <c r="B74" s="270">
        <v>250</v>
      </c>
      <c r="C74" s="268" t="s">
        <v>663</v>
      </c>
      <c r="D74" s="268"/>
      <c r="E74" s="270">
        <v>27144282383</v>
      </c>
      <c r="F74" s="270">
        <v>320000</v>
      </c>
      <c r="G74" s="270">
        <v>0</v>
      </c>
    </row>
    <row r="75" spans="1:7" hidden="1">
      <c r="A75" s="268" t="s">
        <v>721</v>
      </c>
      <c r="B75" s="270">
        <v>252</v>
      </c>
      <c r="C75" s="268" t="s">
        <v>663</v>
      </c>
      <c r="D75" s="268"/>
      <c r="E75" s="270">
        <v>27144282383</v>
      </c>
      <c r="F75" s="270">
        <v>300000</v>
      </c>
      <c r="G75" s="270">
        <v>0</v>
      </c>
    </row>
    <row r="76" spans="1:7" hidden="1">
      <c r="A76" s="276" t="s">
        <v>705</v>
      </c>
      <c r="B76" s="269" t="s">
        <v>847</v>
      </c>
      <c r="C76" s="267" t="s">
        <v>848</v>
      </c>
      <c r="D76" s="267" t="s">
        <v>759</v>
      </c>
      <c r="E76" s="267">
        <v>27217606255</v>
      </c>
      <c r="F76" s="277">
        <v>0</v>
      </c>
      <c r="G76" s="277">
        <v>56703.42</v>
      </c>
    </row>
    <row r="77" spans="1:7" hidden="1">
      <c r="A77" s="276" t="s">
        <v>705</v>
      </c>
      <c r="B77" s="269" t="s">
        <v>849</v>
      </c>
      <c r="C77" s="267" t="s">
        <v>848</v>
      </c>
      <c r="D77" s="267" t="s">
        <v>759</v>
      </c>
      <c r="E77" s="267">
        <v>27217606255</v>
      </c>
      <c r="F77" s="277">
        <v>0</v>
      </c>
      <c r="G77" s="277">
        <v>50223.03</v>
      </c>
    </row>
    <row r="78" spans="1:7" hidden="1">
      <c r="A78" s="276" t="s">
        <v>708</v>
      </c>
      <c r="B78" s="269" t="s">
        <v>859</v>
      </c>
      <c r="C78" s="267" t="s">
        <v>848</v>
      </c>
      <c r="D78" s="267" t="s">
        <v>759</v>
      </c>
      <c r="E78" s="267">
        <v>27217606255</v>
      </c>
      <c r="F78" s="277">
        <v>0</v>
      </c>
      <c r="G78" s="277">
        <v>55083.32</v>
      </c>
    </row>
    <row r="79" spans="1:7" hidden="1">
      <c r="A79" s="276" t="s">
        <v>708</v>
      </c>
      <c r="B79" s="269" t="s">
        <v>860</v>
      </c>
      <c r="C79" s="267" t="s">
        <v>848</v>
      </c>
      <c r="D79" s="267" t="s">
        <v>759</v>
      </c>
      <c r="E79" s="267">
        <v>27217606255</v>
      </c>
      <c r="F79" s="277">
        <v>0</v>
      </c>
      <c r="G79" s="277">
        <v>148916.68</v>
      </c>
    </row>
    <row r="80" spans="1:7" hidden="1">
      <c r="A80" s="276" t="s">
        <v>709</v>
      </c>
      <c r="B80" s="269" t="s">
        <v>863</v>
      </c>
      <c r="C80" s="267" t="s">
        <v>848</v>
      </c>
      <c r="D80" s="267" t="s">
        <v>759</v>
      </c>
      <c r="E80" s="267">
        <v>27217606255</v>
      </c>
      <c r="F80" s="277">
        <v>0</v>
      </c>
      <c r="G80" s="277">
        <v>96357.85</v>
      </c>
    </row>
    <row r="81" spans="1:7" hidden="1">
      <c r="A81" s="276" t="s">
        <v>709</v>
      </c>
      <c r="B81" s="269" t="s">
        <v>864</v>
      </c>
      <c r="C81" s="267" t="s">
        <v>848</v>
      </c>
      <c r="D81" s="267" t="s">
        <v>759</v>
      </c>
      <c r="E81" s="267">
        <v>27217606255</v>
      </c>
      <c r="F81" s="277">
        <v>0</v>
      </c>
      <c r="G81" s="277">
        <v>105117.66</v>
      </c>
    </row>
    <row r="82" spans="1:7" hidden="1">
      <c r="A82" s="276" t="s">
        <v>711</v>
      </c>
      <c r="B82" s="269" t="s">
        <v>870</v>
      </c>
      <c r="C82" s="267" t="s">
        <v>848</v>
      </c>
      <c r="D82" s="267" t="s">
        <v>759</v>
      </c>
      <c r="E82" s="267">
        <v>27217606255</v>
      </c>
      <c r="F82" s="277">
        <v>0</v>
      </c>
      <c r="G82" s="277">
        <v>87598.05</v>
      </c>
    </row>
    <row r="83" spans="1:7" hidden="1">
      <c r="A83" s="268" t="s">
        <v>705</v>
      </c>
      <c r="B83" s="270">
        <v>248</v>
      </c>
      <c r="C83" s="268" t="s">
        <v>359</v>
      </c>
      <c r="D83" s="268"/>
      <c r="E83" s="270">
        <v>27217606255</v>
      </c>
      <c r="F83" s="268"/>
      <c r="G83" s="268"/>
    </row>
    <row r="84" spans="1:7" hidden="1">
      <c r="A84" s="268" t="s">
        <v>705</v>
      </c>
      <c r="B84" s="270">
        <v>247</v>
      </c>
      <c r="C84" s="268" t="s">
        <v>359</v>
      </c>
      <c r="D84" s="268"/>
      <c r="E84" s="270">
        <v>27217606255</v>
      </c>
      <c r="F84" s="268"/>
      <c r="G84" s="268"/>
    </row>
    <row r="85" spans="1:7" hidden="1">
      <c r="A85" s="268" t="s">
        <v>708</v>
      </c>
      <c r="B85" s="270">
        <v>249</v>
      </c>
      <c r="C85" s="268" t="s">
        <v>359</v>
      </c>
      <c r="D85" s="268"/>
      <c r="E85" s="270">
        <v>27217606255</v>
      </c>
      <c r="F85" s="268"/>
      <c r="G85" s="268"/>
    </row>
    <row r="86" spans="1:7" hidden="1">
      <c r="A86" s="268" t="s">
        <v>708</v>
      </c>
      <c r="B86" s="270">
        <v>250</v>
      </c>
      <c r="C86" s="268" t="s">
        <v>359</v>
      </c>
      <c r="D86" s="268"/>
      <c r="E86" s="270">
        <v>27217606255</v>
      </c>
      <c r="F86" s="268"/>
      <c r="G86" s="268"/>
    </row>
    <row r="87" spans="1:7" hidden="1">
      <c r="A87" s="268" t="s">
        <v>709</v>
      </c>
      <c r="B87" s="270">
        <v>251</v>
      </c>
      <c r="C87" s="268" t="s">
        <v>359</v>
      </c>
      <c r="D87" s="268"/>
      <c r="E87" s="270">
        <v>27217606255</v>
      </c>
      <c r="F87" s="268"/>
      <c r="G87" s="268"/>
    </row>
    <row r="88" spans="1:7" hidden="1">
      <c r="A88" s="268" t="s">
        <v>709</v>
      </c>
      <c r="B88" s="270">
        <v>252</v>
      </c>
      <c r="C88" s="268" t="s">
        <v>359</v>
      </c>
      <c r="D88" s="268"/>
      <c r="E88" s="270">
        <v>27217606255</v>
      </c>
      <c r="F88" s="268"/>
      <c r="G88" s="268"/>
    </row>
    <row r="89" spans="1:7" hidden="1">
      <c r="A89" s="268" t="s">
        <v>711</v>
      </c>
      <c r="B89" s="270">
        <v>253</v>
      </c>
      <c r="C89" s="268" t="s">
        <v>359</v>
      </c>
      <c r="D89" s="268"/>
      <c r="E89" s="270">
        <v>27217606255</v>
      </c>
      <c r="F89" s="268"/>
      <c r="G89" s="268"/>
    </row>
    <row r="90" spans="1:7" hidden="1">
      <c r="A90" s="276" t="s">
        <v>717</v>
      </c>
      <c r="B90" s="269" t="s">
        <v>891</v>
      </c>
      <c r="C90" s="267" t="s">
        <v>892</v>
      </c>
      <c r="D90" s="267" t="s">
        <v>743</v>
      </c>
      <c r="E90" s="267">
        <v>27243660535</v>
      </c>
      <c r="F90" s="277">
        <v>360000</v>
      </c>
      <c r="G90" s="277">
        <v>0</v>
      </c>
    </row>
    <row r="91" spans="1:7" hidden="1">
      <c r="A91" s="268" t="s">
        <v>717</v>
      </c>
      <c r="B91" s="270">
        <v>25</v>
      </c>
      <c r="C91" s="268" t="s">
        <v>719</v>
      </c>
      <c r="D91" s="268"/>
      <c r="E91" s="270">
        <v>27243660535</v>
      </c>
      <c r="F91" s="270">
        <v>360000</v>
      </c>
      <c r="G91" s="270">
        <v>0</v>
      </c>
    </row>
    <row r="92" spans="1:7" hidden="1">
      <c r="A92" s="268" t="s">
        <v>725</v>
      </c>
      <c r="B92" s="270">
        <v>336</v>
      </c>
      <c r="C92" s="268" t="s">
        <v>726</v>
      </c>
      <c r="D92" s="268"/>
      <c r="E92" s="270">
        <v>27251962559</v>
      </c>
      <c r="F92" s="278">
        <v>42396.71</v>
      </c>
      <c r="G92" s="270">
        <v>0</v>
      </c>
    </row>
    <row r="93" spans="1:7" hidden="1">
      <c r="A93" s="276" t="s">
        <v>657</v>
      </c>
      <c r="B93" s="269" t="s">
        <v>757</v>
      </c>
      <c r="C93" s="267" t="s">
        <v>758</v>
      </c>
      <c r="D93" s="267" t="s">
        <v>759</v>
      </c>
      <c r="E93" s="267">
        <v>27265832178</v>
      </c>
      <c r="F93" s="277">
        <v>0</v>
      </c>
      <c r="G93" s="277">
        <v>250000</v>
      </c>
    </row>
    <row r="94" spans="1:7" hidden="1">
      <c r="A94" s="268" t="s">
        <v>657</v>
      </c>
      <c r="B94" s="270">
        <v>302</v>
      </c>
      <c r="C94" s="268" t="s">
        <v>478</v>
      </c>
      <c r="D94" s="268"/>
      <c r="E94" s="270">
        <v>27265832178</v>
      </c>
      <c r="F94" s="268"/>
      <c r="G94" s="268"/>
    </row>
    <row r="95" spans="1:7" hidden="1">
      <c r="A95" s="276" t="s">
        <v>657</v>
      </c>
      <c r="B95" s="269" t="s">
        <v>761</v>
      </c>
      <c r="C95" s="267" t="s">
        <v>762</v>
      </c>
      <c r="D95" s="267" t="s">
        <v>743</v>
      </c>
      <c r="E95" s="267">
        <v>27329449357</v>
      </c>
      <c r="F95" s="277">
        <v>64100</v>
      </c>
      <c r="G95" s="277">
        <v>16400</v>
      </c>
    </row>
    <row r="96" spans="1:7" hidden="1">
      <c r="A96" s="268" t="s">
        <v>657</v>
      </c>
      <c r="B96" s="270">
        <v>102</v>
      </c>
      <c r="C96" s="268" t="s">
        <v>664</v>
      </c>
      <c r="D96" s="268"/>
      <c r="E96" s="270">
        <v>27329449357</v>
      </c>
      <c r="F96" s="270">
        <v>64100</v>
      </c>
      <c r="G96" s="270">
        <v>16400</v>
      </c>
    </row>
    <row r="97" spans="1:7" hidden="1">
      <c r="A97" s="276" t="s">
        <v>683</v>
      </c>
      <c r="B97" s="269" t="s">
        <v>799</v>
      </c>
      <c r="C97" s="267" t="s">
        <v>800</v>
      </c>
      <c r="D97" s="267" t="s">
        <v>759</v>
      </c>
      <c r="E97" s="267">
        <v>27338342840</v>
      </c>
      <c r="F97" s="277">
        <v>0</v>
      </c>
      <c r="G97" s="277">
        <v>276800</v>
      </c>
    </row>
    <row r="98" spans="1:7" hidden="1">
      <c r="A98" s="268" t="s">
        <v>683</v>
      </c>
      <c r="B98" s="270">
        <v>148</v>
      </c>
      <c r="C98" s="268" t="s">
        <v>432</v>
      </c>
      <c r="D98" s="268"/>
      <c r="E98" s="270">
        <v>27338342840</v>
      </c>
      <c r="F98" s="268"/>
      <c r="G98" s="268"/>
    </row>
    <row r="99" spans="1:7" hidden="1">
      <c r="A99" s="276" t="s">
        <v>685</v>
      </c>
      <c r="B99" s="269" t="s">
        <v>806</v>
      </c>
      <c r="C99" s="267" t="s">
        <v>807</v>
      </c>
      <c r="D99" s="267" t="s">
        <v>743</v>
      </c>
      <c r="E99" s="267">
        <v>27363810182</v>
      </c>
      <c r="F99" s="277">
        <v>3635.54</v>
      </c>
      <c r="G99" s="277">
        <v>0</v>
      </c>
    </row>
    <row r="100" spans="1:7" hidden="1">
      <c r="A100" s="268" t="s">
        <v>685</v>
      </c>
      <c r="B100" s="270">
        <v>8403</v>
      </c>
      <c r="C100" s="268" t="s">
        <v>686</v>
      </c>
      <c r="D100" s="268"/>
      <c r="E100" s="270">
        <v>27363810182</v>
      </c>
      <c r="F100" s="278">
        <v>3635.54</v>
      </c>
      <c r="G100" s="270">
        <v>0</v>
      </c>
    </row>
    <row r="101" spans="1:7" hidden="1">
      <c r="A101" s="276" t="s">
        <v>713</v>
      </c>
      <c r="B101" s="269" t="s">
        <v>877</v>
      </c>
      <c r="C101" s="267" t="s">
        <v>878</v>
      </c>
      <c r="D101" s="267" t="s">
        <v>759</v>
      </c>
      <c r="E101" s="267">
        <v>27443612705</v>
      </c>
      <c r="F101" s="277">
        <v>0</v>
      </c>
      <c r="G101" s="277">
        <v>600000</v>
      </c>
    </row>
    <row r="102" spans="1:7" hidden="1">
      <c r="A102" s="268" t="s">
        <v>713</v>
      </c>
      <c r="B102" s="270">
        <v>14</v>
      </c>
      <c r="C102" s="268" t="s">
        <v>714</v>
      </c>
      <c r="D102" s="268"/>
      <c r="E102" s="270">
        <v>27443612705</v>
      </c>
      <c r="F102" s="268"/>
      <c r="G102" s="268"/>
    </row>
    <row r="103" spans="1:7" hidden="1">
      <c r="A103" s="276" t="s">
        <v>723</v>
      </c>
      <c r="B103" s="269" t="s">
        <v>908</v>
      </c>
      <c r="C103" s="267" t="s">
        <v>909</v>
      </c>
      <c r="D103" s="267" t="s">
        <v>743</v>
      </c>
      <c r="E103" s="267">
        <v>30526492281</v>
      </c>
      <c r="F103" s="277">
        <v>149600</v>
      </c>
      <c r="G103" s="277">
        <v>0</v>
      </c>
    </row>
    <row r="104" spans="1:7" hidden="1">
      <c r="A104" s="268" t="s">
        <v>723</v>
      </c>
      <c r="B104" s="270">
        <v>7702</v>
      </c>
      <c r="C104" s="268" t="s">
        <v>724</v>
      </c>
      <c r="D104" s="268"/>
      <c r="E104" s="270">
        <v>30526492281</v>
      </c>
      <c r="F104" s="270">
        <v>149600</v>
      </c>
      <c r="G104" s="270">
        <v>0</v>
      </c>
    </row>
    <row r="105" spans="1:7">
      <c r="A105" s="271" t="s">
        <v>709</v>
      </c>
      <c r="B105" s="272">
        <v>91964</v>
      </c>
      <c r="C105" s="271" t="s">
        <v>710</v>
      </c>
      <c r="D105" s="271"/>
      <c r="E105" s="272">
        <v>30526582884</v>
      </c>
      <c r="F105" s="275">
        <v>4462.8100000000004</v>
      </c>
      <c r="G105" s="272">
        <v>0</v>
      </c>
    </row>
    <row r="106" spans="1:7" hidden="1">
      <c r="A106" s="276" t="s">
        <v>653</v>
      </c>
      <c r="B106" s="269" t="s">
        <v>751</v>
      </c>
      <c r="C106" s="267" t="s">
        <v>752</v>
      </c>
      <c r="D106" s="267" t="s">
        <v>743</v>
      </c>
      <c r="E106" s="267">
        <v>30548083156</v>
      </c>
      <c r="F106" s="277">
        <v>6462.61</v>
      </c>
      <c r="G106" s="277">
        <v>0</v>
      </c>
    </row>
    <row r="107" spans="1:7" hidden="1">
      <c r="A107" s="268" t="s">
        <v>653</v>
      </c>
      <c r="B107" s="270">
        <v>75919</v>
      </c>
      <c r="C107" s="268" t="s">
        <v>655</v>
      </c>
      <c r="D107" s="268"/>
      <c r="E107" s="270">
        <v>30548083156</v>
      </c>
      <c r="F107" s="278">
        <v>6462.61</v>
      </c>
      <c r="G107" s="270">
        <v>0</v>
      </c>
    </row>
    <row r="108" spans="1:7">
      <c r="A108" s="271" t="s">
        <v>711</v>
      </c>
      <c r="B108" s="272">
        <v>6478</v>
      </c>
      <c r="C108" s="271" t="s">
        <v>655</v>
      </c>
      <c r="D108" s="271"/>
      <c r="E108" s="272">
        <v>30548083156</v>
      </c>
      <c r="F108" s="275">
        <v>4109.47</v>
      </c>
      <c r="G108" s="272">
        <v>0</v>
      </c>
    </row>
    <row r="109" spans="1:7">
      <c r="A109" s="271" t="s">
        <v>725</v>
      </c>
      <c r="B109" s="272">
        <v>77373</v>
      </c>
      <c r="C109" s="271" t="s">
        <v>655</v>
      </c>
      <c r="D109" s="271"/>
      <c r="E109" s="272">
        <v>30548083156</v>
      </c>
      <c r="F109" s="275">
        <v>3905.09</v>
      </c>
      <c r="G109" s="272">
        <v>0</v>
      </c>
    </row>
    <row r="110" spans="1:7" hidden="1">
      <c r="A110" s="276" t="s">
        <v>680</v>
      </c>
      <c r="B110" s="269" t="s">
        <v>797</v>
      </c>
      <c r="C110" s="267" t="s">
        <v>798</v>
      </c>
      <c r="D110" s="267" t="s">
        <v>743</v>
      </c>
      <c r="E110" s="267">
        <v>30574876474</v>
      </c>
      <c r="F110" s="277">
        <v>14073.48</v>
      </c>
      <c r="G110" s="277">
        <v>1.000000000021828E-2</v>
      </c>
    </row>
    <row r="111" spans="1:7" hidden="1">
      <c r="A111" s="276" t="s">
        <v>702</v>
      </c>
      <c r="B111" s="269" t="s">
        <v>846</v>
      </c>
      <c r="C111" s="267" t="s">
        <v>798</v>
      </c>
      <c r="D111" s="267" t="s">
        <v>743</v>
      </c>
      <c r="E111" s="267">
        <v>30574876474</v>
      </c>
      <c r="F111" s="277">
        <v>12702.14</v>
      </c>
      <c r="G111" s="277">
        <v>5.0000000001091394E-2</v>
      </c>
    </row>
    <row r="112" spans="1:7" hidden="1">
      <c r="A112" s="276" t="s">
        <v>715</v>
      </c>
      <c r="B112" s="269" t="s">
        <v>890</v>
      </c>
      <c r="C112" s="267" t="s">
        <v>798</v>
      </c>
      <c r="D112" s="267" t="s">
        <v>743</v>
      </c>
      <c r="E112" s="267">
        <v>30574876474</v>
      </c>
      <c r="F112" s="277">
        <v>17107.72</v>
      </c>
      <c r="G112" s="277">
        <v>2.999999999883585E-2</v>
      </c>
    </row>
    <row r="113" spans="1:7" hidden="1">
      <c r="A113" s="268" t="s">
        <v>680</v>
      </c>
      <c r="B113" s="270">
        <v>643182</v>
      </c>
      <c r="C113" s="268" t="s">
        <v>681</v>
      </c>
      <c r="D113" s="268"/>
      <c r="E113" s="270">
        <v>30574876474</v>
      </c>
      <c r="F113" s="278">
        <v>14073.49</v>
      </c>
      <c r="G113" s="270">
        <v>0</v>
      </c>
    </row>
    <row r="114" spans="1:7" hidden="1">
      <c r="A114" s="268" t="s">
        <v>702</v>
      </c>
      <c r="B114" s="270">
        <v>644558</v>
      </c>
      <c r="C114" s="268" t="s">
        <v>681</v>
      </c>
      <c r="D114" s="268"/>
      <c r="E114" s="270">
        <v>30574876474</v>
      </c>
      <c r="F114" s="278">
        <v>12702.19</v>
      </c>
      <c r="G114" s="270">
        <v>0</v>
      </c>
    </row>
    <row r="115" spans="1:7" hidden="1">
      <c r="A115" s="268" t="s">
        <v>715</v>
      </c>
      <c r="B115" s="270">
        <v>648091</v>
      </c>
      <c r="C115" s="268" t="s">
        <v>681</v>
      </c>
      <c r="D115" s="268"/>
      <c r="E115" s="270">
        <v>30574876474</v>
      </c>
      <c r="F115" s="278">
        <v>17107.75</v>
      </c>
      <c r="G115" s="270">
        <v>0</v>
      </c>
    </row>
    <row r="116" spans="1:7" hidden="1">
      <c r="A116" s="268" t="s">
        <v>729</v>
      </c>
      <c r="B116" s="270">
        <v>650706</v>
      </c>
      <c r="C116" s="268" t="s">
        <v>681</v>
      </c>
      <c r="D116" s="268"/>
      <c r="E116" s="270">
        <v>30574876474</v>
      </c>
      <c r="F116" s="278">
        <v>24879.27</v>
      </c>
      <c r="G116" s="270">
        <v>0</v>
      </c>
    </row>
    <row r="117" spans="1:7">
      <c r="A117" s="271" t="s">
        <v>700</v>
      </c>
      <c r="B117" s="272">
        <v>3802250</v>
      </c>
      <c r="C117" s="271" t="s">
        <v>701</v>
      </c>
      <c r="D117" s="271"/>
      <c r="E117" s="272">
        <v>30577207190</v>
      </c>
      <c r="F117" s="275">
        <v>2975.21</v>
      </c>
      <c r="G117" s="272">
        <v>0</v>
      </c>
    </row>
    <row r="118" spans="1:7" hidden="1">
      <c r="A118" s="276" t="s">
        <v>670</v>
      </c>
      <c r="B118" s="269" t="s">
        <v>784</v>
      </c>
      <c r="C118" s="267" t="s">
        <v>785</v>
      </c>
      <c r="D118" s="279" t="s">
        <v>743</v>
      </c>
      <c r="E118" s="267">
        <v>30587197215</v>
      </c>
      <c r="F118" s="277">
        <v>68595.040000000008</v>
      </c>
      <c r="G118" s="277">
        <v>0</v>
      </c>
    </row>
    <row r="119" spans="1:7" hidden="1">
      <c r="A119" s="276" t="s">
        <v>670</v>
      </c>
      <c r="B119" s="269" t="s">
        <v>786</v>
      </c>
      <c r="C119" s="267" t="s">
        <v>785</v>
      </c>
      <c r="D119" s="279" t="s">
        <v>743</v>
      </c>
      <c r="E119" s="267">
        <v>30587197215</v>
      </c>
      <c r="F119" s="277">
        <v>68595.040000000008</v>
      </c>
      <c r="G119" s="277">
        <v>0</v>
      </c>
    </row>
    <row r="120" spans="1:7" hidden="1">
      <c r="A120" s="268" t="s">
        <v>670</v>
      </c>
      <c r="B120" s="270">
        <v>4949</v>
      </c>
      <c r="C120" s="268" t="s">
        <v>493</v>
      </c>
      <c r="D120" s="280"/>
      <c r="E120" s="270">
        <v>30587197215</v>
      </c>
      <c r="F120" s="278">
        <v>68595.039999999994</v>
      </c>
      <c r="G120" s="270">
        <v>0</v>
      </c>
    </row>
    <row r="121" spans="1:7" hidden="1">
      <c r="A121" s="268" t="s">
        <v>670</v>
      </c>
      <c r="B121" s="270">
        <v>4948</v>
      </c>
      <c r="C121" s="268" t="s">
        <v>493</v>
      </c>
      <c r="D121" s="280"/>
      <c r="E121" s="270">
        <v>30587197215</v>
      </c>
      <c r="F121" s="278">
        <v>68595.039999999994</v>
      </c>
      <c r="G121" s="270">
        <v>0</v>
      </c>
    </row>
    <row r="122" spans="1:7" hidden="1">
      <c r="A122" s="276" t="s">
        <v>670</v>
      </c>
      <c r="B122" s="269" t="s">
        <v>779</v>
      </c>
      <c r="C122" s="267" t="s">
        <v>780</v>
      </c>
      <c r="D122" s="279" t="s">
        <v>743</v>
      </c>
      <c r="E122" s="267">
        <v>30595553535</v>
      </c>
      <c r="F122" s="277">
        <v>4793.3900000000003</v>
      </c>
      <c r="G122" s="277">
        <v>0</v>
      </c>
    </row>
    <row r="123" spans="1:7" hidden="1">
      <c r="A123" s="268" t="s">
        <v>670</v>
      </c>
      <c r="B123" s="270">
        <v>50685</v>
      </c>
      <c r="C123" s="268" t="s">
        <v>671</v>
      </c>
      <c r="D123" s="280"/>
      <c r="E123" s="270">
        <v>30595553535</v>
      </c>
      <c r="F123" s="278">
        <v>4793.3900000000003</v>
      </c>
      <c r="G123" s="270">
        <v>0</v>
      </c>
    </row>
    <row r="124" spans="1:7" hidden="1">
      <c r="A124" s="276" t="s">
        <v>657</v>
      </c>
      <c r="B124" s="269" t="s">
        <v>763</v>
      </c>
      <c r="C124" s="267" t="s">
        <v>764</v>
      </c>
      <c r="D124" s="279" t="s">
        <v>743</v>
      </c>
      <c r="E124" s="267">
        <v>30598960093</v>
      </c>
      <c r="F124" s="277">
        <v>2376294.19</v>
      </c>
      <c r="G124" s="277">
        <v>0</v>
      </c>
    </row>
    <row r="125" spans="1:7" hidden="1">
      <c r="A125" s="268" t="s">
        <v>657</v>
      </c>
      <c r="B125" s="270">
        <v>158399</v>
      </c>
      <c r="C125" s="268" t="s">
        <v>660</v>
      </c>
      <c r="D125" s="280"/>
      <c r="E125" s="270">
        <v>30598960093</v>
      </c>
      <c r="F125" s="268">
        <v>2376294.2000000002</v>
      </c>
      <c r="G125" s="270">
        <v>0</v>
      </c>
    </row>
    <row r="126" spans="1:7" hidden="1">
      <c r="A126" s="276" t="s">
        <v>666</v>
      </c>
      <c r="B126" s="269" t="s">
        <v>771</v>
      </c>
      <c r="C126" s="267" t="s">
        <v>772</v>
      </c>
      <c r="D126" s="279" t="s">
        <v>743</v>
      </c>
      <c r="E126" s="267">
        <v>30605344352</v>
      </c>
      <c r="F126" s="277">
        <v>834000</v>
      </c>
      <c r="G126" s="277">
        <v>0</v>
      </c>
    </row>
    <row r="127" spans="1:7" hidden="1">
      <c r="A127" s="268" t="s">
        <v>666</v>
      </c>
      <c r="B127" s="270">
        <v>216</v>
      </c>
      <c r="C127" s="268" t="s">
        <v>669</v>
      </c>
      <c r="D127" s="280"/>
      <c r="E127" s="270">
        <v>30605344352</v>
      </c>
      <c r="F127" s="270">
        <v>834000</v>
      </c>
      <c r="G127" s="270">
        <v>0</v>
      </c>
    </row>
    <row r="128" spans="1:7">
      <c r="A128" s="271" t="s">
        <v>729</v>
      </c>
      <c r="B128" s="272">
        <v>17452146</v>
      </c>
      <c r="C128" s="271" t="s">
        <v>730</v>
      </c>
      <c r="D128" s="274"/>
      <c r="E128" s="272">
        <v>30620177497</v>
      </c>
      <c r="F128" s="272">
        <v>0</v>
      </c>
      <c r="G128" s="272">
        <v>0</v>
      </c>
    </row>
    <row r="129" spans="1:7">
      <c r="A129" s="271" t="s">
        <v>729</v>
      </c>
      <c r="B129" s="272">
        <v>17599524</v>
      </c>
      <c r="C129" s="271" t="s">
        <v>730</v>
      </c>
      <c r="D129" s="274"/>
      <c r="E129" s="272">
        <v>30620177497</v>
      </c>
      <c r="F129" s="275">
        <v>26164.14</v>
      </c>
      <c r="G129" s="272">
        <v>0</v>
      </c>
    </row>
    <row r="130" spans="1:7" hidden="1">
      <c r="A130" s="276" t="s">
        <v>705</v>
      </c>
      <c r="B130" s="269" t="s">
        <v>854</v>
      </c>
      <c r="C130" s="267" t="s">
        <v>855</v>
      </c>
      <c r="D130" s="279" t="s">
        <v>743</v>
      </c>
      <c r="E130" s="267">
        <v>30639453738</v>
      </c>
      <c r="F130" s="277">
        <v>24142.14</v>
      </c>
      <c r="G130" s="277">
        <v>0</v>
      </c>
    </row>
    <row r="131" spans="1:7" hidden="1">
      <c r="A131" s="268" t="s">
        <v>705</v>
      </c>
      <c r="B131" s="270">
        <v>4388001</v>
      </c>
      <c r="C131" s="268" t="s">
        <v>707</v>
      </c>
      <c r="D131" s="280"/>
      <c r="E131" s="270">
        <v>30639453738</v>
      </c>
      <c r="F131" s="278">
        <v>24142.14</v>
      </c>
      <c r="G131" s="270">
        <v>0</v>
      </c>
    </row>
    <row r="132" spans="1:7">
      <c r="A132" s="271" t="s">
        <v>696</v>
      </c>
      <c r="B132" s="272">
        <v>1469491</v>
      </c>
      <c r="C132" s="271" t="s">
        <v>697</v>
      </c>
      <c r="D132" s="274"/>
      <c r="E132" s="272">
        <v>30639935872</v>
      </c>
      <c r="F132" s="275">
        <v>2934.75</v>
      </c>
      <c r="G132" s="272">
        <v>0</v>
      </c>
    </row>
    <row r="133" spans="1:7" hidden="1">
      <c r="A133" s="276" t="s">
        <v>677</v>
      </c>
      <c r="B133" s="269" t="s">
        <v>792</v>
      </c>
      <c r="C133" s="267" t="s">
        <v>793</v>
      </c>
      <c r="D133" s="279" t="s">
        <v>743</v>
      </c>
      <c r="E133" s="267">
        <v>30643518364</v>
      </c>
      <c r="F133" s="277">
        <v>188610</v>
      </c>
      <c r="G133" s="277">
        <v>0</v>
      </c>
    </row>
    <row r="134" spans="1:7" hidden="1">
      <c r="A134" s="268" t="s">
        <v>677</v>
      </c>
      <c r="B134" s="270">
        <v>306</v>
      </c>
      <c r="C134" s="268" t="s">
        <v>678</v>
      </c>
      <c r="D134" s="280"/>
      <c r="E134" s="270">
        <v>30643518364</v>
      </c>
      <c r="F134" s="270">
        <v>188610</v>
      </c>
      <c r="G134" s="270">
        <v>0</v>
      </c>
    </row>
    <row r="135" spans="1:7" hidden="1">
      <c r="A135" s="276" t="s">
        <v>657</v>
      </c>
      <c r="B135" s="269" t="s">
        <v>767</v>
      </c>
      <c r="C135" s="267" t="s">
        <v>768</v>
      </c>
      <c r="D135" s="279" t="s">
        <v>743</v>
      </c>
      <c r="E135" s="267">
        <v>30654118767</v>
      </c>
      <c r="F135" s="277">
        <v>89554.36</v>
      </c>
      <c r="G135" s="277">
        <v>0</v>
      </c>
    </row>
    <row r="136" spans="1:7" hidden="1">
      <c r="A136" s="268" t="s">
        <v>657</v>
      </c>
      <c r="B136" s="270">
        <v>1611886</v>
      </c>
      <c r="C136" s="268" t="s">
        <v>658</v>
      </c>
      <c r="D136" s="280"/>
      <c r="E136" s="270">
        <v>30654118767</v>
      </c>
      <c r="F136" s="278">
        <v>89554.36</v>
      </c>
      <c r="G136" s="270">
        <v>0</v>
      </c>
    </row>
    <row r="137" spans="1:7" hidden="1">
      <c r="A137" s="268" t="s">
        <v>729</v>
      </c>
      <c r="B137" s="270">
        <v>3548</v>
      </c>
      <c r="C137" s="268" t="s">
        <v>201</v>
      </c>
      <c r="D137" s="280"/>
      <c r="E137" s="270">
        <v>30661498575</v>
      </c>
      <c r="F137" s="278">
        <v>132396.71</v>
      </c>
      <c r="G137" s="270">
        <v>0</v>
      </c>
    </row>
    <row r="138" spans="1:7" hidden="1">
      <c r="A138" s="276" t="s">
        <v>666</v>
      </c>
      <c r="B138" s="269" t="s">
        <v>773</v>
      </c>
      <c r="C138" s="267" t="s">
        <v>774</v>
      </c>
      <c r="D138" s="279" t="s">
        <v>743</v>
      </c>
      <c r="E138" s="267">
        <v>30663498513</v>
      </c>
      <c r="F138" s="277">
        <v>2121.64</v>
      </c>
      <c r="G138" s="277">
        <v>0</v>
      </c>
    </row>
    <row r="139" spans="1:7" hidden="1">
      <c r="A139" s="276" t="s">
        <v>705</v>
      </c>
      <c r="B139" s="269" t="s">
        <v>852</v>
      </c>
      <c r="C139" s="267" t="s">
        <v>774</v>
      </c>
      <c r="D139" s="279" t="s">
        <v>743</v>
      </c>
      <c r="E139" s="267">
        <v>30663498513</v>
      </c>
      <c r="F139" s="277">
        <v>3440.74</v>
      </c>
      <c r="G139" s="277">
        <v>0</v>
      </c>
    </row>
    <row r="140" spans="1:7" hidden="1">
      <c r="A140" s="268" t="s">
        <v>666</v>
      </c>
      <c r="B140" s="270">
        <v>5407463</v>
      </c>
      <c r="C140" s="268" t="s">
        <v>667</v>
      </c>
      <c r="D140" s="280"/>
      <c r="E140" s="270">
        <v>30663498513</v>
      </c>
      <c r="F140" s="278">
        <v>2121.64</v>
      </c>
      <c r="G140" s="270">
        <v>0</v>
      </c>
    </row>
    <row r="141" spans="1:7" hidden="1">
      <c r="A141" s="268" t="s">
        <v>705</v>
      </c>
      <c r="B141" s="270">
        <v>5447412</v>
      </c>
      <c r="C141" s="268" t="s">
        <v>667</v>
      </c>
      <c r="D141" s="280"/>
      <c r="E141" s="270">
        <v>30663498513</v>
      </c>
      <c r="F141" s="278">
        <v>3440.74</v>
      </c>
      <c r="G141" s="270">
        <v>0</v>
      </c>
    </row>
    <row r="142" spans="1:7" hidden="1">
      <c r="A142" s="276" t="s">
        <v>666</v>
      </c>
      <c r="B142" s="269" t="s">
        <v>775</v>
      </c>
      <c r="C142" s="267" t="s">
        <v>776</v>
      </c>
      <c r="D142" s="279" t="s">
        <v>743</v>
      </c>
      <c r="E142" s="267">
        <v>30677237119</v>
      </c>
      <c r="F142" s="277">
        <v>7715.05</v>
      </c>
      <c r="G142" s="277">
        <v>0</v>
      </c>
    </row>
    <row r="143" spans="1:7" hidden="1">
      <c r="A143" s="276" t="s">
        <v>705</v>
      </c>
      <c r="B143" s="269" t="s">
        <v>853</v>
      </c>
      <c r="C143" s="267" t="s">
        <v>776</v>
      </c>
      <c r="D143" s="279" t="s">
        <v>743</v>
      </c>
      <c r="E143" s="267">
        <v>30677237119</v>
      </c>
      <c r="F143" s="277">
        <v>5515.3</v>
      </c>
      <c r="G143" s="277">
        <v>0</v>
      </c>
    </row>
    <row r="144" spans="1:7" hidden="1">
      <c r="A144" s="268" t="s">
        <v>666</v>
      </c>
      <c r="B144" s="270">
        <v>6097149</v>
      </c>
      <c r="C144" s="268" t="s">
        <v>668</v>
      </c>
      <c r="D144" s="280"/>
      <c r="E144" s="270">
        <v>30677237119</v>
      </c>
      <c r="F144" s="278">
        <v>7715.05</v>
      </c>
      <c r="G144" s="270">
        <v>0</v>
      </c>
    </row>
    <row r="145" spans="1:7" hidden="1">
      <c r="A145" s="268" t="s">
        <v>705</v>
      </c>
      <c r="B145" s="270">
        <v>6155254</v>
      </c>
      <c r="C145" s="268" t="s">
        <v>668</v>
      </c>
      <c r="D145" s="280"/>
      <c r="E145" s="270">
        <v>30677237119</v>
      </c>
      <c r="F145" s="268">
        <v>5515.3</v>
      </c>
      <c r="G145" s="270">
        <v>0</v>
      </c>
    </row>
    <row r="146" spans="1:7" hidden="1">
      <c r="A146" s="276" t="s">
        <v>657</v>
      </c>
      <c r="B146" s="269" t="s">
        <v>769</v>
      </c>
      <c r="C146" s="267" t="s">
        <v>770</v>
      </c>
      <c r="D146" s="279" t="s">
        <v>743</v>
      </c>
      <c r="E146" s="267">
        <v>30678814357</v>
      </c>
      <c r="F146" s="277">
        <v>14407</v>
      </c>
      <c r="G146" s="277">
        <v>0</v>
      </c>
    </row>
    <row r="147" spans="1:7" hidden="1">
      <c r="A147" s="276" t="s">
        <v>683</v>
      </c>
      <c r="B147" s="269" t="s">
        <v>805</v>
      </c>
      <c r="C147" s="267" t="s">
        <v>770</v>
      </c>
      <c r="D147" s="279" t="s">
        <v>743</v>
      </c>
      <c r="E147" s="267">
        <v>30678814357</v>
      </c>
      <c r="F147" s="277">
        <v>58748.37</v>
      </c>
      <c r="G147" s="277">
        <v>0</v>
      </c>
    </row>
    <row r="148" spans="1:7" hidden="1">
      <c r="A148" s="268" t="s">
        <v>657</v>
      </c>
      <c r="B148" s="270">
        <v>801967</v>
      </c>
      <c r="C148" s="268" t="s">
        <v>662</v>
      </c>
      <c r="D148" s="280"/>
      <c r="E148" s="270">
        <v>30678814357</v>
      </c>
      <c r="F148" s="270">
        <v>14407</v>
      </c>
      <c r="G148" s="270">
        <v>0</v>
      </c>
    </row>
    <row r="149" spans="1:7" hidden="1">
      <c r="A149" s="268" t="s">
        <v>683</v>
      </c>
      <c r="B149" s="270">
        <v>161895</v>
      </c>
      <c r="C149" s="268" t="s">
        <v>662</v>
      </c>
      <c r="D149" s="280"/>
      <c r="E149" s="270">
        <v>30678814357</v>
      </c>
      <c r="F149" s="278">
        <v>58748.38</v>
      </c>
      <c r="G149" s="270">
        <v>0</v>
      </c>
    </row>
    <row r="150" spans="1:7" hidden="1">
      <c r="A150" s="276" t="s">
        <v>717</v>
      </c>
      <c r="B150" s="269" t="s">
        <v>893</v>
      </c>
      <c r="C150" s="267" t="s">
        <v>894</v>
      </c>
      <c r="D150" s="279" t="s">
        <v>743</v>
      </c>
      <c r="E150" s="267">
        <v>30685849751</v>
      </c>
      <c r="F150" s="277">
        <v>6165.28</v>
      </c>
      <c r="G150" s="277">
        <v>0</v>
      </c>
    </row>
    <row r="151" spans="1:7" hidden="1">
      <c r="A151" s="268" t="s">
        <v>717</v>
      </c>
      <c r="B151" s="270">
        <v>854</v>
      </c>
      <c r="C151" s="268" t="s">
        <v>718</v>
      </c>
      <c r="D151" s="280"/>
      <c r="E151" s="270">
        <v>30685849751</v>
      </c>
      <c r="F151" s="278">
        <v>6165.28</v>
      </c>
      <c r="G151" s="270">
        <v>0</v>
      </c>
    </row>
    <row r="152" spans="1:7" hidden="1">
      <c r="A152" s="268" t="s">
        <v>729</v>
      </c>
      <c r="B152" s="270">
        <v>197792</v>
      </c>
      <c r="C152" s="268" t="s">
        <v>731</v>
      </c>
      <c r="D152" s="280"/>
      <c r="E152" s="270">
        <v>30696850972</v>
      </c>
      <c r="F152" s="278">
        <v>19732.580000000002</v>
      </c>
      <c r="G152" s="270">
        <v>0</v>
      </c>
    </row>
    <row r="153" spans="1:7" hidden="1">
      <c r="A153" s="276" t="s">
        <v>715</v>
      </c>
      <c r="B153" s="269" t="s">
        <v>879</v>
      </c>
      <c r="C153" s="267" t="s">
        <v>880</v>
      </c>
      <c r="D153" s="279" t="s">
        <v>743</v>
      </c>
      <c r="E153" s="267">
        <v>30702652975</v>
      </c>
      <c r="F153" s="277">
        <v>28530.17</v>
      </c>
      <c r="G153" s="277">
        <v>0</v>
      </c>
    </row>
    <row r="154" spans="1:7" hidden="1">
      <c r="A154" s="268" t="s">
        <v>715</v>
      </c>
      <c r="B154" s="270">
        <v>3128526</v>
      </c>
      <c r="C154" s="268" t="s">
        <v>716</v>
      </c>
      <c r="D154" s="280"/>
      <c r="E154" s="270">
        <v>30702652975</v>
      </c>
      <c r="F154" s="278">
        <v>28530.17</v>
      </c>
      <c r="G154" s="270">
        <v>0</v>
      </c>
    </row>
    <row r="155" spans="1:7" hidden="1">
      <c r="A155" s="268" t="s">
        <v>727</v>
      </c>
      <c r="B155" s="270">
        <v>2868796</v>
      </c>
      <c r="C155" s="268" t="s">
        <v>728</v>
      </c>
      <c r="D155" s="280"/>
      <c r="E155" s="270">
        <v>30703088534</v>
      </c>
      <c r="F155" s="278">
        <v>37574.04</v>
      </c>
      <c r="G155" s="270">
        <v>0</v>
      </c>
    </row>
    <row r="156" spans="1:7" hidden="1">
      <c r="A156" s="276" t="s">
        <v>653</v>
      </c>
      <c r="B156" s="269" t="s">
        <v>749</v>
      </c>
      <c r="C156" s="267" t="s">
        <v>750</v>
      </c>
      <c r="D156" s="279" t="s">
        <v>743</v>
      </c>
      <c r="E156" s="267">
        <v>30705740670</v>
      </c>
      <c r="F156" s="277">
        <v>69787.520000000004</v>
      </c>
      <c r="G156" s="277">
        <v>0</v>
      </c>
    </row>
    <row r="157" spans="1:7" hidden="1">
      <c r="A157" s="276" t="s">
        <v>729</v>
      </c>
      <c r="B157" s="269" t="s">
        <v>917</v>
      </c>
      <c r="C157" s="267" t="s">
        <v>750</v>
      </c>
      <c r="D157" s="279" t="s">
        <v>743</v>
      </c>
      <c r="E157" s="267">
        <v>30705740670</v>
      </c>
      <c r="F157" s="277">
        <v>32023.57</v>
      </c>
      <c r="G157" s="277">
        <v>0</v>
      </c>
    </row>
    <row r="158" spans="1:7" hidden="1">
      <c r="A158" s="276" t="s">
        <v>694</v>
      </c>
      <c r="B158" s="269" t="s">
        <v>829</v>
      </c>
      <c r="C158" s="267" t="s">
        <v>830</v>
      </c>
      <c r="D158" s="279" t="s">
        <v>743</v>
      </c>
      <c r="E158" s="267">
        <v>30708421983</v>
      </c>
      <c r="F158" s="277">
        <v>51735.54</v>
      </c>
      <c r="G158" s="277">
        <v>0</v>
      </c>
    </row>
    <row r="159" spans="1:7" hidden="1">
      <c r="A159" s="276" t="s">
        <v>715</v>
      </c>
      <c r="B159" s="269" t="s">
        <v>889</v>
      </c>
      <c r="C159" s="267" t="s">
        <v>187</v>
      </c>
      <c r="D159" s="279" t="s">
        <v>743</v>
      </c>
      <c r="E159" s="267">
        <v>30708574836</v>
      </c>
      <c r="F159" s="277">
        <v>0</v>
      </c>
      <c r="G159" s="277">
        <v>13800</v>
      </c>
    </row>
    <row r="160" spans="1:7" hidden="1">
      <c r="A160" s="276" t="s">
        <v>685</v>
      </c>
      <c r="B160" s="269" t="s">
        <v>814</v>
      </c>
      <c r="C160" s="267" t="s">
        <v>63</v>
      </c>
      <c r="D160" s="279" t="s">
        <v>743</v>
      </c>
      <c r="E160" s="267">
        <v>30708973501</v>
      </c>
      <c r="F160" s="277">
        <v>740255</v>
      </c>
      <c r="G160" s="277">
        <v>0</v>
      </c>
    </row>
    <row r="161" spans="1:7" hidden="1">
      <c r="A161" s="268" t="s">
        <v>685</v>
      </c>
      <c r="B161" s="270">
        <v>1684</v>
      </c>
      <c r="C161" s="268" t="s">
        <v>688</v>
      </c>
      <c r="D161" s="280"/>
      <c r="E161" s="270">
        <v>30708973501</v>
      </c>
      <c r="F161" s="270">
        <v>740255</v>
      </c>
      <c r="G161" s="270">
        <v>0</v>
      </c>
    </row>
    <row r="162" spans="1:7" hidden="1">
      <c r="A162" s="276" t="s">
        <v>702</v>
      </c>
      <c r="B162" s="269" t="s">
        <v>842</v>
      </c>
      <c r="C162" s="267" t="s">
        <v>843</v>
      </c>
      <c r="D162" s="279" t="s">
        <v>743</v>
      </c>
      <c r="E162" s="267">
        <v>30709459399</v>
      </c>
      <c r="F162" s="277">
        <v>11807.44</v>
      </c>
      <c r="G162" s="277">
        <v>0</v>
      </c>
    </row>
    <row r="163" spans="1:7" hidden="1">
      <c r="A163" s="268" t="s">
        <v>702</v>
      </c>
      <c r="B163" s="270">
        <v>40318</v>
      </c>
      <c r="C163" s="268" t="s">
        <v>703</v>
      </c>
      <c r="D163" s="280"/>
      <c r="E163" s="270">
        <v>30709459399</v>
      </c>
      <c r="F163" s="278">
        <v>11807.44</v>
      </c>
      <c r="G163" s="270">
        <v>0</v>
      </c>
    </row>
    <row r="164" spans="1:7">
      <c r="A164" s="271" t="s">
        <v>680</v>
      </c>
      <c r="B164" s="272">
        <v>1770378</v>
      </c>
      <c r="C164" s="271" t="s">
        <v>682</v>
      </c>
      <c r="D164" s="274"/>
      <c r="E164" s="272">
        <v>30709776564</v>
      </c>
      <c r="F164" s="272">
        <v>129241</v>
      </c>
      <c r="G164" s="272">
        <v>0</v>
      </c>
    </row>
    <row r="165" spans="1:7" hidden="1">
      <c r="A165" s="276" t="s">
        <v>683</v>
      </c>
      <c r="B165" s="269" t="s">
        <v>803</v>
      </c>
      <c r="C165" s="267" t="s">
        <v>804</v>
      </c>
      <c r="D165" s="279" t="s">
        <v>743</v>
      </c>
      <c r="E165" s="267">
        <v>30710177658</v>
      </c>
      <c r="F165" s="277">
        <v>700742.4</v>
      </c>
      <c r="G165" s="277">
        <v>0</v>
      </c>
    </row>
    <row r="166" spans="1:7" hidden="1">
      <c r="A166" s="276" t="s">
        <v>715</v>
      </c>
      <c r="B166" s="269" t="s">
        <v>882</v>
      </c>
      <c r="C166" s="267" t="s">
        <v>883</v>
      </c>
      <c r="D166" s="279" t="s">
        <v>743</v>
      </c>
      <c r="E166" s="267">
        <v>30710177658</v>
      </c>
      <c r="F166" s="277">
        <v>122080.32000000001</v>
      </c>
      <c r="G166" s="277">
        <v>0</v>
      </c>
    </row>
    <row r="167" spans="1:7" hidden="1">
      <c r="A167" s="276" t="s">
        <v>720</v>
      </c>
      <c r="B167" s="269" t="s">
        <v>898</v>
      </c>
      <c r="C167" s="267" t="s">
        <v>883</v>
      </c>
      <c r="D167" s="279" t="s">
        <v>743</v>
      </c>
      <c r="E167" s="267">
        <v>30710177658</v>
      </c>
      <c r="F167" s="277">
        <v>356854.44</v>
      </c>
      <c r="G167" s="277">
        <v>0</v>
      </c>
    </row>
    <row r="168" spans="1:7" hidden="1">
      <c r="A168" s="276" t="s">
        <v>721</v>
      </c>
      <c r="B168" s="269" t="s">
        <v>902</v>
      </c>
      <c r="C168" s="267" t="s">
        <v>804</v>
      </c>
      <c r="D168" s="279" t="s">
        <v>743</v>
      </c>
      <c r="E168" s="267">
        <v>30710177658</v>
      </c>
      <c r="F168" s="277">
        <v>682125</v>
      </c>
      <c r="G168" s="277">
        <v>0</v>
      </c>
    </row>
    <row r="169" spans="1:7" hidden="1">
      <c r="A169" s="268" t="s">
        <v>683</v>
      </c>
      <c r="B169" s="270">
        <v>54121</v>
      </c>
      <c r="C169" s="268" t="s">
        <v>684</v>
      </c>
      <c r="D169" s="280"/>
      <c r="E169" s="270">
        <v>30710177658</v>
      </c>
      <c r="F169" s="268">
        <v>700742.4</v>
      </c>
      <c r="G169" s="270">
        <v>0</v>
      </c>
    </row>
    <row r="170" spans="1:7" hidden="1">
      <c r="A170" s="268" t="s">
        <v>715</v>
      </c>
      <c r="B170" s="270">
        <v>54307</v>
      </c>
      <c r="C170" s="268" t="s">
        <v>684</v>
      </c>
      <c r="D170" s="280"/>
      <c r="E170" s="270">
        <v>30710177658</v>
      </c>
      <c r="F170" s="278">
        <v>122080.32000000001</v>
      </c>
      <c r="G170" s="270">
        <v>0</v>
      </c>
    </row>
    <row r="171" spans="1:7" hidden="1">
      <c r="A171" s="268" t="s">
        <v>720</v>
      </c>
      <c r="B171" s="270">
        <v>54346</v>
      </c>
      <c r="C171" s="268" t="s">
        <v>684</v>
      </c>
      <c r="D171" s="280"/>
      <c r="E171" s="270">
        <v>30710177658</v>
      </c>
      <c r="F171" s="278">
        <v>356854.44</v>
      </c>
      <c r="G171" s="270">
        <v>0</v>
      </c>
    </row>
    <row r="172" spans="1:7" hidden="1">
      <c r="A172" s="268" t="s">
        <v>721</v>
      </c>
      <c r="B172" s="270">
        <v>54365</v>
      </c>
      <c r="C172" s="268" t="s">
        <v>684</v>
      </c>
      <c r="D172" s="280"/>
      <c r="E172" s="270">
        <v>30710177658</v>
      </c>
      <c r="F172" s="270">
        <v>682125</v>
      </c>
      <c r="G172" s="270">
        <v>0</v>
      </c>
    </row>
    <row r="173" spans="1:7" hidden="1">
      <c r="A173" s="276" t="s">
        <v>685</v>
      </c>
      <c r="B173" s="269" t="s">
        <v>812</v>
      </c>
      <c r="C173" s="267" t="s">
        <v>813</v>
      </c>
      <c r="D173" s="279" t="s">
        <v>743</v>
      </c>
      <c r="E173" s="267">
        <v>30710804830</v>
      </c>
      <c r="F173" s="277">
        <v>29410.86</v>
      </c>
      <c r="G173" s="277">
        <v>0</v>
      </c>
    </row>
    <row r="174" spans="1:7" hidden="1">
      <c r="A174" s="268" t="s">
        <v>685</v>
      </c>
      <c r="B174" s="270">
        <v>31858</v>
      </c>
      <c r="C174" s="268" t="s">
        <v>687</v>
      </c>
      <c r="D174" s="280"/>
      <c r="E174" s="270">
        <v>30710804830</v>
      </c>
      <c r="F174" s="278">
        <v>29410.86</v>
      </c>
      <c r="G174" s="270">
        <v>0</v>
      </c>
    </row>
    <row r="175" spans="1:7" hidden="1">
      <c r="A175" s="276" t="s">
        <v>715</v>
      </c>
      <c r="B175" s="269" t="s">
        <v>884</v>
      </c>
      <c r="C175" s="267" t="s">
        <v>885</v>
      </c>
      <c r="D175" s="279" t="s">
        <v>743</v>
      </c>
      <c r="E175" s="267">
        <v>30711553564</v>
      </c>
      <c r="F175" s="277">
        <v>999126</v>
      </c>
      <c r="G175" s="277">
        <v>0</v>
      </c>
    </row>
    <row r="176" spans="1:7" hidden="1">
      <c r="A176" s="268" t="s">
        <v>715</v>
      </c>
      <c r="B176" s="270">
        <v>85435</v>
      </c>
      <c r="C176" s="268" t="s">
        <v>236</v>
      </c>
      <c r="D176" s="280"/>
      <c r="E176" s="270">
        <v>30711553564</v>
      </c>
      <c r="F176" s="270">
        <v>999126</v>
      </c>
      <c r="G176" s="270">
        <v>0</v>
      </c>
    </row>
    <row r="177" spans="1:7" hidden="1">
      <c r="A177" s="276" t="s">
        <v>657</v>
      </c>
      <c r="B177" s="269" t="s">
        <v>765</v>
      </c>
      <c r="C177" s="267" t="s">
        <v>766</v>
      </c>
      <c r="D177" s="279" t="s">
        <v>743</v>
      </c>
      <c r="E177" s="267">
        <v>30711764921</v>
      </c>
      <c r="F177" s="277">
        <v>93973</v>
      </c>
      <c r="G177" s="277">
        <v>0</v>
      </c>
    </row>
    <row r="178" spans="1:7" hidden="1">
      <c r="A178" s="276" t="s">
        <v>670</v>
      </c>
      <c r="B178" s="269" t="s">
        <v>783</v>
      </c>
      <c r="C178" s="267" t="s">
        <v>766</v>
      </c>
      <c r="D178" s="279" t="s">
        <v>743</v>
      </c>
      <c r="E178" s="267">
        <v>30711764921</v>
      </c>
      <c r="F178" s="277">
        <v>527580</v>
      </c>
      <c r="G178" s="277">
        <v>0</v>
      </c>
    </row>
    <row r="179" spans="1:7" hidden="1">
      <c r="A179" s="276" t="s">
        <v>711</v>
      </c>
      <c r="B179" s="269" t="s">
        <v>876</v>
      </c>
      <c r="C179" s="267" t="s">
        <v>766</v>
      </c>
      <c r="D179" s="279" t="s">
        <v>743</v>
      </c>
      <c r="E179" s="267">
        <v>30711764921</v>
      </c>
      <c r="F179" s="277">
        <v>21394</v>
      </c>
      <c r="G179" s="277">
        <v>0</v>
      </c>
    </row>
    <row r="180" spans="1:7" hidden="1">
      <c r="A180" s="268" t="s">
        <v>657</v>
      </c>
      <c r="B180" s="270">
        <v>2245</v>
      </c>
      <c r="C180" s="268" t="s">
        <v>661</v>
      </c>
      <c r="D180" s="280"/>
      <c r="E180" s="270">
        <v>30711764921</v>
      </c>
      <c r="F180" s="270">
        <v>93973</v>
      </c>
      <c r="G180" s="270">
        <v>0</v>
      </c>
    </row>
    <row r="181" spans="1:7" hidden="1">
      <c r="A181" s="268" t="s">
        <v>670</v>
      </c>
      <c r="B181" s="270">
        <v>2255</v>
      </c>
      <c r="C181" s="268" t="s">
        <v>661</v>
      </c>
      <c r="D181" s="280"/>
      <c r="E181" s="270">
        <v>30711764921</v>
      </c>
      <c r="F181" s="270">
        <v>527580</v>
      </c>
      <c r="G181" s="270">
        <v>0</v>
      </c>
    </row>
    <row r="182" spans="1:7" hidden="1">
      <c r="A182" s="268" t="s">
        <v>711</v>
      </c>
      <c r="B182" s="270">
        <v>2312</v>
      </c>
      <c r="C182" s="268" t="s">
        <v>661</v>
      </c>
      <c r="D182" s="280"/>
      <c r="E182" s="270">
        <v>30711764921</v>
      </c>
      <c r="F182" s="270">
        <v>21394</v>
      </c>
      <c r="G182" s="270">
        <v>0</v>
      </c>
    </row>
    <row r="183" spans="1:7" hidden="1">
      <c r="A183" s="276" t="s">
        <v>715</v>
      </c>
      <c r="B183" s="269" t="s">
        <v>886</v>
      </c>
      <c r="C183" s="267" t="s">
        <v>887</v>
      </c>
      <c r="D183" s="279" t="s">
        <v>743</v>
      </c>
      <c r="E183" s="267">
        <v>30712155694</v>
      </c>
      <c r="F183" s="277">
        <v>24285.71</v>
      </c>
      <c r="G183" s="277">
        <v>0</v>
      </c>
    </row>
    <row r="184" spans="1:7" hidden="1">
      <c r="A184" s="276" t="s">
        <v>683</v>
      </c>
      <c r="B184" s="269" t="s">
        <v>801</v>
      </c>
      <c r="C184" s="267" t="s">
        <v>802</v>
      </c>
      <c r="D184" s="279" t="s">
        <v>743</v>
      </c>
      <c r="E184" s="267">
        <v>30712187316</v>
      </c>
      <c r="F184" s="277">
        <v>265780.37</v>
      </c>
      <c r="G184" s="277">
        <v>0</v>
      </c>
    </row>
    <row r="185" spans="1:7" hidden="1">
      <c r="A185" s="276" t="s">
        <v>694</v>
      </c>
      <c r="B185" s="269" t="s">
        <v>825</v>
      </c>
      <c r="C185" s="267" t="s">
        <v>802</v>
      </c>
      <c r="D185" s="279" t="s">
        <v>743</v>
      </c>
      <c r="E185" s="267">
        <v>30712187316</v>
      </c>
      <c r="F185" s="277">
        <v>254033.05</v>
      </c>
      <c r="G185" s="277">
        <v>0</v>
      </c>
    </row>
    <row r="186" spans="1:7" hidden="1">
      <c r="A186" s="276" t="s">
        <v>694</v>
      </c>
      <c r="B186" s="269" t="s">
        <v>826</v>
      </c>
      <c r="C186" s="267" t="s">
        <v>802</v>
      </c>
      <c r="D186" s="279" t="s">
        <v>743</v>
      </c>
      <c r="E186" s="267">
        <v>30712187316</v>
      </c>
      <c r="F186" s="277">
        <v>472751.65</v>
      </c>
      <c r="G186" s="277">
        <v>0</v>
      </c>
    </row>
    <row r="187" spans="1:7" hidden="1">
      <c r="A187" s="276" t="s">
        <v>696</v>
      </c>
      <c r="B187" s="269" t="s">
        <v>840</v>
      </c>
      <c r="C187" s="267" t="s">
        <v>802</v>
      </c>
      <c r="D187" s="279" t="s">
        <v>743</v>
      </c>
      <c r="E187" s="267">
        <v>30712187316</v>
      </c>
      <c r="F187" s="277">
        <v>34718.6</v>
      </c>
      <c r="G187" s="277">
        <v>0</v>
      </c>
    </row>
    <row r="188" spans="1:7" hidden="1">
      <c r="A188" s="276" t="s">
        <v>711</v>
      </c>
      <c r="B188" s="269" t="s">
        <v>874</v>
      </c>
      <c r="C188" s="267" t="s">
        <v>802</v>
      </c>
      <c r="D188" s="279" t="s">
        <v>743</v>
      </c>
      <c r="E188" s="267">
        <v>30712187316</v>
      </c>
      <c r="F188" s="277">
        <v>213988.29</v>
      </c>
      <c r="G188" s="277">
        <v>0</v>
      </c>
    </row>
    <row r="189" spans="1:7" hidden="1">
      <c r="A189" s="268" t="s">
        <v>677</v>
      </c>
      <c r="B189" s="270">
        <v>1901</v>
      </c>
      <c r="C189" s="268" t="s">
        <v>68</v>
      </c>
      <c r="D189" s="280"/>
      <c r="E189" s="270">
        <v>30712187316</v>
      </c>
      <c r="F189" s="278">
        <v>293619.94</v>
      </c>
      <c r="G189" s="270">
        <v>0</v>
      </c>
    </row>
    <row r="190" spans="1:7" hidden="1">
      <c r="A190" s="268" t="s">
        <v>683</v>
      </c>
      <c r="B190" s="270">
        <v>1908</v>
      </c>
      <c r="C190" s="268" t="s">
        <v>68</v>
      </c>
      <c r="D190" s="280"/>
      <c r="E190" s="270">
        <v>30712187316</v>
      </c>
      <c r="F190" s="278">
        <v>265780.37</v>
      </c>
      <c r="G190" s="270">
        <v>0</v>
      </c>
    </row>
    <row r="191" spans="1:7" hidden="1">
      <c r="A191" s="268" t="s">
        <v>683</v>
      </c>
      <c r="B191" s="270">
        <v>192</v>
      </c>
      <c r="C191" s="268" t="s">
        <v>68</v>
      </c>
      <c r="D191" s="280"/>
      <c r="E191" s="270">
        <v>30712187316</v>
      </c>
      <c r="F191" s="278">
        <v>-293619.94</v>
      </c>
      <c r="G191" s="270">
        <v>0</v>
      </c>
    </row>
    <row r="192" spans="1:7" hidden="1">
      <c r="A192" s="268" t="s">
        <v>694</v>
      </c>
      <c r="B192" s="270">
        <v>1915</v>
      </c>
      <c r="C192" s="268" t="s">
        <v>68</v>
      </c>
      <c r="D192" s="280"/>
      <c r="E192" s="270">
        <v>30712187316</v>
      </c>
      <c r="F192" s="278">
        <v>254033.05</v>
      </c>
      <c r="G192" s="270">
        <v>0</v>
      </c>
    </row>
    <row r="193" spans="1:7" hidden="1">
      <c r="A193" s="268" t="s">
        <v>694</v>
      </c>
      <c r="B193" s="270">
        <v>1916</v>
      </c>
      <c r="C193" s="268" t="s">
        <v>68</v>
      </c>
      <c r="D193" s="280"/>
      <c r="E193" s="270">
        <v>30712187316</v>
      </c>
      <c r="F193" s="278">
        <v>472751.65</v>
      </c>
      <c r="G193" s="270">
        <v>0</v>
      </c>
    </row>
    <row r="194" spans="1:7" hidden="1">
      <c r="A194" s="268" t="s">
        <v>696</v>
      </c>
      <c r="B194" s="270">
        <v>1920</v>
      </c>
      <c r="C194" s="268" t="s">
        <v>68</v>
      </c>
      <c r="D194" s="280"/>
      <c r="E194" s="270">
        <v>30712187316</v>
      </c>
      <c r="F194" s="268">
        <v>34718.6</v>
      </c>
      <c r="G194" s="270">
        <v>0</v>
      </c>
    </row>
    <row r="195" spans="1:7" hidden="1">
      <c r="A195" s="268" t="s">
        <v>711</v>
      </c>
      <c r="B195" s="270">
        <v>1937</v>
      </c>
      <c r="C195" s="268" t="s">
        <v>68</v>
      </c>
      <c r="D195" s="280"/>
      <c r="E195" s="270">
        <v>30712187316</v>
      </c>
      <c r="F195" s="278">
        <v>213988.29</v>
      </c>
      <c r="G195" s="270">
        <v>0</v>
      </c>
    </row>
    <row r="196" spans="1:7" hidden="1">
      <c r="A196" s="276" t="s">
        <v>725</v>
      </c>
      <c r="B196" s="269" t="s">
        <v>910</v>
      </c>
      <c r="C196" s="267" t="s">
        <v>911</v>
      </c>
      <c r="D196" s="279" t="s">
        <v>743</v>
      </c>
      <c r="E196" s="267">
        <v>30714333093</v>
      </c>
      <c r="F196" s="277">
        <v>61652.89</v>
      </c>
      <c r="G196" s="277">
        <v>0</v>
      </c>
    </row>
    <row r="197" spans="1:7" hidden="1">
      <c r="A197" s="276" t="s">
        <v>727</v>
      </c>
      <c r="B197" s="269" t="s">
        <v>912</v>
      </c>
      <c r="C197" s="267" t="s">
        <v>913</v>
      </c>
      <c r="D197" s="279" t="s">
        <v>743</v>
      </c>
      <c r="E197" s="267">
        <v>30714333093</v>
      </c>
      <c r="F197" s="277">
        <v>63139.65</v>
      </c>
      <c r="G197" s="277">
        <v>0</v>
      </c>
    </row>
    <row r="198" spans="1:7" hidden="1">
      <c r="A198" s="276" t="s">
        <v>657</v>
      </c>
      <c r="B198" s="269" t="s">
        <v>753</v>
      </c>
      <c r="C198" s="267" t="s">
        <v>754</v>
      </c>
      <c r="D198" s="279" t="s">
        <v>743</v>
      </c>
      <c r="E198" s="267">
        <v>30715141201</v>
      </c>
      <c r="F198" s="277">
        <v>1216380</v>
      </c>
      <c r="G198" s="277">
        <v>0</v>
      </c>
    </row>
    <row r="199" spans="1:7" hidden="1">
      <c r="A199" s="276" t="s">
        <v>696</v>
      </c>
      <c r="B199" s="269" t="s">
        <v>831</v>
      </c>
      <c r="C199" s="267" t="s">
        <v>754</v>
      </c>
      <c r="D199" s="279" t="s">
        <v>743</v>
      </c>
      <c r="E199" s="267">
        <v>30715141201</v>
      </c>
      <c r="F199" s="277">
        <v>3648847.5</v>
      </c>
      <c r="G199" s="277">
        <v>0</v>
      </c>
    </row>
    <row r="200" spans="1:7" hidden="1">
      <c r="A200" s="276" t="s">
        <v>696</v>
      </c>
      <c r="B200" s="269" t="s">
        <v>832</v>
      </c>
      <c r="C200" s="267" t="s">
        <v>754</v>
      </c>
      <c r="D200" s="279" t="s">
        <v>743</v>
      </c>
      <c r="E200" s="267">
        <v>30715141201</v>
      </c>
      <c r="F200" s="277">
        <v>29295</v>
      </c>
      <c r="G200" s="277">
        <v>0</v>
      </c>
    </row>
    <row r="201" spans="1:7" hidden="1">
      <c r="A201" s="268" t="s">
        <v>657</v>
      </c>
      <c r="B201" s="270">
        <v>4517</v>
      </c>
      <c r="C201" s="268" t="s">
        <v>659</v>
      </c>
      <c r="D201" s="280"/>
      <c r="E201" s="270">
        <v>30715141201</v>
      </c>
      <c r="F201" s="270">
        <v>1216380</v>
      </c>
      <c r="G201" s="270">
        <v>0</v>
      </c>
    </row>
    <row r="202" spans="1:7" hidden="1">
      <c r="A202" s="268" t="s">
        <v>696</v>
      </c>
      <c r="B202" s="270">
        <v>4620</v>
      </c>
      <c r="C202" s="268" t="s">
        <v>659</v>
      </c>
      <c r="D202" s="280"/>
      <c r="E202" s="270">
        <v>30715141201</v>
      </c>
      <c r="F202" s="270">
        <v>29295</v>
      </c>
      <c r="G202" s="270">
        <v>0</v>
      </c>
    </row>
    <row r="203" spans="1:7" hidden="1">
      <c r="A203" s="268" t="s">
        <v>696</v>
      </c>
      <c r="B203" s="270">
        <v>4613</v>
      </c>
      <c r="C203" s="268" t="s">
        <v>659</v>
      </c>
      <c r="D203" s="280"/>
      <c r="E203" s="270">
        <v>30715141201</v>
      </c>
      <c r="F203" s="268">
        <v>3648847.5</v>
      </c>
      <c r="G203" s="270">
        <v>0</v>
      </c>
    </row>
    <row r="204" spans="1:7" hidden="1">
      <c r="A204" s="276" t="s">
        <v>705</v>
      </c>
      <c r="B204" s="269" t="s">
        <v>850</v>
      </c>
      <c r="C204" s="267" t="s">
        <v>851</v>
      </c>
      <c r="D204" s="279" t="s">
        <v>743</v>
      </c>
      <c r="E204" s="267">
        <v>30715630040</v>
      </c>
      <c r="F204" s="277">
        <v>3517469.41</v>
      </c>
      <c r="G204" s="277">
        <v>0</v>
      </c>
    </row>
    <row r="205" spans="1:7" hidden="1">
      <c r="A205" s="268" t="s">
        <v>705</v>
      </c>
      <c r="B205" s="270">
        <v>524</v>
      </c>
      <c r="C205" s="268" t="s">
        <v>706</v>
      </c>
      <c r="D205" s="280"/>
      <c r="E205" s="270">
        <v>30715630040</v>
      </c>
      <c r="F205" s="278">
        <v>3517469.42</v>
      </c>
      <c r="G205" s="270">
        <v>0</v>
      </c>
    </row>
    <row r="206" spans="1:7" hidden="1">
      <c r="A206" s="276" t="s">
        <v>740</v>
      </c>
      <c r="B206" s="269" t="s">
        <v>741</v>
      </c>
      <c r="C206" s="267" t="s">
        <v>742</v>
      </c>
      <c r="D206" s="279" t="s">
        <v>743</v>
      </c>
      <c r="E206" s="267">
        <v>30715804812</v>
      </c>
      <c r="F206" s="277">
        <v>867.94</v>
      </c>
      <c r="G206" s="277">
        <v>0</v>
      </c>
    </row>
    <row r="207" spans="1:7" hidden="1">
      <c r="A207" s="276" t="s">
        <v>677</v>
      </c>
      <c r="B207" s="269" t="s">
        <v>796</v>
      </c>
      <c r="C207" s="267" t="s">
        <v>742</v>
      </c>
      <c r="D207" s="279" t="s">
        <v>743</v>
      </c>
      <c r="E207" s="267">
        <v>30715804812</v>
      </c>
      <c r="F207" s="277">
        <v>3818.92</v>
      </c>
      <c r="G207" s="277">
        <v>0</v>
      </c>
    </row>
    <row r="208" spans="1:7" hidden="1">
      <c r="A208" s="276" t="s">
        <v>715</v>
      </c>
      <c r="B208" s="269" t="s">
        <v>888</v>
      </c>
      <c r="C208" s="267" t="s">
        <v>742</v>
      </c>
      <c r="D208" s="279" t="s">
        <v>743</v>
      </c>
      <c r="E208" s="267">
        <v>30715804812</v>
      </c>
      <c r="F208" s="277">
        <v>6246.93</v>
      </c>
      <c r="G208" s="277">
        <v>0</v>
      </c>
    </row>
    <row r="209" spans="1:7" hidden="1">
      <c r="A209" s="268" t="s">
        <v>677</v>
      </c>
      <c r="B209" s="270">
        <v>1905419</v>
      </c>
      <c r="C209" s="268" t="s">
        <v>679</v>
      </c>
      <c r="D209" s="280"/>
      <c r="E209" s="270">
        <v>30715804812</v>
      </c>
      <c r="F209" s="278">
        <v>3818.92</v>
      </c>
      <c r="G209" s="270">
        <v>0</v>
      </c>
    </row>
    <row r="210" spans="1:7">
      <c r="A210" s="271" t="s">
        <v>699</v>
      </c>
      <c r="B210" s="272">
        <v>6699395</v>
      </c>
      <c r="C210" s="271" t="s">
        <v>679</v>
      </c>
      <c r="D210" s="274"/>
      <c r="E210" s="272">
        <v>30715804812</v>
      </c>
      <c r="F210" s="271">
        <v>1675.3</v>
      </c>
      <c r="G210" s="272">
        <v>0</v>
      </c>
    </row>
    <row r="211" spans="1:7" hidden="1">
      <c r="A211" s="268" t="s">
        <v>715</v>
      </c>
      <c r="B211" s="270">
        <v>1936359</v>
      </c>
      <c r="C211" s="268" t="s">
        <v>679</v>
      </c>
      <c r="D211" s="280"/>
      <c r="E211" s="270">
        <v>30715804812</v>
      </c>
      <c r="F211" s="278">
        <v>6246.93</v>
      </c>
      <c r="G211" s="270">
        <v>0</v>
      </c>
    </row>
    <row r="212" spans="1:7">
      <c r="A212" s="271" t="s">
        <v>715</v>
      </c>
      <c r="B212" s="272">
        <v>1936360</v>
      </c>
      <c r="C212" s="271" t="s">
        <v>679</v>
      </c>
      <c r="D212" s="274"/>
      <c r="E212" s="272">
        <v>30715804812</v>
      </c>
      <c r="F212" s="275">
        <v>728.62</v>
      </c>
      <c r="G212" s="272">
        <v>0</v>
      </c>
    </row>
    <row r="213" spans="1:7" hidden="1">
      <c r="A213" s="276" t="s">
        <v>674</v>
      </c>
      <c r="B213" s="269" t="s">
        <v>789</v>
      </c>
      <c r="C213" s="267" t="s">
        <v>790</v>
      </c>
      <c r="D213" s="279" t="s">
        <v>743</v>
      </c>
      <c r="E213" s="267">
        <v>30715833243</v>
      </c>
      <c r="F213" s="277">
        <v>205349.64</v>
      </c>
      <c r="G213" s="277">
        <v>0</v>
      </c>
    </row>
    <row r="214" spans="1:7" hidden="1">
      <c r="A214" s="276" t="s">
        <v>674</v>
      </c>
      <c r="B214" s="269" t="s">
        <v>791</v>
      </c>
      <c r="C214" s="267" t="s">
        <v>790</v>
      </c>
      <c r="D214" s="279" t="s">
        <v>743</v>
      </c>
      <c r="E214" s="267">
        <v>30715833243</v>
      </c>
      <c r="F214" s="277">
        <v>44477.18</v>
      </c>
      <c r="G214" s="277">
        <v>0</v>
      </c>
    </row>
    <row r="215" spans="1:7" hidden="1">
      <c r="A215" s="268" t="s">
        <v>674</v>
      </c>
      <c r="B215" s="270">
        <v>5331</v>
      </c>
      <c r="C215" s="268" t="s">
        <v>675</v>
      </c>
      <c r="D215" s="280"/>
      <c r="E215" s="270">
        <v>30715833243</v>
      </c>
      <c r="F215" s="278">
        <v>22238.59</v>
      </c>
      <c r="G215" s="270">
        <v>0</v>
      </c>
    </row>
    <row r="216" spans="1:7" hidden="1">
      <c r="A216" s="268" t="s">
        <v>674</v>
      </c>
      <c r="B216" s="270">
        <v>5332</v>
      </c>
      <c r="C216" s="268" t="s">
        <v>675</v>
      </c>
      <c r="D216" s="280"/>
      <c r="E216" s="270">
        <v>30715833243</v>
      </c>
      <c r="F216" s="278">
        <v>44477.18</v>
      </c>
      <c r="G216" s="270">
        <v>0</v>
      </c>
    </row>
    <row r="217" spans="1:7" hidden="1">
      <c r="A217" s="268" t="s">
        <v>674</v>
      </c>
      <c r="B217" s="270">
        <v>5328</v>
      </c>
      <c r="C217" s="268" t="s">
        <v>675</v>
      </c>
      <c r="D217" s="280"/>
      <c r="E217" s="270">
        <v>30715833243</v>
      </c>
      <c r="F217" s="278">
        <v>205349.64</v>
      </c>
      <c r="G217" s="270">
        <v>0</v>
      </c>
    </row>
    <row r="218" spans="1:7" hidden="1">
      <c r="A218" s="268" t="s">
        <v>674</v>
      </c>
      <c r="B218" s="270">
        <v>803</v>
      </c>
      <c r="C218" s="268" t="s">
        <v>675</v>
      </c>
      <c r="D218" s="280"/>
      <c r="E218" s="270">
        <v>30715833243</v>
      </c>
      <c r="F218" s="278">
        <v>22238.59</v>
      </c>
      <c r="G218" s="270">
        <v>0</v>
      </c>
    </row>
    <row r="219" spans="1:7" hidden="1">
      <c r="A219" s="276" t="s">
        <v>670</v>
      </c>
      <c r="B219" s="269" t="s">
        <v>787</v>
      </c>
      <c r="C219" s="267" t="s">
        <v>788</v>
      </c>
      <c r="D219" s="279" t="s">
        <v>743</v>
      </c>
      <c r="E219" s="267">
        <v>30716234114</v>
      </c>
      <c r="F219" s="277">
        <v>168736.5</v>
      </c>
      <c r="G219" s="277">
        <v>0</v>
      </c>
    </row>
    <row r="220" spans="1:7" hidden="1">
      <c r="A220" s="268" t="s">
        <v>670</v>
      </c>
      <c r="B220" s="270">
        <v>66</v>
      </c>
      <c r="C220" s="268" t="s">
        <v>672</v>
      </c>
      <c r="D220" s="280"/>
      <c r="E220" s="270">
        <v>30716234114</v>
      </c>
      <c r="F220" s="268">
        <v>129.30000000000001</v>
      </c>
      <c r="G220" s="270">
        <v>0</v>
      </c>
    </row>
    <row r="221" spans="1:7" hidden="1">
      <c r="A221" s="276" t="s">
        <v>702</v>
      </c>
      <c r="B221" s="269" t="s">
        <v>844</v>
      </c>
      <c r="C221" s="267" t="s">
        <v>845</v>
      </c>
      <c r="D221" s="279" t="s">
        <v>743</v>
      </c>
      <c r="E221" s="267">
        <v>30716425165</v>
      </c>
      <c r="F221" s="277">
        <v>13842.98</v>
      </c>
      <c r="G221" s="277">
        <v>0</v>
      </c>
    </row>
    <row r="222" spans="1:7" hidden="1">
      <c r="A222" s="268" t="s">
        <v>702</v>
      </c>
      <c r="B222" s="270">
        <v>72231</v>
      </c>
      <c r="C222" s="268" t="s">
        <v>704</v>
      </c>
      <c r="D222" s="280"/>
      <c r="E222" s="270">
        <v>30716425165</v>
      </c>
      <c r="F222" s="278">
        <v>13842.98</v>
      </c>
      <c r="G222" s="270">
        <v>0</v>
      </c>
    </row>
    <row r="223" spans="1:7" hidden="1">
      <c r="A223" s="276" t="s">
        <v>709</v>
      </c>
      <c r="B223" s="269" t="s">
        <v>866</v>
      </c>
      <c r="C223" s="267" t="s">
        <v>867</v>
      </c>
      <c r="D223" s="279" t="s">
        <v>743</v>
      </c>
      <c r="E223" s="267">
        <v>30716815710</v>
      </c>
      <c r="F223" s="277">
        <v>8500</v>
      </c>
      <c r="G223" s="277">
        <v>0</v>
      </c>
    </row>
    <row r="224" spans="1:7" hidden="1">
      <c r="A224" s="276" t="s">
        <v>690</v>
      </c>
      <c r="B224" s="269" t="s">
        <v>817</v>
      </c>
      <c r="C224" s="267" t="s">
        <v>818</v>
      </c>
      <c r="D224" s="279" t="s">
        <v>743</v>
      </c>
      <c r="E224" s="267">
        <v>30717179389</v>
      </c>
      <c r="F224" s="277">
        <v>82644.62</v>
      </c>
      <c r="G224" s="277">
        <v>0</v>
      </c>
    </row>
    <row r="225" spans="1:7" hidden="1">
      <c r="A225" s="268" t="s">
        <v>690</v>
      </c>
      <c r="B225" s="270">
        <v>2468</v>
      </c>
      <c r="C225" s="268" t="s">
        <v>691</v>
      </c>
      <c r="D225" s="280"/>
      <c r="E225" s="270">
        <v>30717179389</v>
      </c>
      <c r="F225" s="278">
        <v>82644.62</v>
      </c>
      <c r="G225" s="270">
        <v>0</v>
      </c>
    </row>
    <row r="226" spans="1:7">
      <c r="A226" s="271" t="s">
        <v>690</v>
      </c>
      <c r="B226" s="272">
        <v>3378</v>
      </c>
      <c r="C226" s="271" t="s">
        <v>691</v>
      </c>
      <c r="D226" s="274"/>
      <c r="E226" s="272">
        <v>30717179389</v>
      </c>
      <c r="F226" s="275">
        <v>82644.63</v>
      </c>
      <c r="G226" s="272">
        <v>0</v>
      </c>
    </row>
    <row r="227" spans="1:7" hidden="1">
      <c r="A227" s="276" t="s">
        <v>666</v>
      </c>
      <c r="B227" s="269" t="s">
        <v>777</v>
      </c>
      <c r="C227" s="267" t="s">
        <v>778</v>
      </c>
      <c r="D227" s="279" t="s">
        <v>743</v>
      </c>
      <c r="E227" s="267">
        <v>33699685459</v>
      </c>
      <c r="F227" s="277">
        <v>12449.6</v>
      </c>
      <c r="G227" s="277">
        <v>0</v>
      </c>
    </row>
    <row r="228" spans="1:7" hidden="1">
      <c r="A228" s="268" t="s">
        <v>666</v>
      </c>
      <c r="B228" s="270">
        <v>1369</v>
      </c>
      <c r="C228" s="268" t="s">
        <v>332</v>
      </c>
      <c r="D228" s="280"/>
      <c r="E228" s="270">
        <v>33699685459</v>
      </c>
      <c r="F228" s="268">
        <v>12449.6</v>
      </c>
      <c r="G228" s="270">
        <v>0</v>
      </c>
    </row>
    <row r="229" spans="1:7" hidden="1">
      <c r="A229" s="276" t="s">
        <v>690</v>
      </c>
      <c r="B229" s="269" t="s">
        <v>819</v>
      </c>
      <c r="C229" s="267" t="s">
        <v>820</v>
      </c>
      <c r="D229" s="279" t="s">
        <v>743</v>
      </c>
      <c r="E229" s="267">
        <v>33708218699</v>
      </c>
      <c r="F229" s="277">
        <v>15000</v>
      </c>
      <c r="G229" s="277">
        <v>0</v>
      </c>
    </row>
    <row r="230" spans="1:7" hidden="1">
      <c r="A230" s="268" t="s">
        <v>690</v>
      </c>
      <c r="B230" s="270">
        <v>7676</v>
      </c>
      <c r="C230" s="268" t="s">
        <v>692</v>
      </c>
      <c r="D230" s="280"/>
      <c r="E230" s="270">
        <v>33708218699</v>
      </c>
      <c r="F230" s="270">
        <v>15000</v>
      </c>
      <c r="G230" s="270">
        <v>0</v>
      </c>
    </row>
    <row r="231" spans="1:7" hidden="1">
      <c r="A231" s="276" t="s">
        <v>720</v>
      </c>
      <c r="B231" s="269" t="s">
        <v>896</v>
      </c>
      <c r="C231" s="267" t="s">
        <v>897</v>
      </c>
      <c r="D231" s="279" t="s">
        <v>743</v>
      </c>
      <c r="E231" s="267">
        <v>33709738459</v>
      </c>
      <c r="F231" s="277">
        <v>655324.52</v>
      </c>
      <c r="G231" s="277">
        <v>0</v>
      </c>
    </row>
    <row r="232" spans="1:7" hidden="1">
      <c r="A232" s="268" t="s">
        <v>720</v>
      </c>
      <c r="B232" s="270">
        <v>71892</v>
      </c>
      <c r="C232" s="268" t="s">
        <v>62</v>
      </c>
      <c r="D232" s="280"/>
      <c r="E232" s="270">
        <v>33709738459</v>
      </c>
      <c r="F232" s="278">
        <v>655324.52</v>
      </c>
      <c r="G232" s="270">
        <v>0</v>
      </c>
    </row>
    <row r="233" spans="1:7" hidden="1">
      <c r="A233" s="276" t="s">
        <v>677</v>
      </c>
      <c r="B233" s="269" t="s">
        <v>794</v>
      </c>
      <c r="C233" s="267" t="s">
        <v>795</v>
      </c>
      <c r="D233" s="279" t="s">
        <v>743</v>
      </c>
      <c r="E233" s="267">
        <v>33712276539</v>
      </c>
      <c r="F233" s="277">
        <v>71863.31</v>
      </c>
      <c r="G233" s="277">
        <v>0</v>
      </c>
    </row>
    <row r="234" spans="1:7" hidden="1">
      <c r="A234" s="276" t="s">
        <v>729</v>
      </c>
      <c r="B234" s="269" t="s">
        <v>916</v>
      </c>
      <c r="C234" s="267" t="s">
        <v>722</v>
      </c>
      <c r="D234" s="279" t="s">
        <v>743</v>
      </c>
      <c r="E234" s="267">
        <v>33715005129</v>
      </c>
      <c r="F234" s="277">
        <v>51074.38</v>
      </c>
      <c r="G234" s="277">
        <v>0</v>
      </c>
    </row>
    <row r="235" spans="1:7" hidden="1">
      <c r="A235" s="268" t="s">
        <v>721</v>
      </c>
      <c r="B235" s="270">
        <v>751</v>
      </c>
      <c r="C235" s="268" t="s">
        <v>722</v>
      </c>
      <c r="D235" s="280"/>
      <c r="E235" s="270">
        <v>33715005129</v>
      </c>
      <c r="F235" s="278">
        <v>51074.38</v>
      </c>
      <c r="G235" s="270">
        <v>0</v>
      </c>
    </row>
    <row r="236" spans="1:7" hidden="1">
      <c r="A236" s="276" t="s">
        <v>694</v>
      </c>
      <c r="B236" s="269" t="s">
        <v>827</v>
      </c>
      <c r="C236" s="267" t="s">
        <v>828</v>
      </c>
      <c r="D236" s="279" t="s">
        <v>743</v>
      </c>
      <c r="E236" s="267">
        <v>33715594949</v>
      </c>
      <c r="F236" s="277">
        <v>56204.800000000003</v>
      </c>
      <c r="G236" s="277">
        <v>0</v>
      </c>
    </row>
    <row r="237" spans="1:7" hidden="1">
      <c r="A237" s="276" t="s">
        <v>708</v>
      </c>
      <c r="B237" s="269" t="s">
        <v>862</v>
      </c>
      <c r="C237" s="267" t="s">
        <v>828</v>
      </c>
      <c r="D237" s="279" t="s">
        <v>743</v>
      </c>
      <c r="E237" s="267">
        <v>33715594949</v>
      </c>
      <c r="F237" s="277">
        <v>71317.95</v>
      </c>
      <c r="G237" s="277">
        <v>0</v>
      </c>
    </row>
    <row r="238" spans="1:7" hidden="1">
      <c r="A238" s="276" t="s">
        <v>715</v>
      </c>
      <c r="B238" s="269" t="s">
        <v>881</v>
      </c>
      <c r="C238" s="267" t="s">
        <v>828</v>
      </c>
      <c r="D238" s="279" t="s">
        <v>743</v>
      </c>
      <c r="E238" s="267">
        <v>33715594949</v>
      </c>
      <c r="F238" s="277">
        <v>59235.76</v>
      </c>
      <c r="G238" s="277">
        <v>0</v>
      </c>
    </row>
    <row r="239" spans="1:7" hidden="1">
      <c r="A239" s="276" t="s">
        <v>721</v>
      </c>
      <c r="B239" s="269" t="s">
        <v>904</v>
      </c>
      <c r="C239" s="267" t="s">
        <v>828</v>
      </c>
      <c r="D239" s="279" t="s">
        <v>743</v>
      </c>
      <c r="E239" s="267">
        <v>33715594949</v>
      </c>
      <c r="F239" s="277">
        <v>89089.35</v>
      </c>
      <c r="G239" s="277">
        <v>0</v>
      </c>
    </row>
    <row r="240" spans="1:7" hidden="1">
      <c r="A240" s="268" t="s">
        <v>729</v>
      </c>
      <c r="B240" s="270">
        <v>591606</v>
      </c>
      <c r="C240" s="268" t="s">
        <v>732</v>
      </c>
      <c r="D240" s="280"/>
      <c r="E240" s="270">
        <v>33716307749</v>
      </c>
      <c r="F240" s="270">
        <v>318999</v>
      </c>
      <c r="G240" s="270">
        <v>0</v>
      </c>
    </row>
  </sheetData>
  <autoFilter ref="A4:G240">
    <filterColumn colId="2">
      <colorFilter dxfId="0"/>
    </filterColumn>
  </autoFilter>
  <sortState ref="A2:G237">
    <sortCondition ref="E2:E237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B18" sqref="B18"/>
    </sheetView>
  </sheetViews>
  <sheetFormatPr baseColWidth="10" defaultRowHeight="15"/>
  <cols>
    <col min="1" max="1" width="17.140625" customWidth="1"/>
    <col min="2" max="2" width="21.28515625" customWidth="1"/>
    <col min="3" max="3" width="15.7109375" customWidth="1"/>
    <col min="4" max="4" width="16.7109375" customWidth="1"/>
    <col min="5" max="5" width="16.140625" customWidth="1"/>
  </cols>
  <sheetData>
    <row r="1" spans="1:5" ht="15.75">
      <c r="A1" s="340" t="s">
        <v>1004</v>
      </c>
      <c r="B1" s="340"/>
      <c r="C1" s="340"/>
      <c r="D1" s="340"/>
      <c r="E1" s="340"/>
    </row>
    <row r="2" spans="1:5">
      <c r="A2" s="287"/>
      <c r="B2" s="288" t="s">
        <v>217</v>
      </c>
      <c r="C2" s="288" t="s">
        <v>3</v>
      </c>
      <c r="D2" s="288" t="s">
        <v>218</v>
      </c>
      <c r="E2" s="288" t="s">
        <v>219</v>
      </c>
    </row>
    <row r="3" spans="1:5">
      <c r="A3" s="289" t="s">
        <v>330</v>
      </c>
      <c r="B3" s="291">
        <v>47800480.340000004</v>
      </c>
      <c r="C3" s="291">
        <f>+B3*0.21</f>
        <v>10038100.871400001</v>
      </c>
      <c r="D3" s="291"/>
      <c r="E3" s="291">
        <f>SUM(B3:D3)</f>
        <v>57838581.211400002</v>
      </c>
    </row>
    <row r="4" spans="1:5">
      <c r="A4" s="289" t="s">
        <v>399</v>
      </c>
      <c r="B4" s="291">
        <v>-3293388.43</v>
      </c>
      <c r="C4" s="291">
        <f t="shared" ref="C4:C8" si="0">+B4*0.21</f>
        <v>-691611.57030000002</v>
      </c>
      <c r="D4" s="291"/>
      <c r="E4" s="291">
        <f t="shared" ref="E4:E8" si="1">SUM(B4:D4)</f>
        <v>-3985000.0003000004</v>
      </c>
    </row>
    <row r="5" spans="1:5">
      <c r="A5" s="308" t="s">
        <v>20</v>
      </c>
      <c r="B5" s="291">
        <v>10002680.289999999</v>
      </c>
      <c r="C5" s="291">
        <f t="shared" si="0"/>
        <v>2100562.8608999997</v>
      </c>
      <c r="D5" s="291"/>
      <c r="E5" s="291">
        <f t="shared" si="1"/>
        <v>12103243.150899999</v>
      </c>
    </row>
    <row r="6" spans="1:5">
      <c r="A6" s="308" t="s">
        <v>313</v>
      </c>
      <c r="B6" s="291">
        <v>-1340599.1599999999</v>
      </c>
      <c r="C6" s="291">
        <f t="shared" si="0"/>
        <v>-281525.82359999995</v>
      </c>
      <c r="D6" s="291"/>
      <c r="E6" s="291">
        <f t="shared" si="1"/>
        <v>-1622124.9835999999</v>
      </c>
    </row>
    <row r="7" spans="1:5">
      <c r="A7" s="222" t="s">
        <v>253</v>
      </c>
      <c r="B7" s="291">
        <v>13423196.680000018</v>
      </c>
      <c r="C7" s="291">
        <f t="shared" si="0"/>
        <v>2818871.3028000039</v>
      </c>
      <c r="D7" s="291"/>
      <c r="E7" s="291">
        <f t="shared" si="1"/>
        <v>16242067.982800022</v>
      </c>
    </row>
    <row r="8" spans="1:5">
      <c r="A8" s="222" t="s">
        <v>312</v>
      </c>
      <c r="B8" s="291">
        <v>-1336307.9399999997</v>
      </c>
      <c r="C8" s="291">
        <f t="shared" si="0"/>
        <v>-280624.66739999992</v>
      </c>
      <c r="D8" s="291"/>
      <c r="E8" s="291">
        <f t="shared" si="1"/>
        <v>-1616932.6073999996</v>
      </c>
    </row>
    <row r="9" spans="1:5">
      <c r="A9" s="212"/>
      <c r="B9" s="290">
        <f>SUM(B3:B8)</f>
        <v>65256061.780000031</v>
      </c>
      <c r="C9" s="290">
        <f>SUM(C3:C8)</f>
        <v>13703772.973800004</v>
      </c>
      <c r="D9" s="290">
        <v>0</v>
      </c>
      <c r="E9" s="290">
        <f>SUM(E3:E8)</f>
        <v>78959834.753800035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1"/>
  <dimension ref="A2:Q515"/>
  <sheetViews>
    <sheetView zoomScale="90" zoomScaleNormal="90" workbookViewId="0">
      <selection activeCell="L207" sqref="L207:L423"/>
    </sheetView>
  </sheetViews>
  <sheetFormatPr baseColWidth="10" defaultRowHeight="15"/>
  <cols>
    <col min="1" max="1" width="13" customWidth="1"/>
    <col min="2" max="2" width="21.140625" customWidth="1"/>
    <col min="3" max="3" width="9" customWidth="1"/>
    <col min="4" max="4" width="15.5703125" customWidth="1"/>
    <col min="5" max="5" width="7.140625" customWidth="1"/>
    <col min="6" max="6" width="6.140625" customWidth="1"/>
    <col min="7" max="8" width="23.4257812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3" customWidth="1"/>
    <col min="17" max="17" width="14.28515625" customWidth="1"/>
  </cols>
  <sheetData>
    <row r="2" spans="1:17" ht="15.75" thickBot="1"/>
    <row r="3" spans="1:17" ht="15.75" thickBot="1">
      <c r="L3" s="307">
        <f>+SUBTOTAL(109,L10:L801)</f>
        <v>13423196.680000018</v>
      </c>
    </row>
    <row r="8" spans="1:17">
      <c r="A8" s="341" t="s">
        <v>943</v>
      </c>
      <c r="B8" s="342"/>
      <c r="C8" s="342"/>
      <c r="D8" s="342"/>
      <c r="E8" s="342"/>
      <c r="F8" s="342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2"/>
    </row>
    <row r="9" spans="1:17">
      <c r="A9" s="293" t="s">
        <v>102</v>
      </c>
      <c r="B9" s="293" t="s">
        <v>638</v>
      </c>
      <c r="C9" s="293" t="s">
        <v>639</v>
      </c>
      <c r="D9" s="293" t="s">
        <v>640</v>
      </c>
      <c r="E9" s="293" t="s">
        <v>641</v>
      </c>
      <c r="F9" s="293" t="s">
        <v>642</v>
      </c>
      <c r="G9" s="293" t="s">
        <v>944</v>
      </c>
      <c r="H9" s="293" t="s">
        <v>945</v>
      </c>
      <c r="I9" s="293" t="s">
        <v>946</v>
      </c>
      <c r="J9" s="293" t="s">
        <v>646</v>
      </c>
      <c r="K9" s="293" t="s">
        <v>647</v>
      </c>
      <c r="L9" s="293" t="s">
        <v>648</v>
      </c>
      <c r="M9" s="293" t="s">
        <v>649</v>
      </c>
      <c r="N9" s="293" t="s">
        <v>650</v>
      </c>
      <c r="O9" s="293" t="s">
        <v>651</v>
      </c>
      <c r="P9" s="293" t="s">
        <v>3</v>
      </c>
      <c r="Q9" s="293" t="s">
        <v>652</v>
      </c>
    </row>
    <row r="10" spans="1:17" hidden="1">
      <c r="A10" s="294" t="s">
        <v>1010</v>
      </c>
      <c r="B10" s="294" t="s">
        <v>654</v>
      </c>
      <c r="C10" s="295">
        <v>7</v>
      </c>
      <c r="D10" s="295">
        <v>2227</v>
      </c>
      <c r="E10" s="294"/>
      <c r="F10" s="295">
        <v>74448602428030</v>
      </c>
      <c r="G10" s="294" t="s">
        <v>7</v>
      </c>
      <c r="H10" s="295">
        <v>30546771314</v>
      </c>
      <c r="I10" s="294" t="s">
        <v>959</v>
      </c>
      <c r="J10" s="295">
        <v>1</v>
      </c>
      <c r="K10" s="294" t="s">
        <v>656</v>
      </c>
      <c r="L10" s="304">
        <v>104132.23</v>
      </c>
      <c r="M10" s="295">
        <v>0</v>
      </c>
      <c r="N10" s="295">
        <v>0</v>
      </c>
      <c r="O10" s="295">
        <v>0</v>
      </c>
      <c r="P10" s="303">
        <v>21867.77</v>
      </c>
      <c r="Q10" s="295">
        <v>126000</v>
      </c>
    </row>
    <row r="11" spans="1:17" hidden="1">
      <c r="A11" s="294" t="s">
        <v>1010</v>
      </c>
      <c r="B11" s="294" t="s">
        <v>654</v>
      </c>
      <c r="C11" s="295">
        <v>7</v>
      </c>
      <c r="D11" s="295">
        <v>2226</v>
      </c>
      <c r="E11" s="294"/>
      <c r="F11" s="295">
        <v>74448600824252</v>
      </c>
      <c r="G11" s="294" t="s">
        <v>7</v>
      </c>
      <c r="H11" s="295">
        <v>30546771314</v>
      </c>
      <c r="I11" s="294" t="s">
        <v>959</v>
      </c>
      <c r="J11" s="295">
        <v>1</v>
      </c>
      <c r="K11" s="294" t="s">
        <v>656</v>
      </c>
      <c r="L11" s="305">
        <v>153884.29999999999</v>
      </c>
      <c r="M11" s="295">
        <v>0</v>
      </c>
      <c r="N11" s="295">
        <v>0</v>
      </c>
      <c r="O11" s="295">
        <v>0</v>
      </c>
      <c r="P11" s="294">
        <v>32315.7</v>
      </c>
      <c r="Q11" s="295">
        <v>186200</v>
      </c>
    </row>
    <row r="12" spans="1:17">
      <c r="A12" s="294" t="s">
        <v>1010</v>
      </c>
      <c r="B12" s="294" t="s">
        <v>948</v>
      </c>
      <c r="C12" s="295">
        <v>9</v>
      </c>
      <c r="D12" s="295">
        <v>234</v>
      </c>
      <c r="E12" s="294"/>
      <c r="F12" s="295">
        <v>74448561909174</v>
      </c>
      <c r="G12" s="295">
        <v>99</v>
      </c>
      <c r="H12" s="295">
        <v>0</v>
      </c>
      <c r="I12" s="294"/>
      <c r="J12" s="295">
        <v>1</v>
      </c>
      <c r="K12" s="294" t="s">
        <v>656</v>
      </c>
      <c r="L12" s="305">
        <v>11487.6</v>
      </c>
      <c r="M12" s="295">
        <v>0</v>
      </c>
      <c r="N12" s="295">
        <v>0</v>
      </c>
      <c r="O12" s="295">
        <v>0</v>
      </c>
      <c r="P12" s="294">
        <v>2412.4</v>
      </c>
      <c r="Q12" s="295">
        <v>13900</v>
      </c>
    </row>
    <row r="13" spans="1:17">
      <c r="A13" s="294" t="s">
        <v>1010</v>
      </c>
      <c r="B13" s="294" t="s">
        <v>948</v>
      </c>
      <c r="C13" s="295">
        <v>9</v>
      </c>
      <c r="D13" s="295">
        <v>240</v>
      </c>
      <c r="E13" s="294"/>
      <c r="F13" s="295">
        <v>74448598039318</v>
      </c>
      <c r="G13" s="295">
        <v>99</v>
      </c>
      <c r="H13" s="295">
        <v>0</v>
      </c>
      <c r="I13" s="294"/>
      <c r="J13" s="295">
        <v>1</v>
      </c>
      <c r="K13" s="294" t="s">
        <v>656</v>
      </c>
      <c r="L13" s="304">
        <v>20661.16</v>
      </c>
      <c r="M13" s="295">
        <v>0</v>
      </c>
      <c r="N13" s="295">
        <v>0</v>
      </c>
      <c r="O13" s="295">
        <v>0</v>
      </c>
      <c r="P13" s="303">
        <v>4338.84</v>
      </c>
      <c r="Q13" s="295">
        <v>25000</v>
      </c>
    </row>
    <row r="14" spans="1:17">
      <c r="A14" s="294" t="s">
        <v>1010</v>
      </c>
      <c r="B14" s="294" t="s">
        <v>948</v>
      </c>
      <c r="C14" s="295">
        <v>9</v>
      </c>
      <c r="D14" s="295">
        <v>237</v>
      </c>
      <c r="E14" s="294"/>
      <c r="F14" s="295">
        <v>74448569238896</v>
      </c>
      <c r="G14" s="295">
        <v>99</v>
      </c>
      <c r="H14" s="295">
        <v>0</v>
      </c>
      <c r="I14" s="294"/>
      <c r="J14" s="295">
        <v>1</v>
      </c>
      <c r="K14" s="294" t="s">
        <v>656</v>
      </c>
      <c r="L14" s="304">
        <v>23471.07</v>
      </c>
      <c r="M14" s="295">
        <v>0</v>
      </c>
      <c r="N14" s="295">
        <v>0</v>
      </c>
      <c r="O14" s="295">
        <v>0</v>
      </c>
      <c r="P14" s="303">
        <v>4928.93</v>
      </c>
      <c r="Q14" s="295">
        <v>28400</v>
      </c>
    </row>
    <row r="15" spans="1:17">
      <c r="A15" s="294" t="s">
        <v>1010</v>
      </c>
      <c r="B15" s="294" t="s">
        <v>948</v>
      </c>
      <c r="C15" s="295">
        <v>9</v>
      </c>
      <c r="D15" s="295">
        <v>241</v>
      </c>
      <c r="E15" s="294"/>
      <c r="F15" s="295">
        <v>74448601705798</v>
      </c>
      <c r="G15" s="295">
        <v>99</v>
      </c>
      <c r="H15" s="295">
        <v>0</v>
      </c>
      <c r="I15" s="294"/>
      <c r="J15" s="295">
        <v>1</v>
      </c>
      <c r="K15" s="294" t="s">
        <v>656</v>
      </c>
      <c r="L15" s="304">
        <v>16528.93</v>
      </c>
      <c r="M15" s="295">
        <v>0</v>
      </c>
      <c r="N15" s="295">
        <v>0</v>
      </c>
      <c r="O15" s="295">
        <v>0</v>
      </c>
      <c r="P15" s="303">
        <v>3471.07</v>
      </c>
      <c r="Q15" s="295">
        <v>20000</v>
      </c>
    </row>
    <row r="16" spans="1:17">
      <c r="A16" s="294" t="s">
        <v>1010</v>
      </c>
      <c r="B16" s="294" t="s">
        <v>948</v>
      </c>
      <c r="C16" s="295">
        <v>9</v>
      </c>
      <c r="D16" s="295">
        <v>239</v>
      </c>
      <c r="E16" s="294"/>
      <c r="F16" s="295">
        <v>74448589059048</v>
      </c>
      <c r="G16" s="295">
        <v>99</v>
      </c>
      <c r="H16" s="295">
        <v>0</v>
      </c>
      <c r="I16" s="294"/>
      <c r="J16" s="295">
        <v>1</v>
      </c>
      <c r="K16" s="294" t="s">
        <v>656</v>
      </c>
      <c r="L16" s="304">
        <v>9256.19</v>
      </c>
      <c r="M16" s="295">
        <v>0</v>
      </c>
      <c r="N16" s="295">
        <v>0</v>
      </c>
      <c r="O16" s="295">
        <v>0</v>
      </c>
      <c r="P16" s="303">
        <v>1943.81</v>
      </c>
      <c r="Q16" s="295">
        <v>11200</v>
      </c>
    </row>
    <row r="17" spans="1:17">
      <c r="A17" s="294" t="s">
        <v>1010</v>
      </c>
      <c r="B17" s="294" t="s">
        <v>948</v>
      </c>
      <c r="C17" s="295">
        <v>9</v>
      </c>
      <c r="D17" s="295">
        <v>232</v>
      </c>
      <c r="E17" s="294"/>
      <c r="F17" s="295">
        <v>74448544837619</v>
      </c>
      <c r="G17" s="295">
        <v>99</v>
      </c>
      <c r="H17" s="295">
        <v>0</v>
      </c>
      <c r="I17" s="294"/>
      <c r="J17" s="295">
        <v>1</v>
      </c>
      <c r="K17" s="294" t="s">
        <v>656</v>
      </c>
      <c r="L17" s="304">
        <v>14669.42</v>
      </c>
      <c r="M17" s="295">
        <v>0</v>
      </c>
      <c r="N17" s="295">
        <v>0</v>
      </c>
      <c r="O17" s="295">
        <v>0</v>
      </c>
      <c r="P17" s="303">
        <v>3080.58</v>
      </c>
      <c r="Q17" s="295">
        <v>17750</v>
      </c>
    </row>
    <row r="18" spans="1:17">
      <c r="A18" s="294" t="s">
        <v>1010</v>
      </c>
      <c r="B18" s="294" t="s">
        <v>948</v>
      </c>
      <c r="C18" s="295">
        <v>9</v>
      </c>
      <c r="D18" s="295">
        <v>236</v>
      </c>
      <c r="E18" s="294"/>
      <c r="F18" s="295">
        <v>74448567380131</v>
      </c>
      <c r="G18" s="295">
        <v>99</v>
      </c>
      <c r="H18" s="295">
        <v>0</v>
      </c>
      <c r="I18" s="294"/>
      <c r="J18" s="295">
        <v>1</v>
      </c>
      <c r="K18" s="294" t="s">
        <v>656</v>
      </c>
      <c r="L18" s="305">
        <v>11487.6</v>
      </c>
      <c r="M18" s="295">
        <v>0</v>
      </c>
      <c r="N18" s="295">
        <v>0</v>
      </c>
      <c r="O18" s="295">
        <v>0</v>
      </c>
      <c r="P18" s="294">
        <v>2412.4</v>
      </c>
      <c r="Q18" s="295">
        <v>13900</v>
      </c>
    </row>
    <row r="19" spans="1:17">
      <c r="A19" s="294" t="s">
        <v>1010</v>
      </c>
      <c r="B19" s="294" t="s">
        <v>948</v>
      </c>
      <c r="C19" s="295">
        <v>9</v>
      </c>
      <c r="D19" s="295">
        <v>235</v>
      </c>
      <c r="E19" s="294"/>
      <c r="F19" s="295">
        <v>74448564292856</v>
      </c>
      <c r="G19" s="295">
        <v>99</v>
      </c>
      <c r="H19" s="295">
        <v>0</v>
      </c>
      <c r="I19" s="294"/>
      <c r="J19" s="295">
        <v>1</v>
      </c>
      <c r="K19" s="294" t="s">
        <v>656</v>
      </c>
      <c r="L19" s="304">
        <v>85537.18</v>
      </c>
      <c r="M19" s="295">
        <v>0</v>
      </c>
      <c r="N19" s="295">
        <v>0</v>
      </c>
      <c r="O19" s="295">
        <v>0</v>
      </c>
      <c r="P19" s="303">
        <v>17962.82</v>
      </c>
      <c r="Q19" s="295">
        <v>103500</v>
      </c>
    </row>
    <row r="20" spans="1:17">
      <c r="A20" s="294" t="s">
        <v>1010</v>
      </c>
      <c r="B20" s="294" t="s">
        <v>948</v>
      </c>
      <c r="C20" s="295">
        <v>9</v>
      </c>
      <c r="D20" s="295">
        <v>233</v>
      </c>
      <c r="E20" s="294"/>
      <c r="F20" s="295">
        <v>74448555084195</v>
      </c>
      <c r="G20" s="295">
        <v>99</v>
      </c>
      <c r="H20" s="295">
        <v>0</v>
      </c>
      <c r="I20" s="294"/>
      <c r="J20" s="295">
        <v>1</v>
      </c>
      <c r="K20" s="294" t="s">
        <v>656</v>
      </c>
      <c r="L20" s="304">
        <v>30495.87</v>
      </c>
      <c r="M20" s="295">
        <v>0</v>
      </c>
      <c r="N20" s="295">
        <v>0</v>
      </c>
      <c r="O20" s="295">
        <v>0</v>
      </c>
      <c r="P20" s="303">
        <v>6404.13</v>
      </c>
      <c r="Q20" s="295">
        <v>36900</v>
      </c>
    </row>
    <row r="21" spans="1:17">
      <c r="A21" s="294" t="s">
        <v>1010</v>
      </c>
      <c r="B21" s="294" t="s">
        <v>948</v>
      </c>
      <c r="C21" s="295">
        <v>9</v>
      </c>
      <c r="D21" s="295">
        <v>242</v>
      </c>
      <c r="E21" s="294"/>
      <c r="F21" s="295">
        <v>74448616564521</v>
      </c>
      <c r="G21" s="295">
        <v>99</v>
      </c>
      <c r="H21" s="295">
        <v>0</v>
      </c>
      <c r="I21" s="294"/>
      <c r="J21" s="295">
        <v>1</v>
      </c>
      <c r="K21" s="294" t="s">
        <v>656</v>
      </c>
      <c r="L21" s="304">
        <v>14669.42</v>
      </c>
      <c r="M21" s="295">
        <v>0</v>
      </c>
      <c r="N21" s="295">
        <v>0</v>
      </c>
      <c r="O21" s="295">
        <v>0</v>
      </c>
      <c r="P21" s="303">
        <v>3080.58</v>
      </c>
      <c r="Q21" s="295">
        <v>17750</v>
      </c>
    </row>
    <row r="22" spans="1:17">
      <c r="A22" s="294" t="s">
        <v>1010</v>
      </c>
      <c r="B22" s="294" t="s">
        <v>948</v>
      </c>
      <c r="C22" s="295">
        <v>9</v>
      </c>
      <c r="D22" s="295">
        <v>238</v>
      </c>
      <c r="E22" s="294"/>
      <c r="F22" s="295">
        <v>74448577672628</v>
      </c>
      <c r="G22" s="295">
        <v>99</v>
      </c>
      <c r="H22" s="295">
        <v>0</v>
      </c>
      <c r="I22" s="294"/>
      <c r="J22" s="295">
        <v>1</v>
      </c>
      <c r="K22" s="294" t="s">
        <v>656</v>
      </c>
      <c r="L22" s="304">
        <v>14669.42</v>
      </c>
      <c r="M22" s="295">
        <v>0</v>
      </c>
      <c r="N22" s="295">
        <v>0</v>
      </c>
      <c r="O22" s="295">
        <v>0</v>
      </c>
      <c r="P22" s="303">
        <v>3080.58</v>
      </c>
      <c r="Q22" s="295">
        <v>17750</v>
      </c>
    </row>
    <row r="23" spans="1:17">
      <c r="A23" s="294" t="s">
        <v>1010</v>
      </c>
      <c r="B23" s="294" t="s">
        <v>948</v>
      </c>
      <c r="C23" s="295">
        <v>3</v>
      </c>
      <c r="D23" s="295">
        <v>2862</v>
      </c>
      <c r="E23" s="294"/>
      <c r="F23" s="295">
        <v>74448548497786</v>
      </c>
      <c r="G23" s="294" t="s">
        <v>981</v>
      </c>
      <c r="H23" s="295">
        <v>20078376105</v>
      </c>
      <c r="I23" s="294" t="s">
        <v>1057</v>
      </c>
      <c r="J23" s="295">
        <v>1</v>
      </c>
      <c r="K23" s="294" t="s">
        <v>656</v>
      </c>
      <c r="L23" s="304">
        <v>314049.57</v>
      </c>
      <c r="M23" s="295">
        <v>0</v>
      </c>
      <c r="N23" s="295">
        <v>0</v>
      </c>
      <c r="O23" s="295">
        <v>0</v>
      </c>
      <c r="P23" s="303">
        <v>65950.41</v>
      </c>
      <c r="Q23" s="295">
        <v>380000</v>
      </c>
    </row>
    <row r="24" spans="1:17">
      <c r="A24" s="294" t="s">
        <v>1010</v>
      </c>
      <c r="B24" s="294" t="s">
        <v>948</v>
      </c>
      <c r="C24" s="295">
        <v>3</v>
      </c>
      <c r="D24" s="295">
        <v>2863</v>
      </c>
      <c r="E24" s="294"/>
      <c r="F24" s="295">
        <v>74448603364668</v>
      </c>
      <c r="G24" s="294" t="s">
        <v>949</v>
      </c>
      <c r="H24" s="295">
        <v>35940091</v>
      </c>
      <c r="I24" s="294" t="s">
        <v>1058</v>
      </c>
      <c r="J24" s="295">
        <v>1</v>
      </c>
      <c r="K24" s="294" t="s">
        <v>656</v>
      </c>
      <c r="L24" s="304">
        <v>12727.29</v>
      </c>
      <c r="M24" s="295">
        <v>0</v>
      </c>
      <c r="N24" s="295">
        <v>0</v>
      </c>
      <c r="O24" s="295">
        <v>0</v>
      </c>
      <c r="P24" s="303">
        <v>2672.73</v>
      </c>
      <c r="Q24" s="295">
        <v>15400</v>
      </c>
    </row>
    <row r="25" spans="1:17">
      <c r="A25" s="294" t="s">
        <v>1010</v>
      </c>
      <c r="B25" s="294" t="s">
        <v>948</v>
      </c>
      <c r="C25" s="295">
        <v>3</v>
      </c>
      <c r="D25" s="295">
        <v>2864</v>
      </c>
      <c r="E25" s="294"/>
      <c r="F25" s="295">
        <v>74448610147202</v>
      </c>
      <c r="G25" s="294" t="s">
        <v>949</v>
      </c>
      <c r="H25" s="295">
        <v>18066137</v>
      </c>
      <c r="I25" s="294" t="s">
        <v>1059</v>
      </c>
      <c r="J25" s="295">
        <v>1</v>
      </c>
      <c r="K25" s="294" t="s">
        <v>656</v>
      </c>
      <c r="L25" s="304">
        <v>17355.38</v>
      </c>
      <c r="M25" s="295">
        <v>0</v>
      </c>
      <c r="N25" s="295">
        <v>0</v>
      </c>
      <c r="O25" s="295">
        <v>0</v>
      </c>
      <c r="P25" s="303">
        <v>3644.63</v>
      </c>
      <c r="Q25" s="295">
        <v>21000</v>
      </c>
    </row>
    <row r="26" spans="1:17" hidden="1">
      <c r="A26" s="294" t="s">
        <v>1013</v>
      </c>
      <c r="B26" s="294" t="s">
        <v>654</v>
      </c>
      <c r="C26" s="295">
        <v>7</v>
      </c>
      <c r="D26" s="295">
        <v>2228</v>
      </c>
      <c r="E26" s="294"/>
      <c r="F26" s="295">
        <v>74458947045077</v>
      </c>
      <c r="G26" s="294" t="s">
        <v>7</v>
      </c>
      <c r="H26" s="295">
        <v>30715186655</v>
      </c>
      <c r="I26" s="294" t="s">
        <v>954</v>
      </c>
      <c r="J26" s="295">
        <v>1</v>
      </c>
      <c r="K26" s="294" t="s">
        <v>656</v>
      </c>
      <c r="L26" s="304">
        <v>420498.35</v>
      </c>
      <c r="M26" s="295">
        <v>0</v>
      </c>
      <c r="N26" s="295">
        <v>0</v>
      </c>
      <c r="O26" s="295">
        <v>0</v>
      </c>
      <c r="P26" s="303">
        <v>88304.65</v>
      </c>
      <c r="Q26" s="295">
        <v>508803</v>
      </c>
    </row>
    <row r="27" spans="1:17" hidden="1">
      <c r="A27" s="294" t="s">
        <v>1013</v>
      </c>
      <c r="B27" s="294" t="s">
        <v>654</v>
      </c>
      <c r="C27" s="295">
        <v>7</v>
      </c>
      <c r="D27" s="295">
        <v>2229</v>
      </c>
      <c r="E27" s="294"/>
      <c r="F27" s="295">
        <v>74458947251680</v>
      </c>
      <c r="G27" s="294" t="s">
        <v>7</v>
      </c>
      <c r="H27" s="295">
        <v>30715186655</v>
      </c>
      <c r="I27" s="294" t="s">
        <v>954</v>
      </c>
      <c r="J27" s="295">
        <v>1</v>
      </c>
      <c r="K27" s="294" t="s">
        <v>656</v>
      </c>
      <c r="L27" s="304">
        <v>56198.35</v>
      </c>
      <c r="M27" s="295">
        <v>0</v>
      </c>
      <c r="N27" s="295">
        <v>0</v>
      </c>
      <c r="O27" s="295">
        <v>0</v>
      </c>
      <c r="P27" s="303">
        <v>11801.65</v>
      </c>
      <c r="Q27" s="295">
        <v>68000</v>
      </c>
    </row>
    <row r="28" spans="1:17" hidden="1">
      <c r="A28" s="294" t="s">
        <v>1013</v>
      </c>
      <c r="B28" s="294" t="s">
        <v>654</v>
      </c>
      <c r="C28" s="295">
        <v>7</v>
      </c>
      <c r="D28" s="295">
        <v>2231</v>
      </c>
      <c r="E28" s="294"/>
      <c r="F28" s="295">
        <v>74458951113373</v>
      </c>
      <c r="G28" s="294" t="s">
        <v>7</v>
      </c>
      <c r="H28" s="295">
        <v>30711244383</v>
      </c>
      <c r="I28" s="294" t="s">
        <v>989</v>
      </c>
      <c r="J28" s="295">
        <v>1</v>
      </c>
      <c r="K28" s="294" t="s">
        <v>656</v>
      </c>
      <c r="L28" s="304">
        <v>60331.43</v>
      </c>
      <c r="M28" s="295">
        <v>0</v>
      </c>
      <c r="N28" s="295">
        <v>0</v>
      </c>
      <c r="O28" s="295">
        <v>0</v>
      </c>
      <c r="P28" s="294">
        <v>12669.6</v>
      </c>
      <c r="Q28" s="303">
        <v>73001.03</v>
      </c>
    </row>
    <row r="29" spans="1:17" hidden="1">
      <c r="A29" s="294" t="s">
        <v>1013</v>
      </c>
      <c r="B29" s="294" t="s">
        <v>654</v>
      </c>
      <c r="C29" s="295">
        <v>7</v>
      </c>
      <c r="D29" s="295">
        <v>2230</v>
      </c>
      <c r="E29" s="294"/>
      <c r="F29" s="295">
        <v>74458948601244</v>
      </c>
      <c r="G29" s="294" t="s">
        <v>7</v>
      </c>
      <c r="H29" s="295">
        <v>30710538014</v>
      </c>
      <c r="I29" s="294" t="s">
        <v>956</v>
      </c>
      <c r="J29" s="295">
        <v>1</v>
      </c>
      <c r="K29" s="294" t="s">
        <v>656</v>
      </c>
      <c r="L29" s="304">
        <v>436033.06</v>
      </c>
      <c r="M29" s="295">
        <v>0</v>
      </c>
      <c r="N29" s="295">
        <v>0</v>
      </c>
      <c r="O29" s="295">
        <v>0</v>
      </c>
      <c r="P29" s="303">
        <v>91566.94</v>
      </c>
      <c r="Q29" s="295">
        <v>527600</v>
      </c>
    </row>
    <row r="30" spans="1:17">
      <c r="A30" s="294" t="s">
        <v>1013</v>
      </c>
      <c r="B30" s="294" t="s">
        <v>948</v>
      </c>
      <c r="C30" s="295">
        <v>9</v>
      </c>
      <c r="D30" s="295">
        <v>243</v>
      </c>
      <c r="E30" s="294"/>
      <c r="F30" s="295">
        <v>74458877910909</v>
      </c>
      <c r="G30" s="295">
        <v>99</v>
      </c>
      <c r="H30" s="295">
        <v>0</v>
      </c>
      <c r="I30" s="294"/>
      <c r="J30" s="295">
        <v>1</v>
      </c>
      <c r="K30" s="294" t="s">
        <v>656</v>
      </c>
      <c r="L30" s="304">
        <v>16942.150000000001</v>
      </c>
      <c r="M30" s="295">
        <v>0</v>
      </c>
      <c r="N30" s="295">
        <v>0</v>
      </c>
      <c r="O30" s="295">
        <v>0</v>
      </c>
      <c r="P30" s="303">
        <v>3557.85</v>
      </c>
      <c r="Q30" s="295">
        <v>20500</v>
      </c>
    </row>
    <row r="31" spans="1:17">
      <c r="A31" s="294" t="s">
        <v>1013</v>
      </c>
      <c r="B31" s="294" t="s">
        <v>948</v>
      </c>
      <c r="C31" s="295">
        <v>9</v>
      </c>
      <c r="D31" s="295">
        <v>247</v>
      </c>
      <c r="E31" s="294"/>
      <c r="F31" s="295">
        <v>74458927986748</v>
      </c>
      <c r="G31" s="295">
        <v>99</v>
      </c>
      <c r="H31" s="295">
        <v>0</v>
      </c>
      <c r="I31" s="294"/>
      <c r="J31" s="295">
        <v>1</v>
      </c>
      <c r="K31" s="294" t="s">
        <v>656</v>
      </c>
      <c r="L31" s="304">
        <v>29338.84</v>
      </c>
      <c r="M31" s="295">
        <v>0</v>
      </c>
      <c r="N31" s="295">
        <v>0</v>
      </c>
      <c r="O31" s="295">
        <v>0</v>
      </c>
      <c r="P31" s="303">
        <v>6161.16</v>
      </c>
      <c r="Q31" s="295">
        <v>35500</v>
      </c>
    </row>
    <row r="32" spans="1:17">
      <c r="A32" s="294" t="s">
        <v>1013</v>
      </c>
      <c r="B32" s="294" t="s">
        <v>948</v>
      </c>
      <c r="C32" s="295">
        <v>9</v>
      </c>
      <c r="D32" s="295">
        <v>245</v>
      </c>
      <c r="E32" s="294"/>
      <c r="F32" s="295">
        <v>74458922661220</v>
      </c>
      <c r="G32" s="295">
        <v>99</v>
      </c>
      <c r="H32" s="295">
        <v>0</v>
      </c>
      <c r="I32" s="294"/>
      <c r="J32" s="295">
        <v>1</v>
      </c>
      <c r="K32" s="294" t="s">
        <v>656</v>
      </c>
      <c r="L32" s="305">
        <v>10743.8</v>
      </c>
      <c r="M32" s="295">
        <v>0</v>
      </c>
      <c r="N32" s="295">
        <v>0</v>
      </c>
      <c r="O32" s="295">
        <v>0</v>
      </c>
      <c r="P32" s="294">
        <v>2256.1999999999998</v>
      </c>
      <c r="Q32" s="295">
        <v>13000</v>
      </c>
    </row>
    <row r="33" spans="1:17">
      <c r="A33" s="294" t="s">
        <v>1013</v>
      </c>
      <c r="B33" s="294" t="s">
        <v>948</v>
      </c>
      <c r="C33" s="295">
        <v>9</v>
      </c>
      <c r="D33" s="295">
        <v>244</v>
      </c>
      <c r="E33" s="294"/>
      <c r="F33" s="295">
        <v>74458879179224</v>
      </c>
      <c r="G33" s="295">
        <v>99</v>
      </c>
      <c r="H33" s="295">
        <v>0</v>
      </c>
      <c r="I33" s="294"/>
      <c r="J33" s="295">
        <v>1</v>
      </c>
      <c r="K33" s="294" t="s">
        <v>656</v>
      </c>
      <c r="L33" s="304">
        <v>4132.2299999999996</v>
      </c>
      <c r="M33" s="295">
        <v>0</v>
      </c>
      <c r="N33" s="295">
        <v>0</v>
      </c>
      <c r="O33" s="295">
        <v>0</v>
      </c>
      <c r="P33" s="303">
        <v>867.77</v>
      </c>
      <c r="Q33" s="295">
        <v>5000</v>
      </c>
    </row>
    <row r="34" spans="1:17">
      <c r="A34" s="294" t="s">
        <v>1013</v>
      </c>
      <c r="B34" s="294" t="s">
        <v>948</v>
      </c>
      <c r="C34" s="295">
        <v>7</v>
      </c>
      <c r="D34" s="295">
        <v>5426</v>
      </c>
      <c r="E34" s="294"/>
      <c r="F34" s="295">
        <v>74458912363535</v>
      </c>
      <c r="G34" s="294" t="s">
        <v>949</v>
      </c>
      <c r="H34" s="295">
        <v>17198648</v>
      </c>
      <c r="I34" s="294" t="s">
        <v>963</v>
      </c>
      <c r="J34" s="295">
        <v>1</v>
      </c>
      <c r="K34" s="294" t="s">
        <v>656</v>
      </c>
      <c r="L34" s="304">
        <v>19834.71</v>
      </c>
      <c r="M34" s="295">
        <v>0</v>
      </c>
      <c r="N34" s="295">
        <v>0</v>
      </c>
      <c r="O34" s="295">
        <v>0</v>
      </c>
      <c r="P34" s="303">
        <v>4165.29</v>
      </c>
      <c r="Q34" s="295">
        <v>24000</v>
      </c>
    </row>
    <row r="35" spans="1:17">
      <c r="A35" s="294" t="s">
        <v>1013</v>
      </c>
      <c r="B35" s="294" t="s">
        <v>948</v>
      </c>
      <c r="C35" s="295">
        <v>7</v>
      </c>
      <c r="D35" s="295">
        <v>5427</v>
      </c>
      <c r="E35" s="294"/>
      <c r="F35" s="295">
        <v>74458952323313</v>
      </c>
      <c r="G35" s="294" t="s">
        <v>7</v>
      </c>
      <c r="H35" s="295">
        <v>30571766287</v>
      </c>
      <c r="I35" s="294" t="s">
        <v>984</v>
      </c>
      <c r="J35" s="295">
        <v>1</v>
      </c>
      <c r="K35" s="294" t="s">
        <v>656</v>
      </c>
      <c r="L35" s="304">
        <v>167570.25</v>
      </c>
      <c r="M35" s="295">
        <v>0</v>
      </c>
      <c r="N35" s="295">
        <v>0</v>
      </c>
      <c r="O35" s="295">
        <v>0</v>
      </c>
      <c r="P35" s="303">
        <v>35189.75</v>
      </c>
      <c r="Q35" s="295">
        <v>202760</v>
      </c>
    </row>
    <row r="36" spans="1:17">
      <c r="A36" s="294" t="s">
        <v>1013</v>
      </c>
      <c r="B36" s="294" t="s">
        <v>948</v>
      </c>
      <c r="C36" s="295">
        <v>9</v>
      </c>
      <c r="D36" s="295">
        <v>246</v>
      </c>
      <c r="E36" s="294"/>
      <c r="F36" s="295">
        <v>74458924110077</v>
      </c>
      <c r="G36" s="295">
        <v>99</v>
      </c>
      <c r="H36" s="295">
        <v>0</v>
      </c>
      <c r="I36" s="294"/>
      <c r="J36" s="295">
        <v>1</v>
      </c>
      <c r="K36" s="294" t="s">
        <v>656</v>
      </c>
      <c r="L36" s="304">
        <v>8264.4599999999991</v>
      </c>
      <c r="M36" s="295">
        <v>0</v>
      </c>
      <c r="N36" s="295">
        <v>0</v>
      </c>
      <c r="O36" s="295">
        <v>0</v>
      </c>
      <c r="P36" s="303">
        <v>1735.54</v>
      </c>
      <c r="Q36" s="295">
        <v>10000</v>
      </c>
    </row>
    <row r="37" spans="1:17">
      <c r="A37" s="294" t="s">
        <v>1013</v>
      </c>
      <c r="B37" s="294" t="s">
        <v>948</v>
      </c>
      <c r="C37" s="295">
        <v>3</v>
      </c>
      <c r="D37" s="295">
        <v>2865</v>
      </c>
      <c r="E37" s="294"/>
      <c r="F37" s="295">
        <v>74458902778395</v>
      </c>
      <c r="G37" s="294"/>
      <c r="H37" s="294"/>
      <c r="I37" s="294"/>
      <c r="J37" s="295">
        <v>1</v>
      </c>
      <c r="K37" s="294" t="s">
        <v>656</v>
      </c>
      <c r="L37" s="304">
        <v>12396.71</v>
      </c>
      <c r="M37" s="295">
        <v>0</v>
      </c>
      <c r="N37" s="295">
        <v>0</v>
      </c>
      <c r="O37" s="295">
        <v>0</v>
      </c>
      <c r="P37" s="303">
        <v>2603.31</v>
      </c>
      <c r="Q37" s="295">
        <v>15000</v>
      </c>
    </row>
    <row r="38" spans="1:17">
      <c r="A38" s="294" t="s">
        <v>1013</v>
      </c>
      <c r="B38" s="294" t="s">
        <v>948</v>
      </c>
      <c r="C38" s="295">
        <v>3</v>
      </c>
      <c r="D38" s="295">
        <v>2869</v>
      </c>
      <c r="E38" s="294"/>
      <c r="F38" s="295">
        <v>74458939112061</v>
      </c>
      <c r="G38" s="294"/>
      <c r="H38" s="294"/>
      <c r="I38" s="294"/>
      <c r="J38" s="295">
        <v>1</v>
      </c>
      <c r="K38" s="294" t="s">
        <v>656</v>
      </c>
      <c r="L38" s="304">
        <v>17355.38</v>
      </c>
      <c r="M38" s="295">
        <v>0</v>
      </c>
      <c r="N38" s="295">
        <v>0</v>
      </c>
      <c r="O38" s="295">
        <v>0</v>
      </c>
      <c r="P38" s="303">
        <v>3644.63</v>
      </c>
      <c r="Q38" s="295">
        <v>21000</v>
      </c>
    </row>
    <row r="39" spans="1:17">
      <c r="A39" s="294" t="s">
        <v>1013</v>
      </c>
      <c r="B39" s="294" t="s">
        <v>948</v>
      </c>
      <c r="C39" s="295">
        <v>3</v>
      </c>
      <c r="D39" s="295">
        <v>2872</v>
      </c>
      <c r="E39" s="294"/>
      <c r="F39" s="295">
        <v>74458942253899</v>
      </c>
      <c r="G39" s="294" t="s">
        <v>949</v>
      </c>
      <c r="H39" s="295">
        <v>18057302</v>
      </c>
      <c r="I39" s="294" t="s">
        <v>1060</v>
      </c>
      <c r="J39" s="295">
        <v>1</v>
      </c>
      <c r="K39" s="294" t="s">
        <v>656</v>
      </c>
      <c r="L39" s="304">
        <v>18677.669999999998</v>
      </c>
      <c r="M39" s="295">
        <v>0</v>
      </c>
      <c r="N39" s="295">
        <v>0</v>
      </c>
      <c r="O39" s="295">
        <v>0</v>
      </c>
      <c r="P39" s="303">
        <v>3922.31</v>
      </c>
      <c r="Q39" s="295">
        <v>22600</v>
      </c>
    </row>
    <row r="40" spans="1:17">
      <c r="A40" s="294" t="s">
        <v>1013</v>
      </c>
      <c r="B40" s="294" t="s">
        <v>948</v>
      </c>
      <c r="C40" s="295">
        <v>3</v>
      </c>
      <c r="D40" s="295">
        <v>2867</v>
      </c>
      <c r="E40" s="294"/>
      <c r="F40" s="295">
        <v>74458937256075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0" s="294" t="s">
        <v>656</v>
      </c>
      <c r="L40" s="304">
        <v>21900.81</v>
      </c>
      <c r="M40" s="295">
        <v>0</v>
      </c>
      <c r="N40" s="295">
        <v>0</v>
      </c>
      <c r="O40" s="295">
        <v>0</v>
      </c>
      <c r="P40" s="303">
        <v>4599.17</v>
      </c>
      <c r="Q40" s="295">
        <v>26500</v>
      </c>
    </row>
    <row r="41" spans="1:17">
      <c r="A41" s="294" t="s">
        <v>1013</v>
      </c>
      <c r="B41" s="294" t="s">
        <v>948</v>
      </c>
      <c r="C41" s="295">
        <v>3</v>
      </c>
      <c r="D41" s="295">
        <v>2866</v>
      </c>
      <c r="E41" s="294"/>
      <c r="F41" s="295">
        <v>74458912240084</v>
      </c>
      <c r="G41" s="294" t="s">
        <v>949</v>
      </c>
      <c r="H41" s="295">
        <v>11987513</v>
      </c>
      <c r="I41" s="294" t="s">
        <v>1062</v>
      </c>
      <c r="J41" s="295">
        <v>1</v>
      </c>
      <c r="K41" s="294" t="s">
        <v>656</v>
      </c>
      <c r="L41" s="304">
        <v>34297.519999999997</v>
      </c>
      <c r="M41" s="295">
        <v>0</v>
      </c>
      <c r="N41" s="295">
        <v>0</v>
      </c>
      <c r="O41" s="295">
        <v>0</v>
      </c>
      <c r="P41" s="303">
        <v>7202.48</v>
      </c>
      <c r="Q41" s="295">
        <v>41500</v>
      </c>
    </row>
    <row r="42" spans="1:17">
      <c r="A42" s="294" t="s">
        <v>1013</v>
      </c>
      <c r="B42" s="294" t="s">
        <v>948</v>
      </c>
      <c r="C42" s="295">
        <v>3</v>
      </c>
      <c r="D42" s="295">
        <v>2870</v>
      </c>
      <c r="E42" s="294"/>
      <c r="F42" s="295">
        <v>74458940452154</v>
      </c>
      <c r="G42" s="294" t="s">
        <v>949</v>
      </c>
      <c r="H42" s="295">
        <v>17795042</v>
      </c>
      <c r="I42" s="294" t="s">
        <v>967</v>
      </c>
      <c r="J42" s="295">
        <v>1</v>
      </c>
      <c r="K42" s="294" t="s">
        <v>656</v>
      </c>
      <c r="L42" s="304">
        <v>35041.33</v>
      </c>
      <c r="M42" s="295">
        <v>0</v>
      </c>
      <c r="N42" s="295">
        <v>0</v>
      </c>
      <c r="O42" s="295">
        <v>0</v>
      </c>
      <c r="P42" s="303">
        <v>7358.68</v>
      </c>
      <c r="Q42" s="295">
        <v>42400</v>
      </c>
    </row>
    <row r="43" spans="1:17">
      <c r="A43" s="294" t="s">
        <v>1013</v>
      </c>
      <c r="B43" s="294" t="s">
        <v>948</v>
      </c>
      <c r="C43" s="295">
        <v>3</v>
      </c>
      <c r="D43" s="295">
        <v>2868</v>
      </c>
      <c r="E43" s="294"/>
      <c r="F43" s="295">
        <v>74458937935802</v>
      </c>
      <c r="G43" s="294" t="s">
        <v>949</v>
      </c>
      <c r="H43" s="295">
        <v>17467464</v>
      </c>
      <c r="I43" s="294" t="s">
        <v>1063</v>
      </c>
      <c r="J43" s="295">
        <v>1</v>
      </c>
      <c r="K43" s="294" t="s">
        <v>656</v>
      </c>
      <c r="L43" s="304">
        <v>12727.29</v>
      </c>
      <c r="M43" s="295">
        <v>0</v>
      </c>
      <c r="N43" s="295">
        <v>0</v>
      </c>
      <c r="O43" s="295">
        <v>0</v>
      </c>
      <c r="P43" s="303">
        <v>2672.73</v>
      </c>
      <c r="Q43" s="295">
        <v>15400</v>
      </c>
    </row>
    <row r="44" spans="1:17">
      <c r="A44" s="294" t="s">
        <v>1013</v>
      </c>
      <c r="B44" s="294" t="s">
        <v>948</v>
      </c>
      <c r="C44" s="295">
        <v>3</v>
      </c>
      <c r="D44" s="295">
        <v>2871</v>
      </c>
      <c r="E44" s="294"/>
      <c r="F44" s="295">
        <v>74458941173907</v>
      </c>
      <c r="G44" s="294" t="s">
        <v>949</v>
      </c>
      <c r="H44" s="295">
        <v>18811819</v>
      </c>
      <c r="I44" s="294" t="s">
        <v>1002</v>
      </c>
      <c r="J44" s="295">
        <v>1</v>
      </c>
      <c r="K44" s="294" t="s">
        <v>656</v>
      </c>
      <c r="L44" s="304">
        <v>12396.71</v>
      </c>
      <c r="M44" s="295">
        <v>0</v>
      </c>
      <c r="N44" s="295">
        <v>0</v>
      </c>
      <c r="O44" s="295">
        <v>0</v>
      </c>
      <c r="P44" s="303">
        <v>2603.31</v>
      </c>
      <c r="Q44" s="295">
        <v>15000</v>
      </c>
    </row>
    <row r="45" spans="1:17" hidden="1">
      <c r="A45" s="294" t="s">
        <v>1064</v>
      </c>
      <c r="B45" s="294" t="s">
        <v>654</v>
      </c>
      <c r="C45" s="295">
        <v>7</v>
      </c>
      <c r="D45" s="295">
        <v>2232</v>
      </c>
      <c r="E45" s="294"/>
      <c r="F45" s="295">
        <v>74458049339978</v>
      </c>
      <c r="G45" s="294" t="s">
        <v>7</v>
      </c>
      <c r="H45" s="295">
        <v>30522428163</v>
      </c>
      <c r="I45" s="294" t="s">
        <v>947</v>
      </c>
      <c r="J45" s="295">
        <v>1</v>
      </c>
      <c r="K45" s="294" t="s">
        <v>656</v>
      </c>
      <c r="L45" s="304">
        <v>37190.080000000002</v>
      </c>
      <c r="M45" s="295">
        <v>0</v>
      </c>
      <c r="N45" s="295">
        <v>0</v>
      </c>
      <c r="O45" s="295">
        <v>0</v>
      </c>
      <c r="P45" s="303">
        <v>7809.92</v>
      </c>
      <c r="Q45" s="295">
        <v>45000</v>
      </c>
    </row>
    <row r="46" spans="1:17" hidden="1">
      <c r="A46" s="294" t="s">
        <v>1064</v>
      </c>
      <c r="B46" s="294" t="s">
        <v>654</v>
      </c>
      <c r="C46" s="295">
        <v>7</v>
      </c>
      <c r="D46" s="295">
        <v>2233</v>
      </c>
      <c r="E46" s="294"/>
      <c r="F46" s="295">
        <v>74458065861742</v>
      </c>
      <c r="G46" s="294" t="s">
        <v>7</v>
      </c>
      <c r="H46" s="295">
        <v>30522428163</v>
      </c>
      <c r="I46" s="294" t="s">
        <v>947</v>
      </c>
      <c r="J46" s="295">
        <v>1</v>
      </c>
      <c r="K46" s="294" t="s">
        <v>656</v>
      </c>
      <c r="L46" s="304">
        <v>280783.17</v>
      </c>
      <c r="M46" s="295">
        <v>0</v>
      </c>
      <c r="N46" s="295">
        <v>0</v>
      </c>
      <c r="O46" s="295">
        <v>0</v>
      </c>
      <c r="P46" s="303">
        <v>58964.47</v>
      </c>
      <c r="Q46" s="303">
        <v>339747.64</v>
      </c>
    </row>
    <row r="47" spans="1:17">
      <c r="A47" s="294" t="s">
        <v>1064</v>
      </c>
      <c r="B47" s="294" t="s">
        <v>948</v>
      </c>
      <c r="C47" s="295">
        <v>9</v>
      </c>
      <c r="D47" s="295">
        <v>249</v>
      </c>
      <c r="E47" s="294"/>
      <c r="F47" s="295">
        <v>74458021990793</v>
      </c>
      <c r="G47" s="295">
        <v>99</v>
      </c>
      <c r="H47" s="295">
        <v>0</v>
      </c>
      <c r="I47" s="294"/>
      <c r="J47" s="295">
        <v>1</v>
      </c>
      <c r="K47" s="294" t="s">
        <v>656</v>
      </c>
      <c r="L47" s="304">
        <v>13966.94</v>
      </c>
      <c r="M47" s="295">
        <v>0</v>
      </c>
      <c r="N47" s="295">
        <v>0</v>
      </c>
      <c r="O47" s="295">
        <v>0</v>
      </c>
      <c r="P47" s="303">
        <v>2933.06</v>
      </c>
      <c r="Q47" s="295">
        <v>16900</v>
      </c>
    </row>
    <row r="48" spans="1:17">
      <c r="A48" s="294" t="s">
        <v>1064</v>
      </c>
      <c r="B48" s="294" t="s">
        <v>948</v>
      </c>
      <c r="C48" s="295">
        <v>9</v>
      </c>
      <c r="D48" s="295">
        <v>260</v>
      </c>
      <c r="E48" s="294"/>
      <c r="F48" s="295">
        <v>74458078501717</v>
      </c>
      <c r="G48" s="295">
        <v>99</v>
      </c>
      <c r="H48" s="295">
        <v>0</v>
      </c>
      <c r="I48" s="294"/>
      <c r="J48" s="295">
        <v>1</v>
      </c>
      <c r="K48" s="294" t="s">
        <v>656</v>
      </c>
      <c r="L48" s="304">
        <v>37438.019999999997</v>
      </c>
      <c r="M48" s="295">
        <v>0</v>
      </c>
      <c r="N48" s="295">
        <v>0</v>
      </c>
      <c r="O48" s="295">
        <v>0</v>
      </c>
      <c r="P48" s="303">
        <v>7861.98</v>
      </c>
      <c r="Q48" s="295">
        <v>45300</v>
      </c>
    </row>
    <row r="49" spans="1:17">
      <c r="A49" s="294" t="s">
        <v>1064</v>
      </c>
      <c r="B49" s="294" t="s">
        <v>948</v>
      </c>
      <c r="C49" s="295">
        <v>9</v>
      </c>
      <c r="D49" s="295">
        <v>255</v>
      </c>
      <c r="E49" s="294"/>
      <c r="F49" s="295">
        <v>74458057145426</v>
      </c>
      <c r="G49" s="295">
        <v>99</v>
      </c>
      <c r="H49" s="295">
        <v>0</v>
      </c>
      <c r="I49" s="294"/>
      <c r="J49" s="295">
        <v>1</v>
      </c>
      <c r="K49" s="294" t="s">
        <v>656</v>
      </c>
      <c r="L49" s="304">
        <v>61983.47</v>
      </c>
      <c r="M49" s="295">
        <v>0</v>
      </c>
      <c r="N49" s="295">
        <v>0</v>
      </c>
      <c r="O49" s="295">
        <v>0</v>
      </c>
      <c r="P49" s="303">
        <v>13016.53</v>
      </c>
      <c r="Q49" s="295">
        <v>75000</v>
      </c>
    </row>
    <row r="50" spans="1:17">
      <c r="A50" s="294" t="s">
        <v>1064</v>
      </c>
      <c r="B50" s="294" t="s">
        <v>948</v>
      </c>
      <c r="C50" s="295">
        <v>9</v>
      </c>
      <c r="D50" s="295">
        <v>252</v>
      </c>
      <c r="E50" s="294"/>
      <c r="F50" s="295">
        <v>74458049013700</v>
      </c>
      <c r="G50" s="295">
        <v>99</v>
      </c>
      <c r="H50" s="295">
        <v>0</v>
      </c>
      <c r="I50" s="294"/>
      <c r="J50" s="295">
        <v>1</v>
      </c>
      <c r="K50" s="294" t="s">
        <v>656</v>
      </c>
      <c r="L50" s="304">
        <v>22314.05</v>
      </c>
      <c r="M50" s="295">
        <v>0</v>
      </c>
      <c r="N50" s="295">
        <v>0</v>
      </c>
      <c r="O50" s="295">
        <v>0</v>
      </c>
      <c r="P50" s="303">
        <v>4685.95</v>
      </c>
      <c r="Q50" s="295">
        <v>27000</v>
      </c>
    </row>
    <row r="51" spans="1:17">
      <c r="A51" s="294" t="s">
        <v>1064</v>
      </c>
      <c r="B51" s="294" t="s">
        <v>948</v>
      </c>
      <c r="C51" s="295">
        <v>9</v>
      </c>
      <c r="D51" s="295">
        <v>259</v>
      </c>
      <c r="E51" s="294"/>
      <c r="F51" s="295">
        <v>74458073691041</v>
      </c>
      <c r="G51" s="295">
        <v>99</v>
      </c>
      <c r="H51" s="295">
        <v>0</v>
      </c>
      <c r="I51" s="294"/>
      <c r="J51" s="295">
        <v>1</v>
      </c>
      <c r="K51" s="294" t="s">
        <v>656</v>
      </c>
      <c r="L51" s="304">
        <v>29338.84</v>
      </c>
      <c r="M51" s="295">
        <v>0</v>
      </c>
      <c r="N51" s="295">
        <v>0</v>
      </c>
      <c r="O51" s="295">
        <v>0</v>
      </c>
      <c r="P51" s="303">
        <v>6161.16</v>
      </c>
      <c r="Q51" s="295">
        <v>35500</v>
      </c>
    </row>
    <row r="52" spans="1:17">
      <c r="A52" s="294" t="s">
        <v>1064</v>
      </c>
      <c r="B52" s="294" t="s">
        <v>948</v>
      </c>
      <c r="C52" s="295">
        <v>9</v>
      </c>
      <c r="D52" s="295">
        <v>248</v>
      </c>
      <c r="E52" s="294"/>
      <c r="F52" s="295">
        <v>74458009671300</v>
      </c>
      <c r="G52" s="295">
        <v>99</v>
      </c>
      <c r="H52" s="295">
        <v>0</v>
      </c>
      <c r="I52" s="294"/>
      <c r="J52" s="295">
        <v>1</v>
      </c>
      <c r="K52" s="294" t="s">
        <v>656</v>
      </c>
      <c r="L52" s="305">
        <v>10743.8</v>
      </c>
      <c r="M52" s="295">
        <v>0</v>
      </c>
      <c r="N52" s="295">
        <v>0</v>
      </c>
      <c r="O52" s="295">
        <v>0</v>
      </c>
      <c r="P52" s="294">
        <v>2256.1999999999998</v>
      </c>
      <c r="Q52" s="295">
        <v>13000</v>
      </c>
    </row>
    <row r="53" spans="1:17">
      <c r="A53" s="294" t="s">
        <v>1064</v>
      </c>
      <c r="B53" s="294" t="s">
        <v>948</v>
      </c>
      <c r="C53" s="295">
        <v>9</v>
      </c>
      <c r="D53" s="295">
        <v>253</v>
      </c>
      <c r="E53" s="294"/>
      <c r="F53" s="295">
        <v>74458052352378</v>
      </c>
      <c r="G53" s="295">
        <v>99</v>
      </c>
      <c r="H53" s="295">
        <v>0</v>
      </c>
      <c r="I53" s="294"/>
      <c r="J53" s="295">
        <v>1</v>
      </c>
      <c r="K53" s="294" t="s">
        <v>656</v>
      </c>
      <c r="L53" s="304">
        <v>4958.68</v>
      </c>
      <c r="M53" s="295">
        <v>0</v>
      </c>
      <c r="N53" s="295">
        <v>0</v>
      </c>
      <c r="O53" s="295">
        <v>0</v>
      </c>
      <c r="P53" s="303">
        <v>1041.32</v>
      </c>
      <c r="Q53" s="295">
        <v>6000</v>
      </c>
    </row>
    <row r="54" spans="1:17">
      <c r="A54" s="294" t="s">
        <v>1064</v>
      </c>
      <c r="B54" s="294" t="s">
        <v>948</v>
      </c>
      <c r="C54" s="295">
        <v>9</v>
      </c>
      <c r="D54" s="295">
        <v>257</v>
      </c>
      <c r="E54" s="294"/>
      <c r="F54" s="295">
        <v>74458066060110</v>
      </c>
      <c r="G54" s="295">
        <v>99</v>
      </c>
      <c r="H54" s="295">
        <v>0</v>
      </c>
      <c r="I54" s="294"/>
      <c r="J54" s="295">
        <v>1</v>
      </c>
      <c r="K54" s="294" t="s">
        <v>656</v>
      </c>
      <c r="L54" s="305">
        <v>10743.8</v>
      </c>
      <c r="M54" s="295">
        <v>0</v>
      </c>
      <c r="N54" s="295">
        <v>0</v>
      </c>
      <c r="O54" s="295">
        <v>0</v>
      </c>
      <c r="P54" s="294">
        <v>2256.1999999999998</v>
      </c>
      <c r="Q54" s="295">
        <v>13000</v>
      </c>
    </row>
    <row r="55" spans="1:17">
      <c r="A55" s="294" t="s">
        <v>1064</v>
      </c>
      <c r="B55" s="294" t="s">
        <v>948</v>
      </c>
      <c r="C55" s="295">
        <v>9</v>
      </c>
      <c r="D55" s="295">
        <v>251</v>
      </c>
      <c r="E55" s="294"/>
      <c r="F55" s="295">
        <v>74458044962040</v>
      </c>
      <c r="G55" s="295">
        <v>99</v>
      </c>
      <c r="H55" s="295">
        <v>0</v>
      </c>
      <c r="I55" s="294"/>
      <c r="J55" s="295">
        <v>1</v>
      </c>
      <c r="K55" s="294" t="s">
        <v>656</v>
      </c>
      <c r="L55" s="305">
        <v>33884.300000000003</v>
      </c>
      <c r="M55" s="295">
        <v>0</v>
      </c>
      <c r="N55" s="295">
        <v>0</v>
      </c>
      <c r="O55" s="295">
        <v>0</v>
      </c>
      <c r="P55" s="294">
        <v>7115.7</v>
      </c>
      <c r="Q55" s="295">
        <v>41000</v>
      </c>
    </row>
    <row r="56" spans="1:17">
      <c r="A56" s="294" t="s">
        <v>1064</v>
      </c>
      <c r="B56" s="294" t="s">
        <v>948</v>
      </c>
      <c r="C56" s="295">
        <v>9</v>
      </c>
      <c r="D56" s="295">
        <v>258</v>
      </c>
      <c r="E56" s="294"/>
      <c r="F56" s="295">
        <v>74458072253898</v>
      </c>
      <c r="G56" s="295">
        <v>99</v>
      </c>
      <c r="H56" s="295">
        <v>0</v>
      </c>
      <c r="I56" s="294"/>
      <c r="J56" s="295">
        <v>1</v>
      </c>
      <c r="K56" s="294" t="s">
        <v>656</v>
      </c>
      <c r="L56" s="304">
        <v>29338.84</v>
      </c>
      <c r="M56" s="295">
        <v>0</v>
      </c>
      <c r="N56" s="295">
        <v>0</v>
      </c>
      <c r="O56" s="295">
        <v>0</v>
      </c>
      <c r="P56" s="303">
        <v>6161.16</v>
      </c>
      <c r="Q56" s="295">
        <v>35500</v>
      </c>
    </row>
    <row r="57" spans="1:17">
      <c r="A57" s="294" t="s">
        <v>1064</v>
      </c>
      <c r="B57" s="294" t="s">
        <v>948</v>
      </c>
      <c r="C57" s="295">
        <v>9</v>
      </c>
      <c r="D57" s="295">
        <v>254</v>
      </c>
      <c r="E57" s="294"/>
      <c r="F57" s="295">
        <v>74458053608148</v>
      </c>
      <c r="G57" s="295">
        <v>99</v>
      </c>
      <c r="H57" s="295">
        <v>0</v>
      </c>
      <c r="I57" s="294"/>
      <c r="J57" s="295">
        <v>1</v>
      </c>
      <c r="K57" s="294" t="s">
        <v>656</v>
      </c>
      <c r="L57" s="304">
        <v>14669.42</v>
      </c>
      <c r="M57" s="295">
        <v>0</v>
      </c>
      <c r="N57" s="295">
        <v>0</v>
      </c>
      <c r="O57" s="295">
        <v>0</v>
      </c>
      <c r="P57" s="303">
        <v>3080.58</v>
      </c>
      <c r="Q57" s="295">
        <v>17750</v>
      </c>
    </row>
    <row r="58" spans="1:17">
      <c r="A58" s="294" t="s">
        <v>1064</v>
      </c>
      <c r="B58" s="294" t="s">
        <v>948</v>
      </c>
      <c r="C58" s="295">
        <v>9</v>
      </c>
      <c r="D58" s="295">
        <v>250</v>
      </c>
      <c r="E58" s="294"/>
      <c r="F58" s="295">
        <v>74458037788114</v>
      </c>
      <c r="G58" s="295">
        <v>99</v>
      </c>
      <c r="H58" s="295">
        <v>0</v>
      </c>
      <c r="I58" s="294"/>
      <c r="J58" s="295">
        <v>1</v>
      </c>
      <c r="K58" s="294" t="s">
        <v>656</v>
      </c>
      <c r="L58" s="304">
        <v>7851.24</v>
      </c>
      <c r="M58" s="295">
        <v>0</v>
      </c>
      <c r="N58" s="295">
        <v>0</v>
      </c>
      <c r="O58" s="295">
        <v>0</v>
      </c>
      <c r="P58" s="303">
        <v>1648.76</v>
      </c>
      <c r="Q58" s="295">
        <v>9500</v>
      </c>
    </row>
    <row r="59" spans="1:17">
      <c r="A59" s="294" t="s">
        <v>1064</v>
      </c>
      <c r="B59" s="294" t="s">
        <v>948</v>
      </c>
      <c r="C59" s="295">
        <v>9</v>
      </c>
      <c r="D59" s="295">
        <v>256</v>
      </c>
      <c r="E59" s="294"/>
      <c r="F59" s="295">
        <v>74458062063724</v>
      </c>
      <c r="G59" s="295">
        <v>99</v>
      </c>
      <c r="H59" s="295">
        <v>0</v>
      </c>
      <c r="I59" s="294"/>
      <c r="J59" s="295">
        <v>1</v>
      </c>
      <c r="K59" s="294" t="s">
        <v>656</v>
      </c>
      <c r="L59" s="304">
        <v>12396.69</v>
      </c>
      <c r="M59" s="295">
        <v>0</v>
      </c>
      <c r="N59" s="295">
        <v>0</v>
      </c>
      <c r="O59" s="295">
        <v>0</v>
      </c>
      <c r="P59" s="303">
        <v>2603.31</v>
      </c>
      <c r="Q59" s="295">
        <v>15000</v>
      </c>
    </row>
    <row r="60" spans="1:17">
      <c r="A60" s="294" t="s">
        <v>1064</v>
      </c>
      <c r="B60" s="294" t="s">
        <v>948</v>
      </c>
      <c r="C60" s="295">
        <v>7</v>
      </c>
      <c r="D60" s="295">
        <v>5428</v>
      </c>
      <c r="E60" s="294"/>
      <c r="F60" s="295">
        <v>74458089106333</v>
      </c>
      <c r="G60" s="294" t="s">
        <v>7</v>
      </c>
      <c r="H60" s="295">
        <v>30590354798</v>
      </c>
      <c r="I60" s="294" t="s">
        <v>81</v>
      </c>
      <c r="J60" s="295">
        <v>1</v>
      </c>
      <c r="K60" s="294" t="s">
        <v>656</v>
      </c>
      <c r="L60" s="304">
        <v>2003068.11</v>
      </c>
      <c r="M60" s="295">
        <v>0</v>
      </c>
      <c r="N60" s="295">
        <v>0</v>
      </c>
      <c r="O60" s="295">
        <v>0</v>
      </c>
      <c r="P60" s="294">
        <v>420644.3</v>
      </c>
      <c r="Q60" s="303">
        <v>2423712.41</v>
      </c>
    </row>
    <row r="61" spans="1:17" hidden="1">
      <c r="A61" s="294" t="s">
        <v>1064</v>
      </c>
      <c r="B61" s="294" t="s">
        <v>951</v>
      </c>
      <c r="C61" s="295">
        <v>6</v>
      </c>
      <c r="D61" s="295">
        <v>542</v>
      </c>
      <c r="E61" s="294"/>
      <c r="F61" s="295">
        <v>74458048932317</v>
      </c>
      <c r="G61" s="294" t="s">
        <v>7</v>
      </c>
      <c r="H61" s="295">
        <v>30522428163</v>
      </c>
      <c r="I61" s="294" t="s">
        <v>947</v>
      </c>
      <c r="J61" s="295">
        <v>1</v>
      </c>
      <c r="K61" s="294" t="s">
        <v>656</v>
      </c>
      <c r="L61" s="304">
        <v>1239054.8899999999</v>
      </c>
      <c r="M61" s="295">
        <v>0</v>
      </c>
      <c r="N61" s="295">
        <v>0</v>
      </c>
      <c r="O61" s="295">
        <v>0</v>
      </c>
      <c r="P61" s="303">
        <v>260201.53</v>
      </c>
      <c r="Q61" s="303">
        <v>1499256.42</v>
      </c>
    </row>
    <row r="62" spans="1:17" hidden="1">
      <c r="A62" s="294" t="s">
        <v>1064</v>
      </c>
      <c r="B62" s="294" t="s">
        <v>951</v>
      </c>
      <c r="C62" s="295">
        <v>6</v>
      </c>
      <c r="D62" s="295">
        <v>544</v>
      </c>
      <c r="E62" s="294"/>
      <c r="F62" s="295">
        <v>74458066762302</v>
      </c>
      <c r="G62" s="294" t="s">
        <v>7</v>
      </c>
      <c r="H62" s="295">
        <v>30522428163</v>
      </c>
      <c r="I62" s="294" t="s">
        <v>947</v>
      </c>
      <c r="J62" s="295">
        <v>1</v>
      </c>
      <c r="K62" s="294" t="s">
        <v>656</v>
      </c>
      <c r="L62" s="304">
        <v>10127515.83</v>
      </c>
      <c r="M62" s="295">
        <v>0</v>
      </c>
      <c r="N62" s="295">
        <v>0</v>
      </c>
      <c r="O62" s="295">
        <v>0</v>
      </c>
      <c r="P62" s="303">
        <v>2126778.3199999998</v>
      </c>
      <c r="Q62" s="303">
        <v>12254294.15</v>
      </c>
    </row>
    <row r="63" spans="1:17" hidden="1">
      <c r="A63" s="294" t="s">
        <v>1064</v>
      </c>
      <c r="B63" s="294" t="s">
        <v>951</v>
      </c>
      <c r="C63" s="295">
        <v>6</v>
      </c>
      <c r="D63" s="295">
        <v>545</v>
      </c>
      <c r="E63" s="294"/>
      <c r="F63" s="295">
        <v>74458066973245</v>
      </c>
      <c r="G63" s="294" t="s">
        <v>7</v>
      </c>
      <c r="H63" s="295">
        <v>30522428163</v>
      </c>
      <c r="I63" s="294" t="s">
        <v>947</v>
      </c>
      <c r="J63" s="295">
        <v>1</v>
      </c>
      <c r="K63" s="294" t="s">
        <v>656</v>
      </c>
      <c r="L63" s="304">
        <v>1419259.62</v>
      </c>
      <c r="M63" s="295">
        <v>0</v>
      </c>
      <c r="N63" s="295">
        <v>0</v>
      </c>
      <c r="O63" s="295">
        <v>0</v>
      </c>
      <c r="P63" s="303">
        <v>298044.52</v>
      </c>
      <c r="Q63" s="303">
        <v>1717304.14</v>
      </c>
    </row>
    <row r="64" spans="1:17" hidden="1">
      <c r="A64" s="294" t="s">
        <v>1064</v>
      </c>
      <c r="B64" s="294" t="s">
        <v>951</v>
      </c>
      <c r="C64" s="295">
        <v>6</v>
      </c>
      <c r="D64" s="295">
        <v>543</v>
      </c>
      <c r="E64" s="294"/>
      <c r="F64" s="295">
        <v>74458064657711</v>
      </c>
      <c r="G64" s="294" t="s">
        <v>7</v>
      </c>
      <c r="H64" s="295">
        <v>30522428163</v>
      </c>
      <c r="I64" s="294" t="s">
        <v>947</v>
      </c>
      <c r="J64" s="295">
        <v>1</v>
      </c>
      <c r="K64" s="294" t="s">
        <v>656</v>
      </c>
      <c r="L64" s="304">
        <v>1519236.24</v>
      </c>
      <c r="M64" s="295">
        <v>0</v>
      </c>
      <c r="N64" s="295">
        <v>0</v>
      </c>
      <c r="O64" s="295">
        <v>0</v>
      </c>
      <c r="P64" s="303">
        <v>319039.61</v>
      </c>
      <c r="Q64" s="303">
        <v>1838275.85</v>
      </c>
    </row>
    <row r="65" spans="1:17" hidden="1">
      <c r="A65" s="294" t="s">
        <v>1064</v>
      </c>
      <c r="B65" s="294" t="s">
        <v>950</v>
      </c>
      <c r="C65" s="295">
        <v>3</v>
      </c>
      <c r="D65" s="295">
        <v>266</v>
      </c>
      <c r="E65" s="294"/>
      <c r="F65" s="295">
        <v>74458032236942</v>
      </c>
      <c r="G65" s="294" t="s">
        <v>949</v>
      </c>
      <c r="H65" s="295">
        <v>4404079</v>
      </c>
      <c r="I65" s="294" t="s">
        <v>965</v>
      </c>
      <c r="J65" s="295">
        <v>1</v>
      </c>
      <c r="K65" s="294" t="s">
        <v>656</v>
      </c>
      <c r="L65" s="304">
        <v>-26446.29</v>
      </c>
      <c r="M65" s="295"/>
      <c r="N65" s="295">
        <v>0</v>
      </c>
      <c r="O65" s="295">
        <v>0</v>
      </c>
      <c r="P65" s="303">
        <f>+L65*0.21</f>
        <v>-5553.7209000000003</v>
      </c>
      <c r="Q65" s="295">
        <f>SUBTOTAL(9,L65:P65)</f>
        <v>0</v>
      </c>
    </row>
    <row r="66" spans="1:17" hidden="1">
      <c r="A66" s="294" t="s">
        <v>1014</v>
      </c>
      <c r="B66" s="294" t="s">
        <v>654</v>
      </c>
      <c r="C66" s="295">
        <v>7</v>
      </c>
      <c r="D66" s="295">
        <v>2234</v>
      </c>
      <c r="E66" s="294"/>
      <c r="F66" s="295">
        <v>74458177408760</v>
      </c>
      <c r="G66" s="309" t="s">
        <v>7</v>
      </c>
      <c r="H66" s="295">
        <v>30709016012</v>
      </c>
      <c r="I66" s="294" t="s">
        <v>961</v>
      </c>
      <c r="J66" s="295">
        <v>1</v>
      </c>
      <c r="K66" s="294" t="s">
        <v>656</v>
      </c>
      <c r="L66" s="304">
        <v>253842.98</v>
      </c>
      <c r="M66" s="295">
        <v>0</v>
      </c>
      <c r="N66" s="295">
        <v>0</v>
      </c>
      <c r="O66" s="295">
        <v>0</v>
      </c>
      <c r="P66" s="303">
        <v>53307.02</v>
      </c>
      <c r="Q66" s="295">
        <v>307150</v>
      </c>
    </row>
    <row r="67" spans="1:17">
      <c r="A67" s="294" t="s">
        <v>1014</v>
      </c>
      <c r="B67" s="294" t="s">
        <v>948</v>
      </c>
      <c r="C67" s="295">
        <v>9</v>
      </c>
      <c r="D67" s="295">
        <v>262</v>
      </c>
      <c r="E67" s="294"/>
      <c r="F67" s="295">
        <v>74458160699668</v>
      </c>
      <c r="G67" s="295">
        <v>99</v>
      </c>
      <c r="H67" s="295">
        <v>0</v>
      </c>
      <c r="I67" s="294"/>
      <c r="J67" s="295">
        <v>1</v>
      </c>
      <c r="K67" s="294" t="s">
        <v>656</v>
      </c>
      <c r="L67" s="304">
        <v>29338.84</v>
      </c>
      <c r="M67" s="295">
        <v>0</v>
      </c>
      <c r="N67" s="295">
        <v>0</v>
      </c>
      <c r="O67" s="295">
        <v>0</v>
      </c>
      <c r="P67" s="303">
        <v>6161.16</v>
      </c>
      <c r="Q67" s="295">
        <v>35500</v>
      </c>
    </row>
    <row r="68" spans="1:17">
      <c r="A68" s="294" t="s">
        <v>1014</v>
      </c>
      <c r="B68" s="294" t="s">
        <v>948</v>
      </c>
      <c r="C68" s="295">
        <v>9</v>
      </c>
      <c r="D68" s="295">
        <v>272</v>
      </c>
      <c r="E68" s="294"/>
      <c r="F68" s="295">
        <v>74458223807937</v>
      </c>
      <c r="G68" s="295">
        <v>99</v>
      </c>
      <c r="H68" s="295">
        <v>0</v>
      </c>
      <c r="I68" s="294"/>
      <c r="J68" s="295">
        <v>1</v>
      </c>
      <c r="K68" s="294" t="s">
        <v>656</v>
      </c>
      <c r="L68" s="304">
        <v>13223.14</v>
      </c>
      <c r="M68" s="295">
        <v>0</v>
      </c>
      <c r="N68" s="295">
        <v>0</v>
      </c>
      <c r="O68" s="295">
        <v>0</v>
      </c>
      <c r="P68" s="303">
        <v>2776.86</v>
      </c>
      <c r="Q68" s="295">
        <v>16000</v>
      </c>
    </row>
    <row r="69" spans="1:17">
      <c r="A69" s="294" t="s">
        <v>1014</v>
      </c>
      <c r="B69" s="294" t="s">
        <v>948</v>
      </c>
      <c r="C69" s="295">
        <v>9</v>
      </c>
      <c r="D69" s="295">
        <v>273</v>
      </c>
      <c r="E69" s="294"/>
      <c r="F69" s="295">
        <v>74458224058292</v>
      </c>
      <c r="G69" s="295">
        <v>99</v>
      </c>
      <c r="H69" s="295">
        <v>0</v>
      </c>
      <c r="I69" s="294"/>
      <c r="J69" s="295">
        <v>1</v>
      </c>
      <c r="K69" s="294" t="s">
        <v>656</v>
      </c>
      <c r="L69" s="304">
        <v>14462.81</v>
      </c>
      <c r="M69" s="295">
        <v>0</v>
      </c>
      <c r="N69" s="295">
        <v>0</v>
      </c>
      <c r="O69" s="295">
        <v>0</v>
      </c>
      <c r="P69" s="303">
        <v>3037.19</v>
      </c>
      <c r="Q69" s="295">
        <v>17500</v>
      </c>
    </row>
    <row r="70" spans="1:17">
      <c r="A70" s="294" t="s">
        <v>1014</v>
      </c>
      <c r="B70" s="294" t="s">
        <v>948</v>
      </c>
      <c r="C70" s="295">
        <v>9</v>
      </c>
      <c r="D70" s="295">
        <v>261</v>
      </c>
      <c r="E70" s="294"/>
      <c r="F70" s="295">
        <v>74458152362723</v>
      </c>
      <c r="G70" s="295">
        <v>99</v>
      </c>
      <c r="H70" s="295">
        <v>0</v>
      </c>
      <c r="I70" s="294"/>
      <c r="J70" s="295">
        <v>1</v>
      </c>
      <c r="K70" s="294" t="s">
        <v>656</v>
      </c>
      <c r="L70" s="304">
        <v>15702.48</v>
      </c>
      <c r="M70" s="295">
        <v>0</v>
      </c>
      <c r="N70" s="295">
        <v>0</v>
      </c>
      <c r="O70" s="295">
        <v>0</v>
      </c>
      <c r="P70" s="303">
        <v>3297.52</v>
      </c>
      <c r="Q70" s="295">
        <v>19000</v>
      </c>
    </row>
    <row r="71" spans="1:17">
      <c r="A71" s="294" t="s">
        <v>1014</v>
      </c>
      <c r="B71" s="294" t="s">
        <v>948</v>
      </c>
      <c r="C71" s="295">
        <v>9</v>
      </c>
      <c r="D71" s="295">
        <v>274</v>
      </c>
      <c r="E71" s="294"/>
      <c r="F71" s="295">
        <v>74458224530780</v>
      </c>
      <c r="G71" s="295">
        <v>99</v>
      </c>
      <c r="H71" s="295">
        <v>0</v>
      </c>
      <c r="I71" s="294"/>
      <c r="J71" s="295">
        <v>1</v>
      </c>
      <c r="K71" s="294" t="s">
        <v>656</v>
      </c>
      <c r="L71" s="304">
        <v>29338.84</v>
      </c>
      <c r="M71" s="295">
        <v>0</v>
      </c>
      <c r="N71" s="295">
        <v>0</v>
      </c>
      <c r="O71" s="295">
        <v>0</v>
      </c>
      <c r="P71" s="303">
        <v>6161.16</v>
      </c>
      <c r="Q71" s="295">
        <v>35500</v>
      </c>
    </row>
    <row r="72" spans="1:17">
      <c r="A72" s="294" t="s">
        <v>1014</v>
      </c>
      <c r="B72" s="294" t="s">
        <v>948</v>
      </c>
      <c r="C72" s="295">
        <v>9</v>
      </c>
      <c r="D72" s="295">
        <v>265</v>
      </c>
      <c r="E72" s="294"/>
      <c r="F72" s="295">
        <v>74458184377809</v>
      </c>
      <c r="G72" s="295">
        <v>99</v>
      </c>
      <c r="H72" s="295">
        <v>0</v>
      </c>
      <c r="I72" s="294"/>
      <c r="J72" s="295">
        <v>1</v>
      </c>
      <c r="K72" s="294" t="s">
        <v>656</v>
      </c>
      <c r="L72" s="304">
        <v>10495.87</v>
      </c>
      <c r="M72" s="295">
        <v>0</v>
      </c>
      <c r="N72" s="295">
        <v>0</v>
      </c>
      <c r="O72" s="295">
        <v>0</v>
      </c>
      <c r="P72" s="303">
        <v>2204.13</v>
      </c>
      <c r="Q72" s="295">
        <v>12700</v>
      </c>
    </row>
    <row r="73" spans="1:17">
      <c r="A73" s="294" t="s">
        <v>1014</v>
      </c>
      <c r="B73" s="294" t="s">
        <v>948</v>
      </c>
      <c r="C73" s="295">
        <v>9</v>
      </c>
      <c r="D73" s="295">
        <v>267</v>
      </c>
      <c r="E73" s="294"/>
      <c r="F73" s="295">
        <v>74458193937264</v>
      </c>
      <c r="G73" s="295">
        <v>99</v>
      </c>
      <c r="H73" s="295">
        <v>0</v>
      </c>
      <c r="I73" s="294"/>
      <c r="J73" s="295">
        <v>1</v>
      </c>
      <c r="K73" s="294" t="s">
        <v>656</v>
      </c>
      <c r="L73" s="305">
        <v>21487.599999999999</v>
      </c>
      <c r="M73" s="295">
        <v>0</v>
      </c>
      <c r="N73" s="295">
        <v>0</v>
      </c>
      <c r="O73" s="295">
        <v>0</v>
      </c>
      <c r="P73" s="309">
        <v>4512.3999999999996</v>
      </c>
      <c r="Q73" s="295">
        <v>26000</v>
      </c>
    </row>
    <row r="74" spans="1:17">
      <c r="A74" s="294" t="s">
        <v>1014</v>
      </c>
      <c r="B74" s="294" t="s">
        <v>948</v>
      </c>
      <c r="C74" s="295">
        <v>9</v>
      </c>
      <c r="D74" s="295">
        <v>266</v>
      </c>
      <c r="E74" s="294"/>
      <c r="F74" s="295">
        <v>74458187651513</v>
      </c>
      <c r="G74" s="295">
        <v>99</v>
      </c>
      <c r="H74" s="295">
        <v>0</v>
      </c>
      <c r="I74" s="294"/>
      <c r="J74" s="295">
        <v>1</v>
      </c>
      <c r="K74" s="294" t="s">
        <v>656</v>
      </c>
      <c r="L74" s="304">
        <v>7438.02</v>
      </c>
      <c r="M74" s="295">
        <v>0</v>
      </c>
      <c r="N74" s="295">
        <v>0</v>
      </c>
      <c r="O74" s="295">
        <v>0</v>
      </c>
      <c r="P74" s="303">
        <v>1561.98</v>
      </c>
      <c r="Q74" s="295">
        <v>9000</v>
      </c>
    </row>
    <row r="75" spans="1:17">
      <c r="A75" s="294" t="s">
        <v>1014</v>
      </c>
      <c r="B75" s="294" t="s">
        <v>948</v>
      </c>
      <c r="C75" s="295">
        <v>9</v>
      </c>
      <c r="D75" s="295">
        <v>271</v>
      </c>
      <c r="E75" s="294"/>
      <c r="F75" s="295">
        <v>74458206637184</v>
      </c>
      <c r="G75" s="295">
        <v>99</v>
      </c>
      <c r="H75" s="295">
        <v>0</v>
      </c>
      <c r="I75" s="294"/>
      <c r="J75" s="295">
        <v>1</v>
      </c>
      <c r="K75" s="294" t="s">
        <v>656</v>
      </c>
      <c r="L75" s="304">
        <v>42975.21</v>
      </c>
      <c r="M75" s="295">
        <v>0</v>
      </c>
      <c r="N75" s="295">
        <v>0</v>
      </c>
      <c r="O75" s="295">
        <v>0</v>
      </c>
      <c r="P75" s="303">
        <v>9024.7900000000009</v>
      </c>
      <c r="Q75" s="295">
        <v>52000</v>
      </c>
    </row>
    <row r="76" spans="1:17">
      <c r="A76" s="294" t="s">
        <v>1014</v>
      </c>
      <c r="B76" s="294" t="s">
        <v>948</v>
      </c>
      <c r="C76" s="295">
        <v>9</v>
      </c>
      <c r="D76" s="295">
        <v>268</v>
      </c>
      <c r="E76" s="294"/>
      <c r="F76" s="295">
        <v>74458197244219</v>
      </c>
      <c r="G76" s="295">
        <v>99</v>
      </c>
      <c r="H76" s="295">
        <v>0</v>
      </c>
      <c r="I76" s="294"/>
      <c r="J76" s="295">
        <v>1</v>
      </c>
      <c r="K76" s="294" t="s">
        <v>656</v>
      </c>
      <c r="L76" s="304">
        <v>14669.42</v>
      </c>
      <c r="M76" s="295">
        <v>0</v>
      </c>
      <c r="N76" s="295">
        <v>0</v>
      </c>
      <c r="O76" s="295">
        <v>0</v>
      </c>
      <c r="P76" s="303">
        <v>3080.58</v>
      </c>
      <c r="Q76" s="295">
        <v>17750</v>
      </c>
    </row>
    <row r="77" spans="1:17">
      <c r="A77" s="294" t="s">
        <v>1014</v>
      </c>
      <c r="B77" s="294" t="s">
        <v>948</v>
      </c>
      <c r="C77" s="295">
        <v>9</v>
      </c>
      <c r="D77" s="295">
        <v>276</v>
      </c>
      <c r="E77" s="294"/>
      <c r="F77" s="295">
        <v>74458228857628</v>
      </c>
      <c r="G77" s="295">
        <v>99</v>
      </c>
      <c r="H77" s="295">
        <v>0</v>
      </c>
      <c r="I77" s="294"/>
      <c r="J77" s="295">
        <v>1</v>
      </c>
      <c r="K77" s="294" t="s">
        <v>656</v>
      </c>
      <c r="L77" s="304">
        <v>25619.83</v>
      </c>
      <c r="M77" s="295">
        <v>0</v>
      </c>
      <c r="N77" s="295">
        <v>0</v>
      </c>
      <c r="O77" s="295">
        <v>0</v>
      </c>
      <c r="P77" s="303">
        <v>5380.17</v>
      </c>
      <c r="Q77" s="295">
        <v>31000</v>
      </c>
    </row>
    <row r="78" spans="1:17">
      <c r="A78" s="294" t="s">
        <v>1014</v>
      </c>
      <c r="B78" s="294" t="s">
        <v>948</v>
      </c>
      <c r="C78" s="295">
        <v>9</v>
      </c>
      <c r="D78" s="295">
        <v>263</v>
      </c>
      <c r="E78" s="294"/>
      <c r="F78" s="295">
        <v>74458163424747</v>
      </c>
      <c r="G78" s="295">
        <v>99</v>
      </c>
      <c r="H78" s="295">
        <v>0</v>
      </c>
      <c r="I78" s="294"/>
      <c r="J78" s="295">
        <v>1</v>
      </c>
      <c r="K78" s="294" t="s">
        <v>656</v>
      </c>
      <c r="L78" s="304">
        <v>34462.81</v>
      </c>
      <c r="M78" s="295">
        <v>0</v>
      </c>
      <c r="N78" s="295">
        <v>0</v>
      </c>
      <c r="O78" s="295">
        <v>0</v>
      </c>
      <c r="P78" s="303">
        <v>7237.19</v>
      </c>
      <c r="Q78" s="295">
        <v>41700</v>
      </c>
    </row>
    <row r="79" spans="1:17">
      <c r="A79" s="294" t="s">
        <v>1014</v>
      </c>
      <c r="B79" s="294" t="s">
        <v>948</v>
      </c>
      <c r="C79" s="295">
        <v>9</v>
      </c>
      <c r="D79" s="295">
        <v>264</v>
      </c>
      <c r="E79" s="294"/>
      <c r="F79" s="295">
        <v>74458169757607</v>
      </c>
      <c r="G79" s="295">
        <v>99</v>
      </c>
      <c r="H79" s="295">
        <v>0</v>
      </c>
      <c r="I79" s="294"/>
      <c r="J79" s="295">
        <v>1</v>
      </c>
      <c r="K79" s="294" t="s">
        <v>656</v>
      </c>
      <c r="L79" s="304">
        <v>95950.41</v>
      </c>
      <c r="M79" s="295">
        <v>0</v>
      </c>
      <c r="N79" s="295">
        <v>0</v>
      </c>
      <c r="O79" s="295">
        <v>0</v>
      </c>
      <c r="P79" s="303">
        <v>20149.59</v>
      </c>
      <c r="Q79" s="295">
        <v>116100</v>
      </c>
    </row>
    <row r="80" spans="1:17">
      <c r="A80" s="294" t="s">
        <v>1014</v>
      </c>
      <c r="B80" s="294" t="s">
        <v>948</v>
      </c>
      <c r="C80" s="295">
        <v>7</v>
      </c>
      <c r="D80" s="295">
        <v>5429</v>
      </c>
      <c r="E80" s="294"/>
      <c r="F80" s="295">
        <v>74458169758226</v>
      </c>
      <c r="G80" s="309" t="s">
        <v>7</v>
      </c>
      <c r="H80" s="295">
        <v>30658137642</v>
      </c>
      <c r="I80" s="294" t="s">
        <v>960</v>
      </c>
      <c r="J80" s="295">
        <v>1</v>
      </c>
      <c r="K80" s="294" t="s">
        <v>656</v>
      </c>
      <c r="L80" s="304">
        <v>532818.18000000005</v>
      </c>
      <c r="M80" s="295">
        <v>0</v>
      </c>
      <c r="N80" s="295">
        <v>0</v>
      </c>
      <c r="O80" s="295">
        <v>0</v>
      </c>
      <c r="P80" s="303">
        <v>111891.82</v>
      </c>
      <c r="Q80" s="295">
        <v>644710</v>
      </c>
    </row>
    <row r="81" spans="1:17">
      <c r="A81" s="294" t="s">
        <v>1014</v>
      </c>
      <c r="B81" s="294" t="s">
        <v>948</v>
      </c>
      <c r="C81" s="295">
        <v>9</v>
      </c>
      <c r="D81" s="295">
        <v>270</v>
      </c>
      <c r="E81" s="294"/>
      <c r="F81" s="295">
        <v>74458201269551</v>
      </c>
      <c r="G81" s="295">
        <v>99</v>
      </c>
      <c r="H81" s="295">
        <v>0</v>
      </c>
      <c r="I81" s="294"/>
      <c r="J81" s="295">
        <v>1</v>
      </c>
      <c r="K81" s="294" t="s">
        <v>656</v>
      </c>
      <c r="L81" s="304">
        <v>254545.45</v>
      </c>
      <c r="M81" s="295">
        <v>0</v>
      </c>
      <c r="N81" s="295">
        <v>0</v>
      </c>
      <c r="O81" s="295">
        <v>0</v>
      </c>
      <c r="P81" s="303">
        <v>53454.55</v>
      </c>
      <c r="Q81" s="295">
        <v>308000</v>
      </c>
    </row>
    <row r="82" spans="1:17">
      <c r="A82" s="294" t="s">
        <v>1014</v>
      </c>
      <c r="B82" s="294" t="s">
        <v>948</v>
      </c>
      <c r="C82" s="295">
        <v>9</v>
      </c>
      <c r="D82" s="295">
        <v>275</v>
      </c>
      <c r="E82" s="294"/>
      <c r="F82" s="295">
        <v>74458226365245</v>
      </c>
      <c r="G82" s="295">
        <v>99</v>
      </c>
      <c r="H82" s="295">
        <v>0</v>
      </c>
      <c r="I82" s="294"/>
      <c r="J82" s="295">
        <v>1</v>
      </c>
      <c r="K82" s="294" t="s">
        <v>656</v>
      </c>
      <c r="L82" s="304">
        <v>19834.71</v>
      </c>
      <c r="M82" s="295">
        <v>0</v>
      </c>
      <c r="N82" s="295">
        <v>0</v>
      </c>
      <c r="O82" s="295">
        <v>0</v>
      </c>
      <c r="P82" s="303">
        <v>4165.29</v>
      </c>
      <c r="Q82" s="295">
        <v>24000</v>
      </c>
    </row>
    <row r="83" spans="1:17">
      <c r="A83" s="294" t="s">
        <v>1014</v>
      </c>
      <c r="B83" s="294" t="s">
        <v>948</v>
      </c>
      <c r="C83" s="295">
        <v>9</v>
      </c>
      <c r="D83" s="295">
        <v>269</v>
      </c>
      <c r="E83" s="294"/>
      <c r="F83" s="295">
        <v>74458198132145</v>
      </c>
      <c r="G83" s="295">
        <v>99</v>
      </c>
      <c r="H83" s="295">
        <v>0</v>
      </c>
      <c r="I83" s="294"/>
      <c r="J83" s="295">
        <v>1</v>
      </c>
      <c r="K83" s="294" t="s">
        <v>656</v>
      </c>
      <c r="L83" s="304">
        <v>12809.92</v>
      </c>
      <c r="M83" s="295">
        <v>0</v>
      </c>
      <c r="N83" s="295">
        <v>0</v>
      </c>
      <c r="O83" s="295">
        <v>0</v>
      </c>
      <c r="P83" s="303">
        <v>2690.08</v>
      </c>
      <c r="Q83" s="295">
        <v>15500</v>
      </c>
    </row>
    <row r="84" spans="1:17">
      <c r="A84" s="294" t="s">
        <v>1014</v>
      </c>
      <c r="B84" s="294" t="s">
        <v>948</v>
      </c>
      <c r="C84" s="295">
        <v>3</v>
      </c>
      <c r="D84" s="295">
        <v>2873</v>
      </c>
      <c r="E84" s="294"/>
      <c r="F84" s="295">
        <v>74458217626513</v>
      </c>
      <c r="G84" s="294" t="s">
        <v>949</v>
      </c>
      <c r="H84" s="295">
        <v>30393335</v>
      </c>
      <c r="I84" s="294" t="s">
        <v>1065</v>
      </c>
      <c r="J84" s="295">
        <v>1</v>
      </c>
      <c r="K84" s="294" t="s">
        <v>656</v>
      </c>
      <c r="L84" s="304">
        <v>13636.38</v>
      </c>
      <c r="M84" s="295">
        <v>0</v>
      </c>
      <c r="N84" s="295">
        <v>0</v>
      </c>
      <c r="O84" s="295">
        <v>0</v>
      </c>
      <c r="P84" s="303">
        <v>2863.64</v>
      </c>
      <c r="Q84" s="295">
        <v>16500</v>
      </c>
    </row>
    <row r="85" spans="1:17" hidden="1">
      <c r="A85" s="294" t="s">
        <v>1014</v>
      </c>
      <c r="B85" s="294" t="s">
        <v>950</v>
      </c>
      <c r="C85" s="295">
        <v>3</v>
      </c>
      <c r="D85" s="295">
        <v>269</v>
      </c>
      <c r="E85" s="294"/>
      <c r="F85" s="295">
        <v>74458203232654</v>
      </c>
      <c r="G85" s="294" t="s">
        <v>949</v>
      </c>
      <c r="H85" s="295">
        <v>17795042</v>
      </c>
      <c r="I85" s="294" t="s">
        <v>967</v>
      </c>
      <c r="J85" s="295">
        <v>1</v>
      </c>
      <c r="K85" s="294" t="s">
        <v>656</v>
      </c>
      <c r="L85" s="304">
        <v>-35041.33</v>
      </c>
      <c r="M85" s="295"/>
      <c r="N85" s="295">
        <v>0</v>
      </c>
      <c r="O85" s="295">
        <v>0</v>
      </c>
      <c r="P85" s="303">
        <f>+L85*0.21</f>
        <v>-7358.6792999999998</v>
      </c>
      <c r="Q85" s="295">
        <f>SUBTOTAL(9,L85:P85)</f>
        <v>0</v>
      </c>
    </row>
    <row r="86" spans="1:17" hidden="1">
      <c r="A86" s="294" t="s">
        <v>1014</v>
      </c>
      <c r="B86" s="294" t="s">
        <v>950</v>
      </c>
      <c r="C86" s="295">
        <v>3</v>
      </c>
      <c r="D86" s="295">
        <v>270</v>
      </c>
      <c r="E86" s="294"/>
      <c r="F86" s="295">
        <v>74458203605106</v>
      </c>
      <c r="G86" s="294" t="s">
        <v>949</v>
      </c>
      <c r="H86" s="295">
        <v>17795042</v>
      </c>
      <c r="I86" s="294" t="s">
        <v>967</v>
      </c>
      <c r="J86" s="295">
        <v>1</v>
      </c>
      <c r="K86" s="294" t="s">
        <v>656</v>
      </c>
      <c r="L86" s="304">
        <v>-35041.33</v>
      </c>
      <c r="M86" s="295"/>
      <c r="N86" s="295">
        <v>0</v>
      </c>
      <c r="O86" s="295">
        <v>0</v>
      </c>
      <c r="P86" s="303">
        <f>+L86*0.21</f>
        <v>-7358.6792999999998</v>
      </c>
      <c r="Q86" s="295">
        <f>SUBTOTAL(9,L86:P86)</f>
        <v>0</v>
      </c>
    </row>
    <row r="87" spans="1:17" hidden="1">
      <c r="A87" s="294" t="s">
        <v>1014</v>
      </c>
      <c r="B87" s="294" t="s">
        <v>950</v>
      </c>
      <c r="C87" s="295">
        <v>3</v>
      </c>
      <c r="D87" s="295">
        <v>267</v>
      </c>
      <c r="E87" s="294"/>
      <c r="F87" s="295">
        <v>74458169215695</v>
      </c>
      <c r="G87" s="309" t="s">
        <v>949</v>
      </c>
      <c r="H87" s="295">
        <v>46027091</v>
      </c>
      <c r="I87" s="294" t="s">
        <v>966</v>
      </c>
      <c r="J87" s="295">
        <v>1</v>
      </c>
      <c r="K87" s="294" t="s">
        <v>656</v>
      </c>
      <c r="L87" s="304">
        <v>-15619.86</v>
      </c>
      <c r="M87" s="295"/>
      <c r="N87" s="295">
        <v>0</v>
      </c>
      <c r="O87" s="295">
        <v>0</v>
      </c>
      <c r="P87" s="303">
        <f>+L87*0.21</f>
        <v>-3280.1705999999999</v>
      </c>
      <c r="Q87" s="295">
        <f>SUBTOTAL(9,L87:P87)</f>
        <v>0</v>
      </c>
    </row>
    <row r="88" spans="1:17" hidden="1">
      <c r="A88" s="294" t="s">
        <v>1014</v>
      </c>
      <c r="B88" s="294" t="s">
        <v>950</v>
      </c>
      <c r="C88" s="295">
        <v>3</v>
      </c>
      <c r="D88" s="295">
        <v>268</v>
      </c>
      <c r="E88" s="294"/>
      <c r="F88" s="295">
        <v>74458169791894</v>
      </c>
      <c r="G88" s="309" t="s">
        <v>949</v>
      </c>
      <c r="H88" s="295">
        <v>46027091</v>
      </c>
      <c r="I88" s="294" t="s">
        <v>966</v>
      </c>
      <c r="J88" s="295">
        <v>1</v>
      </c>
      <c r="K88" s="294" t="s">
        <v>656</v>
      </c>
      <c r="L88" s="304">
        <v>-14876.05</v>
      </c>
      <c r="M88" s="295"/>
      <c r="N88" s="295">
        <v>0</v>
      </c>
      <c r="O88" s="295">
        <v>0</v>
      </c>
      <c r="P88" s="303">
        <f>+L88*0.21</f>
        <v>-3123.9704999999999</v>
      </c>
      <c r="Q88" s="295">
        <f>SUBTOTAL(9,L88:P88)</f>
        <v>0</v>
      </c>
    </row>
    <row r="89" spans="1:17" hidden="1">
      <c r="A89" s="294" t="s">
        <v>1014</v>
      </c>
      <c r="B89" s="294" t="s">
        <v>950</v>
      </c>
      <c r="C89" s="295">
        <v>3</v>
      </c>
      <c r="D89" s="295">
        <v>271</v>
      </c>
      <c r="E89" s="294"/>
      <c r="F89" s="295">
        <v>74458207747994</v>
      </c>
      <c r="G89" s="309" t="s">
        <v>7</v>
      </c>
      <c r="H89" s="295">
        <v>27137980008</v>
      </c>
      <c r="I89" s="294" t="s">
        <v>952</v>
      </c>
      <c r="J89" s="295">
        <v>1</v>
      </c>
      <c r="K89" s="294" t="s">
        <v>656</v>
      </c>
      <c r="L89" s="304">
        <v>-22314.05</v>
      </c>
      <c r="M89" s="295"/>
      <c r="N89" s="295">
        <v>0</v>
      </c>
      <c r="O89" s="295">
        <v>0</v>
      </c>
      <c r="P89" s="303">
        <f>+L89*0.21</f>
        <v>-4685.9504999999999</v>
      </c>
      <c r="Q89" s="295">
        <f>SUBTOTAL(9,L89:P89)</f>
        <v>0</v>
      </c>
    </row>
    <row r="90" spans="1:17" hidden="1">
      <c r="A90" s="294" t="s">
        <v>1016</v>
      </c>
      <c r="B90" s="294" t="s">
        <v>654</v>
      </c>
      <c r="C90" s="295">
        <v>7</v>
      </c>
      <c r="D90" s="295">
        <v>2235</v>
      </c>
      <c r="E90" s="294"/>
      <c r="F90" s="295">
        <v>74458360436056</v>
      </c>
      <c r="G90" s="309" t="s">
        <v>7</v>
      </c>
      <c r="H90" s="295">
        <v>30709016012</v>
      </c>
      <c r="I90" s="294" t="s">
        <v>961</v>
      </c>
      <c r="J90" s="295">
        <v>1</v>
      </c>
      <c r="K90" s="294" t="s">
        <v>656</v>
      </c>
      <c r="L90" s="304">
        <v>537190.07999999996</v>
      </c>
      <c r="M90" s="295">
        <v>0</v>
      </c>
      <c r="N90" s="295">
        <v>0</v>
      </c>
      <c r="O90" s="295">
        <v>0</v>
      </c>
      <c r="P90" s="303">
        <v>112809.92</v>
      </c>
      <c r="Q90" s="295">
        <v>650000</v>
      </c>
    </row>
    <row r="91" spans="1:17" hidden="1">
      <c r="A91" s="294" t="s">
        <v>1016</v>
      </c>
      <c r="B91" s="294" t="s">
        <v>654</v>
      </c>
      <c r="C91" s="295">
        <v>3</v>
      </c>
      <c r="D91" s="295">
        <v>2136</v>
      </c>
      <c r="E91" s="294"/>
      <c r="F91" s="295">
        <v>74458309139036</v>
      </c>
      <c r="G91" s="309" t="s">
        <v>7</v>
      </c>
      <c r="H91" s="295">
        <v>30683032227</v>
      </c>
      <c r="I91" s="294" t="s">
        <v>957</v>
      </c>
      <c r="J91" s="295">
        <v>1</v>
      </c>
      <c r="K91" s="294" t="s">
        <v>656</v>
      </c>
      <c r="L91" s="304">
        <v>13214.86</v>
      </c>
      <c r="M91" s="295">
        <v>0</v>
      </c>
      <c r="N91" s="295">
        <v>0</v>
      </c>
      <c r="O91" s="295">
        <v>0</v>
      </c>
      <c r="P91" s="303">
        <v>2775.12</v>
      </c>
      <c r="Q91" s="295">
        <v>15990</v>
      </c>
    </row>
    <row r="92" spans="1:17" hidden="1">
      <c r="A92" s="294" t="s">
        <v>1016</v>
      </c>
      <c r="B92" s="294" t="s">
        <v>654</v>
      </c>
      <c r="C92" s="295">
        <v>3</v>
      </c>
      <c r="D92" s="295">
        <v>2137</v>
      </c>
      <c r="E92" s="294"/>
      <c r="F92" s="295">
        <v>74458327277222</v>
      </c>
      <c r="G92" s="309" t="s">
        <v>7</v>
      </c>
      <c r="H92" s="295">
        <v>30683032227</v>
      </c>
      <c r="I92" s="294" t="s">
        <v>957</v>
      </c>
      <c r="J92" s="295">
        <v>1</v>
      </c>
      <c r="K92" s="294" t="s">
        <v>656</v>
      </c>
      <c r="L92" s="304">
        <v>181818.19</v>
      </c>
      <c r="M92" s="295">
        <v>0</v>
      </c>
      <c r="N92" s="295">
        <v>0</v>
      </c>
      <c r="O92" s="295">
        <v>0</v>
      </c>
      <c r="P92" s="303">
        <v>38181.82</v>
      </c>
      <c r="Q92" s="303">
        <v>220000.01</v>
      </c>
    </row>
    <row r="93" spans="1:17">
      <c r="A93" s="294" t="s">
        <v>1016</v>
      </c>
      <c r="B93" s="294" t="s">
        <v>948</v>
      </c>
      <c r="C93" s="295">
        <v>9</v>
      </c>
      <c r="D93" s="295">
        <v>279</v>
      </c>
      <c r="E93" s="294"/>
      <c r="F93" s="295">
        <v>74458310207389</v>
      </c>
      <c r="G93" s="295">
        <v>99</v>
      </c>
      <c r="H93" s="295">
        <v>0</v>
      </c>
      <c r="I93" s="294"/>
      <c r="J93" s="295">
        <v>1</v>
      </c>
      <c r="K93" s="294" t="s">
        <v>656</v>
      </c>
      <c r="L93" s="305">
        <v>10743.8</v>
      </c>
      <c r="M93" s="295">
        <v>0</v>
      </c>
      <c r="N93" s="295">
        <v>0</v>
      </c>
      <c r="O93" s="295">
        <v>0</v>
      </c>
      <c r="P93" s="309">
        <v>2256.1999999999998</v>
      </c>
      <c r="Q93" s="295">
        <v>13000</v>
      </c>
    </row>
    <row r="94" spans="1:17">
      <c r="A94" s="294" t="s">
        <v>1016</v>
      </c>
      <c r="B94" s="294" t="s">
        <v>948</v>
      </c>
      <c r="C94" s="295">
        <v>9</v>
      </c>
      <c r="D94" s="295">
        <v>277</v>
      </c>
      <c r="E94" s="294"/>
      <c r="F94" s="295">
        <v>74458298683530</v>
      </c>
      <c r="G94" s="295">
        <v>99</v>
      </c>
      <c r="H94" s="295">
        <v>0</v>
      </c>
      <c r="I94" s="294"/>
      <c r="J94" s="295">
        <v>1</v>
      </c>
      <c r="K94" s="294" t="s">
        <v>656</v>
      </c>
      <c r="L94" s="304">
        <v>14669.42</v>
      </c>
      <c r="M94" s="295">
        <v>0</v>
      </c>
      <c r="N94" s="295">
        <v>0</v>
      </c>
      <c r="O94" s="295">
        <v>0</v>
      </c>
      <c r="P94" s="303">
        <v>3080.58</v>
      </c>
      <c r="Q94" s="295">
        <v>17750</v>
      </c>
    </row>
    <row r="95" spans="1:17">
      <c r="A95" s="294" t="s">
        <v>1016</v>
      </c>
      <c r="B95" s="294" t="s">
        <v>948</v>
      </c>
      <c r="C95" s="295">
        <v>9</v>
      </c>
      <c r="D95" s="295">
        <v>285</v>
      </c>
      <c r="E95" s="294"/>
      <c r="F95" s="295">
        <v>74458342848941</v>
      </c>
      <c r="G95" s="295">
        <v>99</v>
      </c>
      <c r="H95" s="295">
        <v>0</v>
      </c>
      <c r="I95" s="294"/>
      <c r="J95" s="295">
        <v>1</v>
      </c>
      <c r="K95" s="294" t="s">
        <v>656</v>
      </c>
      <c r="L95" s="304">
        <v>29338.84</v>
      </c>
      <c r="M95" s="295">
        <v>0</v>
      </c>
      <c r="N95" s="295">
        <v>0</v>
      </c>
      <c r="O95" s="295">
        <v>0</v>
      </c>
      <c r="P95" s="303">
        <v>6161.16</v>
      </c>
      <c r="Q95" s="295">
        <v>35500</v>
      </c>
    </row>
    <row r="96" spans="1:17">
      <c r="A96" s="294" t="s">
        <v>1016</v>
      </c>
      <c r="B96" s="294" t="s">
        <v>948</v>
      </c>
      <c r="C96" s="295">
        <v>9</v>
      </c>
      <c r="D96" s="295">
        <v>278</v>
      </c>
      <c r="E96" s="294"/>
      <c r="F96" s="295">
        <v>74458308088456</v>
      </c>
      <c r="G96" s="295">
        <v>99</v>
      </c>
      <c r="H96" s="295">
        <v>0</v>
      </c>
      <c r="I96" s="294"/>
      <c r="J96" s="295">
        <v>1</v>
      </c>
      <c r="K96" s="294" t="s">
        <v>656</v>
      </c>
      <c r="L96" s="305">
        <v>10743.8</v>
      </c>
      <c r="M96" s="295">
        <v>0</v>
      </c>
      <c r="N96" s="295">
        <v>0</v>
      </c>
      <c r="O96" s="295">
        <v>0</v>
      </c>
      <c r="P96" s="294">
        <v>2256.1999999999998</v>
      </c>
      <c r="Q96" s="295">
        <v>13000</v>
      </c>
    </row>
    <row r="97" spans="1:17">
      <c r="A97" s="294" t="s">
        <v>1016</v>
      </c>
      <c r="B97" s="294" t="s">
        <v>948</v>
      </c>
      <c r="C97" s="295">
        <v>9</v>
      </c>
      <c r="D97" s="295">
        <v>281</v>
      </c>
      <c r="E97" s="294"/>
      <c r="F97" s="295">
        <v>74458331578370</v>
      </c>
      <c r="G97" s="295">
        <v>99</v>
      </c>
      <c r="H97" s="295">
        <v>0</v>
      </c>
      <c r="I97" s="294"/>
      <c r="J97" s="295">
        <v>1</v>
      </c>
      <c r="K97" s="294" t="s">
        <v>656</v>
      </c>
      <c r="L97" s="304">
        <v>14876.03</v>
      </c>
      <c r="M97" s="295">
        <v>0</v>
      </c>
      <c r="N97" s="295">
        <v>0</v>
      </c>
      <c r="O97" s="295">
        <v>0</v>
      </c>
      <c r="P97" s="303">
        <v>3123.97</v>
      </c>
      <c r="Q97" s="295">
        <v>18000</v>
      </c>
    </row>
    <row r="98" spans="1:17">
      <c r="A98" s="294" t="s">
        <v>1016</v>
      </c>
      <c r="B98" s="294" t="s">
        <v>948</v>
      </c>
      <c r="C98" s="295">
        <v>9</v>
      </c>
      <c r="D98" s="295">
        <v>283</v>
      </c>
      <c r="E98" s="294"/>
      <c r="F98" s="295">
        <v>74458337532336</v>
      </c>
      <c r="G98" s="295">
        <v>99</v>
      </c>
      <c r="H98" s="295">
        <v>0</v>
      </c>
      <c r="I98" s="294"/>
      <c r="J98" s="295">
        <v>1</v>
      </c>
      <c r="K98" s="294" t="s">
        <v>656</v>
      </c>
      <c r="L98" s="305">
        <v>11487.6</v>
      </c>
      <c r="M98" s="295">
        <v>0</v>
      </c>
      <c r="N98" s="295">
        <v>0</v>
      </c>
      <c r="O98" s="295">
        <v>0</v>
      </c>
      <c r="P98" s="294">
        <v>2412.4</v>
      </c>
      <c r="Q98" s="295">
        <v>13900</v>
      </c>
    </row>
    <row r="99" spans="1:17">
      <c r="A99" s="294" t="s">
        <v>1016</v>
      </c>
      <c r="B99" s="294" t="s">
        <v>948</v>
      </c>
      <c r="C99" s="295">
        <v>9</v>
      </c>
      <c r="D99" s="295">
        <v>282</v>
      </c>
      <c r="E99" s="294"/>
      <c r="F99" s="295">
        <v>74458332050822</v>
      </c>
      <c r="G99" s="295">
        <v>99</v>
      </c>
      <c r="H99" s="295">
        <v>0</v>
      </c>
      <c r="I99" s="294"/>
      <c r="J99" s="295">
        <v>1</v>
      </c>
      <c r="K99" s="294" t="s">
        <v>656</v>
      </c>
      <c r="L99" s="304">
        <v>16528.93</v>
      </c>
      <c r="M99" s="295">
        <v>0</v>
      </c>
      <c r="N99" s="295">
        <v>0</v>
      </c>
      <c r="O99" s="295">
        <v>0</v>
      </c>
      <c r="P99" s="303">
        <v>3471.07</v>
      </c>
      <c r="Q99" s="295">
        <v>20000</v>
      </c>
    </row>
    <row r="100" spans="1:17">
      <c r="A100" s="294" t="s">
        <v>1016</v>
      </c>
      <c r="B100" s="294" t="s">
        <v>948</v>
      </c>
      <c r="C100" s="295">
        <v>9</v>
      </c>
      <c r="D100" s="295">
        <v>280</v>
      </c>
      <c r="E100" s="294"/>
      <c r="F100" s="295">
        <v>74458320355614</v>
      </c>
      <c r="G100" s="295">
        <v>99</v>
      </c>
      <c r="H100" s="295">
        <v>0</v>
      </c>
      <c r="I100" s="294"/>
      <c r="J100" s="295">
        <v>1</v>
      </c>
      <c r="K100" s="294" t="s">
        <v>656</v>
      </c>
      <c r="L100" s="305">
        <v>10743.8</v>
      </c>
      <c r="M100" s="295">
        <v>0</v>
      </c>
      <c r="N100" s="295">
        <v>0</v>
      </c>
      <c r="O100" s="295">
        <v>0</v>
      </c>
      <c r="P100" s="309">
        <v>2256.1999999999998</v>
      </c>
      <c r="Q100" s="295">
        <v>13000</v>
      </c>
    </row>
    <row r="101" spans="1:17">
      <c r="A101" s="294" t="s">
        <v>1016</v>
      </c>
      <c r="B101" s="294" t="s">
        <v>948</v>
      </c>
      <c r="C101" s="295">
        <v>9</v>
      </c>
      <c r="D101" s="295">
        <v>287</v>
      </c>
      <c r="E101" s="294"/>
      <c r="F101" s="295">
        <v>74458364741672</v>
      </c>
      <c r="G101" s="295">
        <v>99</v>
      </c>
      <c r="H101" s="295">
        <v>0</v>
      </c>
      <c r="I101" s="294"/>
      <c r="J101" s="295">
        <v>1</v>
      </c>
      <c r="K101" s="294" t="s">
        <v>656</v>
      </c>
      <c r="L101" s="304">
        <v>9504.1299999999992</v>
      </c>
      <c r="M101" s="295">
        <v>0</v>
      </c>
      <c r="N101" s="295">
        <v>0</v>
      </c>
      <c r="O101" s="295">
        <v>0</v>
      </c>
      <c r="P101" s="303">
        <v>1995.87</v>
      </c>
      <c r="Q101" s="295">
        <v>11500</v>
      </c>
    </row>
    <row r="102" spans="1:17">
      <c r="A102" s="294" t="s">
        <v>1016</v>
      </c>
      <c r="B102" s="294" t="s">
        <v>948</v>
      </c>
      <c r="C102" s="295">
        <v>9</v>
      </c>
      <c r="D102" s="295">
        <v>284</v>
      </c>
      <c r="E102" s="294"/>
      <c r="F102" s="295">
        <v>74458338430375</v>
      </c>
      <c r="G102" s="295">
        <v>99</v>
      </c>
      <c r="H102" s="295">
        <v>0</v>
      </c>
      <c r="I102" s="294"/>
      <c r="J102" s="295">
        <v>1</v>
      </c>
      <c r="K102" s="294" t="s">
        <v>656</v>
      </c>
      <c r="L102" s="305">
        <v>13884.3</v>
      </c>
      <c r="M102" s="295">
        <v>0</v>
      </c>
      <c r="N102" s="295">
        <v>0</v>
      </c>
      <c r="O102" s="295">
        <v>0</v>
      </c>
      <c r="P102" s="309">
        <v>2915.7</v>
      </c>
      <c r="Q102" s="295">
        <v>16800</v>
      </c>
    </row>
    <row r="103" spans="1:17">
      <c r="A103" s="294" t="s">
        <v>1016</v>
      </c>
      <c r="B103" s="294" t="s">
        <v>948</v>
      </c>
      <c r="C103" s="295">
        <v>9</v>
      </c>
      <c r="D103" s="295">
        <v>286</v>
      </c>
      <c r="E103" s="294"/>
      <c r="F103" s="295">
        <v>74458347852414</v>
      </c>
      <c r="G103" s="295">
        <v>99</v>
      </c>
      <c r="H103" s="295">
        <v>0</v>
      </c>
      <c r="I103" s="294"/>
      <c r="J103" s="295">
        <v>1</v>
      </c>
      <c r="K103" s="294" t="s">
        <v>656</v>
      </c>
      <c r="L103" s="304">
        <v>14669.42</v>
      </c>
      <c r="M103" s="295">
        <v>0</v>
      </c>
      <c r="N103" s="295">
        <v>0</v>
      </c>
      <c r="O103" s="295">
        <v>0</v>
      </c>
      <c r="P103" s="303">
        <v>3080.58</v>
      </c>
      <c r="Q103" s="295">
        <v>17750</v>
      </c>
    </row>
    <row r="104" spans="1:17">
      <c r="A104" s="294" t="s">
        <v>1016</v>
      </c>
      <c r="B104" s="294" t="s">
        <v>948</v>
      </c>
      <c r="C104" s="295">
        <v>9</v>
      </c>
      <c r="D104" s="295">
        <v>288</v>
      </c>
      <c r="E104" s="294"/>
      <c r="F104" s="295">
        <v>74458365563203</v>
      </c>
      <c r="G104" s="295">
        <v>99</v>
      </c>
      <c r="H104" s="295">
        <v>0</v>
      </c>
      <c r="I104" s="294"/>
      <c r="J104" s="295">
        <v>1</v>
      </c>
      <c r="K104" s="294" t="s">
        <v>656</v>
      </c>
      <c r="L104" s="305">
        <v>10743.8</v>
      </c>
      <c r="M104" s="295">
        <v>0</v>
      </c>
      <c r="N104" s="295">
        <v>0</v>
      </c>
      <c r="O104" s="295">
        <v>0</v>
      </c>
      <c r="P104" s="309">
        <v>2256.1999999999998</v>
      </c>
      <c r="Q104" s="295">
        <v>13000</v>
      </c>
    </row>
    <row r="105" spans="1:17" hidden="1">
      <c r="A105" s="294" t="s">
        <v>1016</v>
      </c>
      <c r="B105" s="294" t="s">
        <v>951</v>
      </c>
      <c r="C105" s="295">
        <v>3</v>
      </c>
      <c r="D105" s="295">
        <v>21</v>
      </c>
      <c r="E105" s="294"/>
      <c r="F105" s="295">
        <v>74458318823336</v>
      </c>
      <c r="G105" s="309" t="s">
        <v>7</v>
      </c>
      <c r="H105" s="295">
        <v>30522428163</v>
      </c>
      <c r="I105" s="294" t="s">
        <v>947</v>
      </c>
      <c r="J105" s="295">
        <v>1</v>
      </c>
      <c r="K105" s="294" t="s">
        <v>656</v>
      </c>
      <c r="L105" s="305">
        <v>2727966.9</v>
      </c>
      <c r="M105" s="295">
        <v>0</v>
      </c>
      <c r="N105" s="295">
        <v>0</v>
      </c>
      <c r="O105" s="295">
        <v>0</v>
      </c>
      <c r="P105" s="303">
        <v>572873.05000000005</v>
      </c>
      <c r="Q105" s="303">
        <v>3300839.99</v>
      </c>
    </row>
    <row r="106" spans="1:17" hidden="1">
      <c r="A106" s="294" t="s">
        <v>1016</v>
      </c>
      <c r="B106" s="294" t="s">
        <v>950</v>
      </c>
      <c r="C106" s="295">
        <v>3</v>
      </c>
      <c r="D106" s="295">
        <v>277</v>
      </c>
      <c r="E106" s="294"/>
      <c r="F106" s="295">
        <v>74458368834741</v>
      </c>
      <c r="G106" s="309" t="s">
        <v>949</v>
      </c>
      <c r="H106" s="295">
        <v>35112162</v>
      </c>
      <c r="I106" s="294" t="s">
        <v>971</v>
      </c>
      <c r="J106" s="295">
        <v>1</v>
      </c>
      <c r="K106" s="294" t="s">
        <v>656</v>
      </c>
      <c r="L106" s="304">
        <v>-12396.71</v>
      </c>
      <c r="M106" s="295"/>
      <c r="N106" s="295">
        <v>0</v>
      </c>
      <c r="O106" s="295">
        <v>0</v>
      </c>
      <c r="P106" s="303">
        <f>+L106*0.21</f>
        <v>-2603.3090999999999</v>
      </c>
      <c r="Q106" s="295">
        <f>SUBTOTAL(9,L106:P106)</f>
        <v>0</v>
      </c>
    </row>
    <row r="107" spans="1:17" hidden="1">
      <c r="A107" s="294" t="s">
        <v>1016</v>
      </c>
      <c r="B107" s="294" t="s">
        <v>950</v>
      </c>
      <c r="C107" s="295">
        <v>3</v>
      </c>
      <c r="D107" s="295">
        <v>272</v>
      </c>
      <c r="E107" s="294"/>
      <c r="F107" s="295">
        <v>74458328323810</v>
      </c>
      <c r="G107" s="309" t="s">
        <v>949</v>
      </c>
      <c r="H107" s="295">
        <v>93102721</v>
      </c>
      <c r="I107" s="294" t="s">
        <v>969</v>
      </c>
      <c r="J107" s="295">
        <v>1</v>
      </c>
      <c r="K107" s="294" t="s">
        <v>656</v>
      </c>
      <c r="L107" s="304">
        <v>-12396.71</v>
      </c>
      <c r="M107" s="295"/>
      <c r="N107" s="295">
        <v>0</v>
      </c>
      <c r="O107" s="295">
        <v>0</v>
      </c>
      <c r="P107" s="303">
        <f>+L107*0.21</f>
        <v>-2603.3090999999999</v>
      </c>
      <c r="Q107" s="295">
        <f>SUBTOTAL(9,L107:P107)</f>
        <v>0</v>
      </c>
    </row>
    <row r="108" spans="1:17" hidden="1">
      <c r="A108" s="294" t="s">
        <v>1016</v>
      </c>
      <c r="B108" s="294" t="s">
        <v>950</v>
      </c>
      <c r="C108" s="295">
        <v>3</v>
      </c>
      <c r="D108" s="295">
        <v>278</v>
      </c>
      <c r="E108" s="294"/>
      <c r="F108" s="295">
        <v>74458370569157</v>
      </c>
      <c r="G108" s="309" t="s">
        <v>949</v>
      </c>
      <c r="H108" s="295">
        <v>14981797</v>
      </c>
      <c r="I108" s="294" t="s">
        <v>972</v>
      </c>
      <c r="J108" s="295">
        <v>1</v>
      </c>
      <c r="K108" s="294" t="s">
        <v>656</v>
      </c>
      <c r="L108" s="304">
        <v>-28512.38</v>
      </c>
      <c r="M108" s="295"/>
      <c r="N108" s="295">
        <v>0</v>
      </c>
      <c r="O108" s="295">
        <v>0</v>
      </c>
      <c r="P108" s="303">
        <f>+L108*0.21</f>
        <v>-5987.5998</v>
      </c>
      <c r="Q108" s="295">
        <f>SUBTOTAL(9,L108:P108)</f>
        <v>0</v>
      </c>
    </row>
    <row r="109" spans="1:17" hidden="1">
      <c r="A109" s="294" t="s">
        <v>1016</v>
      </c>
      <c r="B109" s="294" t="s">
        <v>950</v>
      </c>
      <c r="C109" s="295">
        <v>3</v>
      </c>
      <c r="D109" s="295">
        <v>275</v>
      </c>
      <c r="E109" s="294"/>
      <c r="F109" s="295">
        <v>74458335366414</v>
      </c>
      <c r="G109" s="309" t="s">
        <v>949</v>
      </c>
      <c r="H109" s="295">
        <v>18220005</v>
      </c>
      <c r="I109" s="294" t="s">
        <v>970</v>
      </c>
      <c r="J109" s="295">
        <v>1</v>
      </c>
      <c r="K109" s="294" t="s">
        <v>656</v>
      </c>
      <c r="L109" s="304">
        <v>-10330.57</v>
      </c>
      <c r="M109" s="295"/>
      <c r="N109" s="295">
        <v>0</v>
      </c>
      <c r="O109" s="295">
        <v>0</v>
      </c>
      <c r="P109" s="303">
        <f>+L109*0.21</f>
        <v>-2169.4196999999999</v>
      </c>
      <c r="Q109" s="295">
        <f>SUBTOTAL(9,L109:P109)</f>
        <v>0</v>
      </c>
    </row>
    <row r="110" spans="1:17" hidden="1">
      <c r="A110" s="294" t="s">
        <v>1016</v>
      </c>
      <c r="B110" s="294" t="s">
        <v>950</v>
      </c>
      <c r="C110" s="295">
        <v>3</v>
      </c>
      <c r="D110" s="295">
        <v>276</v>
      </c>
      <c r="E110" s="294"/>
      <c r="F110" s="295">
        <v>74458335760212</v>
      </c>
      <c r="G110" s="309" t="s">
        <v>949</v>
      </c>
      <c r="H110" s="295">
        <v>18220005</v>
      </c>
      <c r="I110" s="294" t="s">
        <v>970</v>
      </c>
      <c r="J110" s="295">
        <v>1</v>
      </c>
      <c r="K110" s="294" t="s">
        <v>656</v>
      </c>
      <c r="L110" s="304">
        <v>-10330.57</v>
      </c>
      <c r="M110" s="295"/>
      <c r="N110" s="295">
        <v>0</v>
      </c>
      <c r="O110" s="295">
        <v>0</v>
      </c>
      <c r="P110" s="303">
        <f>+L110*0.21</f>
        <v>-2169.4196999999999</v>
      </c>
      <c r="Q110" s="295">
        <f>SUBTOTAL(9,L110:P110)</f>
        <v>0</v>
      </c>
    </row>
    <row r="111" spans="1:17" hidden="1">
      <c r="A111" s="294" t="s">
        <v>1016</v>
      </c>
      <c r="B111" s="294" t="s">
        <v>950</v>
      </c>
      <c r="C111" s="295">
        <v>3</v>
      </c>
      <c r="D111" s="295">
        <v>273</v>
      </c>
      <c r="E111" s="294"/>
      <c r="F111" s="295">
        <v>74458332962396</v>
      </c>
      <c r="G111" s="309" t="s">
        <v>949</v>
      </c>
      <c r="H111" s="295">
        <v>30371510</v>
      </c>
      <c r="I111" s="294" t="s">
        <v>964</v>
      </c>
      <c r="J111" s="295">
        <v>1</v>
      </c>
      <c r="K111" s="294" t="s">
        <v>656</v>
      </c>
      <c r="L111" s="304">
        <v>-21900.81</v>
      </c>
      <c r="M111" s="295"/>
      <c r="N111" s="295">
        <v>0</v>
      </c>
      <c r="O111" s="295">
        <v>0</v>
      </c>
      <c r="P111" s="303">
        <f>+L111*0.21</f>
        <v>-4599.1701000000003</v>
      </c>
      <c r="Q111" s="295">
        <f>SUBTOTAL(9,L111:P111)</f>
        <v>0</v>
      </c>
    </row>
    <row r="112" spans="1:17" hidden="1">
      <c r="A112" s="294" t="s">
        <v>1016</v>
      </c>
      <c r="B112" s="294" t="s">
        <v>950</v>
      </c>
      <c r="C112" s="295">
        <v>3</v>
      </c>
      <c r="D112" s="295">
        <v>274</v>
      </c>
      <c r="E112" s="294"/>
      <c r="F112" s="295">
        <v>74458333338465</v>
      </c>
      <c r="G112" s="309" t="s">
        <v>949</v>
      </c>
      <c r="H112" s="295">
        <v>30371510</v>
      </c>
      <c r="I112" s="294" t="s">
        <v>964</v>
      </c>
      <c r="J112" s="295">
        <v>1</v>
      </c>
      <c r="K112" s="294" t="s">
        <v>656</v>
      </c>
      <c r="L112" s="304">
        <v>-21900.81</v>
      </c>
      <c r="M112" s="295"/>
      <c r="N112" s="295">
        <v>0</v>
      </c>
      <c r="O112" s="295">
        <v>0</v>
      </c>
      <c r="P112" s="303">
        <f>+L112*0.21</f>
        <v>-4599.1701000000003</v>
      </c>
      <c r="Q112" s="295">
        <f>SUBTOTAL(9,L112:P112)</f>
        <v>0</v>
      </c>
    </row>
    <row r="113" spans="1:17" hidden="1">
      <c r="A113" s="294" t="s">
        <v>1018</v>
      </c>
      <c r="B113" s="294" t="s">
        <v>654</v>
      </c>
      <c r="C113" s="295">
        <v>7</v>
      </c>
      <c r="D113" s="295">
        <v>2236</v>
      </c>
      <c r="E113" s="294"/>
      <c r="F113" s="295">
        <v>74458450668571</v>
      </c>
      <c r="G113" s="309" t="s">
        <v>7</v>
      </c>
      <c r="H113" s="295">
        <v>30500053522</v>
      </c>
      <c r="I113" s="294" t="s">
        <v>955</v>
      </c>
      <c r="J113" s="295">
        <v>1</v>
      </c>
      <c r="K113" s="294" t="s">
        <v>656</v>
      </c>
      <c r="L113" s="304">
        <v>430578.51</v>
      </c>
      <c r="M113" s="295">
        <v>0</v>
      </c>
      <c r="N113" s="295">
        <v>0</v>
      </c>
      <c r="O113" s="295">
        <v>0</v>
      </c>
      <c r="P113" s="303">
        <v>90421.49</v>
      </c>
      <c r="Q113" s="295">
        <v>521000</v>
      </c>
    </row>
    <row r="114" spans="1:17" hidden="1">
      <c r="A114" s="294" t="s">
        <v>1018</v>
      </c>
      <c r="B114" s="294" t="s">
        <v>654</v>
      </c>
      <c r="C114" s="295">
        <v>7</v>
      </c>
      <c r="D114" s="295">
        <v>2237</v>
      </c>
      <c r="E114" s="294"/>
      <c r="F114" s="295">
        <v>74458481916160</v>
      </c>
      <c r="G114" s="309" t="s">
        <v>7</v>
      </c>
      <c r="H114" s="295">
        <v>30590412631</v>
      </c>
      <c r="I114" s="294" t="s">
        <v>953</v>
      </c>
      <c r="J114" s="295">
        <v>1</v>
      </c>
      <c r="K114" s="294" t="s">
        <v>656</v>
      </c>
      <c r="L114" s="304">
        <v>229752.06</v>
      </c>
      <c r="M114" s="295">
        <v>0</v>
      </c>
      <c r="N114" s="295">
        <v>0</v>
      </c>
      <c r="O114" s="295">
        <v>0</v>
      </c>
      <c r="P114" s="303">
        <v>48247.93</v>
      </c>
      <c r="Q114" s="303">
        <v>277999.99</v>
      </c>
    </row>
    <row r="115" spans="1:17">
      <c r="A115" s="294" t="s">
        <v>1018</v>
      </c>
      <c r="B115" s="294" t="s">
        <v>948</v>
      </c>
      <c r="C115" s="295">
        <v>9</v>
      </c>
      <c r="D115" s="295">
        <v>289</v>
      </c>
      <c r="E115" s="294"/>
      <c r="F115" s="295">
        <v>74458443222905</v>
      </c>
      <c r="G115" s="295">
        <v>99</v>
      </c>
      <c r="H115" s="295">
        <v>0</v>
      </c>
      <c r="I115" s="294"/>
      <c r="J115" s="295">
        <v>1</v>
      </c>
      <c r="K115" s="294" t="s">
        <v>656</v>
      </c>
      <c r="L115" s="304">
        <v>14669.42</v>
      </c>
      <c r="M115" s="295">
        <v>0</v>
      </c>
      <c r="N115" s="295">
        <v>0</v>
      </c>
      <c r="O115" s="295">
        <v>0</v>
      </c>
      <c r="P115" s="303">
        <v>3080.58</v>
      </c>
      <c r="Q115" s="295">
        <v>17750</v>
      </c>
    </row>
    <row r="116" spans="1:17">
      <c r="A116" s="294" t="s">
        <v>1018</v>
      </c>
      <c r="B116" s="294" t="s">
        <v>948</v>
      </c>
      <c r="C116" s="295">
        <v>9</v>
      </c>
      <c r="D116" s="295">
        <v>290</v>
      </c>
      <c r="E116" s="294"/>
      <c r="F116" s="295">
        <v>74458449255411</v>
      </c>
      <c r="G116" s="295">
        <v>99</v>
      </c>
      <c r="H116" s="295">
        <v>0</v>
      </c>
      <c r="I116" s="294"/>
      <c r="J116" s="295">
        <v>1</v>
      </c>
      <c r="K116" s="294" t="s">
        <v>656</v>
      </c>
      <c r="L116" s="304">
        <v>9669.42</v>
      </c>
      <c r="M116" s="295">
        <v>0</v>
      </c>
      <c r="N116" s="295">
        <v>0</v>
      </c>
      <c r="O116" s="295">
        <v>0</v>
      </c>
      <c r="P116" s="303">
        <v>2030.58</v>
      </c>
      <c r="Q116" s="295">
        <v>11700</v>
      </c>
    </row>
    <row r="117" spans="1:17">
      <c r="A117" s="294" t="s">
        <v>1018</v>
      </c>
      <c r="B117" s="294" t="s">
        <v>948</v>
      </c>
      <c r="C117" s="295">
        <v>9</v>
      </c>
      <c r="D117" s="295">
        <v>295</v>
      </c>
      <c r="E117" s="294"/>
      <c r="F117" s="295">
        <v>74458470237081</v>
      </c>
      <c r="G117" s="295">
        <v>99</v>
      </c>
      <c r="H117" s="295">
        <v>0</v>
      </c>
      <c r="I117" s="294"/>
      <c r="J117" s="295">
        <v>1</v>
      </c>
      <c r="K117" s="294" t="s">
        <v>656</v>
      </c>
      <c r="L117" s="304">
        <v>20661.16</v>
      </c>
      <c r="M117" s="295">
        <v>0</v>
      </c>
      <c r="N117" s="295">
        <v>0</v>
      </c>
      <c r="O117" s="295">
        <v>0</v>
      </c>
      <c r="P117" s="303">
        <v>4338.84</v>
      </c>
      <c r="Q117" s="295">
        <v>25000</v>
      </c>
    </row>
    <row r="118" spans="1:17">
      <c r="A118" s="294" t="s">
        <v>1018</v>
      </c>
      <c r="B118" s="294" t="s">
        <v>948</v>
      </c>
      <c r="C118" s="295">
        <v>9</v>
      </c>
      <c r="D118" s="295">
        <v>304</v>
      </c>
      <c r="E118" s="294"/>
      <c r="F118" s="295">
        <v>74458506707825</v>
      </c>
      <c r="G118" s="295">
        <v>99</v>
      </c>
      <c r="H118" s="295">
        <v>0</v>
      </c>
      <c r="I118" s="294"/>
      <c r="J118" s="295">
        <v>1</v>
      </c>
      <c r="K118" s="294" t="s">
        <v>656</v>
      </c>
      <c r="L118" s="304">
        <v>11735.54</v>
      </c>
      <c r="M118" s="295">
        <v>0</v>
      </c>
      <c r="N118" s="295">
        <v>0</v>
      </c>
      <c r="O118" s="295">
        <v>0</v>
      </c>
      <c r="P118" s="303">
        <v>2464.46</v>
      </c>
      <c r="Q118" s="295">
        <v>14200</v>
      </c>
    </row>
    <row r="119" spans="1:17">
      <c r="A119" s="294" t="s">
        <v>1018</v>
      </c>
      <c r="B119" s="294" t="s">
        <v>948</v>
      </c>
      <c r="C119" s="295">
        <v>9</v>
      </c>
      <c r="D119" s="295">
        <v>291</v>
      </c>
      <c r="E119" s="294"/>
      <c r="F119" s="295">
        <v>74458452571713</v>
      </c>
      <c r="G119" s="295">
        <v>99</v>
      </c>
      <c r="H119" s="295">
        <v>0</v>
      </c>
      <c r="I119" s="294"/>
      <c r="J119" s="295">
        <v>1</v>
      </c>
      <c r="K119" s="294" t="s">
        <v>656</v>
      </c>
      <c r="L119" s="304">
        <v>42148.76</v>
      </c>
      <c r="M119" s="295">
        <v>0</v>
      </c>
      <c r="N119" s="295">
        <v>0</v>
      </c>
      <c r="O119" s="295">
        <v>0</v>
      </c>
      <c r="P119" s="303">
        <v>8851.24</v>
      </c>
      <c r="Q119" s="295">
        <v>51000</v>
      </c>
    </row>
    <row r="120" spans="1:17">
      <c r="A120" s="294" t="s">
        <v>1018</v>
      </c>
      <c r="B120" s="294" t="s">
        <v>948</v>
      </c>
      <c r="C120" s="295">
        <v>9</v>
      </c>
      <c r="D120" s="295">
        <v>301</v>
      </c>
      <c r="E120" s="294"/>
      <c r="F120" s="295">
        <v>74458485576711</v>
      </c>
      <c r="G120" s="295">
        <v>99</v>
      </c>
      <c r="H120" s="295">
        <v>0</v>
      </c>
      <c r="I120" s="294"/>
      <c r="J120" s="295">
        <v>1</v>
      </c>
      <c r="K120" s="294" t="s">
        <v>656</v>
      </c>
      <c r="L120" s="304">
        <v>9917.36</v>
      </c>
      <c r="M120" s="295">
        <v>0</v>
      </c>
      <c r="N120" s="295">
        <v>0</v>
      </c>
      <c r="O120" s="295">
        <v>0</v>
      </c>
      <c r="P120" s="303">
        <v>2082.64</v>
      </c>
      <c r="Q120" s="295">
        <v>12000</v>
      </c>
    </row>
    <row r="121" spans="1:17">
      <c r="A121" s="294" t="s">
        <v>1018</v>
      </c>
      <c r="B121" s="294" t="s">
        <v>948</v>
      </c>
      <c r="C121" s="295">
        <v>9</v>
      </c>
      <c r="D121" s="295">
        <v>305</v>
      </c>
      <c r="E121" s="294"/>
      <c r="F121" s="295">
        <v>74458506826301</v>
      </c>
      <c r="G121" s="295">
        <v>99</v>
      </c>
      <c r="H121" s="295">
        <v>0</v>
      </c>
      <c r="I121" s="294"/>
      <c r="J121" s="295">
        <v>1</v>
      </c>
      <c r="K121" s="294" t="s">
        <v>656</v>
      </c>
      <c r="L121" s="305">
        <v>33884.300000000003</v>
      </c>
      <c r="M121" s="295">
        <v>0</v>
      </c>
      <c r="N121" s="295">
        <v>0</v>
      </c>
      <c r="O121" s="295">
        <v>0</v>
      </c>
      <c r="P121" s="309">
        <v>7115.7</v>
      </c>
      <c r="Q121" s="295">
        <v>41000</v>
      </c>
    </row>
    <row r="122" spans="1:17">
      <c r="A122" s="294" t="s">
        <v>1018</v>
      </c>
      <c r="B122" s="294" t="s">
        <v>948</v>
      </c>
      <c r="C122" s="295">
        <v>9</v>
      </c>
      <c r="D122" s="295">
        <v>300</v>
      </c>
      <c r="E122" s="294"/>
      <c r="F122" s="295">
        <v>74458482889906</v>
      </c>
      <c r="G122" s="295">
        <v>99</v>
      </c>
      <c r="H122" s="295">
        <v>0</v>
      </c>
      <c r="I122" s="294"/>
      <c r="J122" s="295">
        <v>1</v>
      </c>
      <c r="K122" s="294" t="s">
        <v>656</v>
      </c>
      <c r="L122" s="304">
        <v>4132.2299999999996</v>
      </c>
      <c r="M122" s="295">
        <v>0</v>
      </c>
      <c r="N122" s="295">
        <v>0</v>
      </c>
      <c r="O122" s="295">
        <v>0</v>
      </c>
      <c r="P122" s="303">
        <v>867.77</v>
      </c>
      <c r="Q122" s="295">
        <v>5000</v>
      </c>
    </row>
    <row r="123" spans="1:17">
      <c r="A123" s="294" t="s">
        <v>1018</v>
      </c>
      <c r="B123" s="294" t="s">
        <v>948</v>
      </c>
      <c r="C123" s="295">
        <v>9</v>
      </c>
      <c r="D123" s="295">
        <v>292</v>
      </c>
      <c r="E123" s="294"/>
      <c r="F123" s="295">
        <v>74458462022332</v>
      </c>
      <c r="G123" s="295">
        <v>99</v>
      </c>
      <c r="H123" s="295">
        <v>0</v>
      </c>
      <c r="I123" s="294"/>
      <c r="J123" s="295">
        <v>1</v>
      </c>
      <c r="K123" s="294" t="s">
        <v>656</v>
      </c>
      <c r="L123" s="304">
        <v>41735.54</v>
      </c>
      <c r="M123" s="295">
        <v>0</v>
      </c>
      <c r="N123" s="295">
        <v>0</v>
      </c>
      <c r="O123" s="295">
        <v>0</v>
      </c>
      <c r="P123" s="303">
        <v>8764.4599999999991</v>
      </c>
      <c r="Q123" s="295">
        <v>50500</v>
      </c>
    </row>
    <row r="124" spans="1:17">
      <c r="A124" s="294" t="s">
        <v>1018</v>
      </c>
      <c r="B124" s="294" t="s">
        <v>948</v>
      </c>
      <c r="C124" s="295">
        <v>9</v>
      </c>
      <c r="D124" s="295">
        <v>294</v>
      </c>
      <c r="E124" s="294"/>
      <c r="F124" s="295">
        <v>74458465352657</v>
      </c>
      <c r="G124" s="295">
        <v>99</v>
      </c>
      <c r="H124" s="295">
        <v>0</v>
      </c>
      <c r="I124" s="294"/>
      <c r="J124" s="295">
        <v>1</v>
      </c>
      <c r="K124" s="294" t="s">
        <v>656</v>
      </c>
      <c r="L124" s="304">
        <v>27892.560000000001</v>
      </c>
      <c r="M124" s="295">
        <v>0</v>
      </c>
      <c r="N124" s="295">
        <v>0</v>
      </c>
      <c r="O124" s="295">
        <v>0</v>
      </c>
      <c r="P124" s="303">
        <v>5857.44</v>
      </c>
      <c r="Q124" s="295">
        <v>33750</v>
      </c>
    </row>
    <row r="125" spans="1:17">
      <c r="A125" s="294" t="s">
        <v>1018</v>
      </c>
      <c r="B125" s="294" t="s">
        <v>948</v>
      </c>
      <c r="C125" s="295">
        <v>9</v>
      </c>
      <c r="D125" s="295">
        <v>293</v>
      </c>
      <c r="E125" s="294"/>
      <c r="F125" s="295">
        <v>74458462265700</v>
      </c>
      <c r="G125" s="295">
        <v>99</v>
      </c>
      <c r="H125" s="295">
        <v>0</v>
      </c>
      <c r="I125" s="294"/>
      <c r="J125" s="295">
        <v>1</v>
      </c>
      <c r="K125" s="294" t="s">
        <v>656</v>
      </c>
      <c r="L125" s="304">
        <v>29917.360000000001</v>
      </c>
      <c r="M125" s="295">
        <v>0</v>
      </c>
      <c r="N125" s="295">
        <v>0</v>
      </c>
      <c r="O125" s="295">
        <v>0</v>
      </c>
      <c r="P125" s="303">
        <v>6282.64</v>
      </c>
      <c r="Q125" s="295">
        <v>36200</v>
      </c>
    </row>
    <row r="126" spans="1:17">
      <c r="A126" s="294" t="s">
        <v>1018</v>
      </c>
      <c r="B126" s="294" t="s">
        <v>948</v>
      </c>
      <c r="C126" s="295">
        <v>9</v>
      </c>
      <c r="D126" s="295">
        <v>297</v>
      </c>
      <c r="E126" s="294"/>
      <c r="F126" s="295">
        <v>74458477709662</v>
      </c>
      <c r="G126" s="295">
        <v>99</v>
      </c>
      <c r="H126" s="295">
        <v>0</v>
      </c>
      <c r="I126" s="294"/>
      <c r="J126" s="295">
        <v>1</v>
      </c>
      <c r="K126" s="294" t="s">
        <v>656</v>
      </c>
      <c r="L126" s="304">
        <v>45950.41</v>
      </c>
      <c r="M126" s="295">
        <v>0</v>
      </c>
      <c r="N126" s="295">
        <v>0</v>
      </c>
      <c r="O126" s="295">
        <v>0</v>
      </c>
      <c r="P126" s="303">
        <v>9649.59</v>
      </c>
      <c r="Q126" s="295">
        <v>55600</v>
      </c>
    </row>
    <row r="127" spans="1:17">
      <c r="A127" s="294" t="s">
        <v>1018</v>
      </c>
      <c r="B127" s="294" t="s">
        <v>948</v>
      </c>
      <c r="C127" s="295">
        <v>9</v>
      </c>
      <c r="D127" s="295">
        <v>303</v>
      </c>
      <c r="E127" s="294"/>
      <c r="F127" s="295">
        <v>74458505125392</v>
      </c>
      <c r="G127" s="295">
        <v>99</v>
      </c>
      <c r="H127" s="295">
        <v>0</v>
      </c>
      <c r="I127" s="294"/>
      <c r="J127" s="295">
        <v>1</v>
      </c>
      <c r="K127" s="294" t="s">
        <v>656</v>
      </c>
      <c r="L127" s="304">
        <v>14669.42</v>
      </c>
      <c r="M127" s="295">
        <v>0</v>
      </c>
      <c r="N127" s="295">
        <v>0</v>
      </c>
      <c r="O127" s="295">
        <v>0</v>
      </c>
      <c r="P127" s="303">
        <v>3080.58</v>
      </c>
      <c r="Q127" s="295">
        <v>17750</v>
      </c>
    </row>
    <row r="128" spans="1:17">
      <c r="A128" s="294" t="s">
        <v>1018</v>
      </c>
      <c r="B128" s="294" t="s">
        <v>948</v>
      </c>
      <c r="C128" s="295">
        <v>9</v>
      </c>
      <c r="D128" s="295">
        <v>296</v>
      </c>
      <c r="E128" s="294"/>
      <c r="F128" s="295">
        <v>74458471949044</v>
      </c>
      <c r="G128" s="295">
        <v>99</v>
      </c>
      <c r="H128" s="295">
        <v>0</v>
      </c>
      <c r="I128" s="294"/>
      <c r="J128" s="295">
        <v>1</v>
      </c>
      <c r="K128" s="294" t="s">
        <v>656</v>
      </c>
      <c r="L128" s="304">
        <v>20661.16</v>
      </c>
      <c r="M128" s="295">
        <v>0</v>
      </c>
      <c r="N128" s="295">
        <v>0</v>
      </c>
      <c r="O128" s="295">
        <v>0</v>
      </c>
      <c r="P128" s="303">
        <v>4338.84</v>
      </c>
      <c r="Q128" s="295">
        <v>25000</v>
      </c>
    </row>
    <row r="129" spans="1:17">
      <c r="A129" s="294" t="s">
        <v>1018</v>
      </c>
      <c r="B129" s="294" t="s">
        <v>948</v>
      </c>
      <c r="C129" s="295">
        <v>9</v>
      </c>
      <c r="D129" s="295">
        <v>298</v>
      </c>
      <c r="E129" s="294"/>
      <c r="F129" s="295">
        <v>74458481224230</v>
      </c>
      <c r="G129" s="295">
        <v>99</v>
      </c>
      <c r="H129" s="295">
        <v>0</v>
      </c>
      <c r="I129" s="294"/>
      <c r="J129" s="295">
        <v>1</v>
      </c>
      <c r="K129" s="294" t="s">
        <v>656</v>
      </c>
      <c r="L129" s="304">
        <v>20661.16</v>
      </c>
      <c r="M129" s="295">
        <v>0</v>
      </c>
      <c r="N129" s="295">
        <v>0</v>
      </c>
      <c r="O129" s="295">
        <v>0</v>
      </c>
      <c r="P129" s="303">
        <v>4338.84</v>
      </c>
      <c r="Q129" s="295">
        <v>25000</v>
      </c>
    </row>
    <row r="130" spans="1:17">
      <c r="A130" s="294" t="s">
        <v>1018</v>
      </c>
      <c r="B130" s="294" t="s">
        <v>948</v>
      </c>
      <c r="C130" s="295">
        <v>7</v>
      </c>
      <c r="D130" s="295">
        <v>5430</v>
      </c>
      <c r="E130" s="294"/>
      <c r="F130" s="295">
        <v>74458508420061</v>
      </c>
      <c r="G130" s="309" t="s">
        <v>949</v>
      </c>
      <c r="H130" s="295">
        <v>17814995</v>
      </c>
      <c r="I130" s="294" t="s">
        <v>1066</v>
      </c>
      <c r="J130" s="295">
        <v>1</v>
      </c>
      <c r="K130" s="294" t="s">
        <v>656</v>
      </c>
      <c r="L130" s="304">
        <v>17355.37</v>
      </c>
      <c r="M130" s="295">
        <v>0</v>
      </c>
      <c r="N130" s="295">
        <v>0</v>
      </c>
      <c r="O130" s="295">
        <v>0</v>
      </c>
      <c r="P130" s="303">
        <v>3644.63</v>
      </c>
      <c r="Q130" s="295">
        <v>21000</v>
      </c>
    </row>
    <row r="131" spans="1:17">
      <c r="A131" s="294" t="s">
        <v>1018</v>
      </c>
      <c r="B131" s="294" t="s">
        <v>948</v>
      </c>
      <c r="C131" s="295">
        <v>9</v>
      </c>
      <c r="D131" s="295">
        <v>306</v>
      </c>
      <c r="E131" s="294"/>
      <c r="F131" s="295">
        <v>74458508542244</v>
      </c>
      <c r="G131" s="295">
        <v>99</v>
      </c>
      <c r="H131" s="295">
        <v>0</v>
      </c>
      <c r="I131" s="294"/>
      <c r="J131" s="295">
        <v>1</v>
      </c>
      <c r="K131" s="294" t="s">
        <v>656</v>
      </c>
      <c r="L131" s="305">
        <v>10743.8</v>
      </c>
      <c r="M131" s="295">
        <v>0</v>
      </c>
      <c r="N131" s="295">
        <v>0</v>
      </c>
      <c r="O131" s="295">
        <v>0</v>
      </c>
      <c r="P131" s="294">
        <v>2256.1999999999998</v>
      </c>
      <c r="Q131" s="295">
        <v>13000</v>
      </c>
    </row>
    <row r="132" spans="1:17">
      <c r="A132" s="294" t="s">
        <v>1018</v>
      </c>
      <c r="B132" s="294" t="s">
        <v>948</v>
      </c>
      <c r="C132" s="295">
        <v>7</v>
      </c>
      <c r="D132" s="295">
        <v>5431</v>
      </c>
      <c r="E132" s="294"/>
      <c r="F132" s="295">
        <v>74458508570351</v>
      </c>
      <c r="G132" s="309" t="s">
        <v>949</v>
      </c>
      <c r="H132" s="295">
        <v>17814995</v>
      </c>
      <c r="I132" s="294" t="s">
        <v>1066</v>
      </c>
      <c r="J132" s="295">
        <v>1</v>
      </c>
      <c r="K132" s="294" t="s">
        <v>656</v>
      </c>
      <c r="L132" s="304">
        <v>17355.37</v>
      </c>
      <c r="M132" s="295">
        <v>0</v>
      </c>
      <c r="N132" s="295">
        <v>0</v>
      </c>
      <c r="O132" s="295">
        <v>0</v>
      </c>
      <c r="P132" s="303">
        <v>3644.63</v>
      </c>
      <c r="Q132" s="295">
        <v>21000</v>
      </c>
    </row>
    <row r="133" spans="1:17">
      <c r="A133" s="294" t="s">
        <v>1018</v>
      </c>
      <c r="B133" s="294" t="s">
        <v>948</v>
      </c>
      <c r="C133" s="295">
        <v>9</v>
      </c>
      <c r="D133" s="295">
        <v>302</v>
      </c>
      <c r="E133" s="294"/>
      <c r="F133" s="295">
        <v>74458496694695</v>
      </c>
      <c r="G133" s="295">
        <v>99</v>
      </c>
      <c r="H133" s="295">
        <v>0</v>
      </c>
      <c r="I133" s="294"/>
      <c r="J133" s="295">
        <v>1</v>
      </c>
      <c r="K133" s="294" t="s">
        <v>656</v>
      </c>
      <c r="L133" s="304">
        <v>40909.089999999997</v>
      </c>
      <c r="M133" s="295">
        <v>0</v>
      </c>
      <c r="N133" s="295">
        <v>0</v>
      </c>
      <c r="O133" s="295">
        <v>0</v>
      </c>
      <c r="P133" s="303">
        <v>8590.91</v>
      </c>
      <c r="Q133" s="295">
        <v>49500</v>
      </c>
    </row>
    <row r="134" spans="1:17">
      <c r="A134" s="294" t="s">
        <v>1018</v>
      </c>
      <c r="B134" s="294" t="s">
        <v>948</v>
      </c>
      <c r="C134" s="295">
        <v>9</v>
      </c>
      <c r="D134" s="295">
        <v>307</v>
      </c>
      <c r="E134" s="294"/>
      <c r="F134" s="295">
        <v>74458520961498</v>
      </c>
      <c r="G134" s="295">
        <v>99</v>
      </c>
      <c r="H134" s="295">
        <v>0</v>
      </c>
      <c r="I134" s="294"/>
      <c r="J134" s="295">
        <v>1</v>
      </c>
      <c r="K134" s="294" t="s">
        <v>656</v>
      </c>
      <c r="L134" s="304">
        <v>15289.26</v>
      </c>
      <c r="M134" s="295">
        <v>0</v>
      </c>
      <c r="N134" s="295">
        <v>0</v>
      </c>
      <c r="O134" s="295">
        <v>0</v>
      </c>
      <c r="P134" s="303">
        <v>3210.74</v>
      </c>
      <c r="Q134" s="295">
        <v>18500</v>
      </c>
    </row>
    <row r="135" spans="1:17">
      <c r="A135" s="294" t="s">
        <v>1018</v>
      </c>
      <c r="B135" s="294" t="s">
        <v>948</v>
      </c>
      <c r="C135" s="295">
        <v>9</v>
      </c>
      <c r="D135" s="295">
        <v>299</v>
      </c>
      <c r="E135" s="294"/>
      <c r="F135" s="295">
        <v>74458482034549</v>
      </c>
      <c r="G135" s="295">
        <v>99</v>
      </c>
      <c r="H135" s="295">
        <v>0</v>
      </c>
      <c r="I135" s="294"/>
      <c r="J135" s="295">
        <v>1</v>
      </c>
      <c r="K135" s="294" t="s">
        <v>656</v>
      </c>
      <c r="L135" s="304">
        <v>4132.2299999999996</v>
      </c>
      <c r="M135" s="295">
        <v>0</v>
      </c>
      <c r="N135" s="295">
        <v>0</v>
      </c>
      <c r="O135" s="295">
        <v>0</v>
      </c>
      <c r="P135" s="303">
        <v>867.77</v>
      </c>
      <c r="Q135" s="295">
        <v>5000</v>
      </c>
    </row>
    <row r="136" spans="1:17" hidden="1">
      <c r="A136" s="294" t="s">
        <v>1018</v>
      </c>
      <c r="B136" s="294" t="s">
        <v>950</v>
      </c>
      <c r="C136" s="295">
        <v>3</v>
      </c>
      <c r="D136" s="295">
        <v>284</v>
      </c>
      <c r="E136" s="294"/>
      <c r="F136" s="295">
        <v>74458455719126</v>
      </c>
      <c r="G136" s="309" t="s">
        <v>949</v>
      </c>
      <c r="H136" s="295">
        <v>95936668</v>
      </c>
      <c r="I136" s="294" t="s">
        <v>979</v>
      </c>
      <c r="J136" s="295">
        <v>1</v>
      </c>
      <c r="K136" s="294" t="s">
        <v>656</v>
      </c>
      <c r="L136" s="304">
        <v>-12727.29</v>
      </c>
      <c r="M136" s="295"/>
      <c r="N136" s="295">
        <v>0</v>
      </c>
      <c r="O136" s="295">
        <v>0</v>
      </c>
      <c r="P136" s="303">
        <f>+L136*0.21</f>
        <v>-2672.7309</v>
      </c>
      <c r="Q136" s="295">
        <f>SUBTOTAL(9,L136:P136)</f>
        <v>0</v>
      </c>
    </row>
    <row r="137" spans="1:17" hidden="1">
      <c r="A137" s="294" t="s">
        <v>1018</v>
      </c>
      <c r="B137" s="294" t="s">
        <v>950</v>
      </c>
      <c r="C137" s="295">
        <v>3</v>
      </c>
      <c r="D137" s="295">
        <v>283</v>
      </c>
      <c r="E137" s="294"/>
      <c r="F137" s="295">
        <v>74458446949476</v>
      </c>
      <c r="G137" s="309" t="s">
        <v>949</v>
      </c>
      <c r="H137" s="295">
        <v>24268487</v>
      </c>
      <c r="I137" s="294" t="s">
        <v>978</v>
      </c>
      <c r="J137" s="295">
        <v>1</v>
      </c>
      <c r="K137" s="294" t="s">
        <v>656</v>
      </c>
      <c r="L137" s="304">
        <v>-14876.05</v>
      </c>
      <c r="M137" s="295"/>
      <c r="N137" s="295">
        <v>0</v>
      </c>
      <c r="O137" s="295">
        <v>0</v>
      </c>
      <c r="P137" s="303">
        <f>+L137*0.21</f>
        <v>-3123.9704999999999</v>
      </c>
      <c r="Q137" s="295">
        <f>SUBTOTAL(9,L137:P137)</f>
        <v>0</v>
      </c>
    </row>
    <row r="138" spans="1:17" hidden="1">
      <c r="A138" s="294" t="s">
        <v>1018</v>
      </c>
      <c r="B138" s="294" t="s">
        <v>950</v>
      </c>
      <c r="C138" s="295">
        <v>3</v>
      </c>
      <c r="D138" s="295">
        <v>279</v>
      </c>
      <c r="E138" s="294"/>
      <c r="F138" s="295">
        <v>74458438316021</v>
      </c>
      <c r="G138" s="309" t="s">
        <v>949</v>
      </c>
      <c r="H138" s="295">
        <v>22493216</v>
      </c>
      <c r="I138" s="294" t="s">
        <v>974</v>
      </c>
      <c r="J138" s="295">
        <v>1</v>
      </c>
      <c r="K138" s="294" t="s">
        <v>656</v>
      </c>
      <c r="L138" s="304">
        <v>-14752.05</v>
      </c>
      <c r="M138" s="295"/>
      <c r="N138" s="295">
        <v>0</v>
      </c>
      <c r="O138" s="295">
        <v>0</v>
      </c>
      <c r="P138" s="303">
        <f>+L138*0.21</f>
        <v>-3097.9304999999999</v>
      </c>
      <c r="Q138" s="295">
        <f>SUBTOTAL(9,L138:P138)</f>
        <v>0</v>
      </c>
    </row>
    <row r="139" spans="1:17" hidden="1">
      <c r="A139" s="294" t="s">
        <v>1018</v>
      </c>
      <c r="B139" s="294" t="s">
        <v>950</v>
      </c>
      <c r="C139" s="295">
        <v>3</v>
      </c>
      <c r="D139" s="295">
        <v>285</v>
      </c>
      <c r="E139" s="294"/>
      <c r="F139" s="295">
        <v>74458459370430</v>
      </c>
      <c r="G139" s="309" t="s">
        <v>949</v>
      </c>
      <c r="H139" s="295">
        <v>16473359</v>
      </c>
      <c r="I139" s="294" t="s">
        <v>980</v>
      </c>
      <c r="J139" s="295">
        <v>1</v>
      </c>
      <c r="K139" s="294" t="s">
        <v>656</v>
      </c>
      <c r="L139" s="304">
        <v>-22314.05</v>
      </c>
      <c r="M139" s="295"/>
      <c r="N139" s="295">
        <v>0</v>
      </c>
      <c r="O139" s="295">
        <v>0</v>
      </c>
      <c r="P139" s="303">
        <f>+L139*0.21</f>
        <v>-4685.9504999999999</v>
      </c>
      <c r="Q139" s="295">
        <f>SUBTOTAL(9,L139:P139)</f>
        <v>0</v>
      </c>
    </row>
    <row r="140" spans="1:17" hidden="1">
      <c r="A140" s="294" t="s">
        <v>1018</v>
      </c>
      <c r="B140" s="294" t="s">
        <v>950</v>
      </c>
      <c r="C140" s="295">
        <v>3</v>
      </c>
      <c r="D140" s="295">
        <v>280</v>
      </c>
      <c r="E140" s="294"/>
      <c r="F140" s="295">
        <v>74458439599764</v>
      </c>
      <c r="G140" s="309" t="s">
        <v>949</v>
      </c>
      <c r="H140" s="295">
        <v>4160867</v>
      </c>
      <c r="I140" s="294" t="s">
        <v>975</v>
      </c>
      <c r="J140" s="295">
        <v>1</v>
      </c>
      <c r="K140" s="294" t="s">
        <v>656</v>
      </c>
      <c r="L140" s="304">
        <v>-14876.05</v>
      </c>
      <c r="M140" s="295"/>
      <c r="N140" s="295">
        <v>0</v>
      </c>
      <c r="O140" s="295">
        <v>0</v>
      </c>
      <c r="P140" s="303">
        <f>+L140*0.21</f>
        <v>-3123.9704999999999</v>
      </c>
      <c r="Q140" s="295">
        <f>SUBTOTAL(9,L140:P140)</f>
        <v>0</v>
      </c>
    </row>
    <row r="141" spans="1:17" hidden="1">
      <c r="A141" s="294" t="s">
        <v>1018</v>
      </c>
      <c r="B141" s="294" t="s">
        <v>950</v>
      </c>
      <c r="C141" s="295">
        <v>3</v>
      </c>
      <c r="D141" s="295">
        <v>281</v>
      </c>
      <c r="E141" s="294"/>
      <c r="F141" s="295">
        <v>74458439960463</v>
      </c>
      <c r="G141" s="309" t="s">
        <v>949</v>
      </c>
      <c r="H141" s="295">
        <v>35958893</v>
      </c>
      <c r="I141" s="294" t="s">
        <v>976</v>
      </c>
      <c r="J141" s="295">
        <v>1</v>
      </c>
      <c r="K141" s="294" t="s">
        <v>656</v>
      </c>
      <c r="L141" s="304">
        <v>-41322.33</v>
      </c>
      <c r="M141" s="295"/>
      <c r="N141" s="295">
        <v>0</v>
      </c>
      <c r="O141" s="295">
        <v>0</v>
      </c>
      <c r="P141" s="303">
        <f>+L141*0.21</f>
        <v>-8677.6893</v>
      </c>
      <c r="Q141" s="295">
        <f>SUBTOTAL(9,L141:P141)</f>
        <v>0</v>
      </c>
    </row>
    <row r="142" spans="1:17" hidden="1">
      <c r="A142" s="294" t="s">
        <v>1018</v>
      </c>
      <c r="B142" s="294" t="s">
        <v>950</v>
      </c>
      <c r="C142" s="295">
        <v>3</v>
      </c>
      <c r="D142" s="295">
        <v>282</v>
      </c>
      <c r="E142" s="294"/>
      <c r="F142" s="295">
        <v>74458446122875</v>
      </c>
      <c r="G142" s="309" t="s">
        <v>949</v>
      </c>
      <c r="H142" s="295">
        <v>46873125</v>
      </c>
      <c r="I142" s="294" t="s">
        <v>977</v>
      </c>
      <c r="J142" s="295">
        <v>1</v>
      </c>
      <c r="K142" s="294" t="s">
        <v>656</v>
      </c>
      <c r="L142" s="304">
        <v>-41322.33</v>
      </c>
      <c r="M142" s="295"/>
      <c r="N142" s="295">
        <v>0</v>
      </c>
      <c r="O142" s="295">
        <v>0</v>
      </c>
      <c r="P142" s="303">
        <f>+L142*0.21</f>
        <v>-8677.6893</v>
      </c>
      <c r="Q142" s="295">
        <f>SUBTOTAL(9,L142:P142)</f>
        <v>0</v>
      </c>
    </row>
    <row r="143" spans="1:17" hidden="1">
      <c r="A143" s="294" t="s">
        <v>1020</v>
      </c>
      <c r="B143" s="294" t="s">
        <v>654</v>
      </c>
      <c r="C143" s="295">
        <v>7</v>
      </c>
      <c r="D143" s="295">
        <v>2239</v>
      </c>
      <c r="E143" s="294"/>
      <c r="F143" s="295">
        <v>74468826626438</v>
      </c>
      <c r="G143" s="309" t="s">
        <v>7</v>
      </c>
      <c r="H143" s="295">
        <v>30606274161</v>
      </c>
      <c r="I143" s="294" t="s">
        <v>1067</v>
      </c>
      <c r="J143" s="295">
        <v>1</v>
      </c>
      <c r="K143" s="294" t="s">
        <v>656</v>
      </c>
      <c r="L143" s="304">
        <v>289421.49</v>
      </c>
      <c r="M143" s="295">
        <v>0</v>
      </c>
      <c r="N143" s="295">
        <v>0</v>
      </c>
      <c r="O143" s="295">
        <v>0</v>
      </c>
      <c r="P143" s="303">
        <v>60778.51</v>
      </c>
      <c r="Q143" s="295">
        <v>350200</v>
      </c>
    </row>
    <row r="144" spans="1:17" hidden="1">
      <c r="A144" s="294" t="s">
        <v>1020</v>
      </c>
      <c r="B144" s="294" t="s">
        <v>654</v>
      </c>
      <c r="C144" s="295">
        <v>7</v>
      </c>
      <c r="D144" s="295">
        <v>2240</v>
      </c>
      <c r="E144" s="294"/>
      <c r="F144" s="295">
        <v>74468840993703</v>
      </c>
      <c r="G144" s="309" t="s">
        <v>7</v>
      </c>
      <c r="H144" s="295">
        <v>30683032227</v>
      </c>
      <c r="I144" s="294" t="s">
        <v>957</v>
      </c>
      <c r="J144" s="295">
        <v>1</v>
      </c>
      <c r="K144" s="294" t="s">
        <v>656</v>
      </c>
      <c r="L144" s="304">
        <v>978329.44</v>
      </c>
      <c r="M144" s="295">
        <v>0</v>
      </c>
      <c r="N144" s="295">
        <v>0</v>
      </c>
      <c r="O144" s="295">
        <v>0</v>
      </c>
      <c r="P144" s="303">
        <v>205449.18</v>
      </c>
      <c r="Q144" s="303">
        <v>1183778.6200000001</v>
      </c>
    </row>
    <row r="145" spans="1:17" hidden="1">
      <c r="A145" s="294" t="s">
        <v>1020</v>
      </c>
      <c r="B145" s="294" t="s">
        <v>654</v>
      </c>
      <c r="C145" s="295">
        <v>7</v>
      </c>
      <c r="D145" s="295">
        <v>2238</v>
      </c>
      <c r="E145" s="294"/>
      <c r="F145" s="295">
        <v>74468825350426</v>
      </c>
      <c r="G145" s="309" t="s">
        <v>7</v>
      </c>
      <c r="H145" s="295">
        <v>30587842358</v>
      </c>
      <c r="I145" s="294" t="s">
        <v>1068</v>
      </c>
      <c r="J145" s="295">
        <v>1</v>
      </c>
      <c r="K145" s="294" t="s">
        <v>656</v>
      </c>
      <c r="L145" s="304">
        <v>35811.56</v>
      </c>
      <c r="M145" s="295">
        <v>0</v>
      </c>
      <c r="N145" s="295">
        <v>0</v>
      </c>
      <c r="O145" s="295">
        <v>0</v>
      </c>
      <c r="P145" s="303">
        <v>7520.43</v>
      </c>
      <c r="Q145" s="303">
        <v>43331.99</v>
      </c>
    </row>
    <row r="146" spans="1:17" hidden="1">
      <c r="A146" s="294" t="s">
        <v>1020</v>
      </c>
      <c r="B146" s="294" t="s">
        <v>654</v>
      </c>
      <c r="C146" s="295">
        <v>7</v>
      </c>
      <c r="D146" s="295">
        <v>2241</v>
      </c>
      <c r="E146" s="294"/>
      <c r="F146" s="295">
        <v>74468983698738</v>
      </c>
      <c r="G146" s="294" t="s">
        <v>7</v>
      </c>
      <c r="H146" s="295">
        <v>30683032227</v>
      </c>
      <c r="I146" s="294" t="s">
        <v>957</v>
      </c>
      <c r="J146" s="295">
        <v>1</v>
      </c>
      <c r="K146" s="294" t="s">
        <v>656</v>
      </c>
      <c r="L146" s="304">
        <v>342975.21</v>
      </c>
      <c r="M146" s="295">
        <v>0</v>
      </c>
      <c r="N146" s="295">
        <v>0</v>
      </c>
      <c r="O146" s="295">
        <v>0</v>
      </c>
      <c r="P146" s="303">
        <v>72024.789999999994</v>
      </c>
      <c r="Q146" s="295">
        <v>415000</v>
      </c>
    </row>
    <row r="147" spans="1:17">
      <c r="A147" s="294" t="s">
        <v>1020</v>
      </c>
      <c r="B147" s="294" t="s">
        <v>948</v>
      </c>
      <c r="C147" s="295">
        <v>9</v>
      </c>
      <c r="D147" s="295">
        <v>309</v>
      </c>
      <c r="E147" s="294"/>
      <c r="F147" s="295">
        <v>74468791952901</v>
      </c>
      <c r="G147" s="295">
        <v>99</v>
      </c>
      <c r="H147" s="295">
        <v>0</v>
      </c>
      <c r="I147" s="294"/>
      <c r="J147" s="295">
        <v>1</v>
      </c>
      <c r="K147" s="294" t="s">
        <v>656</v>
      </c>
      <c r="L147" s="304">
        <v>20454.55</v>
      </c>
      <c r="M147" s="295">
        <v>0</v>
      </c>
      <c r="N147" s="295">
        <v>0</v>
      </c>
      <c r="O147" s="295">
        <v>0</v>
      </c>
      <c r="P147" s="303">
        <v>4295.45</v>
      </c>
      <c r="Q147" s="295">
        <v>24750</v>
      </c>
    </row>
    <row r="148" spans="1:17">
      <c r="A148" s="294" t="s">
        <v>1020</v>
      </c>
      <c r="B148" s="294" t="s">
        <v>948</v>
      </c>
      <c r="C148" s="295">
        <v>9</v>
      </c>
      <c r="D148" s="295">
        <v>318</v>
      </c>
      <c r="E148" s="294"/>
      <c r="F148" s="295">
        <v>74468821389789</v>
      </c>
      <c r="G148" s="295">
        <v>99</v>
      </c>
      <c r="H148" s="295">
        <v>0</v>
      </c>
      <c r="I148" s="294"/>
      <c r="J148" s="295">
        <v>1</v>
      </c>
      <c r="K148" s="294" t="s">
        <v>656</v>
      </c>
      <c r="L148" s="304">
        <v>4793.3900000000003</v>
      </c>
      <c r="M148" s="295">
        <v>0</v>
      </c>
      <c r="N148" s="295">
        <v>0</v>
      </c>
      <c r="O148" s="295">
        <v>0</v>
      </c>
      <c r="P148" s="303">
        <v>1006.61</v>
      </c>
      <c r="Q148" s="295">
        <v>5800</v>
      </c>
    </row>
    <row r="149" spans="1:17">
      <c r="A149" s="294" t="s">
        <v>1020</v>
      </c>
      <c r="B149" s="294" t="s">
        <v>948</v>
      </c>
      <c r="C149" s="295">
        <v>9</v>
      </c>
      <c r="D149" s="295">
        <v>323</v>
      </c>
      <c r="E149" s="294"/>
      <c r="F149" s="295">
        <v>74468842642698</v>
      </c>
      <c r="G149" s="295">
        <v>99</v>
      </c>
      <c r="H149" s="295">
        <v>0</v>
      </c>
      <c r="I149" s="294"/>
      <c r="J149" s="295">
        <v>1</v>
      </c>
      <c r="K149" s="294" t="s">
        <v>656</v>
      </c>
      <c r="L149" s="304">
        <v>20454.55</v>
      </c>
      <c r="M149" s="295">
        <v>0</v>
      </c>
      <c r="N149" s="295">
        <v>0</v>
      </c>
      <c r="O149" s="295">
        <v>0</v>
      </c>
      <c r="P149" s="303">
        <v>4295.45</v>
      </c>
      <c r="Q149" s="295">
        <v>24750</v>
      </c>
    </row>
    <row r="150" spans="1:17">
      <c r="A150" s="294" t="s">
        <v>1020</v>
      </c>
      <c r="B150" s="294" t="s">
        <v>948</v>
      </c>
      <c r="C150" s="295">
        <v>9</v>
      </c>
      <c r="D150" s="295">
        <v>321</v>
      </c>
      <c r="E150" s="294"/>
      <c r="F150" s="295">
        <v>74468837346947</v>
      </c>
      <c r="G150" s="295">
        <v>99</v>
      </c>
      <c r="H150" s="295">
        <v>0</v>
      </c>
      <c r="I150" s="294"/>
      <c r="J150" s="295">
        <v>1</v>
      </c>
      <c r="K150" s="294" t="s">
        <v>656</v>
      </c>
      <c r="L150" s="304">
        <v>13966.94</v>
      </c>
      <c r="M150" s="295">
        <v>0</v>
      </c>
      <c r="N150" s="295">
        <v>0</v>
      </c>
      <c r="O150" s="295">
        <v>0</v>
      </c>
      <c r="P150" s="303">
        <v>2933.06</v>
      </c>
      <c r="Q150" s="295">
        <v>16900</v>
      </c>
    </row>
    <row r="151" spans="1:17">
      <c r="A151" s="294" t="s">
        <v>1020</v>
      </c>
      <c r="B151" s="294" t="s">
        <v>948</v>
      </c>
      <c r="C151" s="295">
        <v>9</v>
      </c>
      <c r="D151" s="295">
        <v>326</v>
      </c>
      <c r="E151" s="294"/>
      <c r="F151" s="295">
        <v>74468848067384</v>
      </c>
      <c r="G151" s="295">
        <v>99</v>
      </c>
      <c r="H151" s="295">
        <v>0</v>
      </c>
      <c r="I151" s="294"/>
      <c r="J151" s="295">
        <v>1</v>
      </c>
      <c r="K151" s="294" t="s">
        <v>656</v>
      </c>
      <c r="L151" s="305">
        <v>10743.8</v>
      </c>
      <c r="M151" s="295">
        <v>0</v>
      </c>
      <c r="N151" s="295">
        <v>0</v>
      </c>
      <c r="O151" s="295">
        <v>0</v>
      </c>
      <c r="P151" s="309">
        <v>2256.1999999999998</v>
      </c>
      <c r="Q151" s="295">
        <v>13000</v>
      </c>
    </row>
    <row r="152" spans="1:17">
      <c r="A152" s="294" t="s">
        <v>1020</v>
      </c>
      <c r="B152" s="294" t="s">
        <v>948</v>
      </c>
      <c r="C152" s="295">
        <v>9</v>
      </c>
      <c r="D152" s="295">
        <v>312</v>
      </c>
      <c r="E152" s="294"/>
      <c r="F152" s="295">
        <v>74468797565751</v>
      </c>
      <c r="G152" s="295">
        <v>99</v>
      </c>
      <c r="H152" s="295">
        <v>0</v>
      </c>
      <c r="I152" s="294"/>
      <c r="J152" s="295">
        <v>1</v>
      </c>
      <c r="K152" s="294" t="s">
        <v>656</v>
      </c>
      <c r="L152" s="304">
        <v>3471.07</v>
      </c>
      <c r="M152" s="295">
        <v>0</v>
      </c>
      <c r="N152" s="295">
        <v>0</v>
      </c>
      <c r="O152" s="295">
        <v>0</v>
      </c>
      <c r="P152" s="303">
        <v>728.93</v>
      </c>
      <c r="Q152" s="295">
        <v>4200</v>
      </c>
    </row>
    <row r="153" spans="1:17">
      <c r="A153" s="294" t="s">
        <v>1020</v>
      </c>
      <c r="B153" s="294" t="s">
        <v>948</v>
      </c>
      <c r="C153" s="295">
        <v>9</v>
      </c>
      <c r="D153" s="295">
        <v>320</v>
      </c>
      <c r="E153" s="294"/>
      <c r="F153" s="295">
        <v>74468826703350</v>
      </c>
      <c r="G153" s="295">
        <v>99</v>
      </c>
      <c r="H153" s="295">
        <v>0</v>
      </c>
      <c r="I153" s="294"/>
      <c r="J153" s="295">
        <v>1</v>
      </c>
      <c r="K153" s="294" t="s">
        <v>656</v>
      </c>
      <c r="L153" s="304">
        <v>16611.57</v>
      </c>
      <c r="M153" s="295">
        <v>0</v>
      </c>
      <c r="N153" s="295">
        <v>0</v>
      </c>
      <c r="O153" s="295">
        <v>0</v>
      </c>
      <c r="P153" s="303">
        <v>3488.43</v>
      </c>
      <c r="Q153" s="295">
        <v>20100</v>
      </c>
    </row>
    <row r="154" spans="1:17">
      <c r="A154" s="294" t="s">
        <v>1020</v>
      </c>
      <c r="B154" s="294" t="s">
        <v>948</v>
      </c>
      <c r="C154" s="295">
        <v>9</v>
      </c>
      <c r="D154" s="295">
        <v>319</v>
      </c>
      <c r="E154" s="294"/>
      <c r="F154" s="295">
        <v>74468824233064</v>
      </c>
      <c r="G154" s="295">
        <v>99</v>
      </c>
      <c r="H154" s="295">
        <v>0</v>
      </c>
      <c r="I154" s="294"/>
      <c r="J154" s="295">
        <v>1</v>
      </c>
      <c r="K154" s="294" t="s">
        <v>656</v>
      </c>
      <c r="L154" s="304">
        <v>20454.55</v>
      </c>
      <c r="M154" s="295">
        <v>0</v>
      </c>
      <c r="N154" s="295">
        <v>0</v>
      </c>
      <c r="O154" s="295">
        <v>0</v>
      </c>
      <c r="P154" s="303">
        <v>4295.45</v>
      </c>
      <c r="Q154" s="295">
        <v>24750</v>
      </c>
    </row>
    <row r="155" spans="1:17">
      <c r="A155" s="294" t="s">
        <v>1020</v>
      </c>
      <c r="B155" s="294" t="s">
        <v>948</v>
      </c>
      <c r="C155" s="295">
        <v>9</v>
      </c>
      <c r="D155" s="295">
        <v>313</v>
      </c>
      <c r="E155" s="294"/>
      <c r="F155" s="295">
        <v>74468798074775</v>
      </c>
      <c r="G155" s="295">
        <v>99</v>
      </c>
      <c r="H155" s="295">
        <v>0</v>
      </c>
      <c r="I155" s="294"/>
      <c r="J155" s="295">
        <v>1</v>
      </c>
      <c r="K155" s="294" t="s">
        <v>656</v>
      </c>
      <c r="L155" s="304">
        <v>13223.14</v>
      </c>
      <c r="M155" s="295">
        <v>0</v>
      </c>
      <c r="N155" s="295">
        <v>0</v>
      </c>
      <c r="O155" s="295">
        <v>0</v>
      </c>
      <c r="P155" s="303">
        <v>2776.86</v>
      </c>
      <c r="Q155" s="295">
        <v>16000</v>
      </c>
    </row>
    <row r="156" spans="1:17">
      <c r="A156" s="294" t="s">
        <v>1020</v>
      </c>
      <c r="B156" s="294" t="s">
        <v>948</v>
      </c>
      <c r="C156" s="295">
        <v>9</v>
      </c>
      <c r="D156" s="295">
        <v>324</v>
      </c>
      <c r="E156" s="294"/>
      <c r="F156" s="295">
        <v>74468846050387</v>
      </c>
      <c r="G156" s="295">
        <v>99</v>
      </c>
      <c r="H156" s="295">
        <v>0</v>
      </c>
      <c r="I156" s="294"/>
      <c r="J156" s="295">
        <v>1</v>
      </c>
      <c r="K156" s="294" t="s">
        <v>656</v>
      </c>
      <c r="L156" s="304">
        <v>21404.959999999999</v>
      </c>
      <c r="M156" s="295">
        <v>0</v>
      </c>
      <c r="N156" s="295">
        <v>0</v>
      </c>
      <c r="O156" s="295">
        <v>0</v>
      </c>
      <c r="P156" s="303">
        <v>4495.04</v>
      </c>
      <c r="Q156" s="295">
        <v>25900</v>
      </c>
    </row>
    <row r="157" spans="1:17">
      <c r="A157" s="294" t="s">
        <v>1020</v>
      </c>
      <c r="B157" s="294" t="s">
        <v>948</v>
      </c>
      <c r="C157" s="295">
        <v>9</v>
      </c>
      <c r="D157" s="295">
        <v>308</v>
      </c>
      <c r="E157" s="294"/>
      <c r="F157" s="295">
        <v>74468787663900</v>
      </c>
      <c r="G157" s="295">
        <v>99</v>
      </c>
      <c r="H157" s="295">
        <v>0</v>
      </c>
      <c r="I157" s="294"/>
      <c r="J157" s="295">
        <v>1</v>
      </c>
      <c r="K157" s="294" t="s">
        <v>656</v>
      </c>
      <c r="L157" s="305">
        <v>10743.8</v>
      </c>
      <c r="M157" s="295">
        <v>0</v>
      </c>
      <c r="N157" s="295">
        <v>0</v>
      </c>
      <c r="O157" s="295">
        <v>0</v>
      </c>
      <c r="P157" s="309">
        <v>2256.1999999999998</v>
      </c>
      <c r="Q157" s="295">
        <v>13000</v>
      </c>
    </row>
    <row r="158" spans="1:17">
      <c r="A158" s="294" t="s">
        <v>1020</v>
      </c>
      <c r="B158" s="294" t="s">
        <v>948</v>
      </c>
      <c r="C158" s="295">
        <v>9</v>
      </c>
      <c r="D158" s="295">
        <v>314</v>
      </c>
      <c r="E158" s="294"/>
      <c r="F158" s="295">
        <v>74468801125958</v>
      </c>
      <c r="G158" s="295">
        <v>99</v>
      </c>
      <c r="H158" s="295">
        <v>0</v>
      </c>
      <c r="I158" s="294"/>
      <c r="J158" s="295">
        <v>1</v>
      </c>
      <c r="K158" s="294" t="s">
        <v>656</v>
      </c>
      <c r="L158" s="304">
        <v>28099.17</v>
      </c>
      <c r="M158" s="295">
        <v>0</v>
      </c>
      <c r="N158" s="295">
        <v>0</v>
      </c>
      <c r="O158" s="295">
        <v>0</v>
      </c>
      <c r="P158" s="303">
        <v>5900.83</v>
      </c>
      <c r="Q158" s="295">
        <v>34000</v>
      </c>
    </row>
    <row r="159" spans="1:17">
      <c r="A159" s="294" t="s">
        <v>1020</v>
      </c>
      <c r="B159" s="294" t="s">
        <v>948</v>
      </c>
      <c r="C159" s="295">
        <v>9</v>
      </c>
      <c r="D159" s="295">
        <v>310</v>
      </c>
      <c r="E159" s="294"/>
      <c r="F159" s="295">
        <v>74468793332890</v>
      </c>
      <c r="G159" s="295">
        <v>99</v>
      </c>
      <c r="H159" s="295">
        <v>0</v>
      </c>
      <c r="I159" s="294"/>
      <c r="J159" s="295">
        <v>1</v>
      </c>
      <c r="K159" s="294" t="s">
        <v>656</v>
      </c>
      <c r="L159" s="304">
        <v>20454.55</v>
      </c>
      <c r="M159" s="295">
        <v>0</v>
      </c>
      <c r="N159" s="295">
        <v>0</v>
      </c>
      <c r="O159" s="295">
        <v>0</v>
      </c>
      <c r="P159" s="303">
        <v>4295.45</v>
      </c>
      <c r="Q159" s="295">
        <v>24750</v>
      </c>
    </row>
    <row r="160" spans="1:17">
      <c r="A160" s="294" t="s">
        <v>1020</v>
      </c>
      <c r="B160" s="294" t="s">
        <v>948</v>
      </c>
      <c r="C160" s="295">
        <v>9</v>
      </c>
      <c r="D160" s="295">
        <v>315</v>
      </c>
      <c r="E160" s="294"/>
      <c r="F160" s="295">
        <v>74468801310080</v>
      </c>
      <c r="G160" s="295">
        <v>99</v>
      </c>
      <c r="H160" s="295">
        <v>0</v>
      </c>
      <c r="I160" s="294"/>
      <c r="J160" s="295">
        <v>1</v>
      </c>
      <c r="K160" s="294" t="s">
        <v>656</v>
      </c>
      <c r="L160" s="304">
        <v>15165.29</v>
      </c>
      <c r="M160" s="295">
        <v>0</v>
      </c>
      <c r="N160" s="295">
        <v>0</v>
      </c>
      <c r="O160" s="295">
        <v>0</v>
      </c>
      <c r="P160" s="303">
        <v>3184.71</v>
      </c>
      <c r="Q160" s="295">
        <v>18350</v>
      </c>
    </row>
    <row r="161" spans="1:17">
      <c r="A161" s="294" t="s">
        <v>1020</v>
      </c>
      <c r="B161" s="294" t="s">
        <v>948</v>
      </c>
      <c r="C161" s="295">
        <v>9</v>
      </c>
      <c r="D161" s="295">
        <v>311</v>
      </c>
      <c r="E161" s="294"/>
      <c r="F161" s="295">
        <v>74468796575871</v>
      </c>
      <c r="G161" s="295">
        <v>99</v>
      </c>
      <c r="H161" s="295">
        <v>0</v>
      </c>
      <c r="I161" s="294"/>
      <c r="J161" s="295">
        <v>1</v>
      </c>
      <c r="K161" s="294" t="s">
        <v>656</v>
      </c>
      <c r="L161" s="304">
        <v>37685.949999999997</v>
      </c>
      <c r="M161" s="295">
        <v>0</v>
      </c>
      <c r="N161" s="295">
        <v>0</v>
      </c>
      <c r="O161" s="295">
        <v>0</v>
      </c>
      <c r="P161" s="303">
        <v>7914.05</v>
      </c>
      <c r="Q161" s="295">
        <v>45600</v>
      </c>
    </row>
    <row r="162" spans="1:17">
      <c r="A162" s="294" t="s">
        <v>1020</v>
      </c>
      <c r="B162" s="294" t="s">
        <v>948</v>
      </c>
      <c r="C162" s="295">
        <v>9</v>
      </c>
      <c r="D162" s="295">
        <v>322</v>
      </c>
      <c r="E162" s="294"/>
      <c r="F162" s="295">
        <v>74468842072145</v>
      </c>
      <c r="G162" s="295">
        <v>99</v>
      </c>
      <c r="H162" s="295">
        <v>0</v>
      </c>
      <c r="I162" s="294"/>
      <c r="J162" s="295">
        <v>1</v>
      </c>
      <c r="K162" s="294" t="s">
        <v>656</v>
      </c>
      <c r="L162" s="304">
        <v>20661.16</v>
      </c>
      <c r="M162" s="295">
        <v>0</v>
      </c>
      <c r="N162" s="295">
        <v>0</v>
      </c>
      <c r="O162" s="295">
        <v>0</v>
      </c>
      <c r="P162" s="303">
        <v>4338.84</v>
      </c>
      <c r="Q162" s="295">
        <v>25000</v>
      </c>
    </row>
    <row r="163" spans="1:17">
      <c r="A163" s="294" t="s">
        <v>1020</v>
      </c>
      <c r="B163" s="294" t="s">
        <v>948</v>
      </c>
      <c r="C163" s="295">
        <v>9</v>
      </c>
      <c r="D163" s="295">
        <v>317</v>
      </c>
      <c r="E163" s="294"/>
      <c r="F163" s="295">
        <v>74468810106703</v>
      </c>
      <c r="G163" s="295">
        <v>99</v>
      </c>
      <c r="H163" s="295">
        <v>0</v>
      </c>
      <c r="I163" s="294"/>
      <c r="J163" s="295">
        <v>1</v>
      </c>
      <c r="K163" s="294" t="s">
        <v>656</v>
      </c>
      <c r="L163" s="304">
        <v>13223.14</v>
      </c>
      <c r="M163" s="295">
        <v>0</v>
      </c>
      <c r="N163" s="295">
        <v>0</v>
      </c>
      <c r="O163" s="295">
        <v>0</v>
      </c>
      <c r="P163" s="303">
        <v>2776.86</v>
      </c>
      <c r="Q163" s="295">
        <v>16000</v>
      </c>
    </row>
    <row r="164" spans="1:17">
      <c r="A164" s="294" t="s">
        <v>1020</v>
      </c>
      <c r="B164" s="294" t="s">
        <v>948</v>
      </c>
      <c r="C164" s="295">
        <v>9</v>
      </c>
      <c r="D164" s="295">
        <v>316</v>
      </c>
      <c r="E164" s="294"/>
      <c r="F164" s="295">
        <v>74468807851775</v>
      </c>
      <c r="G164" s="295">
        <v>99</v>
      </c>
      <c r="H164" s="295">
        <v>0</v>
      </c>
      <c r="I164" s="294"/>
      <c r="J164" s="295">
        <v>1</v>
      </c>
      <c r="K164" s="294" t="s">
        <v>656</v>
      </c>
      <c r="L164" s="305">
        <v>18512.400000000001</v>
      </c>
      <c r="M164" s="295">
        <v>0</v>
      </c>
      <c r="N164" s="295">
        <v>0</v>
      </c>
      <c r="O164" s="295">
        <v>0</v>
      </c>
      <c r="P164" s="309">
        <v>3887.6</v>
      </c>
      <c r="Q164" s="295">
        <v>22400</v>
      </c>
    </row>
    <row r="165" spans="1:17">
      <c r="A165" s="294" t="s">
        <v>1020</v>
      </c>
      <c r="B165" s="294" t="s">
        <v>948</v>
      </c>
      <c r="C165" s="295">
        <v>9</v>
      </c>
      <c r="D165" s="295">
        <v>325</v>
      </c>
      <c r="E165" s="294"/>
      <c r="F165" s="295">
        <v>74468847861477</v>
      </c>
      <c r="G165" s="295">
        <v>99</v>
      </c>
      <c r="H165" s="295">
        <v>0</v>
      </c>
      <c r="I165" s="294"/>
      <c r="J165" s="295">
        <v>1</v>
      </c>
      <c r="K165" s="294" t="s">
        <v>656</v>
      </c>
      <c r="L165" s="304">
        <v>25619.83</v>
      </c>
      <c r="M165" s="295">
        <v>0</v>
      </c>
      <c r="N165" s="295">
        <v>0</v>
      </c>
      <c r="O165" s="295">
        <v>0</v>
      </c>
      <c r="P165" s="303">
        <v>5380.17</v>
      </c>
      <c r="Q165" s="295">
        <v>31000</v>
      </c>
    </row>
    <row r="166" spans="1:17">
      <c r="A166" s="294" t="s">
        <v>1020</v>
      </c>
      <c r="B166" s="294" t="s">
        <v>948</v>
      </c>
      <c r="C166" s="295">
        <v>3</v>
      </c>
      <c r="D166" s="295">
        <v>2874</v>
      </c>
      <c r="E166" s="294"/>
      <c r="F166" s="295">
        <v>74468786678965</v>
      </c>
      <c r="G166" s="309" t="s">
        <v>949</v>
      </c>
      <c r="H166" s="295">
        <v>93296932</v>
      </c>
      <c r="I166" s="294" t="s">
        <v>1069</v>
      </c>
      <c r="J166" s="295">
        <v>1</v>
      </c>
      <c r="K166" s="294" t="s">
        <v>656</v>
      </c>
      <c r="L166" s="304">
        <v>21900.81</v>
      </c>
      <c r="M166" s="295">
        <v>0</v>
      </c>
      <c r="N166" s="295">
        <v>0</v>
      </c>
      <c r="O166" s="295">
        <v>0</v>
      </c>
      <c r="P166" s="303">
        <v>4599.17</v>
      </c>
      <c r="Q166" s="295">
        <v>26500</v>
      </c>
    </row>
    <row r="167" spans="1:17" hidden="1">
      <c r="A167" s="294" t="s">
        <v>1020</v>
      </c>
      <c r="B167" s="294" t="s">
        <v>951</v>
      </c>
      <c r="C167" s="295">
        <v>6</v>
      </c>
      <c r="D167" s="295">
        <v>546</v>
      </c>
      <c r="E167" s="294"/>
      <c r="F167" s="295">
        <v>74468840140479</v>
      </c>
      <c r="G167" s="309" t="s">
        <v>7</v>
      </c>
      <c r="H167" s="295">
        <v>30683032227</v>
      </c>
      <c r="I167" s="294" t="s">
        <v>957</v>
      </c>
      <c r="J167" s="295">
        <v>1</v>
      </c>
      <c r="K167" s="294" t="s">
        <v>656</v>
      </c>
      <c r="L167" s="304">
        <v>4003508.84</v>
      </c>
      <c r="M167" s="295">
        <v>0</v>
      </c>
      <c r="N167" s="295">
        <v>0</v>
      </c>
      <c r="O167" s="295">
        <v>0</v>
      </c>
      <c r="P167" s="303">
        <v>840736.86</v>
      </c>
      <c r="Q167" s="309">
        <v>4844245.7</v>
      </c>
    </row>
    <row r="168" spans="1:17" hidden="1">
      <c r="A168" s="294" t="s">
        <v>1020</v>
      </c>
      <c r="B168" s="294" t="s">
        <v>951</v>
      </c>
      <c r="C168" s="295">
        <v>7</v>
      </c>
      <c r="D168" s="295">
        <v>3</v>
      </c>
      <c r="E168" s="294"/>
      <c r="F168" s="295">
        <v>74468852714318</v>
      </c>
      <c r="G168" s="294" t="s">
        <v>7</v>
      </c>
      <c r="H168" s="295">
        <v>30683032227</v>
      </c>
      <c r="I168" s="294" t="s">
        <v>957</v>
      </c>
      <c r="J168" s="295">
        <v>1</v>
      </c>
      <c r="K168" s="294" t="s">
        <v>656</v>
      </c>
      <c r="L168" s="306">
        <v>5850000</v>
      </c>
      <c r="M168" s="295">
        <v>0</v>
      </c>
      <c r="N168" s="295">
        <v>0</v>
      </c>
      <c r="O168" s="295">
        <v>0</v>
      </c>
      <c r="P168" s="295">
        <v>1228500</v>
      </c>
      <c r="Q168" s="295">
        <v>7078500</v>
      </c>
    </row>
    <row r="169" spans="1:17" hidden="1">
      <c r="A169" s="294" t="s">
        <v>1020</v>
      </c>
      <c r="B169" s="294" t="s">
        <v>950</v>
      </c>
      <c r="C169" s="295">
        <v>3</v>
      </c>
      <c r="D169" s="295">
        <v>287</v>
      </c>
      <c r="E169" s="294"/>
      <c r="F169" s="295">
        <v>74468783835411</v>
      </c>
      <c r="G169" s="309" t="s">
        <v>949</v>
      </c>
      <c r="H169" s="295">
        <v>18560116</v>
      </c>
      <c r="I169" s="294" t="s">
        <v>983</v>
      </c>
      <c r="J169" s="295">
        <v>1</v>
      </c>
      <c r="K169" s="294" t="s">
        <v>656</v>
      </c>
      <c r="L169" s="304">
        <v>-12727.29</v>
      </c>
      <c r="M169" s="295"/>
      <c r="N169" s="295">
        <v>0</v>
      </c>
      <c r="O169" s="295">
        <v>0</v>
      </c>
      <c r="P169" s="303">
        <f>+L169*0.21</f>
        <v>-2672.7309</v>
      </c>
      <c r="Q169" s="295">
        <f>SUBTOTAL(9,L169:P169)</f>
        <v>0</v>
      </c>
    </row>
    <row r="170" spans="1:17" hidden="1">
      <c r="A170" s="294" t="s">
        <v>1020</v>
      </c>
      <c r="B170" s="294" t="s">
        <v>950</v>
      </c>
      <c r="C170" s="295">
        <v>3</v>
      </c>
      <c r="D170" s="295">
        <v>286</v>
      </c>
      <c r="E170" s="294"/>
      <c r="F170" s="295">
        <v>74468781292190</v>
      </c>
      <c r="G170" s="309" t="s">
        <v>981</v>
      </c>
      <c r="H170" s="295">
        <v>20041399636</v>
      </c>
      <c r="I170" s="294" t="s">
        <v>982</v>
      </c>
      <c r="J170" s="295">
        <v>1</v>
      </c>
      <c r="K170" s="294" t="s">
        <v>656</v>
      </c>
      <c r="L170" s="304">
        <v>-44214.86</v>
      </c>
      <c r="M170" s="295"/>
      <c r="N170" s="295">
        <v>0</v>
      </c>
      <c r="O170" s="295">
        <v>0</v>
      </c>
      <c r="P170" s="303">
        <f>+L170*0.21</f>
        <v>-9285.1206000000002</v>
      </c>
      <c r="Q170" s="295">
        <f>SUBTOTAL(9,L170:P170)</f>
        <v>0</v>
      </c>
    </row>
    <row r="171" spans="1:17" hidden="1">
      <c r="A171" s="294" t="s">
        <v>1020</v>
      </c>
      <c r="B171" s="294" t="s">
        <v>950</v>
      </c>
      <c r="C171" s="295">
        <v>3</v>
      </c>
      <c r="D171" s="295">
        <v>299</v>
      </c>
      <c r="E171" s="294"/>
      <c r="F171" s="295">
        <v>74468818620997</v>
      </c>
      <c r="G171" s="309" t="s">
        <v>949</v>
      </c>
      <c r="H171" s="295">
        <v>4582167</v>
      </c>
      <c r="I171" s="294" t="s">
        <v>1001</v>
      </c>
      <c r="J171" s="295">
        <v>1</v>
      </c>
      <c r="K171" s="294" t="s">
        <v>656</v>
      </c>
      <c r="L171" s="304">
        <v>-21487.62</v>
      </c>
      <c r="M171" s="295"/>
      <c r="N171" s="295">
        <v>0</v>
      </c>
      <c r="O171" s="295">
        <v>0</v>
      </c>
      <c r="P171" s="303">
        <f>+L171*0.21</f>
        <v>-4512.4002</v>
      </c>
      <c r="Q171" s="295">
        <f>SUBTOTAL(9,L171:P171)</f>
        <v>0</v>
      </c>
    </row>
    <row r="172" spans="1:17" hidden="1">
      <c r="A172" s="294" t="s">
        <v>1020</v>
      </c>
      <c r="B172" s="294" t="s">
        <v>950</v>
      </c>
      <c r="C172" s="295">
        <v>3</v>
      </c>
      <c r="D172" s="295">
        <v>305</v>
      </c>
      <c r="E172" s="294"/>
      <c r="F172" s="295">
        <v>74468840075337</v>
      </c>
      <c r="G172" s="309" t="s">
        <v>949</v>
      </c>
      <c r="H172" s="295">
        <v>24882196</v>
      </c>
      <c r="I172" s="294" t="s">
        <v>1003</v>
      </c>
      <c r="J172" s="295">
        <v>1</v>
      </c>
      <c r="K172" s="294" t="s">
        <v>656</v>
      </c>
      <c r="L172" s="304">
        <v>-17355.38</v>
      </c>
      <c r="M172" s="295"/>
      <c r="N172" s="295">
        <v>0</v>
      </c>
      <c r="O172" s="295">
        <v>0</v>
      </c>
      <c r="P172" s="303">
        <f>+L172*0.21</f>
        <v>-3644.6298000000002</v>
      </c>
      <c r="Q172" s="295">
        <f>SUBTOTAL(9,L172:P172)</f>
        <v>0</v>
      </c>
    </row>
    <row r="173" spans="1:17" hidden="1">
      <c r="A173" s="294" t="s">
        <v>1020</v>
      </c>
      <c r="B173" s="294" t="s">
        <v>950</v>
      </c>
      <c r="C173" s="295">
        <v>3</v>
      </c>
      <c r="D173" s="295">
        <v>297</v>
      </c>
      <c r="E173" s="294"/>
      <c r="F173" s="295">
        <v>74468813453301</v>
      </c>
      <c r="G173" s="309" t="s">
        <v>949</v>
      </c>
      <c r="H173" s="295">
        <v>14563128</v>
      </c>
      <c r="I173" s="294" t="s">
        <v>999</v>
      </c>
      <c r="J173" s="295">
        <v>1</v>
      </c>
      <c r="K173" s="294" t="s">
        <v>656</v>
      </c>
      <c r="L173" s="304">
        <v>-49586.76</v>
      </c>
      <c r="M173" s="295"/>
      <c r="N173" s="295">
        <v>0</v>
      </c>
      <c r="O173" s="295">
        <v>0</v>
      </c>
      <c r="P173" s="303">
        <f>+L173*0.21</f>
        <v>-10413.2196</v>
      </c>
      <c r="Q173" s="295">
        <f>SUBTOTAL(9,L173:P173)</f>
        <v>0</v>
      </c>
    </row>
    <row r="174" spans="1:17" hidden="1">
      <c r="A174" s="294" t="s">
        <v>1020</v>
      </c>
      <c r="B174" s="294" t="s">
        <v>950</v>
      </c>
      <c r="C174" s="295">
        <v>3</v>
      </c>
      <c r="D174" s="295">
        <v>288</v>
      </c>
      <c r="E174" s="294"/>
      <c r="F174" s="295">
        <v>74468789618761</v>
      </c>
      <c r="G174" s="309" t="s">
        <v>949</v>
      </c>
      <c r="H174" s="295">
        <v>29891642</v>
      </c>
      <c r="I174" s="294" t="s">
        <v>985</v>
      </c>
      <c r="J174" s="295">
        <v>1</v>
      </c>
      <c r="K174" s="294" t="s">
        <v>656</v>
      </c>
      <c r="L174" s="304">
        <v>-13636.38</v>
      </c>
      <c r="M174" s="295"/>
      <c r="N174" s="295">
        <v>0</v>
      </c>
      <c r="O174" s="295">
        <v>0</v>
      </c>
      <c r="P174" s="303">
        <f>+L174*0.21</f>
        <v>-2863.6397999999999</v>
      </c>
      <c r="Q174" s="295">
        <f>SUBTOTAL(9,L174:P174)</f>
        <v>0</v>
      </c>
    </row>
    <row r="175" spans="1:17" hidden="1">
      <c r="A175" s="294" t="s">
        <v>1020</v>
      </c>
      <c r="B175" s="294" t="s">
        <v>950</v>
      </c>
      <c r="C175" s="295">
        <v>3</v>
      </c>
      <c r="D175" s="295">
        <v>296</v>
      </c>
      <c r="E175" s="294"/>
      <c r="F175" s="295">
        <v>74468803084832</v>
      </c>
      <c r="G175" s="309" t="s">
        <v>949</v>
      </c>
      <c r="H175" s="295">
        <v>21130283</v>
      </c>
      <c r="I175" s="294" t="s">
        <v>992</v>
      </c>
      <c r="J175" s="295">
        <v>1</v>
      </c>
      <c r="K175" s="294" t="s">
        <v>656</v>
      </c>
      <c r="L175" s="304">
        <v>-17355.38</v>
      </c>
      <c r="M175" s="295"/>
      <c r="N175" s="295">
        <v>0</v>
      </c>
      <c r="O175" s="295">
        <v>0</v>
      </c>
      <c r="P175" s="303">
        <f>+L175*0.21</f>
        <v>-3644.6298000000002</v>
      </c>
      <c r="Q175" s="295">
        <f>SUBTOTAL(9,L175:P175)</f>
        <v>0</v>
      </c>
    </row>
    <row r="176" spans="1:17" hidden="1">
      <c r="A176" s="294" t="s">
        <v>1020</v>
      </c>
      <c r="B176" s="294" t="s">
        <v>950</v>
      </c>
      <c r="C176" s="295">
        <v>3</v>
      </c>
      <c r="D176" s="295">
        <v>291</v>
      </c>
      <c r="E176" s="294"/>
      <c r="F176" s="295">
        <v>74468795111464</v>
      </c>
      <c r="G176" s="309" t="s">
        <v>949</v>
      </c>
      <c r="H176" s="295">
        <v>14015413</v>
      </c>
      <c r="I176" s="294" t="s">
        <v>987</v>
      </c>
      <c r="J176" s="295">
        <v>1</v>
      </c>
      <c r="K176" s="294" t="s">
        <v>656</v>
      </c>
      <c r="L176" s="304">
        <v>-14876.05</v>
      </c>
      <c r="M176" s="295"/>
      <c r="N176" s="295">
        <v>0</v>
      </c>
      <c r="O176" s="295">
        <v>0</v>
      </c>
      <c r="P176" s="303">
        <f>+L176*0.21</f>
        <v>-3123.9704999999999</v>
      </c>
      <c r="Q176" s="295">
        <f>SUBTOTAL(9,L176:P176)</f>
        <v>0</v>
      </c>
    </row>
    <row r="177" spans="1:17" hidden="1">
      <c r="A177" s="294" t="s">
        <v>1020</v>
      </c>
      <c r="B177" s="294" t="s">
        <v>950</v>
      </c>
      <c r="C177" s="295">
        <v>3</v>
      </c>
      <c r="D177" s="295">
        <v>307</v>
      </c>
      <c r="E177" s="294"/>
      <c r="F177" s="295">
        <v>74468851212328</v>
      </c>
      <c r="G177" s="309" t="s">
        <v>949</v>
      </c>
      <c r="H177" s="295">
        <v>4160867</v>
      </c>
      <c r="I177" s="294" t="s">
        <v>975</v>
      </c>
      <c r="J177" s="295">
        <v>1</v>
      </c>
      <c r="K177" s="294" t="s">
        <v>656</v>
      </c>
      <c r="L177" s="304">
        <v>-14876.05</v>
      </c>
      <c r="M177" s="295"/>
      <c r="N177" s="295">
        <v>0</v>
      </c>
      <c r="O177" s="295">
        <v>0</v>
      </c>
      <c r="P177" s="303">
        <f>+L177*0.21</f>
        <v>-3123.9704999999999</v>
      </c>
      <c r="Q177" s="295">
        <f>SUBTOTAL(9,L177:P177)</f>
        <v>0</v>
      </c>
    </row>
    <row r="178" spans="1:17" hidden="1">
      <c r="A178" s="294" t="s">
        <v>1020</v>
      </c>
      <c r="B178" s="294" t="s">
        <v>950</v>
      </c>
      <c r="C178" s="295">
        <v>3</v>
      </c>
      <c r="D178" s="295">
        <v>302</v>
      </c>
      <c r="E178" s="294"/>
      <c r="F178" s="295">
        <v>74468835350667</v>
      </c>
      <c r="G178" s="309" t="s">
        <v>949</v>
      </c>
      <c r="H178" s="295">
        <v>13669404</v>
      </c>
      <c r="I178" s="294" t="s">
        <v>996</v>
      </c>
      <c r="J178" s="295">
        <v>1</v>
      </c>
      <c r="K178" s="294" t="s">
        <v>656</v>
      </c>
      <c r="L178" s="305">
        <v>-12809.9</v>
      </c>
      <c r="M178" s="295"/>
      <c r="N178" s="295">
        <v>0</v>
      </c>
      <c r="O178" s="295">
        <v>0</v>
      </c>
      <c r="P178" s="303">
        <f>+L178*0.21</f>
        <v>-2690.0789999999997</v>
      </c>
      <c r="Q178" s="295">
        <f>SUBTOTAL(9,L178:P178)</f>
        <v>0</v>
      </c>
    </row>
    <row r="179" spans="1:17" hidden="1">
      <c r="A179" s="294" t="s">
        <v>1020</v>
      </c>
      <c r="B179" s="294" t="s">
        <v>950</v>
      </c>
      <c r="C179" s="295">
        <v>3</v>
      </c>
      <c r="D179" s="295">
        <v>289</v>
      </c>
      <c r="E179" s="294"/>
      <c r="F179" s="295">
        <v>74468790146447</v>
      </c>
      <c r="G179" s="309" t="s">
        <v>949</v>
      </c>
      <c r="H179" s="295">
        <v>48508099</v>
      </c>
      <c r="I179" s="294" t="s">
        <v>986</v>
      </c>
      <c r="J179" s="295">
        <v>1</v>
      </c>
      <c r="K179" s="294" t="s">
        <v>656</v>
      </c>
      <c r="L179" s="304">
        <v>-12727.29</v>
      </c>
      <c r="M179" s="295"/>
      <c r="N179" s="295">
        <v>0</v>
      </c>
      <c r="O179" s="295">
        <v>0</v>
      </c>
      <c r="P179" s="303">
        <f>+L179*0.21</f>
        <v>-2672.7309</v>
      </c>
      <c r="Q179" s="295">
        <f>SUBTOTAL(9,L179:P179)</f>
        <v>0</v>
      </c>
    </row>
    <row r="180" spans="1:17" hidden="1">
      <c r="A180" s="294" t="s">
        <v>1020</v>
      </c>
      <c r="B180" s="294" t="s">
        <v>950</v>
      </c>
      <c r="C180" s="295">
        <v>3</v>
      </c>
      <c r="D180" s="295">
        <v>303</v>
      </c>
      <c r="E180" s="294"/>
      <c r="F180" s="295">
        <v>74468836065149</v>
      </c>
      <c r="G180" s="309" t="s">
        <v>949</v>
      </c>
      <c r="H180" s="295">
        <v>10088080</v>
      </c>
      <c r="I180" s="294" t="s">
        <v>997</v>
      </c>
      <c r="J180" s="295">
        <v>1</v>
      </c>
      <c r="K180" s="294" t="s">
        <v>656</v>
      </c>
      <c r="L180" s="304">
        <v>-17768.57</v>
      </c>
      <c r="M180" s="295"/>
      <c r="N180" s="295">
        <v>0</v>
      </c>
      <c r="O180" s="295">
        <v>0</v>
      </c>
      <c r="P180" s="303">
        <f>+L180*0.21</f>
        <v>-3731.3996999999999</v>
      </c>
      <c r="Q180" s="295">
        <f>SUBTOTAL(9,L180:P180)</f>
        <v>0</v>
      </c>
    </row>
    <row r="181" spans="1:17" hidden="1">
      <c r="A181" s="294" t="s">
        <v>1020</v>
      </c>
      <c r="B181" s="294" t="s">
        <v>950</v>
      </c>
      <c r="C181" s="295">
        <v>3</v>
      </c>
      <c r="D181" s="295">
        <v>290</v>
      </c>
      <c r="E181" s="294"/>
      <c r="F181" s="295">
        <v>74468790808226</v>
      </c>
      <c r="G181" s="309" t="s">
        <v>949</v>
      </c>
      <c r="H181" s="295">
        <v>18560116</v>
      </c>
      <c r="I181" s="294" t="s">
        <v>983</v>
      </c>
      <c r="J181" s="295">
        <v>1</v>
      </c>
      <c r="K181" s="294" t="s">
        <v>656</v>
      </c>
      <c r="L181" s="304">
        <v>-22314.05</v>
      </c>
      <c r="M181" s="295"/>
      <c r="N181" s="295">
        <v>0</v>
      </c>
      <c r="O181" s="295">
        <v>0</v>
      </c>
      <c r="P181" s="303">
        <f>+L181*0.21</f>
        <v>-4685.9504999999999</v>
      </c>
      <c r="Q181" s="295">
        <f>SUBTOTAL(9,L181:P181)</f>
        <v>0</v>
      </c>
    </row>
    <row r="182" spans="1:17" hidden="1">
      <c r="A182" s="294" t="s">
        <v>1020</v>
      </c>
      <c r="B182" s="294" t="s">
        <v>950</v>
      </c>
      <c r="C182" s="295">
        <v>3</v>
      </c>
      <c r="D182" s="295">
        <v>293</v>
      </c>
      <c r="E182" s="294"/>
      <c r="F182" s="295">
        <v>74468798883545</v>
      </c>
      <c r="G182" s="309" t="s">
        <v>981</v>
      </c>
      <c r="H182" s="295">
        <v>27216457248</v>
      </c>
      <c r="I182" s="294" t="s">
        <v>990</v>
      </c>
      <c r="J182" s="295">
        <v>1</v>
      </c>
      <c r="K182" s="294" t="s">
        <v>656</v>
      </c>
      <c r="L182" s="304">
        <v>-28925.62</v>
      </c>
      <c r="M182" s="295"/>
      <c r="N182" s="295">
        <v>0</v>
      </c>
      <c r="O182" s="295">
        <v>0</v>
      </c>
      <c r="P182" s="303">
        <f>+L182*0.21</f>
        <v>-6074.3801999999996</v>
      </c>
      <c r="Q182" s="295">
        <f>SUBTOTAL(9,L182:P182)</f>
        <v>0</v>
      </c>
    </row>
    <row r="183" spans="1:17" hidden="1">
      <c r="A183" s="294" t="s">
        <v>1020</v>
      </c>
      <c r="B183" s="294" t="s">
        <v>950</v>
      </c>
      <c r="C183" s="295">
        <v>3</v>
      </c>
      <c r="D183" s="295">
        <v>304</v>
      </c>
      <c r="E183" s="294"/>
      <c r="F183" s="295">
        <v>74468838788398</v>
      </c>
      <c r="G183" s="309" t="s">
        <v>949</v>
      </c>
      <c r="H183" s="295">
        <v>3868027</v>
      </c>
      <c r="I183" s="294" t="s">
        <v>968</v>
      </c>
      <c r="J183" s="295">
        <v>1</v>
      </c>
      <c r="K183" s="294" t="s">
        <v>656</v>
      </c>
      <c r="L183" s="304">
        <v>-17768.57</v>
      </c>
      <c r="M183" s="295"/>
      <c r="N183" s="295">
        <v>0</v>
      </c>
      <c r="O183" s="295">
        <v>0</v>
      </c>
      <c r="P183" s="303">
        <f>+L183*0.21</f>
        <v>-3731.3996999999999</v>
      </c>
      <c r="Q183" s="295">
        <f>SUBTOTAL(9,L183:P183)</f>
        <v>0</v>
      </c>
    </row>
    <row r="184" spans="1:17" hidden="1">
      <c r="A184" s="294" t="s">
        <v>1020</v>
      </c>
      <c r="B184" s="294" t="s">
        <v>950</v>
      </c>
      <c r="C184" s="295">
        <v>3</v>
      </c>
      <c r="D184" s="295">
        <v>306</v>
      </c>
      <c r="E184" s="294"/>
      <c r="F184" s="295">
        <v>74468844292252</v>
      </c>
      <c r="G184" s="294" t="s">
        <v>949</v>
      </c>
      <c r="H184" s="295">
        <v>24268487</v>
      </c>
      <c r="I184" s="294" t="s">
        <v>978</v>
      </c>
      <c r="J184" s="295">
        <v>1</v>
      </c>
      <c r="K184" s="294" t="s">
        <v>656</v>
      </c>
      <c r="L184" s="304">
        <v>-14876.05</v>
      </c>
      <c r="M184" s="295"/>
      <c r="N184" s="295">
        <v>0</v>
      </c>
      <c r="O184" s="295">
        <v>0</v>
      </c>
      <c r="P184" s="303">
        <f>+L184*0.21</f>
        <v>-3123.9704999999999</v>
      </c>
      <c r="Q184" s="295">
        <f>SUBTOTAL(9,L184:P184)</f>
        <v>0</v>
      </c>
    </row>
    <row r="185" spans="1:17" hidden="1">
      <c r="A185" s="294" t="s">
        <v>1020</v>
      </c>
      <c r="B185" s="294" t="s">
        <v>950</v>
      </c>
      <c r="C185" s="295">
        <v>3</v>
      </c>
      <c r="D185" s="295">
        <v>300</v>
      </c>
      <c r="E185" s="294"/>
      <c r="F185" s="295">
        <v>74468820778680</v>
      </c>
      <c r="G185" s="294" t="s">
        <v>949</v>
      </c>
      <c r="H185" s="295">
        <v>18811819</v>
      </c>
      <c r="I185" s="294" t="s">
        <v>1002</v>
      </c>
      <c r="J185" s="295">
        <v>1</v>
      </c>
      <c r="K185" s="294" t="s">
        <v>656</v>
      </c>
      <c r="L185" s="304">
        <v>-12396.71</v>
      </c>
      <c r="M185" s="295"/>
      <c r="N185" s="295">
        <v>0</v>
      </c>
      <c r="O185" s="295">
        <v>0</v>
      </c>
      <c r="P185" s="303">
        <f>+L185*0.21</f>
        <v>-2603.3090999999999</v>
      </c>
      <c r="Q185" s="295">
        <f>SUBTOTAL(9,L185:P185)</f>
        <v>0</v>
      </c>
    </row>
    <row r="186" spans="1:17" hidden="1">
      <c r="A186" s="294" t="s">
        <v>1020</v>
      </c>
      <c r="B186" s="294" t="s">
        <v>950</v>
      </c>
      <c r="C186" s="295">
        <v>3</v>
      </c>
      <c r="D186" s="295">
        <v>292</v>
      </c>
      <c r="E186" s="294"/>
      <c r="F186" s="295">
        <v>74468796863856</v>
      </c>
      <c r="G186" s="294" t="s">
        <v>949</v>
      </c>
      <c r="H186" s="295">
        <v>21565835</v>
      </c>
      <c r="I186" s="294" t="s">
        <v>988</v>
      </c>
      <c r="J186" s="295">
        <v>1</v>
      </c>
      <c r="K186" s="294" t="s">
        <v>656</v>
      </c>
      <c r="L186" s="304">
        <v>-13636.38</v>
      </c>
      <c r="M186" s="295"/>
      <c r="N186" s="295">
        <v>0</v>
      </c>
      <c r="O186" s="295">
        <v>0</v>
      </c>
      <c r="P186" s="303">
        <f>+L186*0.21</f>
        <v>-2863.6397999999999</v>
      </c>
      <c r="Q186" s="295">
        <f>SUBTOTAL(9,L186:P186)</f>
        <v>0</v>
      </c>
    </row>
    <row r="187" spans="1:17" hidden="1">
      <c r="A187" s="294" t="s">
        <v>1020</v>
      </c>
      <c r="B187" s="294" t="s">
        <v>950</v>
      </c>
      <c r="C187" s="295">
        <v>3</v>
      </c>
      <c r="D187" s="295">
        <v>301</v>
      </c>
      <c r="E187" s="294"/>
      <c r="F187" s="295">
        <v>74468831726472</v>
      </c>
      <c r="G187" s="294" t="s">
        <v>949</v>
      </c>
      <c r="H187" s="295">
        <v>18041408</v>
      </c>
      <c r="I187" s="294" t="s">
        <v>995</v>
      </c>
      <c r="J187" s="295">
        <v>1</v>
      </c>
      <c r="K187" s="294" t="s">
        <v>656</v>
      </c>
      <c r="L187" s="304">
        <v>-17355.38</v>
      </c>
      <c r="M187" s="295"/>
      <c r="N187" s="295">
        <v>0</v>
      </c>
      <c r="O187" s="295">
        <v>0</v>
      </c>
      <c r="P187" s="303">
        <f>+L187*0.21</f>
        <v>-3644.6298000000002</v>
      </c>
      <c r="Q187" s="295">
        <f>SUBTOTAL(9,L187:P187)</f>
        <v>0</v>
      </c>
    </row>
    <row r="188" spans="1:17" hidden="1">
      <c r="A188" s="294" t="s">
        <v>1020</v>
      </c>
      <c r="B188" s="294" t="s">
        <v>950</v>
      </c>
      <c r="C188" s="295">
        <v>3</v>
      </c>
      <c r="D188" s="295">
        <v>294</v>
      </c>
      <c r="E188" s="294"/>
      <c r="F188" s="295">
        <v>74468799804331</v>
      </c>
      <c r="G188" s="294" t="s">
        <v>981</v>
      </c>
      <c r="H188" s="295">
        <v>27216457248</v>
      </c>
      <c r="I188" s="294" t="s">
        <v>990</v>
      </c>
      <c r="J188" s="295">
        <v>1</v>
      </c>
      <c r="K188" s="294" t="s">
        <v>656</v>
      </c>
      <c r="L188" s="304">
        <v>-27559.040000000001</v>
      </c>
      <c r="M188" s="295"/>
      <c r="N188" s="295">
        <v>0</v>
      </c>
      <c r="O188" s="295">
        <v>0</v>
      </c>
      <c r="P188" s="303">
        <f>+L188*0.21</f>
        <v>-5787.3984</v>
      </c>
      <c r="Q188" s="295">
        <f>SUBTOTAL(9,L188:P188)</f>
        <v>0</v>
      </c>
    </row>
    <row r="189" spans="1:17" hidden="1">
      <c r="A189" s="294" t="s">
        <v>1020</v>
      </c>
      <c r="B189" s="294" t="s">
        <v>950</v>
      </c>
      <c r="C189" s="295">
        <v>3</v>
      </c>
      <c r="D189" s="295">
        <v>298</v>
      </c>
      <c r="E189" s="294"/>
      <c r="F189" s="295">
        <v>74468818309517</v>
      </c>
      <c r="G189" s="294" t="s">
        <v>949</v>
      </c>
      <c r="H189" s="295">
        <v>20987237</v>
      </c>
      <c r="I189" s="294" t="s">
        <v>1000</v>
      </c>
      <c r="J189" s="295">
        <v>1</v>
      </c>
      <c r="K189" s="294" t="s">
        <v>656</v>
      </c>
      <c r="L189" s="304">
        <v>-12396.71</v>
      </c>
      <c r="M189" s="295"/>
      <c r="N189" s="295">
        <v>0</v>
      </c>
      <c r="O189" s="295">
        <v>0</v>
      </c>
      <c r="P189" s="303">
        <f>+L189*0.21</f>
        <v>-2603.3090999999999</v>
      </c>
      <c r="Q189" s="295">
        <f>SUBTOTAL(9,L189:P189)</f>
        <v>0</v>
      </c>
    </row>
    <row r="190" spans="1:17" hidden="1">
      <c r="A190" s="294" t="s">
        <v>1020</v>
      </c>
      <c r="B190" s="294" t="s">
        <v>950</v>
      </c>
      <c r="C190" s="295">
        <v>3</v>
      </c>
      <c r="D190" s="295">
        <v>295</v>
      </c>
      <c r="E190" s="294"/>
      <c r="F190" s="295">
        <v>74468802557330</v>
      </c>
      <c r="G190" s="294" t="s">
        <v>949</v>
      </c>
      <c r="H190" s="295">
        <v>18898122</v>
      </c>
      <c r="I190" s="294" t="s">
        <v>991</v>
      </c>
      <c r="J190" s="295">
        <v>1</v>
      </c>
      <c r="K190" s="294" t="s">
        <v>656</v>
      </c>
      <c r="L190" s="304">
        <v>-17355.38</v>
      </c>
      <c r="M190" s="295"/>
      <c r="N190" s="295">
        <v>0</v>
      </c>
      <c r="O190" s="295">
        <v>0</v>
      </c>
      <c r="P190" s="303">
        <f>+L190*0.21</f>
        <v>-3644.6298000000002</v>
      </c>
      <c r="Q190" s="295">
        <f>SUBTOTAL(9,L190:P190)</f>
        <v>0</v>
      </c>
    </row>
    <row r="191" spans="1:17">
      <c r="A191" s="294" t="s">
        <v>1022</v>
      </c>
      <c r="B191" s="294" t="s">
        <v>948</v>
      </c>
      <c r="C191" s="295">
        <v>9</v>
      </c>
      <c r="D191" s="295">
        <v>330</v>
      </c>
      <c r="E191" s="294"/>
      <c r="F191" s="295">
        <v>74468941196019</v>
      </c>
      <c r="G191" s="295">
        <v>99</v>
      </c>
      <c r="H191" s="295">
        <v>0</v>
      </c>
      <c r="I191" s="294"/>
      <c r="J191" s="295">
        <v>1</v>
      </c>
      <c r="K191" s="294" t="s">
        <v>656</v>
      </c>
      <c r="L191" s="304">
        <v>13223.14</v>
      </c>
      <c r="M191" s="295">
        <v>0</v>
      </c>
      <c r="N191" s="295">
        <v>0</v>
      </c>
      <c r="O191" s="295">
        <v>0</v>
      </c>
      <c r="P191" s="303">
        <v>2776.86</v>
      </c>
      <c r="Q191" s="295">
        <v>16000</v>
      </c>
    </row>
    <row r="192" spans="1:17">
      <c r="A192" s="294" t="s">
        <v>1022</v>
      </c>
      <c r="B192" s="294" t="s">
        <v>948</v>
      </c>
      <c r="C192" s="295">
        <v>9</v>
      </c>
      <c r="D192" s="295">
        <v>340</v>
      </c>
      <c r="E192" s="294"/>
      <c r="F192" s="295">
        <v>74468975354398</v>
      </c>
      <c r="G192" s="295">
        <v>99</v>
      </c>
      <c r="H192" s="295">
        <v>0</v>
      </c>
      <c r="I192" s="294"/>
      <c r="J192" s="295">
        <v>1</v>
      </c>
      <c r="K192" s="294" t="s">
        <v>656</v>
      </c>
      <c r="L192" s="304">
        <v>13223.14</v>
      </c>
      <c r="M192" s="295">
        <v>0</v>
      </c>
      <c r="N192" s="295">
        <v>0</v>
      </c>
      <c r="O192" s="295">
        <v>0</v>
      </c>
      <c r="P192" s="303">
        <v>2776.86</v>
      </c>
      <c r="Q192" s="295">
        <v>16000</v>
      </c>
    </row>
    <row r="193" spans="1:17">
      <c r="A193" s="294" t="s">
        <v>1022</v>
      </c>
      <c r="B193" s="294" t="s">
        <v>948</v>
      </c>
      <c r="C193" s="295">
        <v>9</v>
      </c>
      <c r="D193" s="295">
        <v>336</v>
      </c>
      <c r="E193" s="294"/>
      <c r="F193" s="295">
        <v>74468967946095</v>
      </c>
      <c r="G193" s="295">
        <v>99</v>
      </c>
      <c r="H193" s="295">
        <v>0</v>
      </c>
      <c r="I193" s="294"/>
      <c r="J193" s="295">
        <v>1</v>
      </c>
      <c r="K193" s="294" t="s">
        <v>656</v>
      </c>
      <c r="L193" s="304">
        <v>14876.03</v>
      </c>
      <c r="M193" s="295">
        <v>0</v>
      </c>
      <c r="N193" s="295">
        <v>0</v>
      </c>
      <c r="O193" s="295">
        <v>0</v>
      </c>
      <c r="P193" s="303">
        <v>3123.97</v>
      </c>
      <c r="Q193" s="295">
        <v>18000</v>
      </c>
    </row>
    <row r="194" spans="1:17">
      <c r="A194" s="294" t="s">
        <v>1022</v>
      </c>
      <c r="B194" s="294" t="s">
        <v>948</v>
      </c>
      <c r="C194" s="295">
        <v>9</v>
      </c>
      <c r="D194" s="295">
        <v>338</v>
      </c>
      <c r="E194" s="294"/>
      <c r="F194" s="295">
        <v>74468973268600</v>
      </c>
      <c r="G194" s="295">
        <v>99</v>
      </c>
      <c r="H194" s="295">
        <v>0</v>
      </c>
      <c r="I194" s="294"/>
      <c r="J194" s="295">
        <v>1</v>
      </c>
      <c r="K194" s="294" t="s">
        <v>656</v>
      </c>
      <c r="L194" s="305">
        <v>10743.8</v>
      </c>
      <c r="M194" s="295">
        <v>0</v>
      </c>
      <c r="N194" s="295">
        <v>0</v>
      </c>
      <c r="O194" s="295">
        <v>0</v>
      </c>
      <c r="P194" s="309">
        <v>2256.1999999999998</v>
      </c>
      <c r="Q194" s="295">
        <v>13000</v>
      </c>
    </row>
    <row r="195" spans="1:17">
      <c r="A195" s="294" t="s">
        <v>1022</v>
      </c>
      <c r="B195" s="294" t="s">
        <v>948</v>
      </c>
      <c r="C195" s="295">
        <v>9</v>
      </c>
      <c r="D195" s="295">
        <v>334</v>
      </c>
      <c r="E195" s="294"/>
      <c r="F195" s="295">
        <v>74468957583180</v>
      </c>
      <c r="G195" s="295">
        <v>99</v>
      </c>
      <c r="H195" s="295">
        <v>0</v>
      </c>
      <c r="I195" s="294"/>
      <c r="J195" s="295">
        <v>1</v>
      </c>
      <c r="K195" s="294" t="s">
        <v>656</v>
      </c>
      <c r="L195" s="304">
        <v>20661.16</v>
      </c>
      <c r="M195" s="295">
        <v>0</v>
      </c>
      <c r="N195" s="295">
        <v>0</v>
      </c>
      <c r="O195" s="295">
        <v>0</v>
      </c>
      <c r="P195" s="303">
        <v>4338.84</v>
      </c>
      <c r="Q195" s="295">
        <v>25000</v>
      </c>
    </row>
    <row r="196" spans="1:17">
      <c r="A196" s="294" t="s">
        <v>1022</v>
      </c>
      <c r="B196" s="294" t="s">
        <v>948</v>
      </c>
      <c r="C196" s="295">
        <v>9</v>
      </c>
      <c r="D196" s="295">
        <v>328</v>
      </c>
      <c r="E196" s="294"/>
      <c r="F196" s="295">
        <v>74468939503162</v>
      </c>
      <c r="G196" s="295">
        <v>99</v>
      </c>
      <c r="H196" s="295">
        <v>0</v>
      </c>
      <c r="I196" s="294"/>
      <c r="J196" s="295">
        <v>1</v>
      </c>
      <c r="K196" s="294" t="s">
        <v>656</v>
      </c>
      <c r="L196" s="305">
        <v>10743.8</v>
      </c>
      <c r="M196" s="295">
        <v>0</v>
      </c>
      <c r="N196" s="295">
        <v>0</v>
      </c>
      <c r="O196" s="295">
        <v>0</v>
      </c>
      <c r="P196" s="309">
        <v>2256.1999999999998</v>
      </c>
      <c r="Q196" s="295">
        <v>13000</v>
      </c>
    </row>
    <row r="197" spans="1:17">
      <c r="A197" s="294" t="s">
        <v>1022</v>
      </c>
      <c r="B197" s="294" t="s">
        <v>948</v>
      </c>
      <c r="C197" s="295">
        <v>9</v>
      </c>
      <c r="D197" s="295">
        <v>332</v>
      </c>
      <c r="E197" s="294"/>
      <c r="F197" s="295">
        <v>74468952654079</v>
      </c>
      <c r="G197" s="295">
        <v>99</v>
      </c>
      <c r="H197" s="295">
        <v>0</v>
      </c>
      <c r="I197" s="294"/>
      <c r="J197" s="295">
        <v>1</v>
      </c>
      <c r="K197" s="294" t="s">
        <v>656</v>
      </c>
      <c r="L197" s="304">
        <v>27272.73</v>
      </c>
      <c r="M197" s="295">
        <v>0</v>
      </c>
      <c r="N197" s="295">
        <v>0</v>
      </c>
      <c r="O197" s="295">
        <v>0</v>
      </c>
      <c r="P197" s="303">
        <v>5727.27</v>
      </c>
      <c r="Q197" s="295">
        <v>33000</v>
      </c>
    </row>
    <row r="198" spans="1:17">
      <c r="A198" s="294" t="s">
        <v>1022</v>
      </c>
      <c r="B198" s="294" t="s">
        <v>948</v>
      </c>
      <c r="C198" s="295">
        <v>9</v>
      </c>
      <c r="D198" s="295">
        <v>333</v>
      </c>
      <c r="E198" s="294"/>
      <c r="F198" s="295">
        <v>74468953137886</v>
      </c>
      <c r="G198" s="295">
        <v>99</v>
      </c>
      <c r="H198" s="295">
        <v>0</v>
      </c>
      <c r="I198" s="294"/>
      <c r="J198" s="295">
        <v>1</v>
      </c>
      <c r="K198" s="294" t="s">
        <v>656</v>
      </c>
      <c r="L198" s="304">
        <v>5950.41</v>
      </c>
      <c r="M198" s="295">
        <v>0</v>
      </c>
      <c r="N198" s="295">
        <v>0</v>
      </c>
      <c r="O198" s="295">
        <v>0</v>
      </c>
      <c r="P198" s="303">
        <v>1249.5899999999999</v>
      </c>
      <c r="Q198" s="295">
        <v>7200</v>
      </c>
    </row>
    <row r="199" spans="1:17">
      <c r="A199" s="294" t="s">
        <v>1022</v>
      </c>
      <c r="B199" s="294" t="s">
        <v>948</v>
      </c>
      <c r="C199" s="295">
        <v>9</v>
      </c>
      <c r="D199" s="295">
        <v>341</v>
      </c>
      <c r="E199" s="294"/>
      <c r="F199" s="295">
        <v>74468979609018</v>
      </c>
      <c r="G199" s="295">
        <v>99</v>
      </c>
      <c r="H199" s="295">
        <v>0</v>
      </c>
      <c r="I199" s="294"/>
      <c r="J199" s="295">
        <v>1</v>
      </c>
      <c r="K199" s="294" t="s">
        <v>656</v>
      </c>
      <c r="L199" s="304">
        <v>8677.69</v>
      </c>
      <c r="M199" s="295">
        <v>0</v>
      </c>
      <c r="N199" s="295">
        <v>0</v>
      </c>
      <c r="O199" s="295">
        <v>0</v>
      </c>
      <c r="P199" s="303">
        <v>1822.31</v>
      </c>
      <c r="Q199" s="295">
        <v>10500</v>
      </c>
    </row>
    <row r="200" spans="1:17">
      <c r="A200" s="294" t="s">
        <v>1022</v>
      </c>
      <c r="B200" s="294" t="s">
        <v>948</v>
      </c>
      <c r="C200" s="295">
        <v>9</v>
      </c>
      <c r="D200" s="295">
        <v>335</v>
      </c>
      <c r="E200" s="294"/>
      <c r="F200" s="295">
        <v>74468966613004</v>
      </c>
      <c r="G200" s="295">
        <v>99</v>
      </c>
      <c r="H200" s="295">
        <v>0</v>
      </c>
      <c r="I200" s="294"/>
      <c r="J200" s="295">
        <v>1</v>
      </c>
      <c r="K200" s="294" t="s">
        <v>656</v>
      </c>
      <c r="L200" s="305">
        <v>10743.8</v>
      </c>
      <c r="M200" s="295">
        <v>0</v>
      </c>
      <c r="N200" s="295">
        <v>0</v>
      </c>
      <c r="O200" s="295">
        <v>0</v>
      </c>
      <c r="P200" s="309">
        <v>2256.1999999999998</v>
      </c>
      <c r="Q200" s="295">
        <v>13000</v>
      </c>
    </row>
    <row r="201" spans="1:17">
      <c r="A201" s="294" t="s">
        <v>1022</v>
      </c>
      <c r="B201" s="294" t="s">
        <v>948</v>
      </c>
      <c r="C201" s="295">
        <v>9</v>
      </c>
      <c r="D201" s="295">
        <v>339</v>
      </c>
      <c r="E201" s="294"/>
      <c r="F201" s="295">
        <v>74468974502718</v>
      </c>
      <c r="G201" s="295">
        <v>99</v>
      </c>
      <c r="H201" s="295">
        <v>0</v>
      </c>
      <c r="I201" s="294"/>
      <c r="J201" s="295">
        <v>1</v>
      </c>
      <c r="K201" s="294" t="s">
        <v>656</v>
      </c>
      <c r="L201" s="304">
        <v>25619.83</v>
      </c>
      <c r="M201" s="295">
        <v>0</v>
      </c>
      <c r="N201" s="295">
        <v>0</v>
      </c>
      <c r="O201" s="295">
        <v>0</v>
      </c>
      <c r="P201" s="303">
        <v>5380.17</v>
      </c>
      <c r="Q201" s="295">
        <v>31000</v>
      </c>
    </row>
    <row r="202" spans="1:17">
      <c r="A202" s="294" t="s">
        <v>1022</v>
      </c>
      <c r="B202" s="294" t="s">
        <v>948</v>
      </c>
      <c r="C202" s="295">
        <v>9</v>
      </c>
      <c r="D202" s="295">
        <v>331</v>
      </c>
      <c r="E202" s="294"/>
      <c r="F202" s="295">
        <v>74468950885330</v>
      </c>
      <c r="G202" s="295">
        <v>99</v>
      </c>
      <c r="H202" s="295">
        <v>0</v>
      </c>
      <c r="I202" s="294"/>
      <c r="J202" s="295">
        <v>1</v>
      </c>
      <c r="K202" s="294" t="s">
        <v>656</v>
      </c>
      <c r="L202" s="304">
        <v>11735.54</v>
      </c>
      <c r="M202" s="295">
        <v>0</v>
      </c>
      <c r="N202" s="295">
        <v>0</v>
      </c>
      <c r="O202" s="295">
        <v>0</v>
      </c>
      <c r="P202" s="303">
        <v>2464.46</v>
      </c>
      <c r="Q202" s="295">
        <v>14200</v>
      </c>
    </row>
    <row r="203" spans="1:17">
      <c r="A203" s="294" t="s">
        <v>1022</v>
      </c>
      <c r="B203" s="294" t="s">
        <v>948</v>
      </c>
      <c r="C203" s="295">
        <v>9</v>
      </c>
      <c r="D203" s="295">
        <v>337</v>
      </c>
      <c r="E203" s="294"/>
      <c r="F203" s="295">
        <v>74468969311436</v>
      </c>
      <c r="G203" s="295">
        <v>99</v>
      </c>
      <c r="H203" s="295">
        <v>0</v>
      </c>
      <c r="I203" s="294"/>
      <c r="J203" s="295">
        <v>1</v>
      </c>
      <c r="K203" s="294" t="s">
        <v>656</v>
      </c>
      <c r="L203" s="304">
        <v>24793.39</v>
      </c>
      <c r="M203" s="295">
        <v>0</v>
      </c>
      <c r="N203" s="295">
        <v>0</v>
      </c>
      <c r="O203" s="295">
        <v>0</v>
      </c>
      <c r="P203" s="303">
        <v>5206.6099999999997</v>
      </c>
      <c r="Q203" s="295">
        <v>30000</v>
      </c>
    </row>
    <row r="204" spans="1:17">
      <c r="A204" s="294" t="s">
        <v>1022</v>
      </c>
      <c r="B204" s="294" t="s">
        <v>948</v>
      </c>
      <c r="C204" s="295">
        <v>9</v>
      </c>
      <c r="D204" s="295">
        <v>327</v>
      </c>
      <c r="E204" s="294"/>
      <c r="F204" s="295">
        <v>74468938095429</v>
      </c>
      <c r="G204" s="295">
        <v>99</v>
      </c>
      <c r="H204" s="295">
        <v>0</v>
      </c>
      <c r="I204" s="294"/>
      <c r="J204" s="295">
        <v>1</v>
      </c>
      <c r="K204" s="294" t="s">
        <v>656</v>
      </c>
      <c r="L204" s="305">
        <v>33884.300000000003</v>
      </c>
      <c r="M204" s="295">
        <v>0</v>
      </c>
      <c r="N204" s="295">
        <v>0</v>
      </c>
      <c r="O204" s="295">
        <v>0</v>
      </c>
      <c r="P204" s="309">
        <v>7115.7</v>
      </c>
      <c r="Q204" s="295">
        <v>41000</v>
      </c>
    </row>
    <row r="205" spans="1:17">
      <c r="A205" s="294" t="s">
        <v>1022</v>
      </c>
      <c r="B205" s="294" t="s">
        <v>948</v>
      </c>
      <c r="C205" s="295">
        <v>9</v>
      </c>
      <c r="D205" s="295">
        <v>329</v>
      </c>
      <c r="E205" s="294"/>
      <c r="F205" s="295">
        <v>74468940857244</v>
      </c>
      <c r="G205" s="295">
        <v>99</v>
      </c>
      <c r="H205" s="295">
        <v>0</v>
      </c>
      <c r="I205" s="294"/>
      <c r="J205" s="295">
        <v>1</v>
      </c>
      <c r="K205" s="294" t="s">
        <v>656</v>
      </c>
      <c r="L205" s="304">
        <v>15702.48</v>
      </c>
      <c r="M205" s="295">
        <v>0</v>
      </c>
      <c r="N205" s="295">
        <v>0</v>
      </c>
      <c r="O205" s="295">
        <v>0</v>
      </c>
      <c r="P205" s="303">
        <v>3297.52</v>
      </c>
      <c r="Q205" s="295">
        <v>19000</v>
      </c>
    </row>
    <row r="206" spans="1:17">
      <c r="A206" s="294" t="s">
        <v>1022</v>
      </c>
      <c r="B206" s="294" t="s">
        <v>948</v>
      </c>
      <c r="C206" s="295">
        <v>9</v>
      </c>
      <c r="D206" s="295">
        <v>342</v>
      </c>
      <c r="E206" s="294"/>
      <c r="F206" s="295">
        <v>74468980337141</v>
      </c>
      <c r="G206" s="295">
        <v>99</v>
      </c>
      <c r="H206" s="295">
        <v>0</v>
      </c>
      <c r="I206" s="294"/>
      <c r="J206" s="295">
        <v>1</v>
      </c>
      <c r="K206" s="294" t="s">
        <v>656</v>
      </c>
      <c r="L206" s="304">
        <v>90082.64</v>
      </c>
      <c r="M206" s="295">
        <v>0</v>
      </c>
      <c r="N206" s="295">
        <v>0</v>
      </c>
      <c r="O206" s="295">
        <v>0</v>
      </c>
      <c r="P206" s="303">
        <v>18917.36</v>
      </c>
      <c r="Q206" s="295">
        <v>109000</v>
      </c>
    </row>
    <row r="207" spans="1:17" hidden="1">
      <c r="A207" s="294" t="s">
        <v>1022</v>
      </c>
      <c r="B207" s="294" t="s">
        <v>676</v>
      </c>
      <c r="C207" s="295">
        <v>3</v>
      </c>
      <c r="D207" s="295">
        <v>182</v>
      </c>
      <c r="E207" s="294"/>
      <c r="F207" s="295">
        <v>74468965641440</v>
      </c>
      <c r="G207" s="309" t="s">
        <v>7</v>
      </c>
      <c r="H207" s="295">
        <v>30717908232</v>
      </c>
      <c r="I207" s="294" t="s">
        <v>962</v>
      </c>
      <c r="J207" s="295">
        <v>1</v>
      </c>
      <c r="K207" s="294" t="s">
        <v>656</v>
      </c>
      <c r="L207" s="304">
        <v>-20661.14</v>
      </c>
      <c r="M207" s="295"/>
      <c r="N207" s="295">
        <v>0</v>
      </c>
      <c r="O207" s="295">
        <v>0</v>
      </c>
      <c r="P207" s="303">
        <f>+L207*0.21</f>
        <v>-4338.8393999999998</v>
      </c>
      <c r="Q207" s="295">
        <f>SUBTOTAL(9,L207:P207)</f>
        <v>0</v>
      </c>
    </row>
    <row r="208" spans="1:17" hidden="1">
      <c r="A208" s="294" t="s">
        <v>1022</v>
      </c>
      <c r="B208" s="294" t="s">
        <v>676</v>
      </c>
      <c r="C208" s="295">
        <v>3</v>
      </c>
      <c r="D208" s="295">
        <v>183</v>
      </c>
      <c r="E208" s="294"/>
      <c r="F208" s="295">
        <v>74468965892356</v>
      </c>
      <c r="G208" s="294" t="s">
        <v>7</v>
      </c>
      <c r="H208" s="295">
        <v>30717908232</v>
      </c>
      <c r="I208" s="294" t="s">
        <v>962</v>
      </c>
      <c r="J208" s="295">
        <v>1</v>
      </c>
      <c r="K208" s="294" t="s">
        <v>656</v>
      </c>
      <c r="L208" s="304">
        <v>-26446.29</v>
      </c>
      <c r="M208" s="295"/>
      <c r="N208" s="295">
        <v>0</v>
      </c>
      <c r="O208" s="295">
        <v>0</v>
      </c>
      <c r="P208" s="303">
        <f>+L208*0.21</f>
        <v>-5553.7209000000003</v>
      </c>
      <c r="Q208" s="295">
        <f>SUBTOTAL(9,L208:P208)</f>
        <v>0</v>
      </c>
    </row>
    <row r="209" spans="1:17" hidden="1">
      <c r="A209" s="294" t="s">
        <v>1022</v>
      </c>
      <c r="B209" s="294" t="s">
        <v>676</v>
      </c>
      <c r="C209" s="295">
        <v>3</v>
      </c>
      <c r="D209" s="295">
        <v>181</v>
      </c>
      <c r="E209" s="294"/>
      <c r="F209" s="295">
        <v>74468961653137</v>
      </c>
      <c r="G209" s="309" t="s">
        <v>7</v>
      </c>
      <c r="H209" s="295">
        <v>30709645656</v>
      </c>
      <c r="I209" s="294" t="s">
        <v>998</v>
      </c>
      <c r="J209" s="295">
        <v>1</v>
      </c>
      <c r="K209" s="294" t="s">
        <v>656</v>
      </c>
      <c r="L209" s="304">
        <v>-27086.76</v>
      </c>
      <c r="M209" s="295"/>
      <c r="N209" s="295">
        <v>0</v>
      </c>
      <c r="O209" s="295">
        <v>0</v>
      </c>
      <c r="P209" s="303">
        <f>+L209*0.21</f>
        <v>-5688.2195999999994</v>
      </c>
      <c r="Q209" s="295">
        <f>SUBTOTAL(9,L209:P209)</f>
        <v>0</v>
      </c>
    </row>
    <row r="210" spans="1:17" hidden="1">
      <c r="A210" s="294" t="s">
        <v>1022</v>
      </c>
      <c r="B210" s="294" t="s">
        <v>950</v>
      </c>
      <c r="C210" s="295">
        <v>3</v>
      </c>
      <c r="D210" s="295">
        <v>308</v>
      </c>
      <c r="E210" s="294"/>
      <c r="F210" s="295">
        <v>74468949131187</v>
      </c>
      <c r="G210" s="294" t="s">
        <v>949</v>
      </c>
      <c r="H210" s="295">
        <v>3868027</v>
      </c>
      <c r="I210" s="294" t="s">
        <v>968</v>
      </c>
      <c r="J210" s="295">
        <v>1</v>
      </c>
      <c r="K210" s="294" t="s">
        <v>656</v>
      </c>
      <c r="L210" s="304">
        <v>-17768.57</v>
      </c>
      <c r="M210" s="295"/>
      <c r="N210" s="295">
        <v>0</v>
      </c>
      <c r="O210" s="295">
        <v>0</v>
      </c>
      <c r="P210" s="303">
        <f>+L210*0.21</f>
        <v>-3731.3996999999999</v>
      </c>
      <c r="Q210" s="295">
        <f>SUBTOTAL(9,L210:P210)</f>
        <v>0</v>
      </c>
    </row>
    <row r="211" spans="1:17" hidden="1">
      <c r="A211" s="294" t="s">
        <v>1022</v>
      </c>
      <c r="B211" s="294" t="s">
        <v>950</v>
      </c>
      <c r="C211" s="295">
        <v>3</v>
      </c>
      <c r="D211" s="295">
        <v>315</v>
      </c>
      <c r="E211" s="294"/>
      <c r="F211" s="295">
        <v>74468980668192</v>
      </c>
      <c r="G211" s="309" t="s">
        <v>949</v>
      </c>
      <c r="H211" s="295">
        <v>10088080</v>
      </c>
      <c r="I211" s="294" t="s">
        <v>997</v>
      </c>
      <c r="J211" s="295">
        <v>1</v>
      </c>
      <c r="K211" s="294" t="s">
        <v>656</v>
      </c>
      <c r="L211" s="304">
        <v>-17768.57</v>
      </c>
      <c r="M211" s="295"/>
      <c r="N211" s="295">
        <v>0</v>
      </c>
      <c r="O211" s="295">
        <v>0</v>
      </c>
      <c r="P211" s="303">
        <f>+L211*0.21</f>
        <v>-3731.3996999999999</v>
      </c>
      <c r="Q211" s="295">
        <f>SUBTOTAL(9,L211:P211)</f>
        <v>0</v>
      </c>
    </row>
    <row r="212" spans="1:17" hidden="1">
      <c r="A212" s="294" t="s">
        <v>1022</v>
      </c>
      <c r="B212" s="294" t="s">
        <v>950</v>
      </c>
      <c r="C212" s="295">
        <v>3</v>
      </c>
      <c r="D212" s="295">
        <v>309</v>
      </c>
      <c r="E212" s="294"/>
      <c r="F212" s="295">
        <v>74468949410550</v>
      </c>
      <c r="G212" s="309" t="s">
        <v>949</v>
      </c>
      <c r="H212" s="295">
        <v>3868027</v>
      </c>
      <c r="I212" s="294" t="s">
        <v>968</v>
      </c>
      <c r="J212" s="295">
        <v>1</v>
      </c>
      <c r="K212" s="294" t="s">
        <v>656</v>
      </c>
      <c r="L212" s="304">
        <v>-17768.57</v>
      </c>
      <c r="M212" s="295"/>
      <c r="N212" s="295">
        <v>0</v>
      </c>
      <c r="O212" s="295">
        <v>0</v>
      </c>
      <c r="P212" s="303">
        <f>+L212*0.21</f>
        <v>-3731.3996999999999</v>
      </c>
      <c r="Q212" s="295">
        <f>SUBTOTAL(9,L212:P212)</f>
        <v>0</v>
      </c>
    </row>
    <row r="213" spans="1:17" hidden="1">
      <c r="A213" s="294" t="s">
        <v>1022</v>
      </c>
      <c r="B213" s="294" t="s">
        <v>950</v>
      </c>
      <c r="C213" s="295">
        <v>3</v>
      </c>
      <c r="D213" s="295">
        <v>314</v>
      </c>
      <c r="E213" s="294"/>
      <c r="F213" s="295">
        <v>74468962543803</v>
      </c>
      <c r="G213" s="309" t="s">
        <v>949</v>
      </c>
      <c r="H213" s="295">
        <v>24882196</v>
      </c>
      <c r="I213" s="294" t="s">
        <v>1003</v>
      </c>
      <c r="J213" s="295">
        <v>1</v>
      </c>
      <c r="K213" s="294" t="s">
        <v>656</v>
      </c>
      <c r="L213" s="304">
        <v>-17355.38</v>
      </c>
      <c r="M213" s="295"/>
      <c r="N213" s="295">
        <v>0</v>
      </c>
      <c r="O213" s="295">
        <v>0</v>
      </c>
      <c r="P213" s="303">
        <f>+L213*0.21</f>
        <v>-3644.6298000000002</v>
      </c>
      <c r="Q213" s="295">
        <f>SUBTOTAL(9,L213:P213)</f>
        <v>0</v>
      </c>
    </row>
    <row r="214" spans="1:17" hidden="1">
      <c r="A214" s="294" t="s">
        <v>1022</v>
      </c>
      <c r="B214" s="294" t="s">
        <v>950</v>
      </c>
      <c r="C214" s="295">
        <v>3</v>
      </c>
      <c r="D214" s="295">
        <v>311</v>
      </c>
      <c r="E214" s="294"/>
      <c r="F214" s="295">
        <v>74468952404428</v>
      </c>
      <c r="G214" s="309"/>
      <c r="H214" s="309"/>
      <c r="I214" s="294"/>
      <c r="J214" s="295">
        <v>1</v>
      </c>
      <c r="K214" s="294" t="s">
        <v>656</v>
      </c>
      <c r="L214" s="304">
        <v>-17355.38</v>
      </c>
      <c r="M214" s="295"/>
      <c r="N214" s="295">
        <v>0</v>
      </c>
      <c r="O214" s="295">
        <v>0</v>
      </c>
      <c r="P214" s="303">
        <f>+L214*0.21</f>
        <v>-3644.6298000000002</v>
      </c>
      <c r="Q214" s="295">
        <f>SUBTOTAL(9,L214:P214)</f>
        <v>0</v>
      </c>
    </row>
    <row r="215" spans="1:17" hidden="1">
      <c r="A215" s="294" t="s">
        <v>1022</v>
      </c>
      <c r="B215" s="294" t="s">
        <v>950</v>
      </c>
      <c r="C215" s="295">
        <v>3</v>
      </c>
      <c r="D215" s="295">
        <v>312</v>
      </c>
      <c r="E215" s="294"/>
      <c r="F215" s="295">
        <v>74468955410593</v>
      </c>
      <c r="G215" s="309" t="s">
        <v>949</v>
      </c>
      <c r="H215" s="295">
        <v>17467464</v>
      </c>
      <c r="I215" s="294" t="s">
        <v>1063</v>
      </c>
      <c r="J215" s="295">
        <v>1</v>
      </c>
      <c r="K215" s="294" t="s">
        <v>656</v>
      </c>
      <c r="L215" s="304">
        <v>-12727.29</v>
      </c>
      <c r="M215" s="295"/>
      <c r="N215" s="295">
        <v>0</v>
      </c>
      <c r="O215" s="295">
        <v>0</v>
      </c>
      <c r="P215" s="303">
        <f>+L215*0.21</f>
        <v>-2672.7309</v>
      </c>
      <c r="Q215" s="295">
        <f>SUBTOTAL(9,L215:P215)</f>
        <v>0</v>
      </c>
    </row>
    <row r="216" spans="1:17" hidden="1">
      <c r="A216" s="294" t="s">
        <v>1022</v>
      </c>
      <c r="B216" s="294" t="s">
        <v>950</v>
      </c>
      <c r="C216" s="295">
        <v>3</v>
      </c>
      <c r="D216" s="295">
        <v>317</v>
      </c>
      <c r="E216" s="294"/>
      <c r="F216" s="295">
        <v>74468984105776</v>
      </c>
      <c r="G216" s="309"/>
      <c r="H216" s="309"/>
      <c r="I216" s="294"/>
      <c r="J216" s="295">
        <v>1</v>
      </c>
      <c r="K216" s="294" t="s">
        <v>656</v>
      </c>
      <c r="L216" s="304">
        <v>-13223.14</v>
      </c>
      <c r="M216" s="295"/>
      <c r="N216" s="295">
        <v>0</v>
      </c>
      <c r="O216" s="295">
        <v>0</v>
      </c>
      <c r="P216" s="303">
        <f>+L216*0.21</f>
        <v>-2776.8593999999998</v>
      </c>
      <c r="Q216" s="295">
        <f>SUBTOTAL(9,L216:P216)</f>
        <v>0</v>
      </c>
    </row>
    <row r="217" spans="1:17" hidden="1">
      <c r="A217" s="294" t="s">
        <v>1022</v>
      </c>
      <c r="B217" s="294" t="s">
        <v>950</v>
      </c>
      <c r="C217" s="295">
        <v>3</v>
      </c>
      <c r="D217" s="295">
        <v>313</v>
      </c>
      <c r="E217" s="294"/>
      <c r="F217" s="295">
        <v>74468956501379</v>
      </c>
      <c r="G217" s="309" t="s">
        <v>949</v>
      </c>
      <c r="H217" s="295">
        <v>28369491</v>
      </c>
      <c r="I217" s="294" t="s">
        <v>1061</v>
      </c>
      <c r="J217" s="295">
        <v>1</v>
      </c>
      <c r="K217" s="294" t="s">
        <v>656</v>
      </c>
      <c r="L217" s="304">
        <v>-21900.81</v>
      </c>
      <c r="M217" s="295"/>
      <c r="N217" s="295">
        <v>0</v>
      </c>
      <c r="O217" s="295">
        <v>0</v>
      </c>
      <c r="P217" s="303">
        <f>+L217*0.21</f>
        <v>-4599.1701000000003</v>
      </c>
      <c r="Q217" s="295">
        <f>SUBTOTAL(9,L217:P217)</f>
        <v>0</v>
      </c>
    </row>
    <row r="218" spans="1:17" hidden="1">
      <c r="A218" s="294" t="s">
        <v>1022</v>
      </c>
      <c r="B218" s="294" t="s">
        <v>950</v>
      </c>
      <c r="C218" s="295">
        <v>3</v>
      </c>
      <c r="D218" s="295">
        <v>316</v>
      </c>
      <c r="E218" s="294"/>
      <c r="F218" s="295">
        <v>74468982777350</v>
      </c>
      <c r="G218" s="294" t="s">
        <v>949</v>
      </c>
      <c r="H218" s="295">
        <v>13669404</v>
      </c>
      <c r="I218" s="294" t="s">
        <v>996</v>
      </c>
      <c r="J218" s="295">
        <v>1</v>
      </c>
      <c r="K218" s="294" t="s">
        <v>656</v>
      </c>
      <c r="L218" s="305">
        <v>-12809.9</v>
      </c>
      <c r="M218" s="295"/>
      <c r="N218" s="295">
        <v>0</v>
      </c>
      <c r="O218" s="295">
        <v>0</v>
      </c>
      <c r="P218" s="303">
        <f>+L218*0.21</f>
        <v>-2690.0789999999997</v>
      </c>
      <c r="Q218" s="295">
        <f>SUBTOTAL(9,L218:P218)</f>
        <v>0</v>
      </c>
    </row>
    <row r="219" spans="1:17" hidden="1">
      <c r="A219" s="294" t="s">
        <v>1022</v>
      </c>
      <c r="B219" s="294" t="s">
        <v>950</v>
      </c>
      <c r="C219" s="295">
        <v>3</v>
      </c>
      <c r="D219" s="295">
        <v>310</v>
      </c>
      <c r="E219" s="294"/>
      <c r="F219" s="295">
        <v>74468951389000</v>
      </c>
      <c r="G219" s="309" t="s">
        <v>949</v>
      </c>
      <c r="H219" s="295">
        <v>18811819</v>
      </c>
      <c r="I219" s="294" t="s">
        <v>1002</v>
      </c>
      <c r="J219" s="295">
        <v>1</v>
      </c>
      <c r="K219" s="294" t="s">
        <v>656</v>
      </c>
      <c r="L219" s="304">
        <v>-12396.71</v>
      </c>
      <c r="M219" s="295"/>
      <c r="N219" s="295">
        <v>0</v>
      </c>
      <c r="O219" s="295">
        <v>0</v>
      </c>
      <c r="P219" s="303">
        <f>+L219*0.21</f>
        <v>-2603.3090999999999</v>
      </c>
      <c r="Q219" s="295">
        <f>SUBTOTAL(9,L219:P219)</f>
        <v>0</v>
      </c>
    </row>
    <row r="220" spans="1:17" hidden="1">
      <c r="A220" s="294" t="s">
        <v>1024</v>
      </c>
      <c r="B220" s="294" t="s">
        <v>654</v>
      </c>
      <c r="C220" s="295">
        <v>7</v>
      </c>
      <c r="D220" s="295">
        <v>2242</v>
      </c>
      <c r="E220" s="294"/>
      <c r="F220" s="295">
        <v>74468090720512</v>
      </c>
      <c r="G220" s="294" t="s">
        <v>7</v>
      </c>
      <c r="H220" s="295">
        <v>30709016012</v>
      </c>
      <c r="I220" s="294" t="s">
        <v>961</v>
      </c>
      <c r="J220" s="295">
        <v>1</v>
      </c>
      <c r="K220" s="294" t="s">
        <v>656</v>
      </c>
      <c r="L220" s="304">
        <v>487479.32</v>
      </c>
      <c r="M220" s="295">
        <v>0</v>
      </c>
      <c r="N220" s="295">
        <v>0</v>
      </c>
      <c r="O220" s="295">
        <v>0</v>
      </c>
      <c r="P220" s="303">
        <v>102370.66</v>
      </c>
      <c r="Q220" s="303">
        <v>589849.98</v>
      </c>
    </row>
    <row r="221" spans="1:17">
      <c r="A221" s="294" t="s">
        <v>1024</v>
      </c>
      <c r="B221" s="294" t="s">
        <v>948</v>
      </c>
      <c r="C221" s="295">
        <v>9</v>
      </c>
      <c r="D221" s="295">
        <v>359</v>
      </c>
      <c r="E221" s="294"/>
      <c r="F221" s="295">
        <v>74468107485573</v>
      </c>
      <c r="G221" s="295">
        <v>99</v>
      </c>
      <c r="H221" s="295">
        <v>0</v>
      </c>
      <c r="I221" s="294"/>
      <c r="J221" s="295">
        <v>1</v>
      </c>
      <c r="K221" s="294" t="s">
        <v>656</v>
      </c>
      <c r="L221" s="304">
        <v>8264.4599999999991</v>
      </c>
      <c r="M221" s="295">
        <v>0</v>
      </c>
      <c r="N221" s="295">
        <v>0</v>
      </c>
      <c r="O221" s="295">
        <v>0</v>
      </c>
      <c r="P221" s="303">
        <v>1735.54</v>
      </c>
      <c r="Q221" s="295">
        <v>10000</v>
      </c>
    </row>
    <row r="222" spans="1:17">
      <c r="A222" s="294" t="s">
        <v>1024</v>
      </c>
      <c r="B222" s="294" t="s">
        <v>948</v>
      </c>
      <c r="C222" s="295">
        <v>9</v>
      </c>
      <c r="D222" s="295">
        <v>352</v>
      </c>
      <c r="E222" s="294"/>
      <c r="F222" s="295">
        <v>74468091768330</v>
      </c>
      <c r="G222" s="295">
        <v>99</v>
      </c>
      <c r="H222" s="295">
        <v>0</v>
      </c>
      <c r="I222" s="294"/>
      <c r="J222" s="295">
        <v>1</v>
      </c>
      <c r="K222" s="294" t="s">
        <v>656</v>
      </c>
      <c r="L222" s="304">
        <v>4958.68</v>
      </c>
      <c r="M222" s="295">
        <v>0</v>
      </c>
      <c r="N222" s="295">
        <v>0</v>
      </c>
      <c r="O222" s="295">
        <v>0</v>
      </c>
      <c r="P222" s="303">
        <v>1041.32</v>
      </c>
      <c r="Q222" s="295">
        <v>6000</v>
      </c>
    </row>
    <row r="223" spans="1:17">
      <c r="A223" s="294" t="s">
        <v>1024</v>
      </c>
      <c r="B223" s="294" t="s">
        <v>948</v>
      </c>
      <c r="C223" s="295">
        <v>7</v>
      </c>
      <c r="D223" s="295">
        <v>5432</v>
      </c>
      <c r="E223" s="294"/>
      <c r="F223" s="295">
        <v>74468083978180</v>
      </c>
      <c r="G223" s="294" t="s">
        <v>7</v>
      </c>
      <c r="H223" s="295">
        <v>30590354798</v>
      </c>
      <c r="I223" s="294" t="s">
        <v>81</v>
      </c>
      <c r="J223" s="295">
        <v>1</v>
      </c>
      <c r="K223" s="294" t="s">
        <v>656</v>
      </c>
      <c r="L223" s="304">
        <v>25826.44</v>
      </c>
      <c r="M223" s="295">
        <v>0</v>
      </c>
      <c r="N223" s="295">
        <v>0</v>
      </c>
      <c r="O223" s="295">
        <v>0</v>
      </c>
      <c r="P223" s="303">
        <v>5423.55</v>
      </c>
      <c r="Q223" s="303">
        <v>31249.99</v>
      </c>
    </row>
    <row r="224" spans="1:17">
      <c r="A224" s="294" t="s">
        <v>1024</v>
      </c>
      <c r="B224" s="294" t="s">
        <v>948</v>
      </c>
      <c r="C224" s="295">
        <v>9</v>
      </c>
      <c r="D224" s="295">
        <v>347</v>
      </c>
      <c r="E224" s="294"/>
      <c r="F224" s="295">
        <v>74468071036259</v>
      </c>
      <c r="G224" s="295">
        <v>99</v>
      </c>
      <c r="H224" s="295">
        <v>0</v>
      </c>
      <c r="I224" s="294"/>
      <c r="J224" s="295">
        <v>1</v>
      </c>
      <c r="K224" s="294" t="s">
        <v>656</v>
      </c>
      <c r="L224" s="304">
        <v>25867.77</v>
      </c>
      <c r="M224" s="295">
        <v>0</v>
      </c>
      <c r="N224" s="295">
        <v>0</v>
      </c>
      <c r="O224" s="295">
        <v>0</v>
      </c>
      <c r="P224" s="303">
        <v>5432.23</v>
      </c>
      <c r="Q224" s="295">
        <v>31300</v>
      </c>
    </row>
    <row r="225" spans="1:17">
      <c r="A225" s="294" t="s">
        <v>1024</v>
      </c>
      <c r="B225" s="294" t="s">
        <v>948</v>
      </c>
      <c r="C225" s="295">
        <v>9</v>
      </c>
      <c r="D225" s="295">
        <v>356</v>
      </c>
      <c r="E225" s="294"/>
      <c r="F225" s="295">
        <v>74468100056274</v>
      </c>
      <c r="G225" s="295">
        <v>99</v>
      </c>
      <c r="H225" s="295">
        <v>0</v>
      </c>
      <c r="I225" s="294"/>
      <c r="J225" s="295">
        <v>1</v>
      </c>
      <c r="K225" s="294" t="s">
        <v>656</v>
      </c>
      <c r="L225" s="304">
        <v>20661.16</v>
      </c>
      <c r="M225" s="295">
        <v>0</v>
      </c>
      <c r="N225" s="295">
        <v>0</v>
      </c>
      <c r="O225" s="295">
        <v>0</v>
      </c>
      <c r="P225" s="303">
        <v>4338.84</v>
      </c>
      <c r="Q225" s="295">
        <v>25000</v>
      </c>
    </row>
    <row r="226" spans="1:17">
      <c r="A226" s="294" t="s">
        <v>1024</v>
      </c>
      <c r="B226" s="294" t="s">
        <v>948</v>
      </c>
      <c r="C226" s="295">
        <v>9</v>
      </c>
      <c r="D226" s="295">
        <v>345</v>
      </c>
      <c r="E226" s="294"/>
      <c r="F226" s="295">
        <v>74468052929046</v>
      </c>
      <c r="G226" s="295">
        <v>99</v>
      </c>
      <c r="H226" s="295">
        <v>0</v>
      </c>
      <c r="I226" s="294"/>
      <c r="J226" s="295">
        <v>1</v>
      </c>
      <c r="K226" s="294" t="s">
        <v>656</v>
      </c>
      <c r="L226" s="304">
        <v>47933.88</v>
      </c>
      <c r="M226" s="295">
        <v>0</v>
      </c>
      <c r="N226" s="295">
        <v>0</v>
      </c>
      <c r="O226" s="295">
        <v>0</v>
      </c>
      <c r="P226" s="303">
        <v>10066.120000000001</v>
      </c>
      <c r="Q226" s="295">
        <v>58000</v>
      </c>
    </row>
    <row r="227" spans="1:17">
      <c r="A227" s="294" t="s">
        <v>1024</v>
      </c>
      <c r="B227" s="294" t="s">
        <v>948</v>
      </c>
      <c r="C227" s="295">
        <v>9</v>
      </c>
      <c r="D227" s="295">
        <v>350</v>
      </c>
      <c r="E227" s="294"/>
      <c r="F227" s="295">
        <v>74468089755816</v>
      </c>
      <c r="G227" s="295">
        <v>99</v>
      </c>
      <c r="H227" s="295">
        <v>0</v>
      </c>
      <c r="I227" s="294"/>
      <c r="J227" s="295">
        <v>1</v>
      </c>
      <c r="K227" s="294" t="s">
        <v>656</v>
      </c>
      <c r="L227" s="304">
        <v>57851.24</v>
      </c>
      <c r="M227" s="295">
        <v>0</v>
      </c>
      <c r="N227" s="295">
        <v>0</v>
      </c>
      <c r="O227" s="295">
        <v>0</v>
      </c>
      <c r="P227" s="303">
        <v>12148.76</v>
      </c>
      <c r="Q227" s="295">
        <v>70000</v>
      </c>
    </row>
    <row r="228" spans="1:17">
      <c r="A228" s="294" t="s">
        <v>1024</v>
      </c>
      <c r="B228" s="294" t="s">
        <v>948</v>
      </c>
      <c r="C228" s="295">
        <v>9</v>
      </c>
      <c r="D228" s="295">
        <v>346</v>
      </c>
      <c r="E228" s="294"/>
      <c r="F228" s="295">
        <v>74468058323353</v>
      </c>
      <c r="G228" s="295">
        <v>99</v>
      </c>
      <c r="H228" s="295">
        <v>0</v>
      </c>
      <c r="I228" s="294"/>
      <c r="J228" s="295">
        <v>1</v>
      </c>
      <c r="K228" s="294" t="s">
        <v>656</v>
      </c>
      <c r="L228" s="304">
        <v>44917.36</v>
      </c>
      <c r="M228" s="295">
        <v>0</v>
      </c>
      <c r="N228" s="295">
        <v>0</v>
      </c>
      <c r="O228" s="295">
        <v>0</v>
      </c>
      <c r="P228" s="303">
        <v>9432.64</v>
      </c>
      <c r="Q228" s="295">
        <v>54350</v>
      </c>
    </row>
    <row r="229" spans="1:17">
      <c r="A229" s="294" t="s">
        <v>1024</v>
      </c>
      <c r="B229" s="294" t="s">
        <v>948</v>
      </c>
      <c r="C229" s="295">
        <v>9</v>
      </c>
      <c r="D229" s="295">
        <v>343</v>
      </c>
      <c r="E229" s="294"/>
      <c r="F229" s="295">
        <v>74468048025919</v>
      </c>
      <c r="G229" s="295">
        <v>99</v>
      </c>
      <c r="H229" s="295">
        <v>0</v>
      </c>
      <c r="I229" s="294"/>
      <c r="J229" s="295">
        <v>1</v>
      </c>
      <c r="K229" s="294" t="s">
        <v>656</v>
      </c>
      <c r="L229" s="304">
        <v>13223.14</v>
      </c>
      <c r="M229" s="295">
        <v>0</v>
      </c>
      <c r="N229" s="295">
        <v>0</v>
      </c>
      <c r="O229" s="295">
        <v>0</v>
      </c>
      <c r="P229" s="303">
        <v>2776.86</v>
      </c>
      <c r="Q229" s="295">
        <v>16000</v>
      </c>
    </row>
    <row r="230" spans="1:17">
      <c r="A230" s="294" t="s">
        <v>1024</v>
      </c>
      <c r="B230" s="294" t="s">
        <v>948</v>
      </c>
      <c r="C230" s="295">
        <v>9</v>
      </c>
      <c r="D230" s="295">
        <v>351</v>
      </c>
      <c r="E230" s="294"/>
      <c r="F230" s="295">
        <v>74468090108630</v>
      </c>
      <c r="G230" s="295">
        <v>99</v>
      </c>
      <c r="H230" s="295">
        <v>0</v>
      </c>
      <c r="I230" s="294"/>
      <c r="J230" s="295">
        <v>1</v>
      </c>
      <c r="K230" s="294" t="s">
        <v>656</v>
      </c>
      <c r="L230" s="304">
        <v>20661.16</v>
      </c>
      <c r="M230" s="295">
        <v>0</v>
      </c>
      <c r="N230" s="295">
        <v>0</v>
      </c>
      <c r="O230" s="295">
        <v>0</v>
      </c>
      <c r="P230" s="303">
        <v>4338.84</v>
      </c>
      <c r="Q230" s="295">
        <v>25000</v>
      </c>
    </row>
    <row r="231" spans="1:17">
      <c r="A231" s="294" t="s">
        <v>1024</v>
      </c>
      <c r="B231" s="294" t="s">
        <v>948</v>
      </c>
      <c r="C231" s="295">
        <v>9</v>
      </c>
      <c r="D231" s="295">
        <v>349</v>
      </c>
      <c r="E231" s="294"/>
      <c r="F231" s="295">
        <v>74468079643194</v>
      </c>
      <c r="G231" s="295">
        <v>99</v>
      </c>
      <c r="H231" s="295">
        <v>0</v>
      </c>
      <c r="I231" s="294"/>
      <c r="J231" s="295">
        <v>1</v>
      </c>
      <c r="K231" s="294" t="s">
        <v>656</v>
      </c>
      <c r="L231" s="304">
        <v>26446.28</v>
      </c>
      <c r="M231" s="295">
        <v>0</v>
      </c>
      <c r="N231" s="295">
        <v>0</v>
      </c>
      <c r="O231" s="295">
        <v>0</v>
      </c>
      <c r="P231" s="303">
        <v>5553.72</v>
      </c>
      <c r="Q231" s="295">
        <v>32000</v>
      </c>
    </row>
    <row r="232" spans="1:17">
      <c r="A232" s="294" t="s">
        <v>1024</v>
      </c>
      <c r="B232" s="294" t="s">
        <v>948</v>
      </c>
      <c r="C232" s="295">
        <v>9</v>
      </c>
      <c r="D232" s="295">
        <v>344</v>
      </c>
      <c r="E232" s="294"/>
      <c r="F232" s="295">
        <v>74468051333799</v>
      </c>
      <c r="G232" s="295">
        <v>99</v>
      </c>
      <c r="H232" s="295">
        <v>0</v>
      </c>
      <c r="I232" s="294"/>
      <c r="J232" s="295">
        <v>1</v>
      </c>
      <c r="K232" s="294" t="s">
        <v>656</v>
      </c>
      <c r="L232" s="304">
        <v>26446.28</v>
      </c>
      <c r="M232" s="295">
        <v>0</v>
      </c>
      <c r="N232" s="295">
        <v>0</v>
      </c>
      <c r="O232" s="295">
        <v>0</v>
      </c>
      <c r="P232" s="303">
        <v>5553.72</v>
      </c>
      <c r="Q232" s="295">
        <v>32000</v>
      </c>
    </row>
    <row r="233" spans="1:17">
      <c r="A233" s="294" t="s">
        <v>1024</v>
      </c>
      <c r="B233" s="294" t="s">
        <v>948</v>
      </c>
      <c r="C233" s="295">
        <v>9</v>
      </c>
      <c r="D233" s="295">
        <v>353</v>
      </c>
      <c r="E233" s="294"/>
      <c r="F233" s="295">
        <v>74468095982252</v>
      </c>
      <c r="G233" s="295">
        <v>99</v>
      </c>
      <c r="H233" s="295">
        <v>0</v>
      </c>
      <c r="I233" s="294"/>
      <c r="J233" s="295">
        <v>1</v>
      </c>
      <c r="K233" s="294" t="s">
        <v>656</v>
      </c>
      <c r="L233" s="304">
        <v>14876.03</v>
      </c>
      <c r="M233" s="295">
        <v>0</v>
      </c>
      <c r="N233" s="295">
        <v>0</v>
      </c>
      <c r="O233" s="295">
        <v>0</v>
      </c>
      <c r="P233" s="303">
        <v>3123.97</v>
      </c>
      <c r="Q233" s="295">
        <v>18000</v>
      </c>
    </row>
    <row r="234" spans="1:17">
      <c r="A234" s="294" t="s">
        <v>1024</v>
      </c>
      <c r="B234" s="294" t="s">
        <v>948</v>
      </c>
      <c r="C234" s="295">
        <v>9</v>
      </c>
      <c r="D234" s="295">
        <v>358</v>
      </c>
      <c r="E234" s="294"/>
      <c r="F234" s="295">
        <v>74468106541269</v>
      </c>
      <c r="G234" s="295">
        <v>99</v>
      </c>
      <c r="H234" s="295">
        <v>0</v>
      </c>
      <c r="I234" s="294"/>
      <c r="J234" s="295">
        <v>1</v>
      </c>
      <c r="K234" s="294" t="s">
        <v>656</v>
      </c>
      <c r="L234" s="304">
        <v>40909.089999999997</v>
      </c>
      <c r="M234" s="295">
        <v>0</v>
      </c>
      <c r="N234" s="295">
        <v>0</v>
      </c>
      <c r="O234" s="295">
        <v>0</v>
      </c>
      <c r="P234" s="303">
        <v>8590.91</v>
      </c>
      <c r="Q234" s="295">
        <v>49500</v>
      </c>
    </row>
    <row r="235" spans="1:17">
      <c r="A235" s="294" t="s">
        <v>1024</v>
      </c>
      <c r="B235" s="294" t="s">
        <v>948</v>
      </c>
      <c r="C235" s="295">
        <v>9</v>
      </c>
      <c r="D235" s="295">
        <v>357</v>
      </c>
      <c r="E235" s="294"/>
      <c r="F235" s="295">
        <v>74468101345036</v>
      </c>
      <c r="G235" s="295">
        <v>99</v>
      </c>
      <c r="H235" s="295">
        <v>0</v>
      </c>
      <c r="I235" s="294"/>
      <c r="J235" s="295">
        <v>1</v>
      </c>
      <c r="K235" s="294" t="s">
        <v>656</v>
      </c>
      <c r="L235" s="305">
        <v>10743.8</v>
      </c>
      <c r="M235" s="295">
        <v>0</v>
      </c>
      <c r="N235" s="295">
        <v>0</v>
      </c>
      <c r="O235" s="295">
        <v>0</v>
      </c>
      <c r="P235" s="309">
        <v>2256.1999999999998</v>
      </c>
      <c r="Q235" s="295">
        <v>13000</v>
      </c>
    </row>
    <row r="236" spans="1:17">
      <c r="A236" s="294" t="s">
        <v>1024</v>
      </c>
      <c r="B236" s="294" t="s">
        <v>948</v>
      </c>
      <c r="C236" s="295">
        <v>9</v>
      </c>
      <c r="D236" s="295">
        <v>354</v>
      </c>
      <c r="E236" s="294"/>
      <c r="F236" s="295">
        <v>74468098829765</v>
      </c>
      <c r="G236" s="295">
        <v>99</v>
      </c>
      <c r="H236" s="295">
        <v>0</v>
      </c>
      <c r="I236" s="294"/>
      <c r="J236" s="295">
        <v>1</v>
      </c>
      <c r="K236" s="294" t="s">
        <v>656</v>
      </c>
      <c r="L236" s="304">
        <v>25619.83</v>
      </c>
      <c r="M236" s="295">
        <v>0</v>
      </c>
      <c r="N236" s="295">
        <v>0</v>
      </c>
      <c r="O236" s="295">
        <v>0</v>
      </c>
      <c r="P236" s="303">
        <v>5380.17</v>
      </c>
      <c r="Q236" s="295">
        <v>31000</v>
      </c>
    </row>
    <row r="237" spans="1:17">
      <c r="A237" s="294" t="s">
        <v>1024</v>
      </c>
      <c r="B237" s="294" t="s">
        <v>948</v>
      </c>
      <c r="C237" s="295">
        <v>9</v>
      </c>
      <c r="D237" s="295">
        <v>348</v>
      </c>
      <c r="E237" s="294"/>
      <c r="F237" s="295">
        <v>74468077746558</v>
      </c>
      <c r="G237" s="295">
        <v>99</v>
      </c>
      <c r="H237" s="295">
        <v>0</v>
      </c>
      <c r="I237" s="294"/>
      <c r="J237" s="295">
        <v>1</v>
      </c>
      <c r="K237" s="294" t="s">
        <v>656</v>
      </c>
      <c r="L237" s="305">
        <v>16115.7</v>
      </c>
      <c r="M237" s="295">
        <v>0</v>
      </c>
      <c r="N237" s="295">
        <v>0</v>
      </c>
      <c r="O237" s="295">
        <v>0</v>
      </c>
      <c r="P237" s="294">
        <v>3384.3</v>
      </c>
      <c r="Q237" s="295">
        <v>19500</v>
      </c>
    </row>
    <row r="238" spans="1:17">
      <c r="A238" s="294" t="s">
        <v>1024</v>
      </c>
      <c r="B238" s="294" t="s">
        <v>948</v>
      </c>
      <c r="C238" s="295">
        <v>9</v>
      </c>
      <c r="D238" s="295">
        <v>355</v>
      </c>
      <c r="E238" s="294"/>
      <c r="F238" s="295">
        <v>74468099055045</v>
      </c>
      <c r="G238" s="295">
        <v>99</v>
      </c>
      <c r="H238" s="295">
        <v>0</v>
      </c>
      <c r="I238" s="294"/>
      <c r="J238" s="295">
        <v>1</v>
      </c>
      <c r="K238" s="294" t="s">
        <v>656</v>
      </c>
      <c r="L238" s="304">
        <v>16528.93</v>
      </c>
      <c r="M238" s="295">
        <v>0</v>
      </c>
      <c r="N238" s="295">
        <v>0</v>
      </c>
      <c r="O238" s="295">
        <v>0</v>
      </c>
      <c r="P238" s="303">
        <v>3471.07</v>
      </c>
      <c r="Q238" s="295">
        <v>20000</v>
      </c>
    </row>
    <row r="239" spans="1:17" hidden="1">
      <c r="A239" s="294" t="s">
        <v>1024</v>
      </c>
      <c r="B239" s="294" t="s">
        <v>951</v>
      </c>
      <c r="C239" s="295">
        <v>6</v>
      </c>
      <c r="D239" s="295">
        <v>547</v>
      </c>
      <c r="E239" s="294"/>
      <c r="F239" s="295">
        <v>74468054191139</v>
      </c>
      <c r="G239" s="309" t="s">
        <v>7</v>
      </c>
      <c r="H239" s="295">
        <v>30522428163</v>
      </c>
      <c r="I239" s="294" t="s">
        <v>947</v>
      </c>
      <c r="J239" s="295">
        <v>1</v>
      </c>
      <c r="K239" s="294" t="s">
        <v>656</v>
      </c>
      <c r="L239" s="304">
        <v>7873938.0199999996</v>
      </c>
      <c r="M239" s="295">
        <v>0</v>
      </c>
      <c r="N239" s="295">
        <v>0</v>
      </c>
      <c r="O239" s="295">
        <v>0</v>
      </c>
      <c r="P239" s="303">
        <v>1653526.98</v>
      </c>
      <c r="Q239" s="295">
        <v>9527465</v>
      </c>
    </row>
    <row r="240" spans="1:17" hidden="1">
      <c r="A240" s="294" t="s">
        <v>1024</v>
      </c>
      <c r="B240" s="294" t="s">
        <v>676</v>
      </c>
      <c r="C240" s="295">
        <v>3</v>
      </c>
      <c r="D240" s="295">
        <v>184</v>
      </c>
      <c r="E240" s="294"/>
      <c r="F240" s="295">
        <v>74468036500550</v>
      </c>
      <c r="G240" s="294" t="s">
        <v>7</v>
      </c>
      <c r="H240" s="295">
        <v>30715803093</v>
      </c>
      <c r="I240" s="294" t="s">
        <v>994</v>
      </c>
      <c r="J240" s="295">
        <v>1</v>
      </c>
      <c r="K240" s="294" t="s">
        <v>656</v>
      </c>
      <c r="L240" s="306">
        <v>-26281</v>
      </c>
      <c r="M240" s="295"/>
      <c r="N240" s="295">
        <v>0</v>
      </c>
      <c r="O240" s="295">
        <v>0</v>
      </c>
      <c r="P240" s="303">
        <f>+L240*0.21</f>
        <v>-5519.01</v>
      </c>
      <c r="Q240" s="295">
        <f>SUBTOTAL(9,L240:P240)</f>
        <v>0</v>
      </c>
    </row>
    <row r="241" spans="1:17" hidden="1">
      <c r="A241" s="294" t="s">
        <v>1024</v>
      </c>
      <c r="B241" s="294" t="s">
        <v>950</v>
      </c>
      <c r="C241" s="295">
        <v>3</v>
      </c>
      <c r="D241" s="295">
        <v>318</v>
      </c>
      <c r="E241" s="294"/>
      <c r="F241" s="295">
        <v>74468037049947</v>
      </c>
      <c r="G241" s="309" t="s">
        <v>949</v>
      </c>
      <c r="H241" s="295">
        <v>21130283</v>
      </c>
      <c r="I241" s="294" t="s">
        <v>992</v>
      </c>
      <c r="J241" s="295">
        <v>1</v>
      </c>
      <c r="K241" s="294" t="s">
        <v>656</v>
      </c>
      <c r="L241" s="304">
        <v>-17355.38</v>
      </c>
      <c r="M241" s="295"/>
      <c r="N241" s="295">
        <v>0</v>
      </c>
      <c r="O241" s="295">
        <v>0</v>
      </c>
      <c r="P241" s="303">
        <f>+L241*0.21</f>
        <v>-3644.6298000000002</v>
      </c>
      <c r="Q241" s="295">
        <f>SUBTOTAL(9,L241:P241)</f>
        <v>0</v>
      </c>
    </row>
    <row r="242" spans="1:17" hidden="1">
      <c r="A242" s="294" t="s">
        <v>1024</v>
      </c>
      <c r="B242" s="294" t="s">
        <v>950</v>
      </c>
      <c r="C242" s="295">
        <v>3</v>
      </c>
      <c r="D242" s="295">
        <v>319</v>
      </c>
      <c r="E242" s="294"/>
      <c r="F242" s="295">
        <v>74468037921022</v>
      </c>
      <c r="G242" s="309" t="s">
        <v>949</v>
      </c>
      <c r="H242" s="295">
        <v>4404079</v>
      </c>
      <c r="I242" s="294" t="s">
        <v>965</v>
      </c>
      <c r="J242" s="295">
        <v>1</v>
      </c>
      <c r="K242" s="294" t="s">
        <v>656</v>
      </c>
      <c r="L242" s="304">
        <v>-26446.29</v>
      </c>
      <c r="M242" s="295"/>
      <c r="N242" s="295">
        <v>0</v>
      </c>
      <c r="O242" s="295">
        <v>0</v>
      </c>
      <c r="P242" s="303">
        <f>+L242*0.21</f>
        <v>-5553.7209000000003</v>
      </c>
      <c r="Q242" s="295">
        <f>SUBTOTAL(9,L242:P242)</f>
        <v>0</v>
      </c>
    </row>
    <row r="243" spans="1:17" hidden="1">
      <c r="A243" s="294" t="s">
        <v>1024</v>
      </c>
      <c r="B243" s="294" t="s">
        <v>950</v>
      </c>
      <c r="C243" s="295">
        <v>3</v>
      </c>
      <c r="D243" s="295">
        <v>320</v>
      </c>
      <c r="E243" s="294"/>
      <c r="F243" s="295">
        <v>74468038578352</v>
      </c>
      <c r="G243" s="294" t="s">
        <v>949</v>
      </c>
      <c r="H243" s="295">
        <v>16473359</v>
      </c>
      <c r="I243" s="294" t="s">
        <v>980</v>
      </c>
      <c r="J243" s="295">
        <v>1</v>
      </c>
      <c r="K243" s="294" t="s">
        <v>656</v>
      </c>
      <c r="L243" s="304">
        <v>-22314.05</v>
      </c>
      <c r="M243" s="295"/>
      <c r="N243" s="295">
        <v>0</v>
      </c>
      <c r="O243" s="295">
        <v>0</v>
      </c>
      <c r="P243" s="303">
        <f>+L243*0.21</f>
        <v>-4685.9504999999999</v>
      </c>
      <c r="Q243" s="295">
        <f>SUBTOTAL(9,L243:P243)</f>
        <v>0</v>
      </c>
    </row>
    <row r="244" spans="1:17" hidden="1">
      <c r="A244" s="294" t="s">
        <v>1026</v>
      </c>
      <c r="B244" s="294" t="s">
        <v>654</v>
      </c>
      <c r="C244" s="295">
        <v>7</v>
      </c>
      <c r="D244" s="295">
        <v>2250</v>
      </c>
      <c r="E244" s="294"/>
      <c r="F244" s="295">
        <v>74468232708129</v>
      </c>
      <c r="G244" s="309" t="s">
        <v>7</v>
      </c>
      <c r="H244" s="295">
        <v>30608716390</v>
      </c>
      <c r="I244" s="294" t="s">
        <v>958</v>
      </c>
      <c r="J244" s="295">
        <v>1</v>
      </c>
      <c r="K244" s="294" t="s">
        <v>656</v>
      </c>
      <c r="L244" s="304">
        <v>15528.93</v>
      </c>
      <c r="M244" s="295">
        <v>0</v>
      </c>
      <c r="N244" s="295">
        <v>0</v>
      </c>
      <c r="O244" s="295">
        <v>0</v>
      </c>
      <c r="P244" s="303">
        <v>3261.08</v>
      </c>
      <c r="Q244" s="303">
        <v>18790.009999999998</v>
      </c>
    </row>
    <row r="245" spans="1:17" hidden="1">
      <c r="A245" s="294" t="s">
        <v>1026</v>
      </c>
      <c r="B245" s="294" t="s">
        <v>654</v>
      </c>
      <c r="C245" s="295">
        <v>7</v>
      </c>
      <c r="D245" s="295">
        <v>2253</v>
      </c>
      <c r="E245" s="294"/>
      <c r="F245" s="295">
        <v>74468235562418</v>
      </c>
      <c r="G245" s="309" t="s">
        <v>7</v>
      </c>
      <c r="H245" s="295">
        <v>30608716390</v>
      </c>
      <c r="I245" s="294" t="s">
        <v>958</v>
      </c>
      <c r="J245" s="295">
        <v>1</v>
      </c>
      <c r="K245" s="294" t="s">
        <v>656</v>
      </c>
      <c r="L245" s="304">
        <v>22413.22</v>
      </c>
      <c r="M245" s="295">
        <v>0</v>
      </c>
      <c r="N245" s="295">
        <v>0</v>
      </c>
      <c r="O245" s="295">
        <v>0</v>
      </c>
      <c r="P245" s="303">
        <v>4706.78</v>
      </c>
      <c r="Q245" s="295">
        <v>27120</v>
      </c>
    </row>
    <row r="246" spans="1:17" hidden="1">
      <c r="A246" s="294" t="s">
        <v>1026</v>
      </c>
      <c r="B246" s="294" t="s">
        <v>654</v>
      </c>
      <c r="C246" s="295">
        <v>7</v>
      </c>
      <c r="D246" s="295">
        <v>2247</v>
      </c>
      <c r="E246" s="294"/>
      <c r="F246" s="295">
        <v>74468230361662</v>
      </c>
      <c r="G246" s="294" t="s">
        <v>7</v>
      </c>
      <c r="H246" s="295">
        <v>30608716390</v>
      </c>
      <c r="I246" s="294" t="s">
        <v>958</v>
      </c>
      <c r="J246" s="295">
        <v>1</v>
      </c>
      <c r="K246" s="294" t="s">
        <v>656</v>
      </c>
      <c r="L246" s="304">
        <v>18677.689999999999</v>
      </c>
      <c r="M246" s="295">
        <v>0</v>
      </c>
      <c r="N246" s="295">
        <v>0</v>
      </c>
      <c r="O246" s="295">
        <v>0</v>
      </c>
      <c r="P246" s="303">
        <v>3922.31</v>
      </c>
      <c r="Q246" s="295">
        <v>22600</v>
      </c>
    </row>
    <row r="247" spans="1:17" hidden="1">
      <c r="A247" s="294" t="s">
        <v>1026</v>
      </c>
      <c r="B247" s="294" t="s">
        <v>654</v>
      </c>
      <c r="C247" s="295">
        <v>7</v>
      </c>
      <c r="D247" s="295">
        <v>2257</v>
      </c>
      <c r="E247" s="294"/>
      <c r="F247" s="295">
        <v>74468238446140</v>
      </c>
      <c r="G247" s="309" t="s">
        <v>7</v>
      </c>
      <c r="H247" s="295">
        <v>30608716390</v>
      </c>
      <c r="I247" s="294" t="s">
        <v>958</v>
      </c>
      <c r="J247" s="295">
        <v>1</v>
      </c>
      <c r="K247" s="294" t="s">
        <v>656</v>
      </c>
      <c r="L247" s="304">
        <v>7764.46</v>
      </c>
      <c r="M247" s="295">
        <v>0</v>
      </c>
      <c r="N247" s="295">
        <v>0</v>
      </c>
      <c r="O247" s="295">
        <v>0</v>
      </c>
      <c r="P247" s="303">
        <v>1630.54</v>
      </c>
      <c r="Q247" s="295">
        <v>9395</v>
      </c>
    </row>
    <row r="248" spans="1:17" hidden="1">
      <c r="A248" s="294" t="s">
        <v>1026</v>
      </c>
      <c r="B248" s="294" t="s">
        <v>654</v>
      </c>
      <c r="C248" s="295">
        <v>7</v>
      </c>
      <c r="D248" s="295">
        <v>2244</v>
      </c>
      <c r="E248" s="294"/>
      <c r="F248" s="295">
        <v>74468227781121</v>
      </c>
      <c r="G248" s="294" t="s">
        <v>7</v>
      </c>
      <c r="H248" s="295">
        <v>30608716390</v>
      </c>
      <c r="I248" s="294" t="s">
        <v>958</v>
      </c>
      <c r="J248" s="295">
        <v>1</v>
      </c>
      <c r="K248" s="294" t="s">
        <v>656</v>
      </c>
      <c r="L248" s="304">
        <v>22413.22</v>
      </c>
      <c r="M248" s="295">
        <v>0</v>
      </c>
      <c r="N248" s="295">
        <v>0</v>
      </c>
      <c r="O248" s="295">
        <v>0</v>
      </c>
      <c r="P248" s="303">
        <v>4706.78</v>
      </c>
      <c r="Q248" s="295">
        <v>27120</v>
      </c>
    </row>
    <row r="249" spans="1:17" hidden="1">
      <c r="A249" s="294" t="s">
        <v>1026</v>
      </c>
      <c r="B249" s="294" t="s">
        <v>654</v>
      </c>
      <c r="C249" s="295">
        <v>7</v>
      </c>
      <c r="D249" s="295">
        <v>2251</v>
      </c>
      <c r="E249" s="294"/>
      <c r="F249" s="295">
        <v>74468233568645</v>
      </c>
      <c r="G249" s="309" t="s">
        <v>7</v>
      </c>
      <c r="H249" s="295">
        <v>30608716390</v>
      </c>
      <c r="I249" s="294" t="s">
        <v>958</v>
      </c>
      <c r="J249" s="295">
        <v>1</v>
      </c>
      <c r="K249" s="294" t="s">
        <v>656</v>
      </c>
      <c r="L249" s="304">
        <v>15528.93</v>
      </c>
      <c r="M249" s="295">
        <v>0</v>
      </c>
      <c r="N249" s="295">
        <v>0</v>
      </c>
      <c r="O249" s="295">
        <v>0</v>
      </c>
      <c r="P249" s="303">
        <v>3261.08</v>
      </c>
      <c r="Q249" s="303">
        <v>18790.009999999998</v>
      </c>
    </row>
    <row r="250" spans="1:17" hidden="1">
      <c r="A250" s="294" t="s">
        <v>1026</v>
      </c>
      <c r="B250" s="294" t="s">
        <v>654</v>
      </c>
      <c r="C250" s="295">
        <v>7</v>
      </c>
      <c r="D250" s="295">
        <v>2248</v>
      </c>
      <c r="E250" s="294"/>
      <c r="F250" s="295">
        <v>74468230862406</v>
      </c>
      <c r="G250" s="294" t="s">
        <v>7</v>
      </c>
      <c r="H250" s="295">
        <v>30608716390</v>
      </c>
      <c r="I250" s="294" t="s">
        <v>958</v>
      </c>
      <c r="J250" s="295">
        <v>1</v>
      </c>
      <c r="K250" s="294" t="s">
        <v>656</v>
      </c>
      <c r="L250" s="304">
        <v>37942.15</v>
      </c>
      <c r="M250" s="295">
        <v>0</v>
      </c>
      <c r="N250" s="295">
        <v>0</v>
      </c>
      <c r="O250" s="295">
        <v>0</v>
      </c>
      <c r="P250" s="303">
        <v>7967.85</v>
      </c>
      <c r="Q250" s="295">
        <v>45910</v>
      </c>
    </row>
    <row r="251" spans="1:17" hidden="1">
      <c r="A251" s="294" t="s">
        <v>1026</v>
      </c>
      <c r="B251" s="294" t="s">
        <v>654</v>
      </c>
      <c r="C251" s="295">
        <v>7</v>
      </c>
      <c r="D251" s="295">
        <v>2258</v>
      </c>
      <c r="E251" s="294"/>
      <c r="F251" s="295">
        <v>74468238994596</v>
      </c>
      <c r="G251" s="294" t="s">
        <v>7</v>
      </c>
      <c r="H251" s="295">
        <v>30608716390</v>
      </c>
      <c r="I251" s="294" t="s">
        <v>958</v>
      </c>
      <c r="J251" s="295">
        <v>1</v>
      </c>
      <c r="K251" s="294" t="s">
        <v>656</v>
      </c>
      <c r="L251" s="304">
        <v>7764.46</v>
      </c>
      <c r="M251" s="295">
        <v>0</v>
      </c>
      <c r="N251" s="295">
        <v>0</v>
      </c>
      <c r="O251" s="295">
        <v>0</v>
      </c>
      <c r="P251" s="303">
        <v>1630.54</v>
      </c>
      <c r="Q251" s="295">
        <v>9395</v>
      </c>
    </row>
    <row r="252" spans="1:17" hidden="1">
      <c r="A252" s="294" t="s">
        <v>1026</v>
      </c>
      <c r="B252" s="294" t="s">
        <v>654</v>
      </c>
      <c r="C252" s="295">
        <v>7</v>
      </c>
      <c r="D252" s="295">
        <v>2254</v>
      </c>
      <c r="E252" s="294"/>
      <c r="F252" s="295">
        <v>74468236406939</v>
      </c>
      <c r="G252" s="294" t="s">
        <v>7</v>
      </c>
      <c r="H252" s="295">
        <v>30608716390</v>
      </c>
      <c r="I252" s="294" t="s">
        <v>958</v>
      </c>
      <c r="J252" s="295">
        <v>1</v>
      </c>
      <c r="K252" s="294" t="s">
        <v>656</v>
      </c>
      <c r="L252" s="304">
        <v>15528.93</v>
      </c>
      <c r="M252" s="295">
        <v>0</v>
      </c>
      <c r="N252" s="295">
        <v>0</v>
      </c>
      <c r="O252" s="295">
        <v>0</v>
      </c>
      <c r="P252" s="303">
        <v>3261.08</v>
      </c>
      <c r="Q252" s="303">
        <v>18790.009999999998</v>
      </c>
    </row>
    <row r="253" spans="1:17" hidden="1">
      <c r="A253" s="294" t="s">
        <v>1026</v>
      </c>
      <c r="B253" s="294" t="s">
        <v>654</v>
      </c>
      <c r="C253" s="295">
        <v>7</v>
      </c>
      <c r="D253" s="295">
        <v>2259</v>
      </c>
      <c r="E253" s="294"/>
      <c r="F253" s="295">
        <v>74468239441785</v>
      </c>
      <c r="G253" s="309" t="s">
        <v>7</v>
      </c>
      <c r="H253" s="295">
        <v>30608716390</v>
      </c>
      <c r="I253" s="294" t="s">
        <v>958</v>
      </c>
      <c r="J253" s="295">
        <v>1</v>
      </c>
      <c r="K253" s="294" t="s">
        <v>656</v>
      </c>
      <c r="L253" s="304">
        <v>6611.57</v>
      </c>
      <c r="M253" s="295">
        <v>0</v>
      </c>
      <c r="N253" s="295">
        <v>0</v>
      </c>
      <c r="O253" s="295">
        <v>0</v>
      </c>
      <c r="P253" s="303">
        <v>1388.43</v>
      </c>
      <c r="Q253" s="295">
        <v>8000</v>
      </c>
    </row>
    <row r="254" spans="1:17" hidden="1">
      <c r="A254" s="294" t="s">
        <v>1026</v>
      </c>
      <c r="B254" s="294" t="s">
        <v>654</v>
      </c>
      <c r="C254" s="295">
        <v>7</v>
      </c>
      <c r="D254" s="295">
        <v>2255</v>
      </c>
      <c r="E254" s="294"/>
      <c r="F254" s="295">
        <v>74468237053730</v>
      </c>
      <c r="G254" s="309" t="s">
        <v>7</v>
      </c>
      <c r="H254" s="295">
        <v>30608716390</v>
      </c>
      <c r="I254" s="294" t="s">
        <v>958</v>
      </c>
      <c r="J254" s="295">
        <v>1</v>
      </c>
      <c r="K254" s="294" t="s">
        <v>656</v>
      </c>
      <c r="L254" s="304">
        <v>15528.93</v>
      </c>
      <c r="M254" s="295">
        <v>0</v>
      </c>
      <c r="N254" s="295">
        <v>0</v>
      </c>
      <c r="O254" s="295">
        <v>0</v>
      </c>
      <c r="P254" s="303">
        <v>3261.08</v>
      </c>
      <c r="Q254" s="303">
        <v>18790.009999999998</v>
      </c>
    </row>
    <row r="255" spans="1:17" hidden="1">
      <c r="A255" s="294" t="s">
        <v>1026</v>
      </c>
      <c r="B255" s="294" t="s">
        <v>654</v>
      </c>
      <c r="C255" s="295">
        <v>7</v>
      </c>
      <c r="D255" s="295">
        <v>2245</v>
      </c>
      <c r="E255" s="294"/>
      <c r="F255" s="295">
        <v>74468229040841</v>
      </c>
      <c r="G255" s="294" t="s">
        <v>7</v>
      </c>
      <c r="H255" s="295">
        <v>30608716390</v>
      </c>
      <c r="I255" s="294" t="s">
        <v>958</v>
      </c>
      <c r="J255" s="295">
        <v>1</v>
      </c>
      <c r="K255" s="294" t="s">
        <v>656</v>
      </c>
      <c r="L255" s="304">
        <v>37942.15</v>
      </c>
      <c r="M255" s="295">
        <v>0</v>
      </c>
      <c r="N255" s="295">
        <v>0</v>
      </c>
      <c r="O255" s="295">
        <v>0</v>
      </c>
      <c r="P255" s="303">
        <v>7967.85</v>
      </c>
      <c r="Q255" s="295">
        <v>45910</v>
      </c>
    </row>
    <row r="256" spans="1:17" hidden="1">
      <c r="A256" s="294" t="s">
        <v>1026</v>
      </c>
      <c r="B256" s="294" t="s">
        <v>654</v>
      </c>
      <c r="C256" s="295">
        <v>7</v>
      </c>
      <c r="D256" s="295">
        <v>2249</v>
      </c>
      <c r="E256" s="294"/>
      <c r="F256" s="295">
        <v>74468231818673</v>
      </c>
      <c r="G256" s="309" t="s">
        <v>7</v>
      </c>
      <c r="H256" s="295">
        <v>30608716390</v>
      </c>
      <c r="I256" s="294" t="s">
        <v>958</v>
      </c>
      <c r="J256" s="295">
        <v>1</v>
      </c>
      <c r="K256" s="294" t="s">
        <v>656</v>
      </c>
      <c r="L256" s="304">
        <v>13223.14</v>
      </c>
      <c r="M256" s="295">
        <v>0</v>
      </c>
      <c r="N256" s="295">
        <v>0</v>
      </c>
      <c r="O256" s="295">
        <v>0</v>
      </c>
      <c r="P256" s="303">
        <v>2776.86</v>
      </c>
      <c r="Q256" s="295">
        <v>16000</v>
      </c>
    </row>
    <row r="257" spans="1:17" hidden="1">
      <c r="A257" s="294" t="s">
        <v>1026</v>
      </c>
      <c r="B257" s="294" t="s">
        <v>654</v>
      </c>
      <c r="C257" s="295">
        <v>7</v>
      </c>
      <c r="D257" s="295">
        <v>2256</v>
      </c>
      <c r="E257" s="294"/>
      <c r="F257" s="295">
        <v>74468237489474</v>
      </c>
      <c r="G257" s="309" t="s">
        <v>7</v>
      </c>
      <c r="H257" s="295">
        <v>30608716390</v>
      </c>
      <c r="I257" s="294" t="s">
        <v>958</v>
      </c>
      <c r="J257" s="295">
        <v>1</v>
      </c>
      <c r="K257" s="294" t="s">
        <v>656</v>
      </c>
      <c r="L257" s="304">
        <v>15528.93</v>
      </c>
      <c r="M257" s="295">
        <v>0</v>
      </c>
      <c r="N257" s="295">
        <v>0</v>
      </c>
      <c r="O257" s="295">
        <v>0</v>
      </c>
      <c r="P257" s="303">
        <v>3261.08</v>
      </c>
      <c r="Q257" s="303">
        <v>18790.009999999998</v>
      </c>
    </row>
    <row r="258" spans="1:17" hidden="1">
      <c r="A258" s="294" t="s">
        <v>1026</v>
      </c>
      <c r="B258" s="294" t="s">
        <v>654</v>
      </c>
      <c r="C258" s="295">
        <v>7</v>
      </c>
      <c r="D258" s="295">
        <v>2252</v>
      </c>
      <c r="E258" s="294"/>
      <c r="F258" s="295">
        <v>74468234835174</v>
      </c>
      <c r="G258" s="309" t="s">
        <v>7</v>
      </c>
      <c r="H258" s="295">
        <v>30608716390</v>
      </c>
      <c r="I258" s="294" t="s">
        <v>958</v>
      </c>
      <c r="J258" s="295">
        <v>1</v>
      </c>
      <c r="K258" s="294" t="s">
        <v>656</v>
      </c>
      <c r="L258" s="304">
        <v>15528.93</v>
      </c>
      <c r="M258" s="295">
        <v>0</v>
      </c>
      <c r="N258" s="295">
        <v>0</v>
      </c>
      <c r="O258" s="295">
        <v>0</v>
      </c>
      <c r="P258" s="303">
        <v>3261.08</v>
      </c>
      <c r="Q258" s="303">
        <v>18790.009999999998</v>
      </c>
    </row>
    <row r="259" spans="1:17" hidden="1">
      <c r="A259" s="294" t="s">
        <v>1026</v>
      </c>
      <c r="B259" s="294" t="s">
        <v>654</v>
      </c>
      <c r="C259" s="295">
        <v>7</v>
      </c>
      <c r="D259" s="295">
        <v>2243</v>
      </c>
      <c r="E259" s="294"/>
      <c r="F259" s="295">
        <v>74468226914697</v>
      </c>
      <c r="G259" s="309" t="s">
        <v>7</v>
      </c>
      <c r="H259" s="295">
        <v>30608716390</v>
      </c>
      <c r="I259" s="294" t="s">
        <v>958</v>
      </c>
      <c r="J259" s="295">
        <v>1</v>
      </c>
      <c r="K259" s="294" t="s">
        <v>656</v>
      </c>
      <c r="L259" s="304">
        <v>15528.93</v>
      </c>
      <c r="M259" s="295">
        <v>0</v>
      </c>
      <c r="N259" s="295">
        <v>0</v>
      </c>
      <c r="O259" s="295">
        <v>0</v>
      </c>
      <c r="P259" s="303">
        <v>3261.08</v>
      </c>
      <c r="Q259" s="303">
        <v>18790.009999999998</v>
      </c>
    </row>
    <row r="260" spans="1:17" hidden="1">
      <c r="A260" s="294" t="s">
        <v>1026</v>
      </c>
      <c r="B260" s="294" t="s">
        <v>654</v>
      </c>
      <c r="C260" s="295">
        <v>7</v>
      </c>
      <c r="D260" s="295">
        <v>2260</v>
      </c>
      <c r="E260" s="294"/>
      <c r="F260" s="295">
        <v>74468240233566</v>
      </c>
      <c r="G260" s="294" t="s">
        <v>7</v>
      </c>
      <c r="H260" s="295">
        <v>30608716390</v>
      </c>
      <c r="I260" s="294" t="s">
        <v>958</v>
      </c>
      <c r="J260" s="295">
        <v>1</v>
      </c>
      <c r="K260" s="294" t="s">
        <v>656</v>
      </c>
      <c r="L260" s="304">
        <v>7764.46</v>
      </c>
      <c r="M260" s="295">
        <v>0</v>
      </c>
      <c r="N260" s="295">
        <v>0</v>
      </c>
      <c r="O260" s="295">
        <v>0</v>
      </c>
      <c r="P260" s="303">
        <v>1630.54</v>
      </c>
      <c r="Q260" s="295">
        <v>9395</v>
      </c>
    </row>
    <row r="261" spans="1:17" hidden="1">
      <c r="A261" s="294" t="s">
        <v>1026</v>
      </c>
      <c r="B261" s="294" t="s">
        <v>654</v>
      </c>
      <c r="C261" s="295">
        <v>7</v>
      </c>
      <c r="D261" s="295">
        <v>2246</v>
      </c>
      <c r="E261" s="294"/>
      <c r="F261" s="295">
        <v>74468229523725</v>
      </c>
      <c r="G261" s="309" t="s">
        <v>7</v>
      </c>
      <c r="H261" s="295">
        <v>30608716390</v>
      </c>
      <c r="I261" s="294" t="s">
        <v>958</v>
      </c>
      <c r="J261" s="295">
        <v>1</v>
      </c>
      <c r="K261" s="294" t="s">
        <v>656</v>
      </c>
      <c r="L261" s="304">
        <v>51933.88</v>
      </c>
      <c r="M261" s="295">
        <v>0</v>
      </c>
      <c r="N261" s="295">
        <v>0</v>
      </c>
      <c r="O261" s="295">
        <v>0</v>
      </c>
      <c r="P261" s="303">
        <v>10906.11</v>
      </c>
      <c r="Q261" s="303">
        <v>62839.99</v>
      </c>
    </row>
    <row r="262" spans="1:17">
      <c r="A262" s="294" t="s">
        <v>1026</v>
      </c>
      <c r="B262" s="294" t="s">
        <v>948</v>
      </c>
      <c r="C262" s="295">
        <v>9</v>
      </c>
      <c r="D262" s="295">
        <v>374</v>
      </c>
      <c r="E262" s="294"/>
      <c r="F262" s="295">
        <v>74468240792644</v>
      </c>
      <c r="G262" s="295">
        <v>99</v>
      </c>
      <c r="H262" s="295">
        <v>0</v>
      </c>
      <c r="I262" s="294"/>
      <c r="J262" s="295">
        <v>1</v>
      </c>
      <c r="K262" s="294" t="s">
        <v>656</v>
      </c>
      <c r="L262" s="304">
        <v>21074.38</v>
      </c>
      <c r="M262" s="295">
        <v>0</v>
      </c>
      <c r="N262" s="295">
        <v>0</v>
      </c>
      <c r="O262" s="295">
        <v>0</v>
      </c>
      <c r="P262" s="303">
        <v>4425.62</v>
      </c>
      <c r="Q262" s="295">
        <v>25500</v>
      </c>
    </row>
    <row r="263" spans="1:17">
      <c r="A263" s="294" t="s">
        <v>1026</v>
      </c>
      <c r="B263" s="294" t="s">
        <v>948</v>
      </c>
      <c r="C263" s="295">
        <v>9</v>
      </c>
      <c r="D263" s="295">
        <v>370</v>
      </c>
      <c r="E263" s="294"/>
      <c r="F263" s="295">
        <v>74468211360905</v>
      </c>
      <c r="G263" s="295">
        <v>99</v>
      </c>
      <c r="H263" s="295">
        <v>0</v>
      </c>
      <c r="I263" s="294"/>
      <c r="J263" s="295">
        <v>1</v>
      </c>
      <c r="K263" s="294" t="s">
        <v>656</v>
      </c>
      <c r="L263" s="304">
        <v>33057.85</v>
      </c>
      <c r="M263" s="295">
        <v>0</v>
      </c>
      <c r="N263" s="295">
        <v>0</v>
      </c>
      <c r="O263" s="295">
        <v>0</v>
      </c>
      <c r="P263" s="303">
        <v>6942.15</v>
      </c>
      <c r="Q263" s="295">
        <v>40000</v>
      </c>
    </row>
    <row r="264" spans="1:17">
      <c r="A264" s="294" t="s">
        <v>1026</v>
      </c>
      <c r="B264" s="294" t="s">
        <v>948</v>
      </c>
      <c r="C264" s="295">
        <v>9</v>
      </c>
      <c r="D264" s="295">
        <v>363</v>
      </c>
      <c r="E264" s="294"/>
      <c r="F264" s="295">
        <v>74468189985805</v>
      </c>
      <c r="G264" s="295">
        <v>99</v>
      </c>
      <c r="H264" s="295">
        <v>0</v>
      </c>
      <c r="I264" s="294"/>
      <c r="J264" s="295">
        <v>1</v>
      </c>
      <c r="K264" s="294" t="s">
        <v>656</v>
      </c>
      <c r="L264" s="304">
        <v>20661.16</v>
      </c>
      <c r="M264" s="295">
        <v>0</v>
      </c>
      <c r="N264" s="295">
        <v>0</v>
      </c>
      <c r="O264" s="295">
        <v>0</v>
      </c>
      <c r="P264" s="303">
        <v>4338.84</v>
      </c>
      <c r="Q264" s="295">
        <v>25000</v>
      </c>
    </row>
    <row r="265" spans="1:17">
      <c r="A265" s="294" t="s">
        <v>1026</v>
      </c>
      <c r="B265" s="294" t="s">
        <v>948</v>
      </c>
      <c r="C265" s="295">
        <v>9</v>
      </c>
      <c r="D265" s="295">
        <v>369</v>
      </c>
      <c r="E265" s="294"/>
      <c r="F265" s="295">
        <v>74468208789463</v>
      </c>
      <c r="G265" s="295">
        <v>99</v>
      </c>
      <c r="H265" s="295">
        <v>0</v>
      </c>
      <c r="I265" s="294"/>
      <c r="J265" s="295">
        <v>1</v>
      </c>
      <c r="K265" s="294" t="s">
        <v>656</v>
      </c>
      <c r="L265" s="304">
        <v>5537.19</v>
      </c>
      <c r="M265" s="295">
        <v>0</v>
      </c>
      <c r="N265" s="295">
        <v>0</v>
      </c>
      <c r="O265" s="295">
        <v>0</v>
      </c>
      <c r="P265" s="303">
        <v>1162.81</v>
      </c>
      <c r="Q265" s="295">
        <v>6700</v>
      </c>
    </row>
    <row r="266" spans="1:17">
      <c r="A266" s="294" t="s">
        <v>1026</v>
      </c>
      <c r="B266" s="294" t="s">
        <v>948</v>
      </c>
      <c r="C266" s="295">
        <v>9</v>
      </c>
      <c r="D266" s="295">
        <v>364</v>
      </c>
      <c r="E266" s="294"/>
      <c r="F266" s="295">
        <v>74468195415716</v>
      </c>
      <c r="G266" s="295">
        <v>99</v>
      </c>
      <c r="H266" s="295">
        <v>0</v>
      </c>
      <c r="I266" s="294"/>
      <c r="J266" s="295">
        <v>1</v>
      </c>
      <c r="K266" s="294" t="s">
        <v>656</v>
      </c>
      <c r="L266" s="304">
        <v>13966.94</v>
      </c>
      <c r="M266" s="295">
        <v>0</v>
      </c>
      <c r="N266" s="295">
        <v>0</v>
      </c>
      <c r="O266" s="295">
        <v>0</v>
      </c>
      <c r="P266" s="303">
        <v>2933.06</v>
      </c>
      <c r="Q266" s="295">
        <v>16900</v>
      </c>
    </row>
    <row r="267" spans="1:17">
      <c r="A267" s="294" t="s">
        <v>1026</v>
      </c>
      <c r="B267" s="294" t="s">
        <v>948</v>
      </c>
      <c r="C267" s="295">
        <v>7</v>
      </c>
      <c r="D267" s="295">
        <v>5433</v>
      </c>
      <c r="E267" s="294"/>
      <c r="F267" s="295">
        <v>74468243969903</v>
      </c>
      <c r="G267" s="309" t="s">
        <v>949</v>
      </c>
      <c r="H267" s="295">
        <v>17855620</v>
      </c>
      <c r="I267" s="294" t="s">
        <v>1070</v>
      </c>
      <c r="J267" s="295">
        <v>1</v>
      </c>
      <c r="K267" s="294" t="s">
        <v>656</v>
      </c>
      <c r="L267" s="304">
        <v>41322.31</v>
      </c>
      <c r="M267" s="295">
        <v>0</v>
      </c>
      <c r="N267" s="295">
        <v>0</v>
      </c>
      <c r="O267" s="295">
        <v>0</v>
      </c>
      <c r="P267" s="303">
        <v>8677.69</v>
      </c>
      <c r="Q267" s="295">
        <v>50000</v>
      </c>
    </row>
    <row r="268" spans="1:17">
      <c r="A268" s="294" t="s">
        <v>1026</v>
      </c>
      <c r="B268" s="294" t="s">
        <v>948</v>
      </c>
      <c r="C268" s="295">
        <v>9</v>
      </c>
      <c r="D268" s="295">
        <v>362</v>
      </c>
      <c r="E268" s="294"/>
      <c r="F268" s="295">
        <v>74468187825395</v>
      </c>
      <c r="G268" s="295">
        <v>99</v>
      </c>
      <c r="H268" s="295">
        <v>0</v>
      </c>
      <c r="I268" s="294"/>
      <c r="J268" s="295">
        <v>1</v>
      </c>
      <c r="K268" s="294" t="s">
        <v>656</v>
      </c>
      <c r="L268" s="304">
        <v>5619.83</v>
      </c>
      <c r="M268" s="295">
        <v>0</v>
      </c>
      <c r="N268" s="295">
        <v>0</v>
      </c>
      <c r="O268" s="295">
        <v>0</v>
      </c>
      <c r="P268" s="303">
        <v>1180.17</v>
      </c>
      <c r="Q268" s="295">
        <v>6800</v>
      </c>
    </row>
    <row r="269" spans="1:17">
      <c r="A269" s="294" t="s">
        <v>1026</v>
      </c>
      <c r="B269" s="294" t="s">
        <v>948</v>
      </c>
      <c r="C269" s="295">
        <v>7</v>
      </c>
      <c r="D269" s="295">
        <v>5435</v>
      </c>
      <c r="E269" s="294"/>
      <c r="F269" s="295">
        <v>74468252179357</v>
      </c>
      <c r="G269" s="294" t="s">
        <v>949</v>
      </c>
      <c r="H269" s="295">
        <v>26542077</v>
      </c>
      <c r="I269" s="294" t="s">
        <v>1071</v>
      </c>
      <c r="J269" s="295">
        <v>1</v>
      </c>
      <c r="K269" s="294" t="s">
        <v>656</v>
      </c>
      <c r="L269" s="304">
        <v>46280.98</v>
      </c>
      <c r="M269" s="295">
        <v>0</v>
      </c>
      <c r="N269" s="295">
        <v>0</v>
      </c>
      <c r="O269" s="295">
        <v>0</v>
      </c>
      <c r="P269" s="303">
        <v>9719.01</v>
      </c>
      <c r="Q269" s="303">
        <v>55999.99</v>
      </c>
    </row>
    <row r="270" spans="1:17">
      <c r="A270" s="294" t="s">
        <v>1026</v>
      </c>
      <c r="B270" s="294" t="s">
        <v>948</v>
      </c>
      <c r="C270" s="295">
        <v>9</v>
      </c>
      <c r="D270" s="295">
        <v>367</v>
      </c>
      <c r="E270" s="294"/>
      <c r="F270" s="295">
        <v>74468203965763</v>
      </c>
      <c r="G270" s="295">
        <v>99</v>
      </c>
      <c r="H270" s="295">
        <v>0</v>
      </c>
      <c r="I270" s="294"/>
      <c r="J270" s="295">
        <v>1</v>
      </c>
      <c r="K270" s="294" t="s">
        <v>656</v>
      </c>
      <c r="L270" s="304">
        <v>19834.71</v>
      </c>
      <c r="M270" s="295">
        <v>0</v>
      </c>
      <c r="N270" s="295">
        <v>0</v>
      </c>
      <c r="O270" s="295">
        <v>0</v>
      </c>
      <c r="P270" s="303">
        <v>4165.29</v>
      </c>
      <c r="Q270" s="295">
        <v>24000</v>
      </c>
    </row>
    <row r="271" spans="1:17">
      <c r="A271" s="294" t="s">
        <v>1026</v>
      </c>
      <c r="B271" s="294" t="s">
        <v>948</v>
      </c>
      <c r="C271" s="295">
        <v>9</v>
      </c>
      <c r="D271" s="295">
        <v>375</v>
      </c>
      <c r="E271" s="294"/>
      <c r="F271" s="295">
        <v>74468241681775</v>
      </c>
      <c r="G271" s="295">
        <v>99</v>
      </c>
      <c r="H271" s="295">
        <v>0</v>
      </c>
      <c r="I271" s="294"/>
      <c r="J271" s="295">
        <v>1</v>
      </c>
      <c r="K271" s="294" t="s">
        <v>656</v>
      </c>
      <c r="L271" s="304">
        <v>23966.94</v>
      </c>
      <c r="M271" s="295">
        <v>0</v>
      </c>
      <c r="N271" s="295">
        <v>0</v>
      </c>
      <c r="O271" s="295">
        <v>0</v>
      </c>
      <c r="P271" s="303">
        <v>5033.0600000000004</v>
      </c>
      <c r="Q271" s="295">
        <v>29000</v>
      </c>
    </row>
    <row r="272" spans="1:17">
      <c r="A272" s="294" t="s">
        <v>1026</v>
      </c>
      <c r="B272" s="294" t="s">
        <v>948</v>
      </c>
      <c r="C272" s="295">
        <v>9</v>
      </c>
      <c r="D272" s="295">
        <v>368</v>
      </c>
      <c r="E272" s="294"/>
      <c r="F272" s="295">
        <v>74468204129427</v>
      </c>
      <c r="G272" s="295">
        <v>99</v>
      </c>
      <c r="H272" s="295">
        <v>0</v>
      </c>
      <c r="I272" s="294"/>
      <c r="J272" s="295">
        <v>1</v>
      </c>
      <c r="K272" s="294" t="s">
        <v>656</v>
      </c>
      <c r="L272" s="304">
        <v>16528.93</v>
      </c>
      <c r="M272" s="295">
        <v>0</v>
      </c>
      <c r="N272" s="295">
        <v>0</v>
      </c>
      <c r="O272" s="295">
        <v>0</v>
      </c>
      <c r="P272" s="303">
        <v>3471.07</v>
      </c>
      <c r="Q272" s="295">
        <v>20000</v>
      </c>
    </row>
    <row r="273" spans="1:17">
      <c r="A273" s="294" t="s">
        <v>1026</v>
      </c>
      <c r="B273" s="294" t="s">
        <v>948</v>
      </c>
      <c r="C273" s="295">
        <v>9</v>
      </c>
      <c r="D273" s="295">
        <v>371</v>
      </c>
      <c r="E273" s="294"/>
      <c r="F273" s="295">
        <v>74468228479422</v>
      </c>
      <c r="G273" s="295">
        <v>99</v>
      </c>
      <c r="H273" s="295">
        <v>0</v>
      </c>
      <c r="I273" s="294"/>
      <c r="J273" s="295">
        <v>1</v>
      </c>
      <c r="K273" s="294" t="s">
        <v>656</v>
      </c>
      <c r="L273" s="304">
        <v>12396.69</v>
      </c>
      <c r="M273" s="295">
        <v>0</v>
      </c>
      <c r="N273" s="295">
        <v>0</v>
      </c>
      <c r="O273" s="295">
        <v>0</v>
      </c>
      <c r="P273" s="303">
        <v>2603.31</v>
      </c>
      <c r="Q273" s="295">
        <v>15000</v>
      </c>
    </row>
    <row r="274" spans="1:17">
      <c r="A274" s="294" t="s">
        <v>1026</v>
      </c>
      <c r="B274" s="294" t="s">
        <v>948</v>
      </c>
      <c r="C274" s="295">
        <v>9</v>
      </c>
      <c r="D274" s="295">
        <v>361</v>
      </c>
      <c r="E274" s="294"/>
      <c r="F274" s="295">
        <v>74468183386793</v>
      </c>
      <c r="G274" s="295">
        <v>99</v>
      </c>
      <c r="H274" s="295">
        <v>0</v>
      </c>
      <c r="I274" s="294"/>
      <c r="J274" s="295">
        <v>1</v>
      </c>
      <c r="K274" s="294" t="s">
        <v>656</v>
      </c>
      <c r="L274" s="304">
        <v>29752.06</v>
      </c>
      <c r="M274" s="295">
        <v>0</v>
      </c>
      <c r="N274" s="295">
        <v>0</v>
      </c>
      <c r="O274" s="295">
        <v>0</v>
      </c>
      <c r="P274" s="303">
        <v>6247.94</v>
      </c>
      <c r="Q274" s="295">
        <v>36000</v>
      </c>
    </row>
    <row r="275" spans="1:17">
      <c r="A275" s="294" t="s">
        <v>1026</v>
      </c>
      <c r="B275" s="294" t="s">
        <v>948</v>
      </c>
      <c r="C275" s="295">
        <v>9</v>
      </c>
      <c r="D275" s="295">
        <v>372</v>
      </c>
      <c r="E275" s="294"/>
      <c r="F275" s="295">
        <v>74468228743041</v>
      </c>
      <c r="G275" s="295">
        <v>99</v>
      </c>
      <c r="H275" s="295">
        <v>0</v>
      </c>
      <c r="I275" s="294"/>
      <c r="J275" s="295">
        <v>1</v>
      </c>
      <c r="K275" s="294" t="s">
        <v>656</v>
      </c>
      <c r="L275" s="304">
        <v>15702.48</v>
      </c>
      <c r="M275" s="295">
        <v>0</v>
      </c>
      <c r="N275" s="295">
        <v>0</v>
      </c>
      <c r="O275" s="295">
        <v>0</v>
      </c>
      <c r="P275" s="303">
        <v>3297.52</v>
      </c>
      <c r="Q275" s="295">
        <v>19000</v>
      </c>
    </row>
    <row r="276" spans="1:17">
      <c r="A276" s="294" t="s">
        <v>1026</v>
      </c>
      <c r="B276" s="294" t="s">
        <v>948</v>
      </c>
      <c r="C276" s="295">
        <v>9</v>
      </c>
      <c r="D276" s="295">
        <v>373</v>
      </c>
      <c r="E276" s="294"/>
      <c r="F276" s="295">
        <v>74468236839141</v>
      </c>
      <c r="G276" s="295">
        <v>99</v>
      </c>
      <c r="H276" s="295">
        <v>0</v>
      </c>
      <c r="I276" s="294"/>
      <c r="J276" s="295">
        <v>1</v>
      </c>
      <c r="K276" s="294" t="s">
        <v>656</v>
      </c>
      <c r="L276" s="304">
        <v>16528.93</v>
      </c>
      <c r="M276" s="295">
        <v>0</v>
      </c>
      <c r="N276" s="295">
        <v>0</v>
      </c>
      <c r="O276" s="295">
        <v>0</v>
      </c>
      <c r="P276" s="303">
        <v>3471.07</v>
      </c>
      <c r="Q276" s="295">
        <v>20000</v>
      </c>
    </row>
    <row r="277" spans="1:17">
      <c r="A277" s="294" t="s">
        <v>1026</v>
      </c>
      <c r="B277" s="294" t="s">
        <v>948</v>
      </c>
      <c r="C277" s="295">
        <v>7</v>
      </c>
      <c r="D277" s="295">
        <v>5436</v>
      </c>
      <c r="E277" s="294"/>
      <c r="F277" s="295">
        <v>74468253039045</v>
      </c>
      <c r="G277" s="294" t="s">
        <v>949</v>
      </c>
      <c r="H277" s="295">
        <v>25315045</v>
      </c>
      <c r="I277" s="294" t="s">
        <v>1072</v>
      </c>
      <c r="J277" s="295">
        <v>1</v>
      </c>
      <c r="K277" s="294" t="s">
        <v>656</v>
      </c>
      <c r="L277" s="304">
        <v>21322.31</v>
      </c>
      <c r="M277" s="295">
        <v>0</v>
      </c>
      <c r="N277" s="295">
        <v>0</v>
      </c>
      <c r="O277" s="295">
        <v>0</v>
      </c>
      <c r="P277" s="303">
        <v>4477.6899999999996</v>
      </c>
      <c r="Q277" s="295">
        <v>25800</v>
      </c>
    </row>
    <row r="278" spans="1:17">
      <c r="A278" s="294" t="s">
        <v>1026</v>
      </c>
      <c r="B278" s="294" t="s">
        <v>948</v>
      </c>
      <c r="C278" s="295">
        <v>9</v>
      </c>
      <c r="D278" s="295">
        <v>366</v>
      </c>
      <c r="E278" s="294"/>
      <c r="F278" s="295">
        <v>74468202479468</v>
      </c>
      <c r="G278" s="295">
        <v>99</v>
      </c>
      <c r="H278" s="295">
        <v>0</v>
      </c>
      <c r="I278" s="294"/>
      <c r="J278" s="295">
        <v>1</v>
      </c>
      <c r="K278" s="294" t="s">
        <v>656</v>
      </c>
      <c r="L278" s="305">
        <v>10743.8</v>
      </c>
      <c r="M278" s="295">
        <v>0</v>
      </c>
      <c r="N278" s="295">
        <v>0</v>
      </c>
      <c r="O278" s="295">
        <v>0</v>
      </c>
      <c r="P278" s="309">
        <v>2256.1999999999998</v>
      </c>
      <c r="Q278" s="295">
        <v>13000</v>
      </c>
    </row>
    <row r="279" spans="1:17">
      <c r="A279" s="294" t="s">
        <v>1026</v>
      </c>
      <c r="B279" s="294" t="s">
        <v>948</v>
      </c>
      <c r="C279" s="295">
        <v>7</v>
      </c>
      <c r="D279" s="295">
        <v>5434</v>
      </c>
      <c r="E279" s="294"/>
      <c r="F279" s="295">
        <v>74468250991655</v>
      </c>
      <c r="G279" s="294" t="s">
        <v>949</v>
      </c>
      <c r="H279" s="295">
        <v>26542077</v>
      </c>
      <c r="I279" s="294" t="s">
        <v>1071</v>
      </c>
      <c r="J279" s="295">
        <v>1</v>
      </c>
      <c r="K279" s="294" t="s">
        <v>656</v>
      </c>
      <c r="L279" s="304">
        <v>46280.99</v>
      </c>
      <c r="M279" s="295">
        <v>0</v>
      </c>
      <c r="N279" s="295">
        <v>0</v>
      </c>
      <c r="O279" s="295">
        <v>0</v>
      </c>
      <c r="P279" s="303">
        <v>9719.01</v>
      </c>
      <c r="Q279" s="295">
        <v>56000</v>
      </c>
    </row>
    <row r="280" spans="1:17">
      <c r="A280" s="294" t="s">
        <v>1026</v>
      </c>
      <c r="B280" s="294" t="s">
        <v>948</v>
      </c>
      <c r="C280" s="295">
        <v>9</v>
      </c>
      <c r="D280" s="295">
        <v>365</v>
      </c>
      <c r="E280" s="294"/>
      <c r="F280" s="295">
        <v>74468199783011</v>
      </c>
      <c r="G280" s="295">
        <v>99</v>
      </c>
      <c r="H280" s="295">
        <v>0</v>
      </c>
      <c r="I280" s="294"/>
      <c r="J280" s="295">
        <v>1</v>
      </c>
      <c r="K280" s="294" t="s">
        <v>656</v>
      </c>
      <c r="L280" s="304">
        <v>109917.36</v>
      </c>
      <c r="M280" s="295">
        <v>0</v>
      </c>
      <c r="N280" s="295">
        <v>0</v>
      </c>
      <c r="O280" s="295">
        <v>0</v>
      </c>
      <c r="P280" s="303">
        <v>23082.639999999999</v>
      </c>
      <c r="Q280" s="295">
        <v>133000</v>
      </c>
    </row>
    <row r="281" spans="1:17">
      <c r="A281" s="294" t="s">
        <v>1026</v>
      </c>
      <c r="B281" s="294" t="s">
        <v>948</v>
      </c>
      <c r="C281" s="295">
        <v>9</v>
      </c>
      <c r="D281" s="295">
        <v>360</v>
      </c>
      <c r="E281" s="294"/>
      <c r="F281" s="295">
        <v>74468181787156</v>
      </c>
      <c r="G281" s="295">
        <v>99</v>
      </c>
      <c r="H281" s="295">
        <v>0</v>
      </c>
      <c r="I281" s="294"/>
      <c r="J281" s="295">
        <v>1</v>
      </c>
      <c r="K281" s="294" t="s">
        <v>656</v>
      </c>
      <c r="L281" s="304">
        <v>14876.03</v>
      </c>
      <c r="M281" s="295">
        <v>0</v>
      </c>
      <c r="N281" s="295">
        <v>0</v>
      </c>
      <c r="O281" s="295">
        <v>0</v>
      </c>
      <c r="P281" s="303">
        <v>3123.97</v>
      </c>
      <c r="Q281" s="295">
        <v>18000</v>
      </c>
    </row>
    <row r="282" spans="1:17">
      <c r="A282" s="294" t="s">
        <v>1026</v>
      </c>
      <c r="B282" s="294" t="s">
        <v>948</v>
      </c>
      <c r="C282" s="295">
        <v>7</v>
      </c>
      <c r="D282" s="295">
        <v>5437</v>
      </c>
      <c r="E282" s="294"/>
      <c r="F282" s="295">
        <v>74468254046415</v>
      </c>
      <c r="G282" s="294" t="s">
        <v>949</v>
      </c>
      <c r="H282" s="295">
        <v>21645724</v>
      </c>
      <c r="I282" s="294"/>
      <c r="J282" s="295">
        <v>1</v>
      </c>
      <c r="K282" s="294" t="s">
        <v>656</v>
      </c>
      <c r="L282" s="304">
        <v>28925.61</v>
      </c>
      <c r="M282" s="295">
        <v>0</v>
      </c>
      <c r="N282" s="295">
        <v>0</v>
      </c>
      <c r="O282" s="295">
        <v>0</v>
      </c>
      <c r="P282" s="303">
        <v>6074.38</v>
      </c>
      <c r="Q282" s="303">
        <v>34999.99</v>
      </c>
    </row>
    <row r="283" spans="1:17">
      <c r="A283" s="294" t="s">
        <v>1026</v>
      </c>
      <c r="B283" s="294" t="s">
        <v>948</v>
      </c>
      <c r="C283" s="295">
        <v>3</v>
      </c>
      <c r="D283" s="295">
        <v>2875</v>
      </c>
      <c r="E283" s="294"/>
      <c r="F283" s="295">
        <v>74468230784203</v>
      </c>
      <c r="G283" s="294" t="s">
        <v>949</v>
      </c>
      <c r="H283" s="295">
        <v>23522282</v>
      </c>
      <c r="I283" s="294" t="s">
        <v>1073</v>
      </c>
      <c r="J283" s="295">
        <v>1</v>
      </c>
      <c r="K283" s="294" t="s">
        <v>656</v>
      </c>
      <c r="L283" s="304">
        <v>56198.33</v>
      </c>
      <c r="M283" s="295">
        <v>0</v>
      </c>
      <c r="N283" s="295">
        <v>0</v>
      </c>
      <c r="O283" s="295">
        <v>0</v>
      </c>
      <c r="P283" s="303">
        <v>11801.65</v>
      </c>
      <c r="Q283" s="295">
        <v>68000</v>
      </c>
    </row>
    <row r="284" spans="1:17">
      <c r="A284" s="294" t="s">
        <v>1026</v>
      </c>
      <c r="B284" s="294" t="s">
        <v>948</v>
      </c>
      <c r="C284" s="295">
        <v>3</v>
      </c>
      <c r="D284" s="295">
        <v>2876</v>
      </c>
      <c r="E284" s="294"/>
      <c r="F284" s="295">
        <v>74468245421544</v>
      </c>
      <c r="G284" s="294" t="s">
        <v>949</v>
      </c>
      <c r="H284" s="295">
        <v>22225858</v>
      </c>
      <c r="I284" s="294" t="s">
        <v>1074</v>
      </c>
      <c r="J284" s="295">
        <v>1</v>
      </c>
      <c r="K284" s="294" t="s">
        <v>656</v>
      </c>
      <c r="L284" s="304">
        <v>13636.38</v>
      </c>
      <c r="M284" s="295">
        <v>0</v>
      </c>
      <c r="N284" s="295">
        <v>0</v>
      </c>
      <c r="O284" s="295">
        <v>0</v>
      </c>
      <c r="P284" s="303">
        <v>2863.64</v>
      </c>
      <c r="Q284" s="295">
        <v>16500</v>
      </c>
    </row>
    <row r="285" spans="1:17" hidden="1">
      <c r="A285" s="294" t="s">
        <v>1026</v>
      </c>
      <c r="B285" s="294" t="s">
        <v>950</v>
      </c>
      <c r="C285" s="295">
        <v>7</v>
      </c>
      <c r="D285" s="295">
        <v>165</v>
      </c>
      <c r="E285" s="294"/>
      <c r="F285" s="295">
        <v>74468251847045</v>
      </c>
      <c r="G285" s="294" t="s">
        <v>949</v>
      </c>
      <c r="H285" s="295">
        <v>26542077</v>
      </c>
      <c r="I285" s="294" t="s">
        <v>1071</v>
      </c>
      <c r="J285" s="295">
        <v>1</v>
      </c>
      <c r="K285" s="294" t="s">
        <v>656</v>
      </c>
      <c r="L285" s="304">
        <v>-46280.99</v>
      </c>
      <c r="M285" s="295"/>
      <c r="N285" s="295">
        <v>0</v>
      </c>
      <c r="O285" s="295">
        <v>0</v>
      </c>
      <c r="P285" s="303">
        <f>+L285*0.21</f>
        <v>-9719.0078999999987</v>
      </c>
      <c r="Q285" s="295">
        <f>SUBTOTAL(9,L285:P285)</f>
        <v>0</v>
      </c>
    </row>
    <row r="286" spans="1:17" hidden="1">
      <c r="A286" s="294" t="s">
        <v>1031</v>
      </c>
      <c r="B286" s="294" t="s">
        <v>654</v>
      </c>
      <c r="C286" s="295">
        <v>7</v>
      </c>
      <c r="D286" s="295">
        <v>2262</v>
      </c>
      <c r="E286" s="294"/>
      <c r="F286" s="295">
        <v>74468376773042</v>
      </c>
      <c r="G286" s="294" t="s">
        <v>7</v>
      </c>
      <c r="H286" s="295">
        <v>30604958640</v>
      </c>
      <c r="I286" s="294" t="s">
        <v>993</v>
      </c>
      <c r="J286" s="295">
        <v>1</v>
      </c>
      <c r="K286" s="294" t="s">
        <v>656</v>
      </c>
      <c r="L286" s="304">
        <v>383346.15</v>
      </c>
      <c r="M286" s="295">
        <v>0</v>
      </c>
      <c r="N286" s="295">
        <v>0</v>
      </c>
      <c r="O286" s="295">
        <v>0</v>
      </c>
      <c r="P286" s="303">
        <v>80502.69</v>
      </c>
      <c r="Q286" s="303">
        <v>463848.84</v>
      </c>
    </row>
    <row r="287" spans="1:17" hidden="1">
      <c r="A287" s="294" t="s">
        <v>1031</v>
      </c>
      <c r="B287" s="294" t="s">
        <v>654</v>
      </c>
      <c r="C287" s="295">
        <v>7</v>
      </c>
      <c r="D287" s="295">
        <v>2261</v>
      </c>
      <c r="E287" s="294"/>
      <c r="F287" s="295">
        <v>74468332598176</v>
      </c>
      <c r="G287" s="294" t="s">
        <v>7</v>
      </c>
      <c r="H287" s="295">
        <v>27182477368</v>
      </c>
      <c r="I287" s="294" t="s">
        <v>74</v>
      </c>
      <c r="J287" s="295">
        <v>1</v>
      </c>
      <c r="K287" s="294" t="s">
        <v>656</v>
      </c>
      <c r="L287" s="304">
        <v>19834.71</v>
      </c>
      <c r="M287" s="295">
        <v>0</v>
      </c>
      <c r="N287" s="295">
        <v>0</v>
      </c>
      <c r="O287" s="295">
        <v>0</v>
      </c>
      <c r="P287" s="303">
        <v>4165.29</v>
      </c>
      <c r="Q287" s="295">
        <v>24000</v>
      </c>
    </row>
    <row r="288" spans="1:17">
      <c r="A288" s="294" t="s">
        <v>1031</v>
      </c>
      <c r="B288" s="294" t="s">
        <v>948</v>
      </c>
      <c r="C288" s="295">
        <v>9</v>
      </c>
      <c r="D288" s="295">
        <v>384</v>
      </c>
      <c r="E288" s="294"/>
      <c r="F288" s="295">
        <v>74468339591139</v>
      </c>
      <c r="G288" s="295">
        <v>99</v>
      </c>
      <c r="H288" s="295">
        <v>0</v>
      </c>
      <c r="I288" s="294"/>
      <c r="J288" s="295">
        <v>1</v>
      </c>
      <c r="K288" s="294" t="s">
        <v>656</v>
      </c>
      <c r="L288" s="304">
        <v>29752.07</v>
      </c>
      <c r="M288" s="295">
        <v>0</v>
      </c>
      <c r="N288" s="295">
        <v>0</v>
      </c>
      <c r="O288" s="295">
        <v>0</v>
      </c>
      <c r="P288" s="303">
        <v>6247.93</v>
      </c>
      <c r="Q288" s="295">
        <v>36000</v>
      </c>
    </row>
    <row r="289" spans="1:17">
      <c r="A289" s="294" t="s">
        <v>1031</v>
      </c>
      <c r="B289" s="294" t="s">
        <v>948</v>
      </c>
      <c r="C289" s="295">
        <v>9</v>
      </c>
      <c r="D289" s="295">
        <v>383</v>
      </c>
      <c r="E289" s="294"/>
      <c r="F289" s="295">
        <v>74468336887907</v>
      </c>
      <c r="G289" s="295">
        <v>99</v>
      </c>
      <c r="H289" s="295">
        <v>0</v>
      </c>
      <c r="I289" s="294"/>
      <c r="J289" s="295">
        <v>1</v>
      </c>
      <c r="K289" s="294" t="s">
        <v>656</v>
      </c>
      <c r="L289" s="304">
        <v>16942.150000000001</v>
      </c>
      <c r="M289" s="295">
        <v>0</v>
      </c>
      <c r="N289" s="295">
        <v>0</v>
      </c>
      <c r="O289" s="295">
        <v>0</v>
      </c>
      <c r="P289" s="303">
        <v>3557.85</v>
      </c>
      <c r="Q289" s="295">
        <v>20500</v>
      </c>
    </row>
    <row r="290" spans="1:17">
      <c r="A290" s="294" t="s">
        <v>1031</v>
      </c>
      <c r="B290" s="294" t="s">
        <v>948</v>
      </c>
      <c r="C290" s="295">
        <v>7</v>
      </c>
      <c r="D290" s="295">
        <v>5440</v>
      </c>
      <c r="E290" s="294"/>
      <c r="F290" s="295">
        <v>74468320295031</v>
      </c>
      <c r="G290" s="294" t="s">
        <v>949</v>
      </c>
      <c r="H290" s="295">
        <v>93332052</v>
      </c>
      <c r="I290" s="294" t="s">
        <v>1075</v>
      </c>
      <c r="J290" s="295">
        <v>1</v>
      </c>
      <c r="K290" s="294" t="s">
        <v>656</v>
      </c>
      <c r="L290" s="304">
        <v>14694.21</v>
      </c>
      <c r="M290" s="295">
        <v>0</v>
      </c>
      <c r="N290" s="295">
        <v>0</v>
      </c>
      <c r="O290" s="295">
        <v>0</v>
      </c>
      <c r="P290" s="303">
        <v>3085.78</v>
      </c>
      <c r="Q290" s="303">
        <v>17779.990000000002</v>
      </c>
    </row>
    <row r="291" spans="1:17">
      <c r="A291" s="294" t="s">
        <v>1031</v>
      </c>
      <c r="B291" s="294" t="s">
        <v>948</v>
      </c>
      <c r="C291" s="295">
        <v>9</v>
      </c>
      <c r="D291" s="295">
        <v>382</v>
      </c>
      <c r="E291" s="294"/>
      <c r="F291" s="295">
        <v>74468331624059</v>
      </c>
      <c r="G291" s="295">
        <v>99</v>
      </c>
      <c r="H291" s="295">
        <v>0</v>
      </c>
      <c r="I291" s="294"/>
      <c r="J291" s="295">
        <v>1</v>
      </c>
      <c r="K291" s="294" t="s">
        <v>656</v>
      </c>
      <c r="L291" s="304">
        <v>13966.94</v>
      </c>
      <c r="M291" s="295">
        <v>0</v>
      </c>
      <c r="N291" s="295">
        <v>0</v>
      </c>
      <c r="O291" s="295">
        <v>0</v>
      </c>
      <c r="P291" s="303">
        <v>2933.06</v>
      </c>
      <c r="Q291" s="295">
        <v>16900</v>
      </c>
    </row>
    <row r="292" spans="1:17">
      <c r="A292" s="294" t="s">
        <v>1031</v>
      </c>
      <c r="B292" s="294" t="s">
        <v>948</v>
      </c>
      <c r="C292" s="295">
        <v>9</v>
      </c>
      <c r="D292" s="295">
        <v>387</v>
      </c>
      <c r="E292" s="294"/>
      <c r="F292" s="295">
        <v>74468364794466</v>
      </c>
      <c r="G292" s="295">
        <v>99</v>
      </c>
      <c r="H292" s="295">
        <v>0</v>
      </c>
      <c r="I292" s="294"/>
      <c r="J292" s="295">
        <v>1</v>
      </c>
      <c r="K292" s="294" t="s">
        <v>656</v>
      </c>
      <c r="L292" s="304">
        <v>14876.03</v>
      </c>
      <c r="M292" s="295">
        <v>0</v>
      </c>
      <c r="N292" s="295">
        <v>0</v>
      </c>
      <c r="O292" s="295">
        <v>0</v>
      </c>
      <c r="P292" s="303">
        <v>3123.97</v>
      </c>
      <c r="Q292" s="295">
        <v>18000</v>
      </c>
    </row>
    <row r="293" spans="1:17">
      <c r="A293" s="294" t="s">
        <v>1031</v>
      </c>
      <c r="B293" s="294" t="s">
        <v>948</v>
      </c>
      <c r="C293" s="295">
        <v>9</v>
      </c>
      <c r="D293" s="295">
        <v>379</v>
      </c>
      <c r="E293" s="294"/>
      <c r="F293" s="295">
        <v>74468312322832</v>
      </c>
      <c r="G293" s="295">
        <v>99</v>
      </c>
      <c r="H293" s="295">
        <v>0</v>
      </c>
      <c r="I293" s="294"/>
      <c r="J293" s="295">
        <v>1</v>
      </c>
      <c r="K293" s="294" t="s">
        <v>656</v>
      </c>
      <c r="L293" s="304">
        <v>20454.55</v>
      </c>
      <c r="M293" s="295">
        <v>0</v>
      </c>
      <c r="N293" s="295">
        <v>0</v>
      </c>
      <c r="O293" s="295">
        <v>0</v>
      </c>
      <c r="P293" s="303">
        <v>4295.45</v>
      </c>
      <c r="Q293" s="295">
        <v>24750</v>
      </c>
    </row>
    <row r="294" spans="1:17">
      <c r="A294" s="294" t="s">
        <v>1031</v>
      </c>
      <c r="B294" s="294" t="s">
        <v>948</v>
      </c>
      <c r="C294" s="295">
        <v>7</v>
      </c>
      <c r="D294" s="295">
        <v>5445</v>
      </c>
      <c r="E294" s="294"/>
      <c r="F294" s="295">
        <v>74468329105581</v>
      </c>
      <c r="G294" s="294" t="s">
        <v>949</v>
      </c>
      <c r="H294" s="295">
        <v>29654556</v>
      </c>
      <c r="I294" s="294" t="s">
        <v>1076</v>
      </c>
      <c r="J294" s="295">
        <v>1</v>
      </c>
      <c r="K294" s="294" t="s">
        <v>656</v>
      </c>
      <c r="L294" s="306">
        <v>0</v>
      </c>
      <c r="M294" s="295">
        <v>86000</v>
      </c>
      <c r="N294" s="295">
        <v>0</v>
      </c>
      <c r="O294" s="295">
        <v>0</v>
      </c>
      <c r="P294" s="295">
        <v>0</v>
      </c>
      <c r="Q294" s="295">
        <v>86000</v>
      </c>
    </row>
    <row r="295" spans="1:17">
      <c r="A295" s="294" t="s">
        <v>1031</v>
      </c>
      <c r="B295" s="294" t="s">
        <v>948</v>
      </c>
      <c r="C295" s="295">
        <v>9</v>
      </c>
      <c r="D295" s="295">
        <v>390</v>
      </c>
      <c r="E295" s="294"/>
      <c r="F295" s="295">
        <v>74468378819049</v>
      </c>
      <c r="G295" s="295">
        <v>99</v>
      </c>
      <c r="H295" s="295">
        <v>0</v>
      </c>
      <c r="I295" s="294"/>
      <c r="J295" s="295">
        <v>1</v>
      </c>
      <c r="K295" s="294" t="s">
        <v>656</v>
      </c>
      <c r="L295" s="304">
        <v>9917.36</v>
      </c>
      <c r="M295" s="295">
        <v>0</v>
      </c>
      <c r="N295" s="295">
        <v>0</v>
      </c>
      <c r="O295" s="295">
        <v>0</v>
      </c>
      <c r="P295" s="303">
        <v>2082.64</v>
      </c>
      <c r="Q295" s="295">
        <v>12000</v>
      </c>
    </row>
    <row r="296" spans="1:17">
      <c r="A296" s="294" t="s">
        <v>1031</v>
      </c>
      <c r="B296" s="294" t="s">
        <v>948</v>
      </c>
      <c r="C296" s="295">
        <v>7</v>
      </c>
      <c r="D296" s="295">
        <v>5444</v>
      </c>
      <c r="E296" s="294"/>
      <c r="F296" s="295">
        <v>74468326395356</v>
      </c>
      <c r="G296" s="294" t="s">
        <v>949</v>
      </c>
      <c r="H296" s="295">
        <v>20008996</v>
      </c>
      <c r="I296" s="294" t="s">
        <v>1077</v>
      </c>
      <c r="J296" s="295">
        <v>1</v>
      </c>
      <c r="K296" s="294" t="s">
        <v>656</v>
      </c>
      <c r="L296" s="304">
        <v>39669.42</v>
      </c>
      <c r="M296" s="295">
        <v>0</v>
      </c>
      <c r="N296" s="295">
        <v>0</v>
      </c>
      <c r="O296" s="295">
        <v>0</v>
      </c>
      <c r="P296" s="303">
        <v>8330.58</v>
      </c>
      <c r="Q296" s="295">
        <v>48000</v>
      </c>
    </row>
    <row r="297" spans="1:17">
      <c r="A297" s="294" t="s">
        <v>1031</v>
      </c>
      <c r="B297" s="294" t="s">
        <v>948</v>
      </c>
      <c r="C297" s="295">
        <v>9</v>
      </c>
      <c r="D297" s="295">
        <v>381</v>
      </c>
      <c r="E297" s="294"/>
      <c r="F297" s="295">
        <v>74468329210612</v>
      </c>
      <c r="G297" s="295">
        <v>99</v>
      </c>
      <c r="H297" s="295">
        <v>0</v>
      </c>
      <c r="I297" s="294"/>
      <c r="J297" s="295">
        <v>1</v>
      </c>
      <c r="K297" s="294" t="s">
        <v>656</v>
      </c>
      <c r="L297" s="305">
        <v>18512.400000000001</v>
      </c>
      <c r="M297" s="295">
        <v>0</v>
      </c>
      <c r="N297" s="295">
        <v>0</v>
      </c>
      <c r="O297" s="295">
        <v>0</v>
      </c>
      <c r="P297" s="309">
        <v>3887.6</v>
      </c>
      <c r="Q297" s="295">
        <v>22400</v>
      </c>
    </row>
    <row r="298" spans="1:17">
      <c r="A298" s="294" t="s">
        <v>1031</v>
      </c>
      <c r="B298" s="294" t="s">
        <v>948</v>
      </c>
      <c r="C298" s="295">
        <v>9</v>
      </c>
      <c r="D298" s="295">
        <v>376</v>
      </c>
      <c r="E298" s="294"/>
      <c r="F298" s="295">
        <v>74468309828283</v>
      </c>
      <c r="G298" s="295">
        <v>99</v>
      </c>
      <c r="H298" s="295">
        <v>0</v>
      </c>
      <c r="I298" s="294"/>
      <c r="J298" s="295">
        <v>1</v>
      </c>
      <c r="K298" s="294" t="s">
        <v>656</v>
      </c>
      <c r="L298" s="304">
        <v>22975.21</v>
      </c>
      <c r="M298" s="295">
        <v>0</v>
      </c>
      <c r="N298" s="295">
        <v>0</v>
      </c>
      <c r="O298" s="295">
        <v>0</v>
      </c>
      <c r="P298" s="303">
        <v>4824.79</v>
      </c>
      <c r="Q298" s="295">
        <v>27800</v>
      </c>
    </row>
    <row r="299" spans="1:17">
      <c r="A299" s="294" t="s">
        <v>1031</v>
      </c>
      <c r="B299" s="294" t="s">
        <v>948</v>
      </c>
      <c r="C299" s="295">
        <v>9</v>
      </c>
      <c r="D299" s="295">
        <v>385</v>
      </c>
      <c r="E299" s="294"/>
      <c r="F299" s="295">
        <v>74468343324026</v>
      </c>
      <c r="G299" s="295">
        <v>99</v>
      </c>
      <c r="H299" s="295">
        <v>0</v>
      </c>
      <c r="I299" s="294"/>
      <c r="J299" s="295">
        <v>1</v>
      </c>
      <c r="K299" s="294" t="s">
        <v>656</v>
      </c>
      <c r="L299" s="304">
        <v>12396.69</v>
      </c>
      <c r="M299" s="295">
        <v>0</v>
      </c>
      <c r="N299" s="295">
        <v>0</v>
      </c>
      <c r="O299" s="295">
        <v>0</v>
      </c>
      <c r="P299" s="303">
        <v>2603.31</v>
      </c>
      <c r="Q299" s="295">
        <v>15000</v>
      </c>
    </row>
    <row r="300" spans="1:17">
      <c r="A300" s="294" t="s">
        <v>1031</v>
      </c>
      <c r="B300" s="294" t="s">
        <v>948</v>
      </c>
      <c r="C300" s="295">
        <v>7</v>
      </c>
      <c r="D300" s="295">
        <v>5442</v>
      </c>
      <c r="E300" s="294"/>
      <c r="F300" s="295">
        <v>74468324043291</v>
      </c>
      <c r="G300" s="294" t="s">
        <v>949</v>
      </c>
      <c r="H300" s="295">
        <v>5607654</v>
      </c>
      <c r="I300" s="294" t="s">
        <v>1078</v>
      </c>
      <c r="J300" s="295">
        <v>1</v>
      </c>
      <c r="K300" s="294" t="s">
        <v>656</v>
      </c>
      <c r="L300" s="304">
        <v>19834.71</v>
      </c>
      <c r="M300" s="295">
        <v>0</v>
      </c>
      <c r="N300" s="295">
        <v>0</v>
      </c>
      <c r="O300" s="295">
        <v>0</v>
      </c>
      <c r="P300" s="303">
        <v>4165.29</v>
      </c>
      <c r="Q300" s="295">
        <v>24000</v>
      </c>
    </row>
    <row r="301" spans="1:17">
      <c r="A301" s="294" t="s">
        <v>1031</v>
      </c>
      <c r="B301" s="294" t="s">
        <v>948</v>
      </c>
      <c r="C301" s="295">
        <v>9</v>
      </c>
      <c r="D301" s="295">
        <v>388</v>
      </c>
      <c r="E301" s="294"/>
      <c r="F301" s="295">
        <v>74468368464083</v>
      </c>
      <c r="G301" s="295">
        <v>99</v>
      </c>
      <c r="H301" s="295">
        <v>0</v>
      </c>
      <c r="I301" s="294"/>
      <c r="J301" s="295">
        <v>1</v>
      </c>
      <c r="K301" s="294" t="s">
        <v>656</v>
      </c>
      <c r="L301" s="304">
        <v>5206.6099999999997</v>
      </c>
      <c r="M301" s="295">
        <v>0</v>
      </c>
      <c r="N301" s="295">
        <v>0</v>
      </c>
      <c r="O301" s="295">
        <v>0</v>
      </c>
      <c r="P301" s="303">
        <v>1093.3900000000001</v>
      </c>
      <c r="Q301" s="295">
        <v>6300</v>
      </c>
    </row>
    <row r="302" spans="1:17">
      <c r="A302" s="294" t="s">
        <v>1031</v>
      </c>
      <c r="B302" s="294" t="s">
        <v>948</v>
      </c>
      <c r="C302" s="295">
        <v>9</v>
      </c>
      <c r="D302" s="295">
        <v>380</v>
      </c>
      <c r="E302" s="294"/>
      <c r="F302" s="295">
        <v>74468316333628</v>
      </c>
      <c r="G302" s="295">
        <v>99</v>
      </c>
      <c r="H302" s="295">
        <v>0</v>
      </c>
      <c r="I302" s="294"/>
      <c r="J302" s="295">
        <v>1</v>
      </c>
      <c r="K302" s="294" t="s">
        <v>656</v>
      </c>
      <c r="L302" s="304">
        <v>28429.75</v>
      </c>
      <c r="M302" s="295">
        <v>0</v>
      </c>
      <c r="N302" s="295">
        <v>0</v>
      </c>
      <c r="O302" s="295">
        <v>0</v>
      </c>
      <c r="P302" s="303">
        <v>5970.25</v>
      </c>
      <c r="Q302" s="295">
        <v>34400</v>
      </c>
    </row>
    <row r="303" spans="1:17">
      <c r="A303" s="294" t="s">
        <v>1031</v>
      </c>
      <c r="B303" s="294" t="s">
        <v>948</v>
      </c>
      <c r="C303" s="295">
        <v>7</v>
      </c>
      <c r="D303" s="295">
        <v>5443</v>
      </c>
      <c r="E303" s="294"/>
      <c r="F303" s="295">
        <v>74468324718042</v>
      </c>
      <c r="G303" s="294" t="s">
        <v>949</v>
      </c>
      <c r="H303" s="295">
        <v>24699538</v>
      </c>
      <c r="I303" s="294" t="s">
        <v>1079</v>
      </c>
      <c r="J303" s="295">
        <v>1</v>
      </c>
      <c r="K303" s="294" t="s">
        <v>656</v>
      </c>
      <c r="L303" s="304">
        <v>19834.71</v>
      </c>
      <c r="M303" s="295">
        <v>0</v>
      </c>
      <c r="N303" s="295">
        <v>0</v>
      </c>
      <c r="O303" s="295">
        <v>0</v>
      </c>
      <c r="P303" s="303">
        <v>4165.29</v>
      </c>
      <c r="Q303" s="295">
        <v>24000</v>
      </c>
    </row>
    <row r="304" spans="1:17">
      <c r="A304" s="294" t="s">
        <v>1031</v>
      </c>
      <c r="B304" s="294" t="s">
        <v>948</v>
      </c>
      <c r="C304" s="295">
        <v>9</v>
      </c>
      <c r="D304" s="295">
        <v>389</v>
      </c>
      <c r="E304" s="294"/>
      <c r="F304" s="295">
        <v>74468369166048</v>
      </c>
      <c r="G304" s="295">
        <v>99</v>
      </c>
      <c r="H304" s="295">
        <v>0</v>
      </c>
      <c r="I304" s="294"/>
      <c r="J304" s="295">
        <v>1</v>
      </c>
      <c r="K304" s="294" t="s">
        <v>656</v>
      </c>
      <c r="L304" s="305">
        <v>21487.599999999999</v>
      </c>
      <c r="M304" s="295">
        <v>0</v>
      </c>
      <c r="N304" s="295">
        <v>0</v>
      </c>
      <c r="O304" s="295">
        <v>0</v>
      </c>
      <c r="P304" s="309">
        <v>4512.3999999999996</v>
      </c>
      <c r="Q304" s="295">
        <v>26000</v>
      </c>
    </row>
    <row r="305" spans="1:17">
      <c r="A305" s="294" t="s">
        <v>1031</v>
      </c>
      <c r="B305" s="294" t="s">
        <v>948</v>
      </c>
      <c r="C305" s="295">
        <v>9</v>
      </c>
      <c r="D305" s="295">
        <v>386</v>
      </c>
      <c r="E305" s="294"/>
      <c r="F305" s="295">
        <v>74468363705176</v>
      </c>
      <c r="G305" s="295">
        <v>99</v>
      </c>
      <c r="H305" s="295">
        <v>0</v>
      </c>
      <c r="I305" s="294"/>
      <c r="J305" s="295">
        <v>1</v>
      </c>
      <c r="K305" s="294" t="s">
        <v>656</v>
      </c>
      <c r="L305" s="304">
        <v>8595.0400000000009</v>
      </c>
      <c r="M305" s="295">
        <v>0</v>
      </c>
      <c r="N305" s="295">
        <v>0</v>
      </c>
      <c r="O305" s="295">
        <v>0</v>
      </c>
      <c r="P305" s="303">
        <v>1804.96</v>
      </c>
      <c r="Q305" s="295">
        <v>10400</v>
      </c>
    </row>
    <row r="306" spans="1:17">
      <c r="A306" s="294" t="s">
        <v>1031</v>
      </c>
      <c r="B306" s="294" t="s">
        <v>948</v>
      </c>
      <c r="C306" s="295">
        <v>7</v>
      </c>
      <c r="D306" s="295">
        <v>5438</v>
      </c>
      <c r="E306" s="294"/>
      <c r="F306" s="295">
        <v>74468316538541</v>
      </c>
      <c r="G306" s="294" t="s">
        <v>949</v>
      </c>
      <c r="H306" s="295">
        <v>14547747</v>
      </c>
      <c r="I306" s="294" t="s">
        <v>1080</v>
      </c>
      <c r="J306" s="295">
        <v>1</v>
      </c>
      <c r="K306" s="294" t="s">
        <v>656</v>
      </c>
      <c r="L306" s="304">
        <v>16528.919999999998</v>
      </c>
      <c r="M306" s="295">
        <v>0</v>
      </c>
      <c r="N306" s="295">
        <v>0</v>
      </c>
      <c r="O306" s="295">
        <v>0</v>
      </c>
      <c r="P306" s="303">
        <v>3471.07</v>
      </c>
      <c r="Q306" s="303">
        <v>19999.990000000002</v>
      </c>
    </row>
    <row r="307" spans="1:17">
      <c r="A307" s="294" t="s">
        <v>1031</v>
      </c>
      <c r="B307" s="294" t="s">
        <v>948</v>
      </c>
      <c r="C307" s="295">
        <v>9</v>
      </c>
      <c r="D307" s="295">
        <v>377</v>
      </c>
      <c r="E307" s="294"/>
      <c r="F307" s="295">
        <v>74468311064499</v>
      </c>
      <c r="G307" s="295">
        <v>99</v>
      </c>
      <c r="H307" s="295">
        <v>0</v>
      </c>
      <c r="I307" s="294"/>
      <c r="J307" s="295">
        <v>1</v>
      </c>
      <c r="K307" s="294" t="s">
        <v>656</v>
      </c>
      <c r="L307" s="304">
        <v>45454.55</v>
      </c>
      <c r="M307" s="295">
        <v>0</v>
      </c>
      <c r="N307" s="295">
        <v>0</v>
      </c>
      <c r="O307" s="295">
        <v>0</v>
      </c>
      <c r="P307" s="303">
        <v>9545.4500000000007</v>
      </c>
      <c r="Q307" s="295">
        <v>55000</v>
      </c>
    </row>
    <row r="308" spans="1:17">
      <c r="A308" s="294" t="s">
        <v>1031</v>
      </c>
      <c r="B308" s="294" t="s">
        <v>948</v>
      </c>
      <c r="C308" s="295">
        <v>7</v>
      </c>
      <c r="D308" s="295">
        <v>5441</v>
      </c>
      <c r="E308" s="294"/>
      <c r="F308" s="295">
        <v>74468322255837</v>
      </c>
      <c r="G308" s="294" t="s">
        <v>949</v>
      </c>
      <c r="H308" s="295">
        <v>5607654</v>
      </c>
      <c r="I308" s="294" t="s">
        <v>1078</v>
      </c>
      <c r="J308" s="295">
        <v>1</v>
      </c>
      <c r="K308" s="294" t="s">
        <v>656</v>
      </c>
      <c r="L308" s="304">
        <v>19834.71</v>
      </c>
      <c r="M308" s="295">
        <v>0</v>
      </c>
      <c r="N308" s="295">
        <v>0</v>
      </c>
      <c r="O308" s="295">
        <v>0</v>
      </c>
      <c r="P308" s="303">
        <v>4165.29</v>
      </c>
      <c r="Q308" s="295">
        <v>24000</v>
      </c>
    </row>
    <row r="309" spans="1:17">
      <c r="A309" s="294" t="s">
        <v>1031</v>
      </c>
      <c r="B309" s="294" t="s">
        <v>948</v>
      </c>
      <c r="C309" s="295">
        <v>9</v>
      </c>
      <c r="D309" s="295">
        <v>378</v>
      </c>
      <c r="E309" s="294"/>
      <c r="F309" s="295">
        <v>74468311191633</v>
      </c>
      <c r="G309" s="295">
        <v>99</v>
      </c>
      <c r="H309" s="295">
        <v>0</v>
      </c>
      <c r="I309" s="294"/>
      <c r="J309" s="295">
        <v>1</v>
      </c>
      <c r="K309" s="294" t="s">
        <v>656</v>
      </c>
      <c r="L309" s="304">
        <v>8264.4599999999991</v>
      </c>
      <c r="M309" s="295">
        <v>0</v>
      </c>
      <c r="N309" s="295">
        <v>0</v>
      </c>
      <c r="O309" s="295">
        <v>0</v>
      </c>
      <c r="P309" s="303">
        <v>1735.54</v>
      </c>
      <c r="Q309" s="295">
        <v>10000</v>
      </c>
    </row>
    <row r="310" spans="1:17">
      <c r="A310" s="294" t="s">
        <v>1031</v>
      </c>
      <c r="B310" s="294" t="s">
        <v>948</v>
      </c>
      <c r="C310" s="295">
        <v>7</v>
      </c>
      <c r="D310" s="295">
        <v>5439</v>
      </c>
      <c r="E310" s="294"/>
      <c r="F310" s="295">
        <v>74468319640020</v>
      </c>
      <c r="G310" s="294" t="s">
        <v>949</v>
      </c>
      <c r="H310" s="295">
        <v>93332052</v>
      </c>
      <c r="I310" s="294" t="s">
        <v>1075</v>
      </c>
      <c r="J310" s="295">
        <v>1</v>
      </c>
      <c r="K310" s="294" t="s">
        <v>656</v>
      </c>
      <c r="L310" s="304">
        <v>14694.21</v>
      </c>
      <c r="M310" s="295">
        <v>0</v>
      </c>
      <c r="N310" s="295">
        <v>0</v>
      </c>
      <c r="O310" s="295">
        <v>0</v>
      </c>
      <c r="P310" s="303">
        <v>3085.78</v>
      </c>
      <c r="Q310" s="303">
        <v>17779.990000000002</v>
      </c>
    </row>
    <row r="311" spans="1:17">
      <c r="A311" s="294" t="s">
        <v>1031</v>
      </c>
      <c r="B311" s="294" t="s">
        <v>948</v>
      </c>
      <c r="C311" s="295">
        <v>3</v>
      </c>
      <c r="D311" s="295">
        <v>2877</v>
      </c>
      <c r="E311" s="294"/>
      <c r="F311" s="295">
        <v>74468368211793</v>
      </c>
      <c r="G311" s="294" t="s">
        <v>949</v>
      </c>
      <c r="H311" s="295">
        <v>25612840</v>
      </c>
      <c r="I311" s="294" t="s">
        <v>1081</v>
      </c>
      <c r="J311" s="295">
        <v>1</v>
      </c>
      <c r="K311" s="294" t="s">
        <v>656</v>
      </c>
      <c r="L311" s="304">
        <v>12727.29</v>
      </c>
      <c r="M311" s="295">
        <v>0</v>
      </c>
      <c r="N311" s="295">
        <v>0</v>
      </c>
      <c r="O311" s="295">
        <v>0</v>
      </c>
      <c r="P311" s="303">
        <v>2672.73</v>
      </c>
      <c r="Q311" s="295">
        <v>15400</v>
      </c>
    </row>
    <row r="312" spans="1:17" hidden="1">
      <c r="A312" s="294" t="s">
        <v>1031</v>
      </c>
      <c r="B312" s="294" t="s">
        <v>950</v>
      </c>
      <c r="C312" s="295">
        <v>7</v>
      </c>
      <c r="D312" s="295">
        <v>166</v>
      </c>
      <c r="E312" s="294"/>
      <c r="F312" s="295">
        <v>74468320046923</v>
      </c>
      <c r="G312" s="294" t="s">
        <v>949</v>
      </c>
      <c r="H312" s="295">
        <v>93332052</v>
      </c>
      <c r="I312" s="294" t="s">
        <v>1075</v>
      </c>
      <c r="J312" s="295">
        <v>1</v>
      </c>
      <c r="K312" s="294" t="s">
        <v>656</v>
      </c>
      <c r="L312" s="304">
        <v>-14694.21</v>
      </c>
      <c r="M312" s="295"/>
      <c r="N312" s="295">
        <v>0</v>
      </c>
      <c r="O312" s="295">
        <v>0</v>
      </c>
      <c r="P312" s="303">
        <f>+L312*0.21</f>
        <v>-3085.7840999999999</v>
      </c>
      <c r="Q312" s="295">
        <f>SUBTOTAL(9,L312:P312)</f>
        <v>0</v>
      </c>
    </row>
    <row r="313" spans="1:17" hidden="1">
      <c r="A313" s="294" t="s">
        <v>1031</v>
      </c>
      <c r="B313" s="294" t="s">
        <v>950</v>
      </c>
      <c r="C313" s="295">
        <v>7</v>
      </c>
      <c r="D313" s="295">
        <v>167</v>
      </c>
      <c r="E313" s="294"/>
      <c r="F313" s="295">
        <v>74468323016605</v>
      </c>
      <c r="G313" s="294" t="s">
        <v>949</v>
      </c>
      <c r="H313" s="295">
        <v>5607654</v>
      </c>
      <c r="I313" s="294" t="s">
        <v>1078</v>
      </c>
      <c r="J313" s="295">
        <v>1</v>
      </c>
      <c r="K313" s="294" t="s">
        <v>656</v>
      </c>
      <c r="L313" s="304">
        <v>-19834.71</v>
      </c>
      <c r="M313" s="295"/>
      <c r="N313" s="295">
        <v>0</v>
      </c>
      <c r="O313" s="295">
        <v>0</v>
      </c>
      <c r="P313" s="303">
        <f>+L313*0.21</f>
        <v>-4165.2891</v>
      </c>
      <c r="Q313" s="295">
        <f>SUBTOTAL(9,L313:P313)</f>
        <v>0</v>
      </c>
    </row>
    <row r="314" spans="1:17" hidden="1">
      <c r="A314" s="294" t="s">
        <v>1037</v>
      </c>
      <c r="B314" s="294" t="s">
        <v>654</v>
      </c>
      <c r="C314" s="295">
        <v>3</v>
      </c>
      <c r="D314" s="295">
        <v>2138</v>
      </c>
      <c r="E314" s="294"/>
      <c r="F314" s="295">
        <v>74478742230301</v>
      </c>
      <c r="G314" s="294" t="s">
        <v>7</v>
      </c>
      <c r="H314" s="295">
        <v>23253939729</v>
      </c>
      <c r="I314" s="294" t="s">
        <v>1082</v>
      </c>
      <c r="J314" s="295">
        <v>1</v>
      </c>
      <c r="K314" s="294" t="s">
        <v>656</v>
      </c>
      <c r="L314" s="304">
        <v>29338.86</v>
      </c>
      <c r="M314" s="295">
        <v>0</v>
      </c>
      <c r="N314" s="295">
        <v>0</v>
      </c>
      <c r="O314" s="295">
        <v>0</v>
      </c>
      <c r="P314" s="303">
        <v>6161.16</v>
      </c>
      <c r="Q314" s="295">
        <v>35500</v>
      </c>
    </row>
    <row r="315" spans="1:17">
      <c r="A315" s="294" t="s">
        <v>1037</v>
      </c>
      <c r="B315" s="294" t="s">
        <v>948</v>
      </c>
      <c r="C315" s="295">
        <v>9</v>
      </c>
      <c r="D315" s="295">
        <v>401</v>
      </c>
      <c r="E315" s="294"/>
      <c r="F315" s="295">
        <v>74478765412176</v>
      </c>
      <c r="G315" s="295">
        <v>99</v>
      </c>
      <c r="H315" s="295">
        <v>0</v>
      </c>
      <c r="I315" s="294"/>
      <c r="J315" s="295">
        <v>1</v>
      </c>
      <c r="K315" s="294" t="s">
        <v>656</v>
      </c>
      <c r="L315" s="304">
        <v>72975.210000000006</v>
      </c>
      <c r="M315" s="295">
        <v>0</v>
      </c>
      <c r="N315" s="295">
        <v>0</v>
      </c>
      <c r="O315" s="295">
        <v>0</v>
      </c>
      <c r="P315" s="303">
        <v>15324.79</v>
      </c>
      <c r="Q315" s="295">
        <v>88300</v>
      </c>
    </row>
    <row r="316" spans="1:17">
      <c r="A316" s="294" t="s">
        <v>1037</v>
      </c>
      <c r="B316" s="294" t="s">
        <v>948</v>
      </c>
      <c r="C316" s="295">
        <v>9</v>
      </c>
      <c r="D316" s="295">
        <v>395</v>
      </c>
      <c r="E316" s="294"/>
      <c r="F316" s="295">
        <v>74478744765454</v>
      </c>
      <c r="G316" s="295">
        <v>99</v>
      </c>
      <c r="H316" s="295">
        <v>0</v>
      </c>
      <c r="I316" s="294"/>
      <c r="J316" s="295">
        <v>1</v>
      </c>
      <c r="K316" s="294" t="s">
        <v>656</v>
      </c>
      <c r="L316" s="304">
        <v>40909.089999999997</v>
      </c>
      <c r="M316" s="295">
        <v>0</v>
      </c>
      <c r="N316" s="295">
        <v>0</v>
      </c>
      <c r="O316" s="295">
        <v>0</v>
      </c>
      <c r="P316" s="303">
        <v>8590.91</v>
      </c>
      <c r="Q316" s="295">
        <v>49500</v>
      </c>
    </row>
    <row r="317" spans="1:17">
      <c r="A317" s="294" t="s">
        <v>1037</v>
      </c>
      <c r="B317" s="294" t="s">
        <v>948</v>
      </c>
      <c r="C317" s="295">
        <v>7</v>
      </c>
      <c r="D317" s="295">
        <v>5446</v>
      </c>
      <c r="E317" s="294"/>
      <c r="F317" s="295">
        <v>74478704726204</v>
      </c>
      <c r="G317" s="294" t="s">
        <v>7</v>
      </c>
      <c r="H317" s="295">
        <v>30636196858</v>
      </c>
      <c r="I317" s="294" t="s">
        <v>1083</v>
      </c>
      <c r="J317" s="295">
        <v>1</v>
      </c>
      <c r="K317" s="294" t="s">
        <v>656</v>
      </c>
      <c r="L317" s="305">
        <v>1289256.2</v>
      </c>
      <c r="M317" s="295">
        <v>0</v>
      </c>
      <c r="N317" s="295">
        <v>0</v>
      </c>
      <c r="O317" s="295">
        <v>0</v>
      </c>
      <c r="P317" s="309">
        <v>270743.8</v>
      </c>
      <c r="Q317" s="295">
        <v>1560000</v>
      </c>
    </row>
    <row r="318" spans="1:17">
      <c r="A318" s="294" t="s">
        <v>1037</v>
      </c>
      <c r="B318" s="294" t="s">
        <v>948</v>
      </c>
      <c r="C318" s="295">
        <v>7</v>
      </c>
      <c r="D318" s="295">
        <v>5449</v>
      </c>
      <c r="E318" s="294"/>
      <c r="F318" s="295">
        <v>74478768629759</v>
      </c>
      <c r="G318" s="295">
        <v>99</v>
      </c>
      <c r="H318" s="295">
        <v>0</v>
      </c>
      <c r="I318" s="294"/>
      <c r="J318" s="295">
        <v>1</v>
      </c>
      <c r="K318" s="294" t="s">
        <v>656</v>
      </c>
      <c r="L318" s="306">
        <v>10000</v>
      </c>
      <c r="M318" s="295">
        <v>0</v>
      </c>
      <c r="N318" s="295">
        <v>0</v>
      </c>
      <c r="O318" s="295">
        <v>0</v>
      </c>
      <c r="P318" s="295">
        <v>2100</v>
      </c>
      <c r="Q318" s="295">
        <v>12100</v>
      </c>
    </row>
    <row r="319" spans="1:17">
      <c r="A319" s="294" t="s">
        <v>1037</v>
      </c>
      <c r="B319" s="294" t="s">
        <v>948</v>
      </c>
      <c r="C319" s="295">
        <v>9</v>
      </c>
      <c r="D319" s="295">
        <v>398</v>
      </c>
      <c r="E319" s="294"/>
      <c r="F319" s="295">
        <v>74478755812022</v>
      </c>
      <c r="G319" s="295">
        <v>99</v>
      </c>
      <c r="H319" s="295">
        <v>0</v>
      </c>
      <c r="I319" s="294"/>
      <c r="J319" s="295">
        <v>1</v>
      </c>
      <c r="K319" s="294" t="s">
        <v>656</v>
      </c>
      <c r="L319" s="304">
        <v>13223.14</v>
      </c>
      <c r="M319" s="295">
        <v>0</v>
      </c>
      <c r="N319" s="295">
        <v>0</v>
      </c>
      <c r="O319" s="295">
        <v>0</v>
      </c>
      <c r="P319" s="303">
        <v>2776.86</v>
      </c>
      <c r="Q319" s="295">
        <v>16000</v>
      </c>
    </row>
    <row r="320" spans="1:17">
      <c r="A320" s="294" t="s">
        <v>1037</v>
      </c>
      <c r="B320" s="294" t="s">
        <v>948</v>
      </c>
      <c r="C320" s="295">
        <v>9</v>
      </c>
      <c r="D320" s="295">
        <v>400</v>
      </c>
      <c r="E320" s="294"/>
      <c r="F320" s="295">
        <v>74478761032769</v>
      </c>
      <c r="G320" s="295">
        <v>99</v>
      </c>
      <c r="H320" s="295">
        <v>0</v>
      </c>
      <c r="I320" s="294"/>
      <c r="J320" s="295">
        <v>1</v>
      </c>
      <c r="K320" s="294" t="s">
        <v>656</v>
      </c>
      <c r="L320" s="304">
        <v>12975.21</v>
      </c>
      <c r="M320" s="295">
        <v>0</v>
      </c>
      <c r="N320" s="295">
        <v>0</v>
      </c>
      <c r="O320" s="295">
        <v>0</v>
      </c>
      <c r="P320" s="303">
        <v>2724.79</v>
      </c>
      <c r="Q320" s="295">
        <v>15700</v>
      </c>
    </row>
    <row r="321" spans="1:17">
      <c r="A321" s="294" t="s">
        <v>1037</v>
      </c>
      <c r="B321" s="294" t="s">
        <v>948</v>
      </c>
      <c r="C321" s="295">
        <v>9</v>
      </c>
      <c r="D321" s="295">
        <v>394</v>
      </c>
      <c r="E321" s="294"/>
      <c r="F321" s="295">
        <v>74478730789308</v>
      </c>
      <c r="G321" s="295">
        <v>99</v>
      </c>
      <c r="H321" s="295">
        <v>0</v>
      </c>
      <c r="I321" s="294"/>
      <c r="J321" s="295">
        <v>1</v>
      </c>
      <c r="K321" s="294" t="s">
        <v>656</v>
      </c>
      <c r="L321" s="304">
        <v>26446.28</v>
      </c>
      <c r="M321" s="295">
        <v>0</v>
      </c>
      <c r="N321" s="295">
        <v>0</v>
      </c>
      <c r="O321" s="295">
        <v>0</v>
      </c>
      <c r="P321" s="303">
        <v>5553.72</v>
      </c>
      <c r="Q321" s="295">
        <v>32000</v>
      </c>
    </row>
    <row r="322" spans="1:17">
      <c r="A322" s="294" t="s">
        <v>1037</v>
      </c>
      <c r="B322" s="294" t="s">
        <v>948</v>
      </c>
      <c r="C322" s="295">
        <v>7</v>
      </c>
      <c r="D322" s="295">
        <v>5448</v>
      </c>
      <c r="E322" s="294"/>
      <c r="F322" s="295">
        <v>74478758866579</v>
      </c>
      <c r="G322" s="294" t="s">
        <v>949</v>
      </c>
      <c r="H322" s="295">
        <v>29654556</v>
      </c>
      <c r="I322" s="294" t="s">
        <v>1076</v>
      </c>
      <c r="J322" s="295">
        <v>1</v>
      </c>
      <c r="K322" s="294" t="s">
        <v>656</v>
      </c>
      <c r="L322" s="304">
        <v>71074.38</v>
      </c>
      <c r="M322" s="295">
        <v>0</v>
      </c>
      <c r="N322" s="295">
        <v>0</v>
      </c>
      <c r="O322" s="295">
        <v>0</v>
      </c>
      <c r="P322" s="303">
        <v>14925.62</v>
      </c>
      <c r="Q322" s="295">
        <v>86000</v>
      </c>
    </row>
    <row r="323" spans="1:17">
      <c r="A323" s="294" t="s">
        <v>1037</v>
      </c>
      <c r="B323" s="294" t="s">
        <v>948</v>
      </c>
      <c r="C323" s="295">
        <v>9</v>
      </c>
      <c r="D323" s="295">
        <v>391</v>
      </c>
      <c r="E323" s="294"/>
      <c r="F323" s="295">
        <v>74478700460530</v>
      </c>
      <c r="G323" s="295">
        <v>99</v>
      </c>
      <c r="H323" s="295">
        <v>0</v>
      </c>
      <c r="I323" s="294"/>
      <c r="J323" s="295">
        <v>1</v>
      </c>
      <c r="K323" s="294" t="s">
        <v>656</v>
      </c>
      <c r="L323" s="304">
        <v>18181.82</v>
      </c>
      <c r="M323" s="295">
        <v>0</v>
      </c>
      <c r="N323" s="295">
        <v>0</v>
      </c>
      <c r="O323" s="295">
        <v>0</v>
      </c>
      <c r="P323" s="303">
        <v>3818.18</v>
      </c>
      <c r="Q323" s="295">
        <v>22000</v>
      </c>
    </row>
    <row r="324" spans="1:17">
      <c r="A324" s="294" t="s">
        <v>1037</v>
      </c>
      <c r="B324" s="294" t="s">
        <v>948</v>
      </c>
      <c r="C324" s="295">
        <v>9</v>
      </c>
      <c r="D324" s="295">
        <v>396</v>
      </c>
      <c r="E324" s="294"/>
      <c r="F324" s="295">
        <v>74478748995354</v>
      </c>
      <c r="G324" s="295">
        <v>99</v>
      </c>
      <c r="H324" s="295">
        <v>0</v>
      </c>
      <c r="I324" s="294"/>
      <c r="J324" s="295">
        <v>1</v>
      </c>
      <c r="K324" s="294" t="s">
        <v>656</v>
      </c>
      <c r="L324" s="304">
        <v>56198.35</v>
      </c>
      <c r="M324" s="295">
        <v>0</v>
      </c>
      <c r="N324" s="295">
        <v>0</v>
      </c>
      <c r="O324" s="295">
        <v>0</v>
      </c>
      <c r="P324" s="303">
        <v>11801.65</v>
      </c>
      <c r="Q324" s="295">
        <v>68000</v>
      </c>
    </row>
    <row r="325" spans="1:17">
      <c r="A325" s="294" t="s">
        <v>1037</v>
      </c>
      <c r="B325" s="294" t="s">
        <v>948</v>
      </c>
      <c r="C325" s="295">
        <v>9</v>
      </c>
      <c r="D325" s="295">
        <v>392</v>
      </c>
      <c r="E325" s="294"/>
      <c r="F325" s="295">
        <v>74478700858389</v>
      </c>
      <c r="G325" s="295">
        <v>99</v>
      </c>
      <c r="H325" s="295">
        <v>0</v>
      </c>
      <c r="I325" s="294"/>
      <c r="J325" s="295">
        <v>1</v>
      </c>
      <c r="K325" s="294" t="s">
        <v>656</v>
      </c>
      <c r="L325" s="305">
        <v>26859.5</v>
      </c>
      <c r="M325" s="295">
        <v>0</v>
      </c>
      <c r="N325" s="295">
        <v>0</v>
      </c>
      <c r="O325" s="295">
        <v>0</v>
      </c>
      <c r="P325" s="294">
        <v>5640.5</v>
      </c>
      <c r="Q325" s="295">
        <v>32500</v>
      </c>
    </row>
    <row r="326" spans="1:17">
      <c r="A326" s="294" t="s">
        <v>1037</v>
      </c>
      <c r="B326" s="294" t="s">
        <v>948</v>
      </c>
      <c r="C326" s="295">
        <v>7</v>
      </c>
      <c r="D326" s="295">
        <v>5450</v>
      </c>
      <c r="E326" s="294"/>
      <c r="F326" s="295">
        <v>74478772473509</v>
      </c>
      <c r="G326" s="294" t="s">
        <v>949</v>
      </c>
      <c r="H326" s="295">
        <v>12928506</v>
      </c>
      <c r="I326" s="294" t="s">
        <v>1084</v>
      </c>
      <c r="J326" s="295">
        <v>1</v>
      </c>
      <c r="K326" s="294" t="s">
        <v>656</v>
      </c>
      <c r="L326" s="304">
        <v>34710.74</v>
      </c>
      <c r="M326" s="295">
        <v>0</v>
      </c>
      <c r="N326" s="295">
        <v>0</v>
      </c>
      <c r="O326" s="295">
        <v>0</v>
      </c>
      <c r="P326" s="303">
        <v>7289.26</v>
      </c>
      <c r="Q326" s="295">
        <v>42000</v>
      </c>
    </row>
    <row r="327" spans="1:17">
      <c r="A327" s="294" t="s">
        <v>1037</v>
      </c>
      <c r="B327" s="294" t="s">
        <v>948</v>
      </c>
      <c r="C327" s="295">
        <v>9</v>
      </c>
      <c r="D327" s="295">
        <v>397</v>
      </c>
      <c r="E327" s="294"/>
      <c r="F327" s="295">
        <v>74478754677583</v>
      </c>
      <c r="G327" s="295">
        <v>99</v>
      </c>
      <c r="H327" s="295">
        <v>0</v>
      </c>
      <c r="I327" s="294"/>
      <c r="J327" s="295">
        <v>1</v>
      </c>
      <c r="K327" s="294" t="s">
        <v>656</v>
      </c>
      <c r="L327" s="305">
        <v>10743.8</v>
      </c>
      <c r="M327" s="295">
        <v>0</v>
      </c>
      <c r="N327" s="295">
        <v>0</v>
      </c>
      <c r="O327" s="295">
        <v>0</v>
      </c>
      <c r="P327" s="309">
        <v>2256.1999999999998</v>
      </c>
      <c r="Q327" s="295">
        <v>13000</v>
      </c>
    </row>
    <row r="328" spans="1:17">
      <c r="A328" s="294" t="s">
        <v>1037</v>
      </c>
      <c r="B328" s="294" t="s">
        <v>948</v>
      </c>
      <c r="C328" s="295">
        <v>9</v>
      </c>
      <c r="D328" s="295">
        <v>393</v>
      </c>
      <c r="E328" s="294"/>
      <c r="F328" s="295">
        <v>74478713925900</v>
      </c>
      <c r="G328" s="295">
        <v>99</v>
      </c>
      <c r="H328" s="295">
        <v>0</v>
      </c>
      <c r="I328" s="294"/>
      <c r="J328" s="295">
        <v>1</v>
      </c>
      <c r="K328" s="294" t="s">
        <v>656</v>
      </c>
      <c r="L328" s="304">
        <v>33636.36</v>
      </c>
      <c r="M328" s="295">
        <v>0</v>
      </c>
      <c r="N328" s="295">
        <v>0</v>
      </c>
      <c r="O328" s="295">
        <v>0</v>
      </c>
      <c r="P328" s="303">
        <v>7063.64</v>
      </c>
      <c r="Q328" s="295">
        <v>40700</v>
      </c>
    </row>
    <row r="329" spans="1:17">
      <c r="A329" s="294" t="s">
        <v>1037</v>
      </c>
      <c r="B329" s="294" t="s">
        <v>948</v>
      </c>
      <c r="C329" s="295">
        <v>7</v>
      </c>
      <c r="D329" s="295">
        <v>5447</v>
      </c>
      <c r="E329" s="294"/>
      <c r="F329" s="295">
        <v>74478714038195</v>
      </c>
      <c r="G329" s="295">
        <v>99</v>
      </c>
      <c r="H329" s="295">
        <v>0</v>
      </c>
      <c r="I329" s="294"/>
      <c r="J329" s="295">
        <v>1</v>
      </c>
      <c r="K329" s="294" t="s">
        <v>656</v>
      </c>
      <c r="L329" s="306">
        <v>3600</v>
      </c>
      <c r="M329" s="295">
        <v>0</v>
      </c>
      <c r="N329" s="295">
        <v>0</v>
      </c>
      <c r="O329" s="295">
        <v>0</v>
      </c>
      <c r="P329" s="295">
        <v>756</v>
      </c>
      <c r="Q329" s="295">
        <v>4356</v>
      </c>
    </row>
    <row r="330" spans="1:17">
      <c r="A330" s="294" t="s">
        <v>1037</v>
      </c>
      <c r="B330" s="294" t="s">
        <v>948</v>
      </c>
      <c r="C330" s="295">
        <v>9</v>
      </c>
      <c r="D330" s="295">
        <v>399</v>
      </c>
      <c r="E330" s="294"/>
      <c r="F330" s="295">
        <v>74478757532045</v>
      </c>
      <c r="G330" s="295">
        <v>99</v>
      </c>
      <c r="H330" s="295">
        <v>0</v>
      </c>
      <c r="I330" s="294"/>
      <c r="J330" s="295">
        <v>1</v>
      </c>
      <c r="K330" s="294" t="s">
        <v>656</v>
      </c>
      <c r="L330" s="304">
        <v>14669.42</v>
      </c>
      <c r="M330" s="295">
        <v>0</v>
      </c>
      <c r="N330" s="295">
        <v>0</v>
      </c>
      <c r="O330" s="295">
        <v>0</v>
      </c>
      <c r="P330" s="303">
        <v>3080.58</v>
      </c>
      <c r="Q330" s="295">
        <v>17750</v>
      </c>
    </row>
    <row r="331" spans="1:17">
      <c r="A331" s="294" t="s">
        <v>1037</v>
      </c>
      <c r="B331" s="294" t="s">
        <v>948</v>
      </c>
      <c r="C331" s="295">
        <v>3</v>
      </c>
      <c r="D331" s="295">
        <v>2878</v>
      </c>
      <c r="E331" s="294"/>
      <c r="F331" s="295">
        <v>74478713962970</v>
      </c>
      <c r="G331" s="294" t="s">
        <v>949</v>
      </c>
      <c r="H331" s="295">
        <v>95315324</v>
      </c>
      <c r="I331" s="294" t="s">
        <v>1085</v>
      </c>
      <c r="J331" s="295">
        <v>1</v>
      </c>
      <c r="K331" s="294" t="s">
        <v>656</v>
      </c>
      <c r="L331" s="304">
        <v>26363.67</v>
      </c>
      <c r="M331" s="295">
        <v>0</v>
      </c>
      <c r="N331" s="295">
        <v>0</v>
      </c>
      <c r="O331" s="295">
        <v>0</v>
      </c>
      <c r="P331" s="303">
        <v>5536.37</v>
      </c>
      <c r="Q331" s="295">
        <v>31900</v>
      </c>
    </row>
    <row r="332" spans="1:17" hidden="1">
      <c r="A332" s="294" t="s">
        <v>1037</v>
      </c>
      <c r="B332" s="294" t="s">
        <v>950</v>
      </c>
      <c r="C332" s="295">
        <v>7</v>
      </c>
      <c r="D332" s="295">
        <v>168</v>
      </c>
      <c r="E332" s="294"/>
      <c r="F332" s="295">
        <v>74478714119257</v>
      </c>
      <c r="G332" s="295">
        <v>99</v>
      </c>
      <c r="H332" s="295">
        <v>0</v>
      </c>
      <c r="I332" s="294"/>
      <c r="J332" s="295">
        <v>1</v>
      </c>
      <c r="K332" s="294" t="s">
        <v>656</v>
      </c>
      <c r="L332" s="306">
        <v>-3600</v>
      </c>
      <c r="M332" s="295"/>
      <c r="N332" s="295">
        <v>0</v>
      </c>
      <c r="O332" s="295">
        <v>0</v>
      </c>
      <c r="P332" s="303">
        <f>+L332*0.21</f>
        <v>-756</v>
      </c>
      <c r="Q332" s="295">
        <f>SUBTOTAL(9,L332:P332)</f>
        <v>0</v>
      </c>
    </row>
    <row r="333" spans="1:17" hidden="1">
      <c r="A333" s="294" t="s">
        <v>1037</v>
      </c>
      <c r="B333" s="294" t="s">
        <v>950</v>
      </c>
      <c r="C333" s="295">
        <v>7</v>
      </c>
      <c r="D333" s="295">
        <v>169</v>
      </c>
      <c r="E333" s="294"/>
      <c r="F333" s="295">
        <v>74478755759697</v>
      </c>
      <c r="G333" s="294" t="s">
        <v>949</v>
      </c>
      <c r="H333" s="295">
        <v>29654556</v>
      </c>
      <c r="I333" s="294" t="s">
        <v>1076</v>
      </c>
      <c r="J333" s="295">
        <v>1</v>
      </c>
      <c r="K333" s="294" t="s">
        <v>656</v>
      </c>
      <c r="L333" s="306">
        <v>0</v>
      </c>
      <c r="M333" s="295">
        <v>-86000</v>
      </c>
      <c r="N333" s="295">
        <v>0</v>
      </c>
      <c r="O333" s="295">
        <v>0</v>
      </c>
      <c r="P333" s="295">
        <v>0</v>
      </c>
      <c r="Q333" s="295">
        <v>-86000</v>
      </c>
    </row>
    <row r="334" spans="1:17" hidden="1">
      <c r="A334" s="294" t="s">
        <v>1037</v>
      </c>
      <c r="B334" s="294" t="s">
        <v>950</v>
      </c>
      <c r="C334" s="295">
        <v>7</v>
      </c>
      <c r="D334" s="295">
        <v>170</v>
      </c>
      <c r="E334" s="294"/>
      <c r="F334" s="295">
        <v>74478769210718</v>
      </c>
      <c r="G334" s="295">
        <v>99</v>
      </c>
      <c r="H334" s="295">
        <v>0</v>
      </c>
      <c r="I334" s="294"/>
      <c r="J334" s="295">
        <v>1</v>
      </c>
      <c r="K334" s="294" t="s">
        <v>656</v>
      </c>
      <c r="L334" s="306">
        <v>-10000</v>
      </c>
      <c r="M334" s="295"/>
      <c r="N334" s="295">
        <v>0</v>
      </c>
      <c r="O334" s="295">
        <v>0</v>
      </c>
      <c r="P334" s="303">
        <f>+L334*0.21</f>
        <v>-2100</v>
      </c>
      <c r="Q334" s="295">
        <f>SUBTOTAL(9,L334:P334)</f>
        <v>0</v>
      </c>
    </row>
    <row r="335" spans="1:17" hidden="1">
      <c r="A335" s="294" t="s">
        <v>1039</v>
      </c>
      <c r="B335" s="294" t="s">
        <v>654</v>
      </c>
      <c r="C335" s="295">
        <v>7</v>
      </c>
      <c r="D335" s="295">
        <v>2264</v>
      </c>
      <c r="E335" s="294"/>
      <c r="F335" s="295">
        <v>74478888429453</v>
      </c>
      <c r="G335" s="294" t="s">
        <v>7</v>
      </c>
      <c r="H335" s="295">
        <v>30546771314</v>
      </c>
      <c r="I335" s="294" t="s">
        <v>959</v>
      </c>
      <c r="J335" s="295">
        <v>1</v>
      </c>
      <c r="K335" s="294" t="s">
        <v>656</v>
      </c>
      <c r="L335" s="304">
        <v>991735.54</v>
      </c>
      <c r="M335" s="295">
        <v>0</v>
      </c>
      <c r="N335" s="295">
        <v>0</v>
      </c>
      <c r="O335" s="295">
        <v>0</v>
      </c>
      <c r="P335" s="303">
        <v>208264.46</v>
      </c>
      <c r="Q335" s="295">
        <v>1200000</v>
      </c>
    </row>
    <row r="336" spans="1:17" hidden="1">
      <c r="A336" s="294" t="s">
        <v>1039</v>
      </c>
      <c r="B336" s="294" t="s">
        <v>654</v>
      </c>
      <c r="C336" s="295">
        <v>7</v>
      </c>
      <c r="D336" s="295">
        <v>2265</v>
      </c>
      <c r="E336" s="294"/>
      <c r="F336" s="295">
        <v>74478891206364</v>
      </c>
      <c r="G336" s="294" t="s">
        <v>7</v>
      </c>
      <c r="H336" s="295">
        <v>30546771314</v>
      </c>
      <c r="I336" s="294" t="s">
        <v>959</v>
      </c>
      <c r="J336" s="295">
        <v>1</v>
      </c>
      <c r="K336" s="294" t="s">
        <v>656</v>
      </c>
      <c r="L336" s="304">
        <v>114462.81</v>
      </c>
      <c r="M336" s="295">
        <v>0</v>
      </c>
      <c r="N336" s="295">
        <v>0</v>
      </c>
      <c r="O336" s="295">
        <v>0</v>
      </c>
      <c r="P336" s="303">
        <v>24037.19</v>
      </c>
      <c r="Q336" s="295">
        <v>138500</v>
      </c>
    </row>
    <row r="337" spans="1:17" hidden="1">
      <c r="A337" s="294" t="s">
        <v>1039</v>
      </c>
      <c r="B337" s="294" t="s">
        <v>654</v>
      </c>
      <c r="C337" s="295">
        <v>7</v>
      </c>
      <c r="D337" s="295">
        <v>2263</v>
      </c>
      <c r="E337" s="294"/>
      <c r="F337" s="295">
        <v>74478883814518</v>
      </c>
      <c r="G337" s="294" t="s">
        <v>7</v>
      </c>
      <c r="H337" s="295">
        <v>30590412631</v>
      </c>
      <c r="I337" s="294" t="s">
        <v>953</v>
      </c>
      <c r="J337" s="295">
        <v>1</v>
      </c>
      <c r="K337" s="294" t="s">
        <v>656</v>
      </c>
      <c r="L337" s="304">
        <v>28925.62</v>
      </c>
      <c r="M337" s="295">
        <v>0</v>
      </c>
      <c r="N337" s="295">
        <v>0</v>
      </c>
      <c r="O337" s="295">
        <v>0</v>
      </c>
      <c r="P337" s="303">
        <v>6074.38</v>
      </c>
      <c r="Q337" s="295">
        <v>35000</v>
      </c>
    </row>
    <row r="338" spans="1:17" hidden="1">
      <c r="A338" s="294" t="s">
        <v>1039</v>
      </c>
      <c r="B338" s="294" t="s">
        <v>654</v>
      </c>
      <c r="C338" s="295">
        <v>7</v>
      </c>
      <c r="D338" s="295">
        <v>2266</v>
      </c>
      <c r="E338" s="294"/>
      <c r="F338" s="295">
        <v>74478894550778</v>
      </c>
      <c r="G338" s="294" t="s">
        <v>7</v>
      </c>
      <c r="H338" s="295">
        <v>30546771314</v>
      </c>
      <c r="I338" s="294" t="s">
        <v>959</v>
      </c>
      <c r="J338" s="295">
        <v>1</v>
      </c>
      <c r="K338" s="294" t="s">
        <v>656</v>
      </c>
      <c r="L338" s="304">
        <v>462809.92</v>
      </c>
      <c r="M338" s="295">
        <v>0</v>
      </c>
      <c r="N338" s="295">
        <v>0</v>
      </c>
      <c r="O338" s="295">
        <v>0</v>
      </c>
      <c r="P338" s="303">
        <v>97190.080000000002</v>
      </c>
      <c r="Q338" s="295">
        <v>560000</v>
      </c>
    </row>
    <row r="339" spans="1:17" hidden="1">
      <c r="A339" s="294" t="s">
        <v>1039</v>
      </c>
      <c r="B339" s="294" t="s">
        <v>654</v>
      </c>
      <c r="C339" s="295">
        <v>7</v>
      </c>
      <c r="D339" s="295">
        <v>2267</v>
      </c>
      <c r="E339" s="294"/>
      <c r="F339" s="295">
        <v>74478895061998</v>
      </c>
      <c r="G339" s="294" t="s">
        <v>7</v>
      </c>
      <c r="H339" s="295">
        <v>30546771314</v>
      </c>
      <c r="I339" s="294" t="s">
        <v>959</v>
      </c>
      <c r="J339" s="295">
        <v>1</v>
      </c>
      <c r="K339" s="294" t="s">
        <v>656</v>
      </c>
      <c r="L339" s="304">
        <v>59504.13</v>
      </c>
      <c r="M339" s="295">
        <v>0</v>
      </c>
      <c r="N339" s="295">
        <v>0</v>
      </c>
      <c r="O339" s="295">
        <v>0</v>
      </c>
      <c r="P339" s="303">
        <v>12495.87</v>
      </c>
      <c r="Q339" s="295">
        <v>72000</v>
      </c>
    </row>
    <row r="340" spans="1:17">
      <c r="A340" s="294" t="s">
        <v>1039</v>
      </c>
      <c r="B340" s="294" t="s">
        <v>948</v>
      </c>
      <c r="C340" s="295">
        <v>7</v>
      </c>
      <c r="D340" s="295">
        <v>5467</v>
      </c>
      <c r="E340" s="294"/>
      <c r="F340" s="295">
        <v>74478877474957</v>
      </c>
      <c r="G340" s="309" t="s">
        <v>949</v>
      </c>
      <c r="H340" s="295">
        <v>2719694</v>
      </c>
      <c r="I340" s="294" t="s">
        <v>1086</v>
      </c>
      <c r="J340" s="295">
        <v>1</v>
      </c>
      <c r="K340" s="294" t="s">
        <v>656</v>
      </c>
      <c r="L340" s="304">
        <v>7194.21</v>
      </c>
      <c r="M340" s="295">
        <v>0</v>
      </c>
      <c r="N340" s="295">
        <v>0</v>
      </c>
      <c r="O340" s="295">
        <v>0</v>
      </c>
      <c r="P340" s="303">
        <v>1510.79</v>
      </c>
      <c r="Q340" s="295">
        <v>8705</v>
      </c>
    </row>
    <row r="341" spans="1:17">
      <c r="A341" s="294" t="s">
        <v>1039</v>
      </c>
      <c r="B341" s="294" t="s">
        <v>948</v>
      </c>
      <c r="C341" s="295">
        <v>7</v>
      </c>
      <c r="D341" s="295">
        <v>5456</v>
      </c>
      <c r="E341" s="294"/>
      <c r="F341" s="295">
        <v>74478856896562</v>
      </c>
      <c r="G341" s="309" t="s">
        <v>949</v>
      </c>
      <c r="H341" s="295">
        <v>11111111</v>
      </c>
      <c r="I341" s="294" t="s">
        <v>1087</v>
      </c>
      <c r="J341" s="295">
        <v>1</v>
      </c>
      <c r="K341" s="294" t="s">
        <v>656</v>
      </c>
      <c r="L341" s="304">
        <v>9917.36</v>
      </c>
      <c r="M341" s="295">
        <v>0</v>
      </c>
      <c r="N341" s="295">
        <v>0</v>
      </c>
      <c r="O341" s="295">
        <v>0</v>
      </c>
      <c r="P341" s="303">
        <v>2082.65</v>
      </c>
      <c r="Q341" s="303">
        <v>12000.01</v>
      </c>
    </row>
    <row r="342" spans="1:17">
      <c r="A342" s="294" t="s">
        <v>1039</v>
      </c>
      <c r="B342" s="294" t="s">
        <v>948</v>
      </c>
      <c r="C342" s="295">
        <v>7</v>
      </c>
      <c r="D342" s="295">
        <v>5458</v>
      </c>
      <c r="E342" s="294"/>
      <c r="F342" s="295">
        <v>74478864862041</v>
      </c>
      <c r="G342" s="309" t="s">
        <v>949</v>
      </c>
      <c r="H342" s="295">
        <v>17814995</v>
      </c>
      <c r="I342" s="294" t="s">
        <v>1066</v>
      </c>
      <c r="J342" s="295">
        <v>1</v>
      </c>
      <c r="K342" s="294" t="s">
        <v>656</v>
      </c>
      <c r="L342" s="304">
        <v>17355.37</v>
      </c>
      <c r="M342" s="295">
        <v>0</v>
      </c>
      <c r="N342" s="295">
        <v>0</v>
      </c>
      <c r="O342" s="295">
        <v>0</v>
      </c>
      <c r="P342" s="303">
        <v>3644.63</v>
      </c>
      <c r="Q342" s="295">
        <v>21000</v>
      </c>
    </row>
    <row r="343" spans="1:17">
      <c r="A343" s="294" t="s">
        <v>1039</v>
      </c>
      <c r="B343" s="294" t="s">
        <v>948</v>
      </c>
      <c r="C343" s="295">
        <v>7</v>
      </c>
      <c r="D343" s="295">
        <v>5464</v>
      </c>
      <c r="E343" s="294"/>
      <c r="F343" s="295">
        <v>74478875221741</v>
      </c>
      <c r="G343" s="309" t="s">
        <v>949</v>
      </c>
      <c r="H343" s="295">
        <v>5804480</v>
      </c>
      <c r="I343" s="294" t="s">
        <v>1088</v>
      </c>
      <c r="J343" s="295">
        <v>1</v>
      </c>
      <c r="K343" s="294" t="s">
        <v>656</v>
      </c>
      <c r="L343" s="304">
        <v>33057.85</v>
      </c>
      <c r="M343" s="295">
        <v>0</v>
      </c>
      <c r="N343" s="295">
        <v>0</v>
      </c>
      <c r="O343" s="295">
        <v>0</v>
      </c>
      <c r="P343" s="303">
        <v>6942.15</v>
      </c>
      <c r="Q343" s="295">
        <v>40000</v>
      </c>
    </row>
    <row r="344" spans="1:17">
      <c r="A344" s="294" t="s">
        <v>1039</v>
      </c>
      <c r="B344" s="294" t="s">
        <v>948</v>
      </c>
      <c r="C344" s="295">
        <v>7</v>
      </c>
      <c r="D344" s="295">
        <v>5452</v>
      </c>
      <c r="E344" s="294"/>
      <c r="F344" s="295">
        <v>74478844063855</v>
      </c>
      <c r="G344" s="309" t="s">
        <v>949</v>
      </c>
      <c r="H344" s="295">
        <v>11111111</v>
      </c>
      <c r="I344" s="294" t="s">
        <v>1087</v>
      </c>
      <c r="J344" s="295">
        <v>1</v>
      </c>
      <c r="K344" s="294" t="s">
        <v>656</v>
      </c>
      <c r="L344" s="304">
        <v>13223.14</v>
      </c>
      <c r="M344" s="295">
        <v>0</v>
      </c>
      <c r="N344" s="295">
        <v>0</v>
      </c>
      <c r="O344" s="295">
        <v>0</v>
      </c>
      <c r="P344" s="303">
        <v>2776.86</v>
      </c>
      <c r="Q344" s="295">
        <v>16000</v>
      </c>
    </row>
    <row r="345" spans="1:17">
      <c r="A345" s="294" t="s">
        <v>1039</v>
      </c>
      <c r="B345" s="294" t="s">
        <v>948</v>
      </c>
      <c r="C345" s="295">
        <v>7</v>
      </c>
      <c r="D345" s="295">
        <v>5463</v>
      </c>
      <c r="E345" s="294"/>
      <c r="F345" s="295">
        <v>74478872819538</v>
      </c>
      <c r="G345" s="295">
        <v>99</v>
      </c>
      <c r="H345" s="295">
        <v>0</v>
      </c>
      <c r="I345" s="294"/>
      <c r="J345" s="295">
        <v>1</v>
      </c>
      <c r="K345" s="294" t="s">
        <v>656</v>
      </c>
      <c r="L345" s="304">
        <v>34710.74</v>
      </c>
      <c r="M345" s="295">
        <v>0</v>
      </c>
      <c r="N345" s="295">
        <v>0</v>
      </c>
      <c r="O345" s="295">
        <v>0</v>
      </c>
      <c r="P345" s="303">
        <v>7289.26</v>
      </c>
      <c r="Q345" s="295">
        <v>42000</v>
      </c>
    </row>
    <row r="346" spans="1:17">
      <c r="A346" s="294" t="s">
        <v>1039</v>
      </c>
      <c r="B346" s="294" t="s">
        <v>948</v>
      </c>
      <c r="C346" s="295">
        <v>7</v>
      </c>
      <c r="D346" s="295">
        <v>5453</v>
      </c>
      <c r="E346" s="294"/>
      <c r="F346" s="295">
        <v>74478849505367</v>
      </c>
      <c r="G346" s="309" t="s">
        <v>949</v>
      </c>
      <c r="H346" s="295">
        <v>11111111</v>
      </c>
      <c r="I346" s="294" t="s">
        <v>1087</v>
      </c>
      <c r="J346" s="295">
        <v>1</v>
      </c>
      <c r="K346" s="294" t="s">
        <v>656</v>
      </c>
      <c r="L346" s="304">
        <v>34462.81</v>
      </c>
      <c r="M346" s="295">
        <v>0</v>
      </c>
      <c r="N346" s="295">
        <v>0</v>
      </c>
      <c r="O346" s="295">
        <v>0</v>
      </c>
      <c r="P346" s="303">
        <v>7237.19</v>
      </c>
      <c r="Q346" s="295">
        <v>41700</v>
      </c>
    </row>
    <row r="347" spans="1:17">
      <c r="A347" s="294" t="s">
        <v>1039</v>
      </c>
      <c r="B347" s="294" t="s">
        <v>948</v>
      </c>
      <c r="C347" s="295">
        <v>7</v>
      </c>
      <c r="D347" s="295">
        <v>5470</v>
      </c>
      <c r="E347" s="294"/>
      <c r="F347" s="295">
        <v>74478893691298</v>
      </c>
      <c r="G347" s="309" t="s">
        <v>7</v>
      </c>
      <c r="H347" s="295">
        <v>30590354798</v>
      </c>
      <c r="I347" s="294" t="s">
        <v>81</v>
      </c>
      <c r="J347" s="295">
        <v>1</v>
      </c>
      <c r="K347" s="294" t="s">
        <v>656</v>
      </c>
      <c r="L347" s="304">
        <v>204958.68</v>
      </c>
      <c r="M347" s="295">
        <v>0</v>
      </c>
      <c r="N347" s="295">
        <v>0</v>
      </c>
      <c r="O347" s="295">
        <v>0</v>
      </c>
      <c r="P347" s="303">
        <v>43041.32</v>
      </c>
      <c r="Q347" s="295">
        <v>248000</v>
      </c>
    </row>
    <row r="348" spans="1:17">
      <c r="A348" s="294" t="s">
        <v>1039</v>
      </c>
      <c r="B348" s="294" t="s">
        <v>948</v>
      </c>
      <c r="C348" s="295">
        <v>7</v>
      </c>
      <c r="D348" s="295">
        <v>5461</v>
      </c>
      <c r="E348" s="294"/>
      <c r="F348" s="295">
        <v>74478870654453</v>
      </c>
      <c r="G348" s="294" t="s">
        <v>949</v>
      </c>
      <c r="H348" s="295">
        <v>902191</v>
      </c>
      <c r="I348" s="294"/>
      <c r="J348" s="295">
        <v>1</v>
      </c>
      <c r="K348" s="294" t="s">
        <v>656</v>
      </c>
      <c r="L348" s="304">
        <v>15289.26</v>
      </c>
      <c r="M348" s="295">
        <v>0</v>
      </c>
      <c r="N348" s="295">
        <v>0</v>
      </c>
      <c r="O348" s="295">
        <v>0</v>
      </c>
      <c r="P348" s="303">
        <v>3210.74</v>
      </c>
      <c r="Q348" s="295">
        <v>18500</v>
      </c>
    </row>
    <row r="349" spans="1:17">
      <c r="A349" s="294" t="s">
        <v>1039</v>
      </c>
      <c r="B349" s="294" t="s">
        <v>948</v>
      </c>
      <c r="C349" s="295">
        <v>7</v>
      </c>
      <c r="D349" s="295">
        <v>5459</v>
      </c>
      <c r="E349" s="294"/>
      <c r="F349" s="295">
        <v>74478868026287</v>
      </c>
      <c r="G349" s="309" t="s">
        <v>949</v>
      </c>
      <c r="H349" s="295">
        <v>28233990</v>
      </c>
      <c r="I349" s="294" t="s">
        <v>1089</v>
      </c>
      <c r="J349" s="295">
        <v>1</v>
      </c>
      <c r="K349" s="294" t="s">
        <v>656</v>
      </c>
      <c r="L349" s="304">
        <v>19834.71</v>
      </c>
      <c r="M349" s="295">
        <v>0</v>
      </c>
      <c r="N349" s="295">
        <v>0</v>
      </c>
      <c r="O349" s="295">
        <v>0</v>
      </c>
      <c r="P349" s="303">
        <v>4165.29</v>
      </c>
      <c r="Q349" s="295">
        <v>24000</v>
      </c>
    </row>
    <row r="350" spans="1:17">
      <c r="A350" s="294" t="s">
        <v>1039</v>
      </c>
      <c r="B350" s="294" t="s">
        <v>948</v>
      </c>
      <c r="C350" s="295">
        <v>7</v>
      </c>
      <c r="D350" s="295">
        <v>5465</v>
      </c>
      <c r="E350" s="294"/>
      <c r="F350" s="295">
        <v>74478876362776</v>
      </c>
      <c r="G350" s="294" t="s">
        <v>949</v>
      </c>
      <c r="H350" s="295">
        <v>10138957</v>
      </c>
      <c r="I350" s="294" t="s">
        <v>1090</v>
      </c>
      <c r="J350" s="295">
        <v>1</v>
      </c>
      <c r="K350" s="294" t="s">
        <v>656</v>
      </c>
      <c r="L350" s="304">
        <v>15289.26</v>
      </c>
      <c r="M350" s="295">
        <v>0</v>
      </c>
      <c r="N350" s="295">
        <v>0</v>
      </c>
      <c r="O350" s="295">
        <v>0</v>
      </c>
      <c r="P350" s="303">
        <v>3210.74</v>
      </c>
      <c r="Q350" s="295">
        <v>18500</v>
      </c>
    </row>
    <row r="351" spans="1:17">
      <c r="A351" s="294" t="s">
        <v>1039</v>
      </c>
      <c r="B351" s="294" t="s">
        <v>948</v>
      </c>
      <c r="C351" s="295">
        <v>7</v>
      </c>
      <c r="D351" s="295">
        <v>5457</v>
      </c>
      <c r="E351" s="294"/>
      <c r="F351" s="295">
        <v>74478858310865</v>
      </c>
      <c r="G351" s="294" t="s">
        <v>949</v>
      </c>
      <c r="H351" s="295">
        <v>11111111</v>
      </c>
      <c r="I351" s="294" t="s">
        <v>1087</v>
      </c>
      <c r="J351" s="295">
        <v>1</v>
      </c>
      <c r="K351" s="294" t="s">
        <v>656</v>
      </c>
      <c r="L351" s="304">
        <v>25619.84</v>
      </c>
      <c r="M351" s="295">
        <v>0</v>
      </c>
      <c r="N351" s="295">
        <v>0</v>
      </c>
      <c r="O351" s="295">
        <v>0</v>
      </c>
      <c r="P351" s="303">
        <v>5380.17</v>
      </c>
      <c r="Q351" s="303">
        <v>31000.01</v>
      </c>
    </row>
    <row r="352" spans="1:17">
      <c r="A352" s="294" t="s">
        <v>1039</v>
      </c>
      <c r="B352" s="294" t="s">
        <v>948</v>
      </c>
      <c r="C352" s="295">
        <v>7</v>
      </c>
      <c r="D352" s="295">
        <v>5455</v>
      </c>
      <c r="E352" s="294"/>
      <c r="F352" s="295">
        <v>74478855906561</v>
      </c>
      <c r="G352" s="294" t="s">
        <v>949</v>
      </c>
      <c r="H352" s="295">
        <v>11111111</v>
      </c>
      <c r="I352" s="294" t="s">
        <v>1087</v>
      </c>
      <c r="J352" s="295">
        <v>1</v>
      </c>
      <c r="K352" s="294" t="s">
        <v>656</v>
      </c>
      <c r="L352" s="304">
        <v>10991.74</v>
      </c>
      <c r="M352" s="295">
        <v>0</v>
      </c>
      <c r="N352" s="295">
        <v>0</v>
      </c>
      <c r="O352" s="295">
        <v>0</v>
      </c>
      <c r="P352" s="303">
        <v>2308.27</v>
      </c>
      <c r="Q352" s="303">
        <v>13300.01</v>
      </c>
    </row>
    <row r="353" spans="1:17">
      <c r="A353" s="294" t="s">
        <v>1039</v>
      </c>
      <c r="B353" s="294" t="s">
        <v>948</v>
      </c>
      <c r="C353" s="295">
        <v>7</v>
      </c>
      <c r="D353" s="295">
        <v>5468</v>
      </c>
      <c r="E353" s="294"/>
      <c r="F353" s="295">
        <v>74478879190887</v>
      </c>
      <c r="G353" s="294" t="s">
        <v>949</v>
      </c>
      <c r="H353" s="295">
        <v>11111111</v>
      </c>
      <c r="I353" s="294" t="s">
        <v>1087</v>
      </c>
      <c r="J353" s="295">
        <v>1</v>
      </c>
      <c r="K353" s="294" t="s">
        <v>656</v>
      </c>
      <c r="L353" s="304">
        <v>28429.75</v>
      </c>
      <c r="M353" s="295">
        <v>0</v>
      </c>
      <c r="N353" s="295">
        <v>0</v>
      </c>
      <c r="O353" s="295">
        <v>0</v>
      </c>
      <c r="P353" s="303">
        <v>5970.25</v>
      </c>
      <c r="Q353" s="295">
        <v>34400</v>
      </c>
    </row>
    <row r="354" spans="1:17">
      <c r="A354" s="294" t="s">
        <v>1039</v>
      </c>
      <c r="B354" s="294" t="s">
        <v>948</v>
      </c>
      <c r="C354" s="295">
        <v>7</v>
      </c>
      <c r="D354" s="295">
        <v>5460</v>
      </c>
      <c r="E354" s="294"/>
      <c r="F354" s="295">
        <v>74478868997716</v>
      </c>
      <c r="G354" s="294" t="s">
        <v>949</v>
      </c>
      <c r="H354" s="295">
        <v>28233990</v>
      </c>
      <c r="I354" s="294" t="s">
        <v>1089</v>
      </c>
      <c r="J354" s="295">
        <v>1</v>
      </c>
      <c r="K354" s="294" t="s">
        <v>656</v>
      </c>
      <c r="L354" s="304">
        <v>19834.71</v>
      </c>
      <c r="M354" s="295">
        <v>0</v>
      </c>
      <c r="N354" s="295">
        <v>0</v>
      </c>
      <c r="O354" s="295">
        <v>0</v>
      </c>
      <c r="P354" s="303">
        <v>4165.29</v>
      </c>
      <c r="Q354" s="295">
        <v>24000</v>
      </c>
    </row>
    <row r="355" spans="1:17">
      <c r="A355" s="294" t="s">
        <v>1039</v>
      </c>
      <c r="B355" s="294" t="s">
        <v>948</v>
      </c>
      <c r="C355" s="295">
        <v>7</v>
      </c>
      <c r="D355" s="295">
        <v>5451</v>
      </c>
      <c r="E355" s="294"/>
      <c r="F355" s="295">
        <v>74478828117041</v>
      </c>
      <c r="G355" s="294" t="s">
        <v>949</v>
      </c>
      <c r="H355" s="295">
        <v>11111111</v>
      </c>
      <c r="I355" s="294" t="s">
        <v>1087</v>
      </c>
      <c r="J355" s="295">
        <v>1</v>
      </c>
      <c r="K355" s="294" t="s">
        <v>656</v>
      </c>
      <c r="L355" s="304">
        <v>9917.36</v>
      </c>
      <c r="M355" s="295">
        <v>0</v>
      </c>
      <c r="N355" s="295">
        <v>0</v>
      </c>
      <c r="O355" s="295">
        <v>0</v>
      </c>
      <c r="P355" s="303">
        <v>2082.65</v>
      </c>
      <c r="Q355" s="303">
        <v>12000.01</v>
      </c>
    </row>
    <row r="356" spans="1:17">
      <c r="A356" s="294" t="s">
        <v>1039</v>
      </c>
      <c r="B356" s="294" t="s">
        <v>948</v>
      </c>
      <c r="C356" s="295">
        <v>7</v>
      </c>
      <c r="D356" s="295">
        <v>5469</v>
      </c>
      <c r="E356" s="294"/>
      <c r="F356" s="295">
        <v>74478889716019</v>
      </c>
      <c r="G356" s="294" t="s">
        <v>7</v>
      </c>
      <c r="H356" s="295">
        <v>30685228501</v>
      </c>
      <c r="I356" s="294" t="s">
        <v>973</v>
      </c>
      <c r="J356" s="295">
        <v>1</v>
      </c>
      <c r="K356" s="294" t="s">
        <v>656</v>
      </c>
      <c r="L356" s="304">
        <v>33057.85</v>
      </c>
      <c r="M356" s="295">
        <v>0</v>
      </c>
      <c r="N356" s="295">
        <v>0</v>
      </c>
      <c r="O356" s="295">
        <v>0</v>
      </c>
      <c r="P356" s="303">
        <v>6942.15</v>
      </c>
      <c r="Q356" s="295">
        <v>40000</v>
      </c>
    </row>
    <row r="357" spans="1:17">
      <c r="A357" s="294" t="s">
        <v>1039</v>
      </c>
      <c r="B357" s="294" t="s">
        <v>948</v>
      </c>
      <c r="C357" s="295">
        <v>7</v>
      </c>
      <c r="D357" s="295">
        <v>5454</v>
      </c>
      <c r="E357" s="294"/>
      <c r="F357" s="295">
        <v>74478853447067</v>
      </c>
      <c r="G357" s="294" t="s">
        <v>949</v>
      </c>
      <c r="H357" s="295">
        <v>11111111</v>
      </c>
      <c r="I357" s="294" t="s">
        <v>1087</v>
      </c>
      <c r="J357" s="295">
        <v>1</v>
      </c>
      <c r="K357" s="294" t="s">
        <v>656</v>
      </c>
      <c r="L357" s="304">
        <v>21404.959999999999</v>
      </c>
      <c r="M357" s="295">
        <v>0</v>
      </c>
      <c r="N357" s="295">
        <v>0</v>
      </c>
      <c r="O357" s="295">
        <v>0</v>
      </c>
      <c r="P357" s="303">
        <v>4495.04</v>
      </c>
      <c r="Q357" s="295">
        <v>25900</v>
      </c>
    </row>
    <row r="358" spans="1:17">
      <c r="A358" s="294" t="s">
        <v>1039</v>
      </c>
      <c r="B358" s="294" t="s">
        <v>948</v>
      </c>
      <c r="C358" s="295">
        <v>7</v>
      </c>
      <c r="D358" s="295">
        <v>5462</v>
      </c>
      <c r="E358" s="294"/>
      <c r="F358" s="295">
        <v>74478871868413</v>
      </c>
      <c r="G358" s="294" t="s">
        <v>949</v>
      </c>
      <c r="H358" s="295">
        <v>17275405</v>
      </c>
      <c r="I358" s="294" t="s">
        <v>1091</v>
      </c>
      <c r="J358" s="295">
        <v>1</v>
      </c>
      <c r="K358" s="294" t="s">
        <v>656</v>
      </c>
      <c r="L358" s="304">
        <v>64462.81</v>
      </c>
      <c r="M358" s="295">
        <v>0</v>
      </c>
      <c r="N358" s="295">
        <v>0</v>
      </c>
      <c r="O358" s="295">
        <v>0</v>
      </c>
      <c r="P358" s="303">
        <v>13537.19</v>
      </c>
      <c r="Q358" s="295">
        <v>78000</v>
      </c>
    </row>
    <row r="359" spans="1:17">
      <c r="A359" s="294" t="s">
        <v>1039</v>
      </c>
      <c r="B359" s="294" t="s">
        <v>948</v>
      </c>
      <c r="C359" s="295">
        <v>7</v>
      </c>
      <c r="D359" s="295">
        <v>5466</v>
      </c>
      <c r="E359" s="294"/>
      <c r="F359" s="295">
        <v>74478877027465</v>
      </c>
      <c r="G359" s="309" t="s">
        <v>949</v>
      </c>
      <c r="H359" s="295">
        <v>54380084</v>
      </c>
      <c r="I359" s="294" t="s">
        <v>1092</v>
      </c>
      <c r="J359" s="295">
        <v>1</v>
      </c>
      <c r="K359" s="294" t="s">
        <v>656</v>
      </c>
      <c r="L359" s="304">
        <v>29338.84</v>
      </c>
      <c r="M359" s="295">
        <v>0</v>
      </c>
      <c r="N359" s="295">
        <v>0</v>
      </c>
      <c r="O359" s="295">
        <v>0</v>
      </c>
      <c r="P359" s="303">
        <v>6161.16</v>
      </c>
      <c r="Q359" s="295">
        <v>35500</v>
      </c>
    </row>
    <row r="360" spans="1:17">
      <c r="A360" s="294" t="s">
        <v>1039</v>
      </c>
      <c r="B360" s="294" t="s">
        <v>948</v>
      </c>
      <c r="C360" s="295">
        <v>3</v>
      </c>
      <c r="D360" s="295">
        <v>2879</v>
      </c>
      <c r="E360" s="294"/>
      <c r="F360" s="295">
        <v>74478862113907</v>
      </c>
      <c r="G360" s="309" t="s">
        <v>949</v>
      </c>
      <c r="H360" s="295">
        <v>42146794</v>
      </c>
      <c r="I360" s="294" t="s">
        <v>1093</v>
      </c>
      <c r="J360" s="295">
        <v>1</v>
      </c>
      <c r="K360" s="294" t="s">
        <v>656</v>
      </c>
      <c r="L360" s="304">
        <v>14876.05</v>
      </c>
      <c r="M360" s="295">
        <v>0</v>
      </c>
      <c r="N360" s="295">
        <v>0</v>
      </c>
      <c r="O360" s="295">
        <v>0</v>
      </c>
      <c r="P360" s="303">
        <v>3123.97</v>
      </c>
      <c r="Q360" s="295">
        <v>18000</v>
      </c>
    </row>
    <row r="361" spans="1:17" hidden="1">
      <c r="A361" s="294" t="s">
        <v>1039</v>
      </c>
      <c r="B361" s="294" t="s">
        <v>951</v>
      </c>
      <c r="C361" s="295">
        <v>6</v>
      </c>
      <c r="D361" s="295">
        <v>548</v>
      </c>
      <c r="E361" s="294"/>
      <c r="F361" s="295">
        <v>74478892877301</v>
      </c>
      <c r="G361" s="309" t="s">
        <v>7</v>
      </c>
      <c r="H361" s="295">
        <v>30683032227</v>
      </c>
      <c r="I361" s="294" t="s">
        <v>957</v>
      </c>
      <c r="J361" s="295">
        <v>1</v>
      </c>
      <c r="K361" s="294" t="s">
        <v>656</v>
      </c>
      <c r="L361" s="304">
        <v>3293388.43</v>
      </c>
      <c r="M361" s="295">
        <v>150000</v>
      </c>
      <c r="N361" s="295">
        <v>0</v>
      </c>
      <c r="O361" s="295">
        <v>0</v>
      </c>
      <c r="P361" s="303">
        <v>691611.57</v>
      </c>
      <c r="Q361" s="295">
        <v>4135000</v>
      </c>
    </row>
    <row r="362" spans="1:17" hidden="1">
      <c r="A362" s="294" t="s">
        <v>1039</v>
      </c>
      <c r="B362" s="294" t="s">
        <v>951</v>
      </c>
      <c r="C362" s="295">
        <v>6</v>
      </c>
      <c r="D362" s="295">
        <v>549</v>
      </c>
      <c r="E362" s="294"/>
      <c r="F362" s="295">
        <v>74478899615074</v>
      </c>
      <c r="G362" s="309" t="s">
        <v>7</v>
      </c>
      <c r="H362" s="295">
        <v>30522428163</v>
      </c>
      <c r="I362" s="294" t="s">
        <v>947</v>
      </c>
      <c r="J362" s="295">
        <v>1</v>
      </c>
      <c r="K362" s="294" t="s">
        <v>656</v>
      </c>
      <c r="L362" s="304">
        <v>5122975.21</v>
      </c>
      <c r="M362" s="295">
        <v>0</v>
      </c>
      <c r="N362" s="295">
        <v>0</v>
      </c>
      <c r="O362" s="295">
        <v>0</v>
      </c>
      <c r="P362" s="303">
        <v>1075824.79</v>
      </c>
      <c r="Q362" s="295">
        <v>6198800</v>
      </c>
    </row>
    <row r="363" spans="1:17" hidden="1">
      <c r="A363" s="294" t="s">
        <v>1039</v>
      </c>
      <c r="B363" s="294" t="s">
        <v>951</v>
      </c>
      <c r="C363" s="295">
        <v>6</v>
      </c>
      <c r="D363" s="295">
        <v>550</v>
      </c>
      <c r="E363" s="294"/>
      <c r="F363" s="295">
        <v>74478111452031</v>
      </c>
      <c r="G363" s="309" t="s">
        <v>7</v>
      </c>
      <c r="H363" s="295">
        <v>30683032227</v>
      </c>
      <c r="I363" s="294" t="s">
        <v>957</v>
      </c>
      <c r="J363" s="295">
        <v>1</v>
      </c>
      <c r="K363" s="294" t="s">
        <v>656</v>
      </c>
      <c r="L363" s="304">
        <v>3417355.37</v>
      </c>
      <c r="M363" s="295">
        <v>0</v>
      </c>
      <c r="N363" s="295">
        <v>0</v>
      </c>
      <c r="O363" s="295">
        <v>0</v>
      </c>
      <c r="P363" s="303">
        <v>717644.63</v>
      </c>
      <c r="Q363" s="295">
        <v>4135000</v>
      </c>
    </row>
    <row r="364" spans="1:17" hidden="1">
      <c r="A364" s="294" t="s">
        <v>1039</v>
      </c>
      <c r="B364" s="294" t="s">
        <v>676</v>
      </c>
      <c r="C364" s="295">
        <v>7</v>
      </c>
      <c r="D364" s="295">
        <v>169</v>
      </c>
      <c r="E364" s="294"/>
      <c r="F364" s="295">
        <v>74478883487271</v>
      </c>
      <c r="G364" s="309" t="s">
        <v>7</v>
      </c>
      <c r="H364" s="295">
        <v>30590412631</v>
      </c>
      <c r="I364" s="294" t="s">
        <v>953</v>
      </c>
      <c r="J364" s="295">
        <v>1</v>
      </c>
      <c r="K364" s="294" t="s">
        <v>656</v>
      </c>
      <c r="L364" s="304">
        <v>-229752.06</v>
      </c>
      <c r="M364" s="295"/>
      <c r="N364" s="295">
        <v>0</v>
      </c>
      <c r="O364" s="295">
        <v>0</v>
      </c>
      <c r="P364" s="303">
        <f>+L364*0.21</f>
        <v>-48247.9326</v>
      </c>
      <c r="Q364" s="295">
        <f>SUBTOTAL(9,L364:P364)</f>
        <v>0</v>
      </c>
    </row>
    <row r="365" spans="1:17" hidden="1">
      <c r="A365" s="294" t="s">
        <v>1039</v>
      </c>
      <c r="B365" s="294" t="s">
        <v>676</v>
      </c>
      <c r="C365" s="295">
        <v>3</v>
      </c>
      <c r="D365" s="295">
        <v>185</v>
      </c>
      <c r="E365" s="294"/>
      <c r="F365" s="295">
        <v>74478847140424</v>
      </c>
      <c r="G365" s="309" t="s">
        <v>7</v>
      </c>
      <c r="H365" s="295">
        <v>30683032227</v>
      </c>
      <c r="I365" s="294" t="s">
        <v>957</v>
      </c>
      <c r="J365" s="295">
        <v>1</v>
      </c>
      <c r="K365" s="294" t="s">
        <v>656</v>
      </c>
      <c r="L365" s="304">
        <v>-972429.76</v>
      </c>
      <c r="M365" s="295"/>
      <c r="N365" s="295">
        <v>0</v>
      </c>
      <c r="O365" s="295">
        <v>0</v>
      </c>
      <c r="P365" s="303">
        <f>+L365*0.21</f>
        <v>-204210.24959999998</v>
      </c>
      <c r="Q365" s="295">
        <f>SUBTOTAL(9,L365:P365)</f>
        <v>0</v>
      </c>
    </row>
    <row r="366" spans="1:17">
      <c r="A366" s="294" t="s">
        <v>1040</v>
      </c>
      <c r="B366" s="294" t="s">
        <v>948</v>
      </c>
      <c r="C366" s="295">
        <v>7</v>
      </c>
      <c r="D366" s="295">
        <v>5484</v>
      </c>
      <c r="E366" s="294"/>
      <c r="F366" s="295">
        <v>74478008292210</v>
      </c>
      <c r="G366" s="309" t="s">
        <v>949</v>
      </c>
      <c r="H366" s="295">
        <v>11111111</v>
      </c>
      <c r="I366" s="294" t="s">
        <v>1087</v>
      </c>
      <c r="J366" s="295">
        <v>1</v>
      </c>
      <c r="K366" s="294" t="s">
        <v>656</v>
      </c>
      <c r="L366" s="304">
        <v>14876.03</v>
      </c>
      <c r="M366" s="295">
        <v>0</v>
      </c>
      <c r="N366" s="295">
        <v>0</v>
      </c>
      <c r="O366" s="295">
        <v>0</v>
      </c>
      <c r="P366" s="303">
        <v>3123.97</v>
      </c>
      <c r="Q366" s="295">
        <v>18000</v>
      </c>
    </row>
    <row r="367" spans="1:17">
      <c r="A367" s="294" t="s">
        <v>1040</v>
      </c>
      <c r="B367" s="294" t="s">
        <v>948</v>
      </c>
      <c r="C367" s="295">
        <v>7</v>
      </c>
      <c r="D367" s="295">
        <v>5481</v>
      </c>
      <c r="E367" s="294"/>
      <c r="F367" s="295">
        <v>74478000419764</v>
      </c>
      <c r="G367" s="309" t="s">
        <v>949</v>
      </c>
      <c r="H367" s="295">
        <v>11111111</v>
      </c>
      <c r="I367" s="294" t="s">
        <v>1087</v>
      </c>
      <c r="J367" s="295">
        <v>1</v>
      </c>
      <c r="K367" s="294" t="s">
        <v>656</v>
      </c>
      <c r="L367" s="304">
        <v>30495.87</v>
      </c>
      <c r="M367" s="295">
        <v>0</v>
      </c>
      <c r="N367" s="295">
        <v>0</v>
      </c>
      <c r="O367" s="295">
        <v>0</v>
      </c>
      <c r="P367" s="303">
        <v>6404.13</v>
      </c>
      <c r="Q367" s="295">
        <v>36900</v>
      </c>
    </row>
    <row r="368" spans="1:17">
      <c r="A368" s="294" t="s">
        <v>1040</v>
      </c>
      <c r="B368" s="294" t="s">
        <v>948</v>
      </c>
      <c r="C368" s="295">
        <v>7</v>
      </c>
      <c r="D368" s="295">
        <v>5476</v>
      </c>
      <c r="E368" s="294"/>
      <c r="F368" s="295">
        <v>74478979984032</v>
      </c>
      <c r="G368" s="309" t="s">
        <v>949</v>
      </c>
      <c r="H368" s="295">
        <v>11111111</v>
      </c>
      <c r="I368" s="294" t="s">
        <v>1087</v>
      </c>
      <c r="J368" s="295">
        <v>1</v>
      </c>
      <c r="K368" s="294" t="s">
        <v>656</v>
      </c>
      <c r="L368" s="304">
        <v>30578.51</v>
      </c>
      <c r="M368" s="295">
        <v>0</v>
      </c>
      <c r="N368" s="295">
        <v>0</v>
      </c>
      <c r="O368" s="295">
        <v>0</v>
      </c>
      <c r="P368" s="303">
        <v>6421.49</v>
      </c>
      <c r="Q368" s="295">
        <v>37000</v>
      </c>
    </row>
    <row r="369" spans="1:17">
      <c r="A369" s="294" t="s">
        <v>1040</v>
      </c>
      <c r="B369" s="294" t="s">
        <v>948</v>
      </c>
      <c r="C369" s="295">
        <v>7</v>
      </c>
      <c r="D369" s="295">
        <v>5478</v>
      </c>
      <c r="E369" s="294"/>
      <c r="F369" s="295">
        <v>74478985275095</v>
      </c>
      <c r="G369" s="309" t="s">
        <v>949</v>
      </c>
      <c r="H369" s="295">
        <v>11111111</v>
      </c>
      <c r="I369" s="294" t="s">
        <v>1087</v>
      </c>
      <c r="J369" s="295">
        <v>1</v>
      </c>
      <c r="K369" s="294" t="s">
        <v>656</v>
      </c>
      <c r="L369" s="304">
        <v>13223.14</v>
      </c>
      <c r="M369" s="295">
        <v>0</v>
      </c>
      <c r="N369" s="295">
        <v>0</v>
      </c>
      <c r="O369" s="295">
        <v>0</v>
      </c>
      <c r="P369" s="303">
        <v>2776.86</v>
      </c>
      <c r="Q369" s="295">
        <v>16000</v>
      </c>
    </row>
    <row r="370" spans="1:17">
      <c r="A370" s="294" t="s">
        <v>1040</v>
      </c>
      <c r="B370" s="294" t="s">
        <v>948</v>
      </c>
      <c r="C370" s="295">
        <v>7</v>
      </c>
      <c r="D370" s="295">
        <v>5479</v>
      </c>
      <c r="E370" s="294"/>
      <c r="F370" s="295">
        <v>74478993296320</v>
      </c>
      <c r="G370" s="309" t="s">
        <v>949</v>
      </c>
      <c r="H370" s="295">
        <v>11111111</v>
      </c>
      <c r="I370" s="294" t="s">
        <v>1087</v>
      </c>
      <c r="J370" s="295">
        <v>1</v>
      </c>
      <c r="K370" s="294" t="s">
        <v>656</v>
      </c>
      <c r="L370" s="304">
        <v>40909.089999999997</v>
      </c>
      <c r="M370" s="295">
        <v>0</v>
      </c>
      <c r="N370" s="295">
        <v>0</v>
      </c>
      <c r="O370" s="295">
        <v>0</v>
      </c>
      <c r="P370" s="303">
        <v>8590.91</v>
      </c>
      <c r="Q370" s="295">
        <v>49500</v>
      </c>
    </row>
    <row r="371" spans="1:17">
      <c r="A371" s="294" t="s">
        <v>1040</v>
      </c>
      <c r="B371" s="294" t="s">
        <v>948</v>
      </c>
      <c r="C371" s="295">
        <v>7</v>
      </c>
      <c r="D371" s="295">
        <v>5485</v>
      </c>
      <c r="E371" s="294"/>
      <c r="F371" s="295">
        <v>74478014609007</v>
      </c>
      <c r="G371" s="309" t="s">
        <v>949</v>
      </c>
      <c r="H371" s="295">
        <v>11111111</v>
      </c>
      <c r="I371" s="294" t="s">
        <v>1087</v>
      </c>
      <c r="J371" s="295">
        <v>1</v>
      </c>
      <c r="K371" s="294" t="s">
        <v>656</v>
      </c>
      <c r="L371" s="304">
        <v>12809.92</v>
      </c>
      <c r="M371" s="295">
        <v>0</v>
      </c>
      <c r="N371" s="295">
        <v>0</v>
      </c>
      <c r="O371" s="295">
        <v>0</v>
      </c>
      <c r="P371" s="303">
        <v>2690.08</v>
      </c>
      <c r="Q371" s="295">
        <v>15500</v>
      </c>
    </row>
    <row r="372" spans="1:17">
      <c r="A372" s="294" t="s">
        <v>1040</v>
      </c>
      <c r="B372" s="294" t="s">
        <v>948</v>
      </c>
      <c r="C372" s="295">
        <v>7</v>
      </c>
      <c r="D372" s="295">
        <v>5482</v>
      </c>
      <c r="E372" s="294"/>
      <c r="F372" s="295">
        <v>74478001593443</v>
      </c>
      <c r="G372" s="309" t="s">
        <v>949</v>
      </c>
      <c r="H372" s="295">
        <v>11111111</v>
      </c>
      <c r="I372" s="294" t="s">
        <v>1087</v>
      </c>
      <c r="J372" s="295">
        <v>1</v>
      </c>
      <c r="K372" s="294" t="s">
        <v>656</v>
      </c>
      <c r="L372" s="304">
        <v>13223.14</v>
      </c>
      <c r="M372" s="295">
        <v>0</v>
      </c>
      <c r="N372" s="295">
        <v>0</v>
      </c>
      <c r="O372" s="295">
        <v>0</v>
      </c>
      <c r="P372" s="303">
        <v>2776.86</v>
      </c>
      <c r="Q372" s="295">
        <v>16000</v>
      </c>
    </row>
    <row r="373" spans="1:17">
      <c r="A373" s="294" t="s">
        <v>1040</v>
      </c>
      <c r="B373" s="294" t="s">
        <v>948</v>
      </c>
      <c r="C373" s="295">
        <v>7</v>
      </c>
      <c r="D373" s="295">
        <v>5474</v>
      </c>
      <c r="E373" s="294"/>
      <c r="F373" s="295">
        <v>74478975590254</v>
      </c>
      <c r="G373" s="294" t="s">
        <v>949</v>
      </c>
      <c r="H373" s="295">
        <v>11111111</v>
      </c>
      <c r="I373" s="294" t="s">
        <v>1087</v>
      </c>
      <c r="J373" s="295">
        <v>1</v>
      </c>
      <c r="K373" s="294" t="s">
        <v>656</v>
      </c>
      <c r="L373" s="304">
        <v>41735.54</v>
      </c>
      <c r="M373" s="295">
        <v>0</v>
      </c>
      <c r="N373" s="295">
        <v>0</v>
      </c>
      <c r="O373" s="295">
        <v>0</v>
      </c>
      <c r="P373" s="303">
        <v>8764.4599999999991</v>
      </c>
      <c r="Q373" s="295">
        <v>50500</v>
      </c>
    </row>
    <row r="374" spans="1:17">
      <c r="A374" s="294" t="s">
        <v>1040</v>
      </c>
      <c r="B374" s="294" t="s">
        <v>948</v>
      </c>
      <c r="C374" s="295">
        <v>7</v>
      </c>
      <c r="D374" s="295">
        <v>5477</v>
      </c>
      <c r="E374" s="294"/>
      <c r="F374" s="295">
        <v>74478980823299</v>
      </c>
      <c r="G374" s="309" t="s">
        <v>949</v>
      </c>
      <c r="H374" s="295">
        <v>11111111</v>
      </c>
      <c r="I374" s="294" t="s">
        <v>1087</v>
      </c>
      <c r="J374" s="295">
        <v>1</v>
      </c>
      <c r="K374" s="294" t="s">
        <v>656</v>
      </c>
      <c r="L374" s="305">
        <v>16115.7</v>
      </c>
      <c r="M374" s="295">
        <v>0</v>
      </c>
      <c r="N374" s="295">
        <v>0</v>
      </c>
      <c r="O374" s="295">
        <v>0</v>
      </c>
      <c r="P374" s="309">
        <v>3384.3</v>
      </c>
      <c r="Q374" s="295">
        <v>19500</v>
      </c>
    </row>
    <row r="375" spans="1:17">
      <c r="A375" s="294" t="s">
        <v>1040</v>
      </c>
      <c r="B375" s="294" t="s">
        <v>948</v>
      </c>
      <c r="C375" s="295">
        <v>7</v>
      </c>
      <c r="D375" s="295">
        <v>5473</v>
      </c>
      <c r="E375" s="294"/>
      <c r="F375" s="295">
        <v>74478970423385</v>
      </c>
      <c r="G375" s="309" t="s">
        <v>949</v>
      </c>
      <c r="H375" s="295">
        <v>11111111</v>
      </c>
      <c r="I375" s="294" t="s">
        <v>1087</v>
      </c>
      <c r="J375" s="295">
        <v>1</v>
      </c>
      <c r="K375" s="294" t="s">
        <v>656</v>
      </c>
      <c r="L375" s="304">
        <v>13223.14</v>
      </c>
      <c r="M375" s="295">
        <v>0</v>
      </c>
      <c r="N375" s="295">
        <v>0</v>
      </c>
      <c r="O375" s="295">
        <v>0</v>
      </c>
      <c r="P375" s="303">
        <v>2776.86</v>
      </c>
      <c r="Q375" s="295">
        <v>16000</v>
      </c>
    </row>
    <row r="376" spans="1:17">
      <c r="A376" s="294" t="s">
        <v>1040</v>
      </c>
      <c r="B376" s="294" t="s">
        <v>948</v>
      </c>
      <c r="C376" s="295">
        <v>7</v>
      </c>
      <c r="D376" s="295">
        <v>5486</v>
      </c>
      <c r="E376" s="294"/>
      <c r="F376" s="295">
        <v>74478015298226</v>
      </c>
      <c r="G376" s="309" t="s">
        <v>949</v>
      </c>
      <c r="H376" s="295">
        <v>11111111</v>
      </c>
      <c r="I376" s="294" t="s">
        <v>1087</v>
      </c>
      <c r="J376" s="295">
        <v>1</v>
      </c>
      <c r="K376" s="294" t="s">
        <v>656</v>
      </c>
      <c r="L376" s="304">
        <v>7438.02</v>
      </c>
      <c r="M376" s="295">
        <v>0</v>
      </c>
      <c r="N376" s="295">
        <v>0</v>
      </c>
      <c r="O376" s="295">
        <v>0</v>
      </c>
      <c r="P376" s="303">
        <v>1561.98</v>
      </c>
      <c r="Q376" s="295">
        <v>9000</v>
      </c>
    </row>
    <row r="377" spans="1:17">
      <c r="A377" s="294" t="s">
        <v>1040</v>
      </c>
      <c r="B377" s="294" t="s">
        <v>948</v>
      </c>
      <c r="C377" s="295">
        <v>7</v>
      </c>
      <c r="D377" s="295">
        <v>5483</v>
      </c>
      <c r="E377" s="294"/>
      <c r="F377" s="295">
        <v>74478004845813</v>
      </c>
      <c r="G377" s="309" t="s">
        <v>949</v>
      </c>
      <c r="H377" s="295">
        <v>11111111</v>
      </c>
      <c r="I377" s="294" t="s">
        <v>1087</v>
      </c>
      <c r="J377" s="295">
        <v>1</v>
      </c>
      <c r="K377" s="294" t="s">
        <v>656</v>
      </c>
      <c r="L377" s="304">
        <v>12809.92</v>
      </c>
      <c r="M377" s="295">
        <v>0</v>
      </c>
      <c r="N377" s="295">
        <v>0</v>
      </c>
      <c r="O377" s="295">
        <v>0</v>
      </c>
      <c r="P377" s="303">
        <v>2690.08</v>
      </c>
      <c r="Q377" s="295">
        <v>15500</v>
      </c>
    </row>
    <row r="378" spans="1:17">
      <c r="A378" s="294" t="s">
        <v>1040</v>
      </c>
      <c r="B378" s="294" t="s">
        <v>948</v>
      </c>
      <c r="C378" s="295">
        <v>7</v>
      </c>
      <c r="D378" s="295">
        <v>5480</v>
      </c>
      <c r="E378" s="294"/>
      <c r="F378" s="295">
        <v>74478996946490</v>
      </c>
      <c r="G378" s="309" t="s">
        <v>949</v>
      </c>
      <c r="H378" s="295">
        <v>11111111</v>
      </c>
      <c r="I378" s="294" t="s">
        <v>1087</v>
      </c>
      <c r="J378" s="295">
        <v>1</v>
      </c>
      <c r="K378" s="294" t="s">
        <v>656</v>
      </c>
      <c r="L378" s="304">
        <v>26446.28</v>
      </c>
      <c r="M378" s="295">
        <v>0</v>
      </c>
      <c r="N378" s="295">
        <v>0</v>
      </c>
      <c r="O378" s="295">
        <v>0</v>
      </c>
      <c r="P378" s="303">
        <v>5553.72</v>
      </c>
      <c r="Q378" s="295">
        <v>32000</v>
      </c>
    </row>
    <row r="379" spans="1:17">
      <c r="A379" s="294" t="s">
        <v>1040</v>
      </c>
      <c r="B379" s="294" t="s">
        <v>948</v>
      </c>
      <c r="C379" s="295">
        <v>7</v>
      </c>
      <c r="D379" s="295">
        <v>5475</v>
      </c>
      <c r="E379" s="294"/>
      <c r="F379" s="295">
        <v>74478976048004</v>
      </c>
      <c r="G379" s="309" t="s">
        <v>949</v>
      </c>
      <c r="H379" s="295">
        <v>11111111</v>
      </c>
      <c r="I379" s="294" t="s">
        <v>1087</v>
      </c>
      <c r="J379" s="295">
        <v>1</v>
      </c>
      <c r="K379" s="294" t="s">
        <v>656</v>
      </c>
      <c r="L379" s="304">
        <v>13223.14</v>
      </c>
      <c r="M379" s="295">
        <v>0</v>
      </c>
      <c r="N379" s="295">
        <v>0</v>
      </c>
      <c r="O379" s="295">
        <v>0</v>
      </c>
      <c r="P379" s="303">
        <v>2776.86</v>
      </c>
      <c r="Q379" s="295">
        <v>16000</v>
      </c>
    </row>
    <row r="380" spans="1:17">
      <c r="A380" s="294" t="s">
        <v>1040</v>
      </c>
      <c r="B380" s="294" t="s">
        <v>948</v>
      </c>
      <c r="C380" s="295">
        <v>7</v>
      </c>
      <c r="D380" s="295">
        <v>5471</v>
      </c>
      <c r="E380" s="294"/>
      <c r="F380" s="295">
        <v>74478968527818</v>
      </c>
      <c r="G380" s="294" t="s">
        <v>949</v>
      </c>
      <c r="H380" s="295">
        <v>11111111</v>
      </c>
      <c r="I380" s="294" t="s">
        <v>1087</v>
      </c>
      <c r="J380" s="295">
        <v>1</v>
      </c>
      <c r="K380" s="294" t="s">
        <v>656</v>
      </c>
      <c r="L380" s="306">
        <v>14900</v>
      </c>
      <c r="M380" s="295">
        <v>0</v>
      </c>
      <c r="N380" s="295">
        <v>0</v>
      </c>
      <c r="O380" s="295">
        <v>0</v>
      </c>
      <c r="P380" s="295">
        <v>3129</v>
      </c>
      <c r="Q380" s="295">
        <v>18029</v>
      </c>
    </row>
    <row r="381" spans="1:17">
      <c r="A381" s="294" t="s">
        <v>1040</v>
      </c>
      <c r="B381" s="294" t="s">
        <v>948</v>
      </c>
      <c r="C381" s="295">
        <v>7</v>
      </c>
      <c r="D381" s="295">
        <v>5472</v>
      </c>
      <c r="E381" s="294"/>
      <c r="F381" s="295">
        <v>74478968621877</v>
      </c>
      <c r="G381" s="309" t="s">
        <v>949</v>
      </c>
      <c r="H381" s="295">
        <v>11111111</v>
      </c>
      <c r="I381" s="294" t="s">
        <v>1087</v>
      </c>
      <c r="J381" s="295">
        <v>1</v>
      </c>
      <c r="K381" s="294" t="s">
        <v>656</v>
      </c>
      <c r="L381" s="306">
        <v>14900</v>
      </c>
      <c r="M381" s="295">
        <v>0</v>
      </c>
      <c r="N381" s="295">
        <v>0</v>
      </c>
      <c r="O381" s="295">
        <v>0</v>
      </c>
      <c r="P381" s="295">
        <v>3129</v>
      </c>
      <c r="Q381" s="295">
        <v>18029</v>
      </c>
    </row>
    <row r="382" spans="1:17">
      <c r="A382" s="294" t="s">
        <v>1040</v>
      </c>
      <c r="B382" s="294" t="s">
        <v>948</v>
      </c>
      <c r="C382" s="295">
        <v>7</v>
      </c>
      <c r="D382" s="295">
        <v>5487</v>
      </c>
      <c r="E382" s="294"/>
      <c r="F382" s="295">
        <v>74478018778134</v>
      </c>
      <c r="G382" s="294" t="s">
        <v>949</v>
      </c>
      <c r="H382" s="295">
        <v>11111111</v>
      </c>
      <c r="I382" s="294" t="s">
        <v>1087</v>
      </c>
      <c r="J382" s="295">
        <v>1</v>
      </c>
      <c r="K382" s="294" t="s">
        <v>656</v>
      </c>
      <c r="L382" s="304">
        <v>40909.089999999997</v>
      </c>
      <c r="M382" s="295">
        <v>0</v>
      </c>
      <c r="N382" s="295">
        <v>0</v>
      </c>
      <c r="O382" s="295">
        <v>0</v>
      </c>
      <c r="P382" s="303">
        <v>8590.91</v>
      </c>
      <c r="Q382" s="295">
        <v>49500</v>
      </c>
    </row>
    <row r="383" spans="1:17">
      <c r="A383" s="294" t="s">
        <v>1040</v>
      </c>
      <c r="B383" s="294" t="s">
        <v>948</v>
      </c>
      <c r="C383" s="295">
        <v>3</v>
      </c>
      <c r="D383" s="295">
        <v>2880</v>
      </c>
      <c r="E383" s="294"/>
      <c r="F383" s="295">
        <v>74478987512102</v>
      </c>
      <c r="G383" s="294" t="s">
        <v>949</v>
      </c>
      <c r="H383" s="295">
        <v>31827199</v>
      </c>
      <c r="I383" s="294" t="s">
        <v>1094</v>
      </c>
      <c r="J383" s="295">
        <v>1</v>
      </c>
      <c r="K383" s="294" t="s">
        <v>656</v>
      </c>
      <c r="L383" s="304">
        <v>17355.38</v>
      </c>
      <c r="M383" s="295">
        <v>0</v>
      </c>
      <c r="N383" s="295">
        <v>0</v>
      </c>
      <c r="O383" s="295">
        <v>0</v>
      </c>
      <c r="P383" s="303">
        <v>3644.63</v>
      </c>
      <c r="Q383" s="295">
        <v>21000</v>
      </c>
    </row>
    <row r="384" spans="1:17" hidden="1">
      <c r="A384" s="294" t="s">
        <v>1041</v>
      </c>
      <c r="B384" s="294" t="s">
        <v>654</v>
      </c>
      <c r="C384" s="295">
        <v>7</v>
      </c>
      <c r="D384" s="295">
        <v>2268</v>
      </c>
      <c r="E384" s="294"/>
      <c r="F384" s="295">
        <v>74478151786027</v>
      </c>
      <c r="G384" s="294" t="s">
        <v>7</v>
      </c>
      <c r="H384" s="295">
        <v>30608716390</v>
      </c>
      <c r="I384" s="294" t="s">
        <v>958</v>
      </c>
      <c r="J384" s="295">
        <v>1</v>
      </c>
      <c r="K384" s="294" t="s">
        <v>656</v>
      </c>
      <c r="L384" s="304">
        <v>7764.46</v>
      </c>
      <c r="M384" s="295">
        <v>0</v>
      </c>
      <c r="N384" s="295">
        <v>0</v>
      </c>
      <c r="O384" s="295">
        <v>0</v>
      </c>
      <c r="P384" s="303">
        <v>1630.54</v>
      </c>
      <c r="Q384" s="295">
        <v>9395</v>
      </c>
    </row>
    <row r="385" spans="1:17">
      <c r="A385" s="294" t="s">
        <v>1041</v>
      </c>
      <c r="B385" s="294" t="s">
        <v>948</v>
      </c>
      <c r="C385" s="295">
        <v>7</v>
      </c>
      <c r="D385" s="295">
        <v>5490</v>
      </c>
      <c r="E385" s="294"/>
      <c r="F385" s="295">
        <v>74478090362710</v>
      </c>
      <c r="G385" s="309" t="s">
        <v>949</v>
      </c>
      <c r="H385" s="295">
        <v>11111111</v>
      </c>
      <c r="I385" s="294" t="s">
        <v>1087</v>
      </c>
      <c r="J385" s="295">
        <v>1</v>
      </c>
      <c r="K385" s="294" t="s">
        <v>656</v>
      </c>
      <c r="L385" s="304">
        <v>26446.28</v>
      </c>
      <c r="M385" s="295">
        <v>0</v>
      </c>
      <c r="N385" s="295">
        <v>0</v>
      </c>
      <c r="O385" s="295">
        <v>0</v>
      </c>
      <c r="P385" s="303">
        <v>5553.72</v>
      </c>
      <c r="Q385" s="295">
        <v>32000</v>
      </c>
    </row>
    <row r="386" spans="1:17">
      <c r="A386" s="294" t="s">
        <v>1041</v>
      </c>
      <c r="B386" s="294" t="s">
        <v>948</v>
      </c>
      <c r="C386" s="295">
        <v>7</v>
      </c>
      <c r="D386" s="295">
        <v>5489</v>
      </c>
      <c r="E386" s="294"/>
      <c r="F386" s="295">
        <v>74478087757767</v>
      </c>
      <c r="G386" s="294" t="s">
        <v>949</v>
      </c>
      <c r="H386" s="295">
        <v>11111111</v>
      </c>
      <c r="I386" s="294" t="s">
        <v>1087</v>
      </c>
      <c r="J386" s="295">
        <v>1</v>
      </c>
      <c r="K386" s="294" t="s">
        <v>656</v>
      </c>
      <c r="L386" s="304">
        <v>20867.77</v>
      </c>
      <c r="M386" s="295">
        <v>0</v>
      </c>
      <c r="N386" s="295">
        <v>0</v>
      </c>
      <c r="O386" s="295">
        <v>0</v>
      </c>
      <c r="P386" s="303">
        <v>4382.2299999999996</v>
      </c>
      <c r="Q386" s="295">
        <v>25250</v>
      </c>
    </row>
    <row r="387" spans="1:17">
      <c r="A387" s="294" t="s">
        <v>1041</v>
      </c>
      <c r="B387" s="294" t="s">
        <v>948</v>
      </c>
      <c r="C387" s="295">
        <v>7</v>
      </c>
      <c r="D387" s="295">
        <v>5494</v>
      </c>
      <c r="E387" s="294"/>
      <c r="F387" s="295">
        <v>74478117774230</v>
      </c>
      <c r="G387" s="309" t="s">
        <v>949</v>
      </c>
      <c r="H387" s="295">
        <v>11111111</v>
      </c>
      <c r="I387" s="294" t="s">
        <v>1087</v>
      </c>
      <c r="J387" s="295">
        <v>1</v>
      </c>
      <c r="K387" s="294" t="s">
        <v>656</v>
      </c>
      <c r="L387" s="304">
        <v>25619.83</v>
      </c>
      <c r="M387" s="295">
        <v>0</v>
      </c>
      <c r="N387" s="295">
        <v>0</v>
      </c>
      <c r="O387" s="295">
        <v>0</v>
      </c>
      <c r="P387" s="303">
        <v>5380.17</v>
      </c>
      <c r="Q387" s="295">
        <v>31000</v>
      </c>
    </row>
    <row r="388" spans="1:17">
      <c r="A388" s="294" t="s">
        <v>1041</v>
      </c>
      <c r="B388" s="294" t="s">
        <v>948</v>
      </c>
      <c r="C388" s="295">
        <v>7</v>
      </c>
      <c r="D388" s="295">
        <v>5499</v>
      </c>
      <c r="E388" s="294"/>
      <c r="F388" s="295">
        <v>74478139666679</v>
      </c>
      <c r="G388" s="294" t="s">
        <v>949</v>
      </c>
      <c r="H388" s="295">
        <v>11111111</v>
      </c>
      <c r="I388" s="294" t="s">
        <v>1087</v>
      </c>
      <c r="J388" s="295">
        <v>1</v>
      </c>
      <c r="K388" s="294" t="s">
        <v>656</v>
      </c>
      <c r="L388" s="304">
        <v>30578.51</v>
      </c>
      <c r="M388" s="295">
        <v>0</v>
      </c>
      <c r="N388" s="295">
        <v>0</v>
      </c>
      <c r="O388" s="295">
        <v>0</v>
      </c>
      <c r="P388" s="303">
        <v>6421.49</v>
      </c>
      <c r="Q388" s="295">
        <v>37000</v>
      </c>
    </row>
    <row r="389" spans="1:17">
      <c r="A389" s="294" t="s">
        <v>1041</v>
      </c>
      <c r="B389" s="294" t="s">
        <v>948</v>
      </c>
      <c r="C389" s="295">
        <v>7</v>
      </c>
      <c r="D389" s="295">
        <v>5491</v>
      </c>
      <c r="E389" s="294"/>
      <c r="F389" s="295">
        <v>74478090945073</v>
      </c>
      <c r="G389" s="294" t="s">
        <v>949</v>
      </c>
      <c r="H389" s="295">
        <v>11111111</v>
      </c>
      <c r="I389" s="294" t="s">
        <v>1087</v>
      </c>
      <c r="J389" s="295">
        <v>1</v>
      </c>
      <c r="K389" s="294" t="s">
        <v>656</v>
      </c>
      <c r="L389" s="304">
        <v>15289.26</v>
      </c>
      <c r="M389" s="295">
        <v>0</v>
      </c>
      <c r="N389" s="295">
        <v>0</v>
      </c>
      <c r="O389" s="295">
        <v>0</v>
      </c>
      <c r="P389" s="303">
        <v>3210.74</v>
      </c>
      <c r="Q389" s="295">
        <v>18500</v>
      </c>
    </row>
    <row r="390" spans="1:17">
      <c r="A390" s="294" t="s">
        <v>1041</v>
      </c>
      <c r="B390" s="294" t="s">
        <v>948</v>
      </c>
      <c r="C390" s="295">
        <v>7</v>
      </c>
      <c r="D390" s="295">
        <v>5502</v>
      </c>
      <c r="E390" s="294"/>
      <c r="F390" s="295">
        <v>74478142502759</v>
      </c>
      <c r="G390" s="309" t="s">
        <v>7</v>
      </c>
      <c r="H390" s="295">
        <v>30685228501</v>
      </c>
      <c r="I390" s="294" t="s">
        <v>973</v>
      </c>
      <c r="J390" s="295">
        <v>1</v>
      </c>
      <c r="K390" s="294" t="s">
        <v>656</v>
      </c>
      <c r="L390" s="304">
        <v>1057695.8700000001</v>
      </c>
      <c r="M390" s="295">
        <v>0</v>
      </c>
      <c r="N390" s="295">
        <v>0</v>
      </c>
      <c r="O390" s="295">
        <v>0</v>
      </c>
      <c r="P390" s="303">
        <v>222116.13</v>
      </c>
      <c r="Q390" s="295">
        <v>1279812</v>
      </c>
    </row>
    <row r="391" spans="1:17">
      <c r="A391" s="294" t="s">
        <v>1041</v>
      </c>
      <c r="B391" s="294" t="s">
        <v>948</v>
      </c>
      <c r="C391" s="295">
        <v>7</v>
      </c>
      <c r="D391" s="295">
        <v>5500</v>
      </c>
      <c r="E391" s="294"/>
      <c r="F391" s="295">
        <v>74478140441264</v>
      </c>
      <c r="G391" s="309" t="s">
        <v>949</v>
      </c>
      <c r="H391" s="295">
        <v>11111111</v>
      </c>
      <c r="I391" s="294" t="s">
        <v>1087</v>
      </c>
      <c r="J391" s="295">
        <v>1</v>
      </c>
      <c r="K391" s="294" t="s">
        <v>656</v>
      </c>
      <c r="L391" s="305">
        <v>29628.1</v>
      </c>
      <c r="M391" s="295">
        <v>0</v>
      </c>
      <c r="N391" s="295">
        <v>0</v>
      </c>
      <c r="O391" s="295">
        <v>0</v>
      </c>
      <c r="P391" s="309">
        <v>6221.9</v>
      </c>
      <c r="Q391" s="295">
        <v>35850</v>
      </c>
    </row>
    <row r="392" spans="1:17">
      <c r="A392" s="294" t="s">
        <v>1041</v>
      </c>
      <c r="B392" s="294" t="s">
        <v>948</v>
      </c>
      <c r="C392" s="295">
        <v>7</v>
      </c>
      <c r="D392" s="295">
        <v>5495</v>
      </c>
      <c r="E392" s="294"/>
      <c r="F392" s="295">
        <v>74478121714906</v>
      </c>
      <c r="G392" s="294" t="s">
        <v>949</v>
      </c>
      <c r="H392" s="295">
        <v>11111111</v>
      </c>
      <c r="I392" s="294" t="s">
        <v>1087</v>
      </c>
      <c r="J392" s="295">
        <v>1</v>
      </c>
      <c r="K392" s="294" t="s">
        <v>656</v>
      </c>
      <c r="L392" s="305">
        <v>11487.6</v>
      </c>
      <c r="M392" s="295">
        <v>0</v>
      </c>
      <c r="N392" s="295">
        <v>0</v>
      </c>
      <c r="O392" s="295">
        <v>0</v>
      </c>
      <c r="P392" s="309">
        <v>2412.4</v>
      </c>
      <c r="Q392" s="295">
        <v>13900</v>
      </c>
    </row>
    <row r="393" spans="1:17">
      <c r="A393" s="294" t="s">
        <v>1041</v>
      </c>
      <c r="B393" s="294" t="s">
        <v>948</v>
      </c>
      <c r="C393" s="295">
        <v>7</v>
      </c>
      <c r="D393" s="295">
        <v>5496</v>
      </c>
      <c r="E393" s="294"/>
      <c r="F393" s="295">
        <v>74478132700510</v>
      </c>
      <c r="G393" s="309" t="s">
        <v>949</v>
      </c>
      <c r="H393" s="295">
        <v>11111111</v>
      </c>
      <c r="I393" s="294" t="s">
        <v>1087</v>
      </c>
      <c r="J393" s="295">
        <v>1</v>
      </c>
      <c r="K393" s="294" t="s">
        <v>656</v>
      </c>
      <c r="L393" s="304">
        <v>26446.28</v>
      </c>
      <c r="M393" s="295">
        <v>0</v>
      </c>
      <c r="N393" s="295">
        <v>0</v>
      </c>
      <c r="O393" s="295">
        <v>0</v>
      </c>
      <c r="P393" s="303">
        <v>5553.72</v>
      </c>
      <c r="Q393" s="295">
        <v>32000</v>
      </c>
    </row>
    <row r="394" spans="1:17">
      <c r="A394" s="294" t="s">
        <v>1041</v>
      </c>
      <c r="B394" s="294" t="s">
        <v>948</v>
      </c>
      <c r="C394" s="295">
        <v>7</v>
      </c>
      <c r="D394" s="295">
        <v>5503</v>
      </c>
      <c r="E394" s="294"/>
      <c r="F394" s="295">
        <v>74478146104642</v>
      </c>
      <c r="G394" s="294" t="s">
        <v>949</v>
      </c>
      <c r="H394" s="295">
        <v>11111111</v>
      </c>
      <c r="I394" s="294" t="s">
        <v>1087</v>
      </c>
      <c r="J394" s="295">
        <v>1</v>
      </c>
      <c r="K394" s="294" t="s">
        <v>656</v>
      </c>
      <c r="L394" s="304">
        <v>8264.4599999999991</v>
      </c>
      <c r="M394" s="295">
        <v>0</v>
      </c>
      <c r="N394" s="295">
        <v>0</v>
      </c>
      <c r="O394" s="295">
        <v>0</v>
      </c>
      <c r="P394" s="303">
        <v>1735.54</v>
      </c>
      <c r="Q394" s="295">
        <v>10000</v>
      </c>
    </row>
    <row r="395" spans="1:17">
      <c r="A395" s="294" t="s">
        <v>1041</v>
      </c>
      <c r="B395" s="294" t="s">
        <v>948</v>
      </c>
      <c r="C395" s="295">
        <v>7</v>
      </c>
      <c r="D395" s="295">
        <v>5501</v>
      </c>
      <c r="E395" s="294"/>
      <c r="F395" s="295">
        <v>74478141024947</v>
      </c>
      <c r="G395" s="294" t="s">
        <v>949</v>
      </c>
      <c r="H395" s="295">
        <v>11111111</v>
      </c>
      <c r="I395" s="294" t="s">
        <v>1087</v>
      </c>
      <c r="J395" s="295">
        <v>1</v>
      </c>
      <c r="K395" s="294" t="s">
        <v>656</v>
      </c>
      <c r="L395" s="304">
        <v>31198.35</v>
      </c>
      <c r="M395" s="295">
        <v>0</v>
      </c>
      <c r="N395" s="295">
        <v>0</v>
      </c>
      <c r="O395" s="295">
        <v>0</v>
      </c>
      <c r="P395" s="303">
        <v>6551.65</v>
      </c>
      <c r="Q395" s="295">
        <v>37750</v>
      </c>
    </row>
    <row r="396" spans="1:17">
      <c r="A396" s="294" t="s">
        <v>1041</v>
      </c>
      <c r="B396" s="294" t="s">
        <v>948</v>
      </c>
      <c r="C396" s="295">
        <v>7</v>
      </c>
      <c r="D396" s="295">
        <v>5488</v>
      </c>
      <c r="E396" s="294"/>
      <c r="F396" s="295">
        <v>74478086709718</v>
      </c>
      <c r="G396" s="294" t="s">
        <v>949</v>
      </c>
      <c r="H396" s="295">
        <v>11111111</v>
      </c>
      <c r="I396" s="294" t="s">
        <v>1087</v>
      </c>
      <c r="J396" s="295">
        <v>1</v>
      </c>
      <c r="K396" s="294" t="s">
        <v>656</v>
      </c>
      <c r="L396" s="304">
        <v>20661.16</v>
      </c>
      <c r="M396" s="295">
        <v>0</v>
      </c>
      <c r="N396" s="295">
        <v>0</v>
      </c>
      <c r="O396" s="295">
        <v>0</v>
      </c>
      <c r="P396" s="303">
        <v>4338.84</v>
      </c>
      <c r="Q396" s="295">
        <v>25000</v>
      </c>
    </row>
    <row r="397" spans="1:17">
      <c r="A397" s="294" t="s">
        <v>1041</v>
      </c>
      <c r="B397" s="294" t="s">
        <v>948</v>
      </c>
      <c r="C397" s="295">
        <v>7</v>
      </c>
      <c r="D397" s="295">
        <v>5492</v>
      </c>
      <c r="E397" s="294"/>
      <c r="F397" s="295">
        <v>74478095190747</v>
      </c>
      <c r="G397" s="294" t="s">
        <v>949</v>
      </c>
      <c r="H397" s="295">
        <v>11111111</v>
      </c>
      <c r="I397" s="294" t="s">
        <v>1087</v>
      </c>
      <c r="J397" s="295">
        <v>1</v>
      </c>
      <c r="K397" s="294" t="s">
        <v>656</v>
      </c>
      <c r="L397" s="304">
        <v>14669.42</v>
      </c>
      <c r="M397" s="295">
        <v>0</v>
      </c>
      <c r="N397" s="295">
        <v>0</v>
      </c>
      <c r="O397" s="295">
        <v>0</v>
      </c>
      <c r="P397" s="303">
        <v>3080.58</v>
      </c>
      <c r="Q397" s="295">
        <v>17750</v>
      </c>
    </row>
    <row r="398" spans="1:17">
      <c r="A398" s="294" t="s">
        <v>1041</v>
      </c>
      <c r="B398" s="294" t="s">
        <v>948</v>
      </c>
      <c r="C398" s="295">
        <v>7</v>
      </c>
      <c r="D398" s="295">
        <v>5497</v>
      </c>
      <c r="E398" s="294"/>
      <c r="F398" s="295">
        <v>74478133641981</v>
      </c>
      <c r="G398" s="309" t="s">
        <v>949</v>
      </c>
      <c r="H398" s="295">
        <v>11111111</v>
      </c>
      <c r="I398" s="294" t="s">
        <v>1087</v>
      </c>
      <c r="J398" s="295">
        <v>1</v>
      </c>
      <c r="K398" s="294" t="s">
        <v>656</v>
      </c>
      <c r="L398" s="305">
        <v>11487.6</v>
      </c>
      <c r="M398" s="295">
        <v>0</v>
      </c>
      <c r="N398" s="295">
        <v>0</v>
      </c>
      <c r="O398" s="295">
        <v>0</v>
      </c>
      <c r="P398" s="309">
        <v>2412.4</v>
      </c>
      <c r="Q398" s="295">
        <v>13900</v>
      </c>
    </row>
    <row r="399" spans="1:17">
      <c r="A399" s="294" t="s">
        <v>1041</v>
      </c>
      <c r="B399" s="294" t="s">
        <v>948</v>
      </c>
      <c r="C399" s="295">
        <v>7</v>
      </c>
      <c r="D399" s="295">
        <v>5493</v>
      </c>
      <c r="E399" s="294"/>
      <c r="F399" s="295">
        <v>74478109045120</v>
      </c>
      <c r="G399" s="309" t="s">
        <v>949</v>
      </c>
      <c r="H399" s="295">
        <v>11111111</v>
      </c>
      <c r="I399" s="294" t="s">
        <v>1087</v>
      </c>
      <c r="J399" s="295">
        <v>1</v>
      </c>
      <c r="K399" s="294" t="s">
        <v>656</v>
      </c>
      <c r="L399" s="304">
        <v>26446.28</v>
      </c>
      <c r="M399" s="295">
        <v>0</v>
      </c>
      <c r="N399" s="295">
        <v>0</v>
      </c>
      <c r="O399" s="295">
        <v>0</v>
      </c>
      <c r="P399" s="303">
        <v>5553.72</v>
      </c>
      <c r="Q399" s="295">
        <v>32000</v>
      </c>
    </row>
    <row r="400" spans="1:17">
      <c r="A400" s="294" t="s">
        <v>1041</v>
      </c>
      <c r="B400" s="294" t="s">
        <v>948</v>
      </c>
      <c r="C400" s="295">
        <v>7</v>
      </c>
      <c r="D400" s="295">
        <v>5498</v>
      </c>
      <c r="E400" s="294"/>
      <c r="F400" s="295">
        <v>74478136557033</v>
      </c>
      <c r="G400" s="309" t="s">
        <v>949</v>
      </c>
      <c r="H400" s="295">
        <v>11111111</v>
      </c>
      <c r="I400" s="294" t="s">
        <v>1087</v>
      </c>
      <c r="J400" s="295">
        <v>1</v>
      </c>
      <c r="K400" s="294" t="s">
        <v>656</v>
      </c>
      <c r="L400" s="304">
        <v>13223.14</v>
      </c>
      <c r="M400" s="295">
        <v>0</v>
      </c>
      <c r="N400" s="295">
        <v>0</v>
      </c>
      <c r="O400" s="295">
        <v>0</v>
      </c>
      <c r="P400" s="303">
        <v>2776.86</v>
      </c>
      <c r="Q400" s="295">
        <v>16000</v>
      </c>
    </row>
    <row r="401" spans="1:17">
      <c r="A401" s="294" t="s">
        <v>1041</v>
      </c>
      <c r="B401" s="294" t="s">
        <v>948</v>
      </c>
      <c r="C401" s="295">
        <v>3</v>
      </c>
      <c r="D401" s="295">
        <v>2881</v>
      </c>
      <c r="E401" s="294"/>
      <c r="F401" s="295">
        <v>74478086116826</v>
      </c>
      <c r="G401" s="309" t="s">
        <v>949</v>
      </c>
      <c r="H401" s="295">
        <v>95726311</v>
      </c>
      <c r="I401" s="294" t="s">
        <v>1095</v>
      </c>
      <c r="J401" s="295">
        <v>1</v>
      </c>
      <c r="K401" s="294" t="s">
        <v>656</v>
      </c>
      <c r="L401" s="304">
        <v>13636.38</v>
      </c>
      <c r="M401" s="295">
        <v>0</v>
      </c>
      <c r="N401" s="295">
        <v>0</v>
      </c>
      <c r="O401" s="295">
        <v>0</v>
      </c>
      <c r="P401" s="303">
        <v>2863.64</v>
      </c>
      <c r="Q401" s="295">
        <v>16500</v>
      </c>
    </row>
    <row r="402" spans="1:17">
      <c r="A402" s="294" t="s">
        <v>1041</v>
      </c>
      <c r="B402" s="294" t="s">
        <v>948</v>
      </c>
      <c r="C402" s="295">
        <v>3</v>
      </c>
      <c r="D402" s="295">
        <v>2882</v>
      </c>
      <c r="E402" s="294"/>
      <c r="F402" s="295">
        <v>74478139104970</v>
      </c>
      <c r="G402" s="309" t="s">
        <v>981</v>
      </c>
      <c r="H402" s="295">
        <v>27030798177</v>
      </c>
      <c r="I402" s="294" t="s">
        <v>1096</v>
      </c>
      <c r="J402" s="295">
        <v>1</v>
      </c>
      <c r="K402" s="294" t="s">
        <v>656</v>
      </c>
      <c r="L402" s="304">
        <v>17355.38</v>
      </c>
      <c r="M402" s="295">
        <v>0</v>
      </c>
      <c r="N402" s="295">
        <v>0</v>
      </c>
      <c r="O402" s="295">
        <v>0</v>
      </c>
      <c r="P402" s="303">
        <v>3644.63</v>
      </c>
      <c r="Q402" s="295">
        <v>21000</v>
      </c>
    </row>
    <row r="403" spans="1:17" hidden="1">
      <c r="A403" s="294" t="s">
        <v>1041</v>
      </c>
      <c r="B403" s="294" t="s">
        <v>1097</v>
      </c>
      <c r="C403" s="295">
        <v>3</v>
      </c>
      <c r="D403" s="295">
        <v>23</v>
      </c>
      <c r="E403" s="294"/>
      <c r="F403" s="295">
        <v>74478109722900</v>
      </c>
      <c r="G403" s="309" t="s">
        <v>7</v>
      </c>
      <c r="H403" s="295">
        <v>30683032227</v>
      </c>
      <c r="I403" s="294" t="s">
        <v>957</v>
      </c>
      <c r="J403" s="295">
        <v>1</v>
      </c>
      <c r="K403" s="294" t="s">
        <v>656</v>
      </c>
      <c r="L403" s="304">
        <v>-3293388.43</v>
      </c>
      <c r="M403" s="295"/>
      <c r="N403" s="295">
        <v>-150000</v>
      </c>
      <c r="O403" s="295">
        <v>0</v>
      </c>
      <c r="P403" s="303">
        <f>+L403*0.21</f>
        <v>-691611.57030000002</v>
      </c>
      <c r="Q403" s="295">
        <f>SUBTOTAL(9,L403:P403)</f>
        <v>0</v>
      </c>
    </row>
    <row r="404" spans="1:17">
      <c r="A404" s="294" t="s">
        <v>1098</v>
      </c>
      <c r="B404" s="294" t="s">
        <v>948</v>
      </c>
      <c r="C404" s="295">
        <v>7</v>
      </c>
      <c r="D404" s="295">
        <v>5504</v>
      </c>
      <c r="E404" s="294"/>
      <c r="F404" s="295">
        <v>74478334723844</v>
      </c>
      <c r="G404" s="294" t="s">
        <v>949</v>
      </c>
      <c r="H404" s="295">
        <v>11111111</v>
      </c>
      <c r="I404" s="294" t="s">
        <v>1087</v>
      </c>
      <c r="J404" s="295">
        <v>1</v>
      </c>
      <c r="K404" s="294" t="s">
        <v>656</v>
      </c>
      <c r="L404" s="304">
        <v>3.72</v>
      </c>
      <c r="M404" s="295">
        <v>0</v>
      </c>
      <c r="N404" s="295">
        <v>0</v>
      </c>
      <c r="O404" s="295">
        <v>0</v>
      </c>
      <c r="P404" s="303">
        <v>0.78</v>
      </c>
      <c r="Q404" s="309">
        <v>4.5</v>
      </c>
    </row>
    <row r="405" spans="1:17" hidden="1">
      <c r="A405" s="294" t="s">
        <v>1044</v>
      </c>
      <c r="B405" s="294" t="s">
        <v>654</v>
      </c>
      <c r="C405" s="295">
        <v>7</v>
      </c>
      <c r="D405" s="295">
        <v>2270</v>
      </c>
      <c r="E405" s="294"/>
      <c r="F405" s="295">
        <v>74488439317548</v>
      </c>
      <c r="G405" s="309" t="s">
        <v>7</v>
      </c>
      <c r="H405" s="295">
        <v>30608716390</v>
      </c>
      <c r="I405" s="294" t="s">
        <v>958</v>
      </c>
      <c r="J405" s="295">
        <v>1</v>
      </c>
      <c r="K405" s="294" t="s">
        <v>656</v>
      </c>
      <c r="L405" s="304">
        <v>15528.93</v>
      </c>
      <c r="M405" s="295">
        <v>0</v>
      </c>
      <c r="N405" s="295">
        <v>0</v>
      </c>
      <c r="O405" s="295">
        <v>0</v>
      </c>
      <c r="P405" s="303">
        <v>3261.07</v>
      </c>
      <c r="Q405" s="295">
        <v>18790</v>
      </c>
    </row>
    <row r="406" spans="1:17" hidden="1">
      <c r="A406" s="294" t="s">
        <v>1044</v>
      </c>
      <c r="B406" s="294" t="s">
        <v>654</v>
      </c>
      <c r="C406" s="295">
        <v>7</v>
      </c>
      <c r="D406" s="295">
        <v>2269</v>
      </c>
      <c r="E406" s="294"/>
      <c r="F406" s="295">
        <v>74488437367884</v>
      </c>
      <c r="G406" s="309" t="s">
        <v>7</v>
      </c>
      <c r="H406" s="295">
        <v>30608716390</v>
      </c>
      <c r="I406" s="294" t="s">
        <v>958</v>
      </c>
      <c r="J406" s="295">
        <v>1</v>
      </c>
      <c r="K406" s="294" t="s">
        <v>656</v>
      </c>
      <c r="L406" s="304">
        <v>10870.25</v>
      </c>
      <c r="M406" s="295">
        <v>0</v>
      </c>
      <c r="N406" s="295">
        <v>0</v>
      </c>
      <c r="O406" s="295">
        <v>0</v>
      </c>
      <c r="P406" s="303">
        <v>2282.75</v>
      </c>
      <c r="Q406" s="295">
        <v>13153</v>
      </c>
    </row>
    <row r="407" spans="1:17" hidden="1">
      <c r="A407" s="294" t="s">
        <v>1044</v>
      </c>
      <c r="B407" s="294" t="s">
        <v>654</v>
      </c>
      <c r="C407" s="295">
        <v>3</v>
      </c>
      <c r="D407" s="295">
        <v>2139</v>
      </c>
      <c r="E407" s="294"/>
      <c r="F407" s="295">
        <v>74488434763924</v>
      </c>
      <c r="G407" s="309" t="s">
        <v>7</v>
      </c>
      <c r="H407" s="295">
        <v>30559574291</v>
      </c>
      <c r="I407" s="294" t="s">
        <v>1099</v>
      </c>
      <c r="J407" s="295">
        <v>1</v>
      </c>
      <c r="K407" s="294" t="s">
        <v>656</v>
      </c>
      <c r="L407" s="304">
        <v>32314.05</v>
      </c>
      <c r="M407" s="295">
        <v>0</v>
      </c>
      <c r="N407" s="295">
        <v>0</v>
      </c>
      <c r="O407" s="295">
        <v>0</v>
      </c>
      <c r="P407" s="303">
        <v>6785.95</v>
      </c>
      <c r="Q407" s="295">
        <v>39100</v>
      </c>
    </row>
    <row r="408" spans="1:17">
      <c r="A408" s="294" t="s">
        <v>1044</v>
      </c>
      <c r="B408" s="294" t="s">
        <v>948</v>
      </c>
      <c r="C408" s="295">
        <v>7</v>
      </c>
      <c r="D408" s="295">
        <v>5511</v>
      </c>
      <c r="E408" s="294"/>
      <c r="F408" s="295">
        <v>74488446800692</v>
      </c>
      <c r="G408" s="295">
        <v>99</v>
      </c>
      <c r="H408" s="295">
        <v>0</v>
      </c>
      <c r="I408" s="294"/>
      <c r="J408" s="295">
        <v>1</v>
      </c>
      <c r="K408" s="294" t="s">
        <v>656</v>
      </c>
      <c r="L408" s="304">
        <v>13223.14</v>
      </c>
      <c r="M408" s="295">
        <v>0</v>
      </c>
      <c r="N408" s="295">
        <v>0</v>
      </c>
      <c r="O408" s="295">
        <v>0</v>
      </c>
      <c r="P408" s="303">
        <v>2776.86</v>
      </c>
      <c r="Q408" s="295">
        <v>16000</v>
      </c>
    </row>
    <row r="409" spans="1:17">
      <c r="A409" s="294" t="s">
        <v>1044</v>
      </c>
      <c r="B409" s="294" t="s">
        <v>948</v>
      </c>
      <c r="C409" s="295">
        <v>7</v>
      </c>
      <c r="D409" s="295">
        <v>5512</v>
      </c>
      <c r="E409" s="294"/>
      <c r="F409" s="295">
        <v>74488449743290</v>
      </c>
      <c r="G409" s="295">
        <v>99</v>
      </c>
      <c r="H409" s="295">
        <v>0</v>
      </c>
      <c r="I409" s="294"/>
      <c r="J409" s="295">
        <v>1</v>
      </c>
      <c r="K409" s="294" t="s">
        <v>656</v>
      </c>
      <c r="L409" s="304">
        <v>8677.69</v>
      </c>
      <c r="M409" s="295">
        <v>0</v>
      </c>
      <c r="N409" s="295">
        <v>0</v>
      </c>
      <c r="O409" s="295">
        <v>0</v>
      </c>
      <c r="P409" s="303">
        <v>1822.31</v>
      </c>
      <c r="Q409" s="295">
        <v>10500</v>
      </c>
    </row>
    <row r="410" spans="1:17">
      <c r="A410" s="294" t="s">
        <v>1044</v>
      </c>
      <c r="B410" s="294" t="s">
        <v>948</v>
      </c>
      <c r="C410" s="295">
        <v>7</v>
      </c>
      <c r="D410" s="295">
        <v>5505</v>
      </c>
      <c r="E410" s="294"/>
      <c r="F410" s="295">
        <v>74488410590574</v>
      </c>
      <c r="G410" s="295">
        <v>99</v>
      </c>
      <c r="H410" s="295">
        <v>0</v>
      </c>
      <c r="I410" s="294"/>
      <c r="J410" s="295">
        <v>1</v>
      </c>
      <c r="K410" s="294" t="s">
        <v>656</v>
      </c>
      <c r="L410" s="304">
        <v>12892.56</v>
      </c>
      <c r="M410" s="295">
        <v>0</v>
      </c>
      <c r="N410" s="295">
        <v>0</v>
      </c>
      <c r="O410" s="295">
        <v>0</v>
      </c>
      <c r="P410" s="303">
        <v>2707.44</v>
      </c>
      <c r="Q410" s="295">
        <v>15600</v>
      </c>
    </row>
    <row r="411" spans="1:17">
      <c r="A411" s="294" t="s">
        <v>1044</v>
      </c>
      <c r="B411" s="294" t="s">
        <v>948</v>
      </c>
      <c r="C411" s="295">
        <v>7</v>
      </c>
      <c r="D411" s="295">
        <v>5506</v>
      </c>
      <c r="E411" s="294"/>
      <c r="F411" s="295">
        <v>74488423878949</v>
      </c>
      <c r="G411" s="295">
        <v>99</v>
      </c>
      <c r="H411" s="295">
        <v>0</v>
      </c>
      <c r="I411" s="294"/>
      <c r="J411" s="295">
        <v>1</v>
      </c>
      <c r="K411" s="294" t="s">
        <v>656</v>
      </c>
      <c r="L411" s="304">
        <v>5206.6099999999997</v>
      </c>
      <c r="M411" s="295">
        <v>0</v>
      </c>
      <c r="N411" s="295">
        <v>0</v>
      </c>
      <c r="O411" s="295">
        <v>0</v>
      </c>
      <c r="P411" s="303">
        <v>1093.3900000000001</v>
      </c>
      <c r="Q411" s="295">
        <v>6300</v>
      </c>
    </row>
    <row r="412" spans="1:17">
      <c r="A412" s="294" t="s">
        <v>1044</v>
      </c>
      <c r="B412" s="294" t="s">
        <v>948</v>
      </c>
      <c r="C412" s="295">
        <v>7</v>
      </c>
      <c r="D412" s="295">
        <v>5507</v>
      </c>
      <c r="E412" s="294"/>
      <c r="F412" s="295">
        <v>74488426524073</v>
      </c>
      <c r="G412" s="295">
        <v>99</v>
      </c>
      <c r="H412" s="295">
        <v>0</v>
      </c>
      <c r="I412" s="294"/>
      <c r="J412" s="295">
        <v>1</v>
      </c>
      <c r="K412" s="294" t="s">
        <v>656</v>
      </c>
      <c r="L412" s="304">
        <v>20454.55</v>
      </c>
      <c r="M412" s="295">
        <v>0</v>
      </c>
      <c r="N412" s="295">
        <v>0</v>
      </c>
      <c r="O412" s="295">
        <v>0</v>
      </c>
      <c r="P412" s="303">
        <v>4295.45</v>
      </c>
      <c r="Q412" s="295">
        <v>24750</v>
      </c>
    </row>
    <row r="413" spans="1:17">
      <c r="A413" s="294" t="s">
        <v>1044</v>
      </c>
      <c r="B413" s="294" t="s">
        <v>948</v>
      </c>
      <c r="C413" s="295">
        <v>7</v>
      </c>
      <c r="D413" s="295">
        <v>5513</v>
      </c>
      <c r="E413" s="294"/>
      <c r="F413" s="295">
        <v>74488456360116</v>
      </c>
      <c r="G413" s="295">
        <v>99</v>
      </c>
      <c r="H413" s="295">
        <v>0</v>
      </c>
      <c r="I413" s="294"/>
      <c r="J413" s="295">
        <v>1</v>
      </c>
      <c r="K413" s="294" t="s">
        <v>656</v>
      </c>
      <c r="L413" s="304">
        <v>20454.55</v>
      </c>
      <c r="M413" s="295">
        <v>0</v>
      </c>
      <c r="N413" s="295">
        <v>0</v>
      </c>
      <c r="O413" s="295">
        <v>0</v>
      </c>
      <c r="P413" s="303">
        <v>4295.45</v>
      </c>
      <c r="Q413" s="295">
        <v>24750</v>
      </c>
    </row>
    <row r="414" spans="1:17">
      <c r="A414" s="294" t="s">
        <v>1044</v>
      </c>
      <c r="B414" s="294" t="s">
        <v>948</v>
      </c>
      <c r="C414" s="295">
        <v>7</v>
      </c>
      <c r="D414" s="295">
        <v>5509</v>
      </c>
      <c r="E414" s="294"/>
      <c r="F414" s="295">
        <v>74488441728966</v>
      </c>
      <c r="G414" s="295">
        <v>99</v>
      </c>
      <c r="H414" s="295">
        <v>0</v>
      </c>
      <c r="I414" s="294"/>
      <c r="J414" s="295">
        <v>1</v>
      </c>
      <c r="K414" s="294" t="s">
        <v>656</v>
      </c>
      <c r="L414" s="304">
        <v>28429.75</v>
      </c>
      <c r="M414" s="295">
        <v>0</v>
      </c>
      <c r="N414" s="295">
        <v>0</v>
      </c>
      <c r="O414" s="295">
        <v>0</v>
      </c>
      <c r="P414" s="303">
        <v>5970.25</v>
      </c>
      <c r="Q414" s="295">
        <v>34400</v>
      </c>
    </row>
    <row r="415" spans="1:17">
      <c r="A415" s="294" t="s">
        <v>1044</v>
      </c>
      <c r="B415" s="294" t="s">
        <v>948</v>
      </c>
      <c r="C415" s="295">
        <v>7</v>
      </c>
      <c r="D415" s="295">
        <v>5514</v>
      </c>
      <c r="E415" s="294"/>
      <c r="F415" s="295">
        <v>74488470039169</v>
      </c>
      <c r="G415" s="295">
        <v>99</v>
      </c>
      <c r="H415" s="295">
        <v>0</v>
      </c>
      <c r="I415" s="294"/>
      <c r="J415" s="295">
        <v>1</v>
      </c>
      <c r="K415" s="294" t="s">
        <v>656</v>
      </c>
      <c r="L415" s="304">
        <v>8.26</v>
      </c>
      <c r="M415" s="295">
        <v>0</v>
      </c>
      <c r="N415" s="295">
        <v>0</v>
      </c>
      <c r="O415" s="295">
        <v>0</v>
      </c>
      <c r="P415" s="303">
        <v>1.74</v>
      </c>
      <c r="Q415" s="295">
        <v>10</v>
      </c>
    </row>
    <row r="416" spans="1:17">
      <c r="A416" s="294" t="s">
        <v>1044</v>
      </c>
      <c r="B416" s="294" t="s">
        <v>948</v>
      </c>
      <c r="C416" s="295">
        <v>7</v>
      </c>
      <c r="D416" s="295">
        <v>5510</v>
      </c>
      <c r="E416" s="294"/>
      <c r="F416" s="295">
        <v>74488442762515</v>
      </c>
      <c r="G416" s="294" t="s">
        <v>949</v>
      </c>
      <c r="H416" s="295">
        <v>36174950</v>
      </c>
      <c r="I416" s="294" t="s">
        <v>1100</v>
      </c>
      <c r="J416" s="295">
        <v>1</v>
      </c>
      <c r="K416" s="294" t="s">
        <v>656</v>
      </c>
      <c r="L416" s="304">
        <v>28429.75</v>
      </c>
      <c r="M416" s="295">
        <v>0</v>
      </c>
      <c r="N416" s="295">
        <v>0</v>
      </c>
      <c r="O416" s="295">
        <v>0</v>
      </c>
      <c r="P416" s="303">
        <v>5970.25</v>
      </c>
      <c r="Q416" s="295">
        <v>34400</v>
      </c>
    </row>
    <row r="417" spans="1:17">
      <c r="A417" s="294" t="s">
        <v>1044</v>
      </c>
      <c r="B417" s="294" t="s">
        <v>948</v>
      </c>
      <c r="C417" s="295">
        <v>7</v>
      </c>
      <c r="D417" s="295">
        <v>5508</v>
      </c>
      <c r="E417" s="294"/>
      <c r="F417" s="295">
        <v>74488436073190</v>
      </c>
      <c r="G417" s="295">
        <v>99</v>
      </c>
      <c r="H417" s="295">
        <v>0</v>
      </c>
      <c r="I417" s="294"/>
      <c r="J417" s="295">
        <v>1</v>
      </c>
      <c r="K417" s="294" t="s">
        <v>656</v>
      </c>
      <c r="L417" s="304">
        <v>12396.69</v>
      </c>
      <c r="M417" s="295">
        <v>0</v>
      </c>
      <c r="N417" s="295">
        <v>0</v>
      </c>
      <c r="O417" s="295">
        <v>0</v>
      </c>
      <c r="P417" s="303">
        <v>2603.31</v>
      </c>
      <c r="Q417" s="295">
        <v>15000</v>
      </c>
    </row>
    <row r="418" spans="1:17">
      <c r="A418" s="294" t="s">
        <v>1044</v>
      </c>
      <c r="B418" s="294" t="s">
        <v>948</v>
      </c>
      <c r="C418" s="295">
        <v>3</v>
      </c>
      <c r="D418" s="295">
        <v>2884</v>
      </c>
      <c r="E418" s="294"/>
      <c r="F418" s="295">
        <v>74488405207735</v>
      </c>
      <c r="G418" s="294"/>
      <c r="H418" s="309"/>
      <c r="I418" s="294"/>
      <c r="J418" s="295">
        <v>1</v>
      </c>
      <c r="K418" s="294" t="s">
        <v>656</v>
      </c>
      <c r="L418" s="304">
        <v>33884.29</v>
      </c>
      <c r="M418" s="295">
        <v>0</v>
      </c>
      <c r="N418" s="295">
        <v>0</v>
      </c>
      <c r="O418" s="295">
        <v>0</v>
      </c>
      <c r="P418" s="309">
        <v>7115.7</v>
      </c>
      <c r="Q418" s="295">
        <v>41000</v>
      </c>
    </row>
    <row r="419" spans="1:17">
      <c r="A419" s="294" t="s">
        <v>1044</v>
      </c>
      <c r="B419" s="294" t="s">
        <v>948</v>
      </c>
      <c r="C419" s="295">
        <v>3</v>
      </c>
      <c r="D419" s="295">
        <v>2883</v>
      </c>
      <c r="E419" s="294"/>
      <c r="F419" s="295">
        <v>74488394940378</v>
      </c>
      <c r="G419" s="294" t="s">
        <v>949</v>
      </c>
      <c r="H419" s="295">
        <v>30467689</v>
      </c>
      <c r="I419" s="294" t="s">
        <v>1101</v>
      </c>
      <c r="J419" s="295">
        <v>1</v>
      </c>
      <c r="K419" s="294" t="s">
        <v>656</v>
      </c>
      <c r="L419" s="304">
        <v>12396.71</v>
      </c>
      <c r="M419" s="295">
        <v>0</v>
      </c>
      <c r="N419" s="295">
        <v>0</v>
      </c>
      <c r="O419" s="295">
        <v>0</v>
      </c>
      <c r="P419" s="303">
        <v>2603.31</v>
      </c>
      <c r="Q419" s="295">
        <v>15000</v>
      </c>
    </row>
    <row r="420" spans="1:17">
      <c r="A420" s="294" t="s">
        <v>1044</v>
      </c>
      <c r="B420" s="294" t="s">
        <v>948</v>
      </c>
      <c r="C420" s="295">
        <v>3</v>
      </c>
      <c r="D420" s="295">
        <v>2885</v>
      </c>
      <c r="E420" s="294"/>
      <c r="F420" s="295">
        <v>74488414673543</v>
      </c>
      <c r="G420" s="294" t="s">
        <v>949</v>
      </c>
      <c r="H420" s="295">
        <v>16582171</v>
      </c>
      <c r="I420" s="294" t="s">
        <v>1102</v>
      </c>
      <c r="J420" s="295">
        <v>1</v>
      </c>
      <c r="K420" s="294" t="s">
        <v>656</v>
      </c>
      <c r="L420" s="304">
        <v>14876.05</v>
      </c>
      <c r="M420" s="295">
        <v>0</v>
      </c>
      <c r="N420" s="295">
        <v>0</v>
      </c>
      <c r="O420" s="295">
        <v>0</v>
      </c>
      <c r="P420" s="303">
        <v>3123.97</v>
      </c>
      <c r="Q420" s="295">
        <v>18000</v>
      </c>
    </row>
    <row r="421" spans="1:17">
      <c r="A421" s="294" t="s">
        <v>1044</v>
      </c>
      <c r="B421" s="294" t="s">
        <v>948</v>
      </c>
      <c r="C421" s="295">
        <v>3</v>
      </c>
      <c r="D421" s="295">
        <v>2886</v>
      </c>
      <c r="E421" s="294"/>
      <c r="F421" s="295">
        <v>74488419974621</v>
      </c>
      <c r="G421" s="294" t="s">
        <v>949</v>
      </c>
      <c r="H421" s="295">
        <v>92141987</v>
      </c>
      <c r="I421" s="294" t="s">
        <v>1103</v>
      </c>
      <c r="J421" s="295">
        <v>1</v>
      </c>
      <c r="K421" s="294" t="s">
        <v>656</v>
      </c>
      <c r="L421" s="304">
        <v>13636.38</v>
      </c>
      <c r="M421" s="295">
        <v>0</v>
      </c>
      <c r="N421" s="295">
        <v>0</v>
      </c>
      <c r="O421" s="295">
        <v>0</v>
      </c>
      <c r="P421" s="303">
        <v>2863.64</v>
      </c>
      <c r="Q421" s="295">
        <v>16500</v>
      </c>
    </row>
    <row r="422" spans="1:17" hidden="1">
      <c r="A422" s="294" t="s">
        <v>1044</v>
      </c>
      <c r="B422" s="294" t="s">
        <v>676</v>
      </c>
      <c r="C422" s="295">
        <v>7</v>
      </c>
      <c r="D422" s="295">
        <v>170</v>
      </c>
      <c r="E422" s="294"/>
      <c r="F422" s="295">
        <v>74488437560205</v>
      </c>
      <c r="G422" s="309" t="s">
        <v>7</v>
      </c>
      <c r="H422" s="295">
        <v>30608716390</v>
      </c>
      <c r="I422" s="294" t="s">
        <v>958</v>
      </c>
      <c r="J422" s="295">
        <v>1</v>
      </c>
      <c r="K422" s="294" t="s">
        <v>656</v>
      </c>
      <c r="L422" s="304">
        <v>-15528.93</v>
      </c>
      <c r="M422" s="295"/>
      <c r="N422" s="295">
        <v>0</v>
      </c>
      <c r="O422" s="295">
        <v>0</v>
      </c>
      <c r="P422" s="303">
        <f>+L422*0.21</f>
        <v>-3261.0753</v>
      </c>
      <c r="Q422" s="295">
        <f>SUBTOTAL(9,L422:P422)</f>
        <v>0</v>
      </c>
    </row>
    <row r="423" spans="1:17" hidden="1">
      <c r="A423" s="294" t="s">
        <v>1044</v>
      </c>
      <c r="B423" s="294" t="s">
        <v>676</v>
      </c>
      <c r="C423" s="295">
        <v>7</v>
      </c>
      <c r="D423" s="295">
        <v>171</v>
      </c>
      <c r="E423" s="294"/>
      <c r="F423" s="295">
        <v>74488438697416</v>
      </c>
      <c r="G423" s="309" t="s">
        <v>7</v>
      </c>
      <c r="H423" s="295">
        <v>30608716390</v>
      </c>
      <c r="I423" s="294" t="s">
        <v>958</v>
      </c>
      <c r="J423" s="295">
        <v>1</v>
      </c>
      <c r="K423" s="294" t="s">
        <v>656</v>
      </c>
      <c r="L423" s="304">
        <v>-22413.22</v>
      </c>
      <c r="M423" s="295"/>
      <c r="N423" s="295">
        <v>0</v>
      </c>
      <c r="O423" s="295">
        <v>0</v>
      </c>
      <c r="P423" s="303">
        <f>+L423*0.21</f>
        <v>-4706.7762000000002</v>
      </c>
      <c r="Q423" s="295">
        <f>SUBTOTAL(9,L423:P423)</f>
        <v>0</v>
      </c>
    </row>
    <row r="424" spans="1:17" hidden="1">
      <c r="A424" s="294" t="s">
        <v>1044</v>
      </c>
      <c r="B424" s="294" t="s">
        <v>950</v>
      </c>
      <c r="C424" s="295">
        <v>7</v>
      </c>
      <c r="D424" s="295">
        <v>171</v>
      </c>
      <c r="E424" s="294"/>
      <c r="F424" s="295">
        <v>74488443234205</v>
      </c>
      <c r="G424" s="295">
        <v>99</v>
      </c>
      <c r="H424" s="295">
        <v>0</v>
      </c>
      <c r="I424" s="294"/>
      <c r="J424" s="295">
        <v>1</v>
      </c>
      <c r="K424" s="294" t="s">
        <v>656</v>
      </c>
      <c r="L424" s="304">
        <v>-28429.75</v>
      </c>
      <c r="M424" s="295"/>
      <c r="N424" s="295">
        <v>0</v>
      </c>
      <c r="O424" s="295">
        <v>0</v>
      </c>
      <c r="P424" s="303">
        <f>+L424*0.21</f>
        <v>-5970.2474999999995</v>
      </c>
      <c r="Q424" s="295">
        <f>SUBTOTAL(9,L424:P424)</f>
        <v>0</v>
      </c>
    </row>
    <row r="425" spans="1:17" hidden="1">
      <c r="A425" s="294" t="s">
        <v>1044</v>
      </c>
      <c r="B425" s="294" t="s">
        <v>950</v>
      </c>
      <c r="C425" s="295">
        <v>7</v>
      </c>
      <c r="D425" s="295">
        <v>172</v>
      </c>
      <c r="E425" s="294"/>
      <c r="F425" s="295">
        <v>74488453564925</v>
      </c>
      <c r="G425" s="309" t="s">
        <v>7</v>
      </c>
      <c r="H425" s="295">
        <v>30590354798</v>
      </c>
      <c r="I425" s="294" t="s">
        <v>81</v>
      </c>
      <c r="J425" s="295">
        <v>1</v>
      </c>
      <c r="K425" s="294" t="s">
        <v>656</v>
      </c>
      <c r="L425" s="304">
        <v>-19834.71</v>
      </c>
      <c r="M425" s="295"/>
      <c r="N425" s="295">
        <v>0</v>
      </c>
      <c r="O425" s="295">
        <v>0</v>
      </c>
      <c r="P425" s="303">
        <f>+L425*0.21</f>
        <v>-4165.2891</v>
      </c>
      <c r="Q425" s="295">
        <f>SUBTOTAL(9,L425:P425)</f>
        <v>0</v>
      </c>
    </row>
    <row r="426" spans="1:17" hidden="1">
      <c r="A426" s="294" t="s">
        <v>1046</v>
      </c>
      <c r="B426" s="294" t="s">
        <v>654</v>
      </c>
      <c r="C426" s="295">
        <v>7</v>
      </c>
      <c r="D426" s="295">
        <v>2275</v>
      </c>
      <c r="E426" s="294"/>
      <c r="F426" s="295">
        <v>74488587393812</v>
      </c>
      <c r="G426" s="294" t="s">
        <v>7</v>
      </c>
      <c r="H426" s="295">
        <v>30546771314</v>
      </c>
      <c r="I426" s="294" t="s">
        <v>959</v>
      </c>
      <c r="J426" s="295">
        <v>1</v>
      </c>
      <c r="K426" s="294" t="s">
        <v>656</v>
      </c>
      <c r="L426" s="305">
        <v>898884.3</v>
      </c>
      <c r="M426" s="295">
        <v>0</v>
      </c>
      <c r="N426" s="295">
        <v>0</v>
      </c>
      <c r="O426" s="295">
        <v>0</v>
      </c>
      <c r="P426" s="309">
        <v>188765.7</v>
      </c>
      <c r="Q426" s="295">
        <v>1087650</v>
      </c>
    </row>
    <row r="427" spans="1:17" hidden="1">
      <c r="A427" s="294" t="s">
        <v>1046</v>
      </c>
      <c r="B427" s="294" t="s">
        <v>654</v>
      </c>
      <c r="C427" s="295">
        <v>7</v>
      </c>
      <c r="D427" s="295">
        <v>2272</v>
      </c>
      <c r="E427" s="294"/>
      <c r="F427" s="295">
        <v>74488579474824</v>
      </c>
      <c r="G427" s="309" t="s">
        <v>7</v>
      </c>
      <c r="H427" s="295">
        <v>30707612971</v>
      </c>
      <c r="I427" s="294" t="s">
        <v>75</v>
      </c>
      <c r="J427" s="295">
        <v>1</v>
      </c>
      <c r="K427" s="294" t="s">
        <v>656</v>
      </c>
      <c r="L427" s="304">
        <v>53504.13</v>
      </c>
      <c r="M427" s="295">
        <v>0</v>
      </c>
      <c r="N427" s="295">
        <v>0</v>
      </c>
      <c r="O427" s="295">
        <v>0</v>
      </c>
      <c r="P427" s="303">
        <v>11235.87</v>
      </c>
      <c r="Q427" s="295">
        <v>64740</v>
      </c>
    </row>
    <row r="428" spans="1:17" hidden="1">
      <c r="A428" s="294" t="s">
        <v>1046</v>
      </c>
      <c r="B428" s="294" t="s">
        <v>654</v>
      </c>
      <c r="C428" s="295">
        <v>7</v>
      </c>
      <c r="D428" s="295">
        <v>2274</v>
      </c>
      <c r="E428" s="294"/>
      <c r="F428" s="295">
        <v>74488585529487</v>
      </c>
      <c r="G428" s="309" t="s">
        <v>7</v>
      </c>
      <c r="H428" s="295">
        <v>30712529721</v>
      </c>
      <c r="I428" s="294" t="s">
        <v>1104</v>
      </c>
      <c r="J428" s="295">
        <v>1</v>
      </c>
      <c r="K428" s="294" t="s">
        <v>656</v>
      </c>
      <c r="L428" s="304">
        <v>46148.76</v>
      </c>
      <c r="M428" s="295">
        <v>0</v>
      </c>
      <c r="N428" s="295">
        <v>0</v>
      </c>
      <c r="O428" s="295">
        <v>0</v>
      </c>
      <c r="P428" s="303">
        <v>9691.24</v>
      </c>
      <c r="Q428" s="295">
        <v>55840</v>
      </c>
    </row>
    <row r="429" spans="1:17" hidden="1">
      <c r="A429" s="294" t="s">
        <v>1046</v>
      </c>
      <c r="B429" s="294" t="s">
        <v>654</v>
      </c>
      <c r="C429" s="295">
        <v>7</v>
      </c>
      <c r="D429" s="295">
        <v>2273</v>
      </c>
      <c r="E429" s="294"/>
      <c r="F429" s="295">
        <v>74488580354199</v>
      </c>
      <c r="G429" s="309" t="s">
        <v>7</v>
      </c>
      <c r="H429" s="295">
        <v>30606274161</v>
      </c>
      <c r="I429" s="294" t="s">
        <v>1067</v>
      </c>
      <c r="J429" s="295">
        <v>1</v>
      </c>
      <c r="K429" s="294" t="s">
        <v>656</v>
      </c>
      <c r="L429" s="304">
        <v>301603.31</v>
      </c>
      <c r="M429" s="295">
        <v>0</v>
      </c>
      <c r="N429" s="295">
        <v>0</v>
      </c>
      <c r="O429" s="295">
        <v>0</v>
      </c>
      <c r="P429" s="303">
        <v>63336.69</v>
      </c>
      <c r="Q429" s="295">
        <v>364940</v>
      </c>
    </row>
    <row r="430" spans="1:17" hidden="1">
      <c r="A430" s="294" t="s">
        <v>1046</v>
      </c>
      <c r="B430" s="294" t="s">
        <v>654</v>
      </c>
      <c r="C430" s="295">
        <v>7</v>
      </c>
      <c r="D430" s="295">
        <v>2271</v>
      </c>
      <c r="E430" s="294"/>
      <c r="F430" s="295">
        <v>74488578182878</v>
      </c>
      <c r="G430" s="309" t="s">
        <v>7</v>
      </c>
      <c r="H430" s="295">
        <v>30712136754</v>
      </c>
      <c r="I430" s="294" t="s">
        <v>929</v>
      </c>
      <c r="J430" s="295">
        <v>1</v>
      </c>
      <c r="K430" s="294" t="s">
        <v>656</v>
      </c>
      <c r="L430" s="304">
        <v>53504.13</v>
      </c>
      <c r="M430" s="295">
        <v>0</v>
      </c>
      <c r="N430" s="295">
        <v>0</v>
      </c>
      <c r="O430" s="295">
        <v>0</v>
      </c>
      <c r="P430" s="303">
        <v>11235.87</v>
      </c>
      <c r="Q430" s="295">
        <v>64740</v>
      </c>
    </row>
    <row r="431" spans="1:17">
      <c r="A431" s="294" t="s">
        <v>1046</v>
      </c>
      <c r="B431" s="294" t="s">
        <v>948</v>
      </c>
      <c r="C431" s="295">
        <v>5</v>
      </c>
      <c r="D431" s="295">
        <v>11880</v>
      </c>
      <c r="E431" s="294"/>
      <c r="F431" s="295">
        <v>74488537908503</v>
      </c>
      <c r="G431" s="295">
        <v>99</v>
      </c>
      <c r="H431" s="295">
        <v>0</v>
      </c>
      <c r="I431" s="294"/>
      <c r="J431" s="295">
        <v>1</v>
      </c>
      <c r="K431" s="294" t="s">
        <v>656</v>
      </c>
      <c r="L431" s="304">
        <v>9917.36</v>
      </c>
      <c r="M431" s="295">
        <v>0</v>
      </c>
      <c r="N431" s="295">
        <v>0</v>
      </c>
      <c r="O431" s="295">
        <v>0</v>
      </c>
      <c r="P431" s="303">
        <v>2082.64</v>
      </c>
      <c r="Q431" s="295">
        <v>12000</v>
      </c>
    </row>
    <row r="432" spans="1:17">
      <c r="A432" s="294" t="s">
        <v>1046</v>
      </c>
      <c r="B432" s="294" t="s">
        <v>948</v>
      </c>
      <c r="C432" s="295">
        <v>5</v>
      </c>
      <c r="D432" s="295">
        <v>11889</v>
      </c>
      <c r="E432" s="294"/>
      <c r="F432" s="295">
        <v>74488571329502</v>
      </c>
      <c r="G432" s="295">
        <v>99</v>
      </c>
      <c r="H432" s="295">
        <v>0</v>
      </c>
      <c r="I432" s="294"/>
      <c r="J432" s="295">
        <v>1</v>
      </c>
      <c r="K432" s="294" t="s">
        <v>656</v>
      </c>
      <c r="L432" s="304">
        <v>40909.089999999997</v>
      </c>
      <c r="M432" s="295">
        <v>0</v>
      </c>
      <c r="N432" s="295">
        <v>0</v>
      </c>
      <c r="O432" s="295">
        <v>0</v>
      </c>
      <c r="P432" s="303">
        <v>8590.91</v>
      </c>
      <c r="Q432" s="295">
        <v>49500</v>
      </c>
    </row>
    <row r="433" spans="1:17">
      <c r="A433" s="294" t="s">
        <v>1046</v>
      </c>
      <c r="B433" s="294" t="s">
        <v>948</v>
      </c>
      <c r="C433" s="295">
        <v>5</v>
      </c>
      <c r="D433" s="295">
        <v>11881</v>
      </c>
      <c r="E433" s="294"/>
      <c r="F433" s="295">
        <v>74488545721292</v>
      </c>
      <c r="G433" s="295">
        <v>99</v>
      </c>
      <c r="H433" s="295">
        <v>0</v>
      </c>
      <c r="I433" s="294"/>
      <c r="J433" s="295">
        <v>1</v>
      </c>
      <c r="K433" s="294" t="s">
        <v>656</v>
      </c>
      <c r="L433" s="304">
        <v>20247.93</v>
      </c>
      <c r="M433" s="295">
        <v>0</v>
      </c>
      <c r="N433" s="295">
        <v>0</v>
      </c>
      <c r="O433" s="295">
        <v>0</v>
      </c>
      <c r="P433" s="303">
        <v>4252.07</v>
      </c>
      <c r="Q433" s="295">
        <v>24500</v>
      </c>
    </row>
    <row r="434" spans="1:17">
      <c r="A434" s="294" t="s">
        <v>1046</v>
      </c>
      <c r="B434" s="294" t="s">
        <v>948</v>
      </c>
      <c r="C434" s="295">
        <v>5</v>
      </c>
      <c r="D434" s="295">
        <v>11891</v>
      </c>
      <c r="E434" s="294"/>
      <c r="F434" s="295">
        <v>74488585115165</v>
      </c>
      <c r="G434" s="295">
        <v>99</v>
      </c>
      <c r="H434" s="295">
        <v>0</v>
      </c>
      <c r="I434" s="294"/>
      <c r="J434" s="295">
        <v>1</v>
      </c>
      <c r="K434" s="294" t="s">
        <v>656</v>
      </c>
      <c r="L434" s="304">
        <v>29338.84</v>
      </c>
      <c r="M434" s="295">
        <v>0</v>
      </c>
      <c r="N434" s="295">
        <v>0</v>
      </c>
      <c r="O434" s="295">
        <v>0</v>
      </c>
      <c r="P434" s="303">
        <v>6161.16</v>
      </c>
      <c r="Q434" s="295">
        <v>35500</v>
      </c>
    </row>
    <row r="435" spans="1:17">
      <c r="A435" s="294" t="s">
        <v>1046</v>
      </c>
      <c r="B435" s="294" t="s">
        <v>948</v>
      </c>
      <c r="C435" s="295">
        <v>5</v>
      </c>
      <c r="D435" s="295">
        <v>11885</v>
      </c>
      <c r="E435" s="294"/>
      <c r="F435" s="295">
        <v>74488553744338</v>
      </c>
      <c r="G435" s="295">
        <v>99</v>
      </c>
      <c r="H435" s="295">
        <v>0</v>
      </c>
      <c r="I435" s="294"/>
      <c r="J435" s="295">
        <v>1</v>
      </c>
      <c r="K435" s="294" t="s">
        <v>656</v>
      </c>
      <c r="L435" s="304">
        <v>20661.16</v>
      </c>
      <c r="M435" s="295">
        <v>0</v>
      </c>
      <c r="N435" s="295">
        <v>0</v>
      </c>
      <c r="O435" s="295">
        <v>0</v>
      </c>
      <c r="P435" s="303">
        <v>4338.84</v>
      </c>
      <c r="Q435" s="295">
        <v>25000</v>
      </c>
    </row>
    <row r="436" spans="1:17">
      <c r="A436" s="294" t="s">
        <v>1046</v>
      </c>
      <c r="B436" s="294" t="s">
        <v>948</v>
      </c>
      <c r="C436" s="295">
        <v>5</v>
      </c>
      <c r="D436" s="295">
        <v>11887</v>
      </c>
      <c r="E436" s="294"/>
      <c r="F436" s="295">
        <v>74488559019352</v>
      </c>
      <c r="G436" s="295">
        <v>99</v>
      </c>
      <c r="H436" s="295">
        <v>0</v>
      </c>
      <c r="I436" s="294"/>
      <c r="J436" s="295">
        <v>1</v>
      </c>
      <c r="K436" s="294" t="s">
        <v>656</v>
      </c>
      <c r="L436" s="304">
        <v>58016.53</v>
      </c>
      <c r="M436" s="295">
        <v>0</v>
      </c>
      <c r="N436" s="295">
        <v>0</v>
      </c>
      <c r="O436" s="295">
        <v>0</v>
      </c>
      <c r="P436" s="303">
        <v>12183.47</v>
      </c>
      <c r="Q436" s="295">
        <v>70200</v>
      </c>
    </row>
    <row r="437" spans="1:17">
      <c r="A437" s="294" t="s">
        <v>1046</v>
      </c>
      <c r="B437" s="294" t="s">
        <v>948</v>
      </c>
      <c r="C437" s="295">
        <v>5</v>
      </c>
      <c r="D437" s="295">
        <v>11878</v>
      </c>
      <c r="E437" s="294"/>
      <c r="F437" s="295">
        <v>74488533446342</v>
      </c>
      <c r="G437" s="295">
        <v>99</v>
      </c>
      <c r="H437" s="295">
        <v>0</v>
      </c>
      <c r="I437" s="294"/>
      <c r="J437" s="295">
        <v>1</v>
      </c>
      <c r="K437" s="294" t="s">
        <v>656</v>
      </c>
      <c r="L437" s="305">
        <v>10743.8</v>
      </c>
      <c r="M437" s="295">
        <v>0</v>
      </c>
      <c r="N437" s="295">
        <v>0</v>
      </c>
      <c r="O437" s="295">
        <v>0</v>
      </c>
      <c r="P437" s="309">
        <v>2256.1999999999998</v>
      </c>
      <c r="Q437" s="295">
        <v>13000</v>
      </c>
    </row>
    <row r="438" spans="1:17">
      <c r="A438" s="294" t="s">
        <v>1046</v>
      </c>
      <c r="B438" s="294" t="s">
        <v>948</v>
      </c>
      <c r="C438" s="295">
        <v>5</v>
      </c>
      <c r="D438" s="295">
        <v>11888</v>
      </c>
      <c r="E438" s="294"/>
      <c r="F438" s="295">
        <v>74488564376353</v>
      </c>
      <c r="G438" s="295">
        <v>99</v>
      </c>
      <c r="H438" s="295">
        <v>0</v>
      </c>
      <c r="I438" s="294"/>
      <c r="J438" s="295">
        <v>1</v>
      </c>
      <c r="K438" s="294" t="s">
        <v>656</v>
      </c>
      <c r="L438" s="304">
        <v>12809.92</v>
      </c>
      <c r="M438" s="295">
        <v>0</v>
      </c>
      <c r="N438" s="295">
        <v>0</v>
      </c>
      <c r="O438" s="295">
        <v>0</v>
      </c>
      <c r="P438" s="303">
        <v>2690.08</v>
      </c>
      <c r="Q438" s="295">
        <v>15500</v>
      </c>
    </row>
    <row r="439" spans="1:17">
      <c r="A439" s="294" t="s">
        <v>1046</v>
      </c>
      <c r="B439" s="294" t="s">
        <v>948</v>
      </c>
      <c r="C439" s="295">
        <v>5</v>
      </c>
      <c r="D439" s="295">
        <v>11883</v>
      </c>
      <c r="E439" s="294"/>
      <c r="F439" s="295">
        <v>74488551471878</v>
      </c>
      <c r="G439" s="295">
        <v>99</v>
      </c>
      <c r="H439" s="295">
        <v>0</v>
      </c>
      <c r="I439" s="294"/>
      <c r="J439" s="295">
        <v>1</v>
      </c>
      <c r="K439" s="294" t="s">
        <v>656</v>
      </c>
      <c r="L439" s="304">
        <v>7438.02</v>
      </c>
      <c r="M439" s="295">
        <v>0</v>
      </c>
      <c r="N439" s="295">
        <v>0</v>
      </c>
      <c r="O439" s="295">
        <v>0</v>
      </c>
      <c r="P439" s="303">
        <v>1561.98</v>
      </c>
      <c r="Q439" s="295">
        <v>9000</v>
      </c>
    </row>
    <row r="440" spans="1:17">
      <c r="A440" s="294" t="s">
        <v>1046</v>
      </c>
      <c r="B440" s="294" t="s">
        <v>948</v>
      </c>
      <c r="C440" s="295">
        <v>5</v>
      </c>
      <c r="D440" s="295">
        <v>11884</v>
      </c>
      <c r="E440" s="294"/>
      <c r="F440" s="295">
        <v>74488551824044</v>
      </c>
      <c r="G440" s="295">
        <v>99</v>
      </c>
      <c r="H440" s="295">
        <v>0</v>
      </c>
      <c r="I440" s="294"/>
      <c r="J440" s="295">
        <v>1</v>
      </c>
      <c r="K440" s="294" t="s">
        <v>656</v>
      </c>
      <c r="L440" s="305">
        <v>21487.599999999999</v>
      </c>
      <c r="M440" s="295">
        <v>0</v>
      </c>
      <c r="N440" s="295">
        <v>0</v>
      </c>
      <c r="O440" s="295">
        <v>0</v>
      </c>
      <c r="P440" s="309">
        <v>4512.3999999999996</v>
      </c>
      <c r="Q440" s="295">
        <v>26000</v>
      </c>
    </row>
    <row r="441" spans="1:17">
      <c r="A441" s="294" t="s">
        <v>1046</v>
      </c>
      <c r="B441" s="294" t="s">
        <v>948</v>
      </c>
      <c r="C441" s="295">
        <v>5</v>
      </c>
      <c r="D441" s="295">
        <v>11886</v>
      </c>
      <c r="E441" s="294"/>
      <c r="F441" s="295">
        <v>74488554652977</v>
      </c>
      <c r="G441" s="295">
        <v>99</v>
      </c>
      <c r="H441" s="295">
        <v>0</v>
      </c>
      <c r="I441" s="294"/>
      <c r="J441" s="295">
        <v>1</v>
      </c>
      <c r="K441" s="294" t="s">
        <v>656</v>
      </c>
      <c r="L441" s="304">
        <v>20454.55</v>
      </c>
      <c r="M441" s="295">
        <v>0</v>
      </c>
      <c r="N441" s="295">
        <v>0</v>
      </c>
      <c r="O441" s="295">
        <v>0</v>
      </c>
      <c r="P441" s="303">
        <v>4295.45</v>
      </c>
      <c r="Q441" s="295">
        <v>24750</v>
      </c>
    </row>
    <row r="442" spans="1:17">
      <c r="A442" s="294" t="s">
        <v>1046</v>
      </c>
      <c r="B442" s="294" t="s">
        <v>948</v>
      </c>
      <c r="C442" s="295">
        <v>5</v>
      </c>
      <c r="D442" s="295">
        <v>11879</v>
      </c>
      <c r="E442" s="294"/>
      <c r="F442" s="295">
        <v>74488534233636</v>
      </c>
      <c r="G442" s="295">
        <v>99</v>
      </c>
      <c r="H442" s="295">
        <v>0</v>
      </c>
      <c r="I442" s="294"/>
      <c r="J442" s="295">
        <v>1</v>
      </c>
      <c r="K442" s="294" t="s">
        <v>656</v>
      </c>
      <c r="L442" s="304">
        <v>11983.47</v>
      </c>
      <c r="M442" s="295">
        <v>0</v>
      </c>
      <c r="N442" s="295">
        <v>0</v>
      </c>
      <c r="O442" s="295">
        <v>0</v>
      </c>
      <c r="P442" s="303">
        <v>2516.5300000000002</v>
      </c>
      <c r="Q442" s="295">
        <v>14500</v>
      </c>
    </row>
    <row r="443" spans="1:17">
      <c r="A443" s="294" t="s">
        <v>1046</v>
      </c>
      <c r="B443" s="294" t="s">
        <v>948</v>
      </c>
      <c r="C443" s="295">
        <v>5</v>
      </c>
      <c r="D443" s="295">
        <v>11890</v>
      </c>
      <c r="E443" s="294"/>
      <c r="F443" s="295">
        <v>74488578506407</v>
      </c>
      <c r="G443" s="295">
        <v>99</v>
      </c>
      <c r="H443" s="295">
        <v>0</v>
      </c>
      <c r="I443" s="294"/>
      <c r="J443" s="295">
        <v>1</v>
      </c>
      <c r="K443" s="294" t="s">
        <v>656</v>
      </c>
      <c r="L443" s="304">
        <v>13223.14</v>
      </c>
      <c r="M443" s="295">
        <v>0</v>
      </c>
      <c r="N443" s="295">
        <v>0</v>
      </c>
      <c r="O443" s="295">
        <v>0</v>
      </c>
      <c r="P443" s="303">
        <v>2776.86</v>
      </c>
      <c r="Q443" s="295">
        <v>16000</v>
      </c>
    </row>
    <row r="444" spans="1:17">
      <c r="A444" s="294" t="s">
        <v>1046</v>
      </c>
      <c r="B444" s="294" t="s">
        <v>948</v>
      </c>
      <c r="C444" s="295">
        <v>5</v>
      </c>
      <c r="D444" s="295">
        <v>11882</v>
      </c>
      <c r="E444" s="294"/>
      <c r="F444" s="295">
        <v>74488547821673</v>
      </c>
      <c r="G444" s="295">
        <v>99</v>
      </c>
      <c r="H444" s="295">
        <v>0</v>
      </c>
      <c r="I444" s="294"/>
      <c r="J444" s="295">
        <v>1</v>
      </c>
      <c r="K444" s="294" t="s">
        <v>656</v>
      </c>
      <c r="L444" s="304">
        <v>13223.14</v>
      </c>
      <c r="M444" s="295">
        <v>0</v>
      </c>
      <c r="N444" s="295">
        <v>0</v>
      </c>
      <c r="O444" s="295">
        <v>0</v>
      </c>
      <c r="P444" s="303">
        <v>2776.86</v>
      </c>
      <c r="Q444" s="295">
        <v>16000</v>
      </c>
    </row>
    <row r="445" spans="1:17" hidden="1">
      <c r="A445" s="294" t="s">
        <v>1105</v>
      </c>
      <c r="B445" s="294" t="s">
        <v>654</v>
      </c>
      <c r="C445" s="295">
        <v>7</v>
      </c>
      <c r="D445" s="295">
        <v>2276</v>
      </c>
      <c r="E445" s="294"/>
      <c r="F445" s="295">
        <v>74488725641451</v>
      </c>
      <c r="G445" s="294" t="s">
        <v>7</v>
      </c>
      <c r="H445" s="295">
        <v>30546771314</v>
      </c>
      <c r="I445" s="294" t="s">
        <v>959</v>
      </c>
      <c r="J445" s="295">
        <v>1</v>
      </c>
      <c r="K445" s="294" t="s">
        <v>656</v>
      </c>
      <c r="L445" s="305">
        <v>321487.59999999998</v>
      </c>
      <c r="M445" s="295">
        <v>0</v>
      </c>
      <c r="N445" s="295">
        <v>0</v>
      </c>
      <c r="O445" s="295">
        <v>0</v>
      </c>
      <c r="P445" s="309">
        <v>67512.399999999994</v>
      </c>
      <c r="Q445" s="295">
        <v>389000</v>
      </c>
    </row>
    <row r="446" spans="1:17">
      <c r="A446" s="294" t="s">
        <v>1105</v>
      </c>
      <c r="B446" s="294" t="s">
        <v>948</v>
      </c>
      <c r="C446" s="295">
        <v>7</v>
      </c>
      <c r="D446" s="295">
        <v>5525</v>
      </c>
      <c r="E446" s="294"/>
      <c r="F446" s="295">
        <v>74488679770469</v>
      </c>
      <c r="G446" s="295">
        <v>99</v>
      </c>
      <c r="H446" s="295">
        <v>0</v>
      </c>
      <c r="I446" s="294"/>
      <c r="J446" s="295">
        <v>1</v>
      </c>
      <c r="K446" s="294" t="s">
        <v>656</v>
      </c>
      <c r="L446" s="304">
        <v>20661.16</v>
      </c>
      <c r="M446" s="295">
        <v>0</v>
      </c>
      <c r="N446" s="295">
        <v>0</v>
      </c>
      <c r="O446" s="295">
        <v>0</v>
      </c>
      <c r="P446" s="303">
        <v>4338.84</v>
      </c>
      <c r="Q446" s="295">
        <v>25000</v>
      </c>
    </row>
    <row r="447" spans="1:17">
      <c r="A447" s="294" t="s">
        <v>1105</v>
      </c>
      <c r="B447" s="294" t="s">
        <v>948</v>
      </c>
      <c r="C447" s="295">
        <v>7</v>
      </c>
      <c r="D447" s="295">
        <v>5527</v>
      </c>
      <c r="E447" s="294"/>
      <c r="F447" s="295">
        <v>74488682578835</v>
      </c>
      <c r="G447" s="295">
        <v>99</v>
      </c>
      <c r="H447" s="295">
        <v>0</v>
      </c>
      <c r="I447" s="294"/>
      <c r="J447" s="295">
        <v>1</v>
      </c>
      <c r="K447" s="294" t="s">
        <v>656</v>
      </c>
      <c r="L447" s="304">
        <v>19834.71</v>
      </c>
      <c r="M447" s="295">
        <v>0</v>
      </c>
      <c r="N447" s="295">
        <v>0</v>
      </c>
      <c r="O447" s="295">
        <v>0</v>
      </c>
      <c r="P447" s="303">
        <v>4165.29</v>
      </c>
      <c r="Q447" s="295">
        <v>24000</v>
      </c>
    </row>
    <row r="448" spans="1:17">
      <c r="A448" s="294" t="s">
        <v>1105</v>
      </c>
      <c r="B448" s="294" t="s">
        <v>948</v>
      </c>
      <c r="C448" s="295">
        <v>7</v>
      </c>
      <c r="D448" s="295">
        <v>5529</v>
      </c>
      <c r="E448" s="294"/>
      <c r="F448" s="295">
        <v>74488690427754</v>
      </c>
      <c r="G448" s="295">
        <v>99</v>
      </c>
      <c r="H448" s="295">
        <v>0</v>
      </c>
      <c r="I448" s="294"/>
      <c r="J448" s="295">
        <v>1</v>
      </c>
      <c r="K448" s="294" t="s">
        <v>656</v>
      </c>
      <c r="L448" s="304">
        <v>19834.71</v>
      </c>
      <c r="M448" s="295">
        <v>0</v>
      </c>
      <c r="N448" s="295">
        <v>0</v>
      </c>
      <c r="O448" s="295">
        <v>0</v>
      </c>
      <c r="P448" s="303">
        <v>4165.29</v>
      </c>
      <c r="Q448" s="295">
        <v>24000</v>
      </c>
    </row>
    <row r="449" spans="1:17">
      <c r="A449" s="294" t="s">
        <v>1105</v>
      </c>
      <c r="B449" s="294" t="s">
        <v>948</v>
      </c>
      <c r="C449" s="295">
        <v>7</v>
      </c>
      <c r="D449" s="295">
        <v>5521</v>
      </c>
      <c r="E449" s="294"/>
      <c r="F449" s="295">
        <v>74488672448813</v>
      </c>
      <c r="G449" s="295">
        <v>99</v>
      </c>
      <c r="H449" s="295">
        <v>0</v>
      </c>
      <c r="I449" s="294"/>
      <c r="J449" s="295">
        <v>1</v>
      </c>
      <c r="K449" s="294" t="s">
        <v>656</v>
      </c>
      <c r="L449" s="304">
        <v>20661.16</v>
      </c>
      <c r="M449" s="295">
        <v>0</v>
      </c>
      <c r="N449" s="295">
        <v>0</v>
      </c>
      <c r="O449" s="295">
        <v>0</v>
      </c>
      <c r="P449" s="303">
        <v>4338.84</v>
      </c>
      <c r="Q449" s="295">
        <v>25000</v>
      </c>
    </row>
    <row r="450" spans="1:17">
      <c r="A450" s="294" t="s">
        <v>1105</v>
      </c>
      <c r="B450" s="294" t="s">
        <v>948</v>
      </c>
      <c r="C450" s="295">
        <v>7</v>
      </c>
      <c r="D450" s="295">
        <v>5522</v>
      </c>
      <c r="E450" s="294"/>
      <c r="F450" s="295">
        <v>74488675247167</v>
      </c>
      <c r="G450" s="295">
        <v>99</v>
      </c>
      <c r="H450" s="295">
        <v>0</v>
      </c>
      <c r="I450" s="294"/>
      <c r="J450" s="295">
        <v>1</v>
      </c>
      <c r="K450" s="294" t="s">
        <v>656</v>
      </c>
      <c r="L450" s="304">
        <v>70082.64</v>
      </c>
      <c r="M450" s="295">
        <v>0</v>
      </c>
      <c r="N450" s="295">
        <v>0</v>
      </c>
      <c r="O450" s="295">
        <v>0</v>
      </c>
      <c r="P450" s="303">
        <v>14717.36</v>
      </c>
      <c r="Q450" s="295">
        <v>84800</v>
      </c>
    </row>
    <row r="451" spans="1:17">
      <c r="A451" s="294" t="s">
        <v>1105</v>
      </c>
      <c r="B451" s="294" t="s">
        <v>948</v>
      </c>
      <c r="C451" s="295">
        <v>7</v>
      </c>
      <c r="D451" s="295">
        <v>5530</v>
      </c>
      <c r="E451" s="294"/>
      <c r="F451" s="295">
        <v>74488690797191</v>
      </c>
      <c r="G451" s="295">
        <v>99</v>
      </c>
      <c r="H451" s="295">
        <v>0</v>
      </c>
      <c r="I451" s="294"/>
      <c r="J451" s="295">
        <v>1</v>
      </c>
      <c r="K451" s="294" t="s">
        <v>656</v>
      </c>
      <c r="L451" s="304">
        <v>19834.71</v>
      </c>
      <c r="M451" s="295">
        <v>0</v>
      </c>
      <c r="N451" s="295">
        <v>0</v>
      </c>
      <c r="O451" s="295">
        <v>0</v>
      </c>
      <c r="P451" s="303">
        <v>4165.29</v>
      </c>
      <c r="Q451" s="295">
        <v>24000</v>
      </c>
    </row>
    <row r="452" spans="1:17">
      <c r="A452" s="294" t="s">
        <v>1105</v>
      </c>
      <c r="B452" s="294" t="s">
        <v>948</v>
      </c>
      <c r="C452" s="295">
        <v>7</v>
      </c>
      <c r="D452" s="295">
        <v>5519</v>
      </c>
      <c r="E452" s="294"/>
      <c r="F452" s="295">
        <v>74488670382072</v>
      </c>
      <c r="G452" s="294" t="s">
        <v>949</v>
      </c>
      <c r="H452" s="295">
        <v>239511</v>
      </c>
      <c r="I452" s="294" t="s">
        <v>1106</v>
      </c>
      <c r="J452" s="295">
        <v>1</v>
      </c>
      <c r="K452" s="294" t="s">
        <v>656</v>
      </c>
      <c r="L452" s="304">
        <v>6611.57</v>
      </c>
      <c r="M452" s="295">
        <v>0</v>
      </c>
      <c r="N452" s="295">
        <v>0</v>
      </c>
      <c r="O452" s="295">
        <v>0</v>
      </c>
      <c r="P452" s="303">
        <v>1388.43</v>
      </c>
      <c r="Q452" s="295">
        <v>8000</v>
      </c>
    </row>
    <row r="453" spans="1:17">
      <c r="A453" s="294" t="s">
        <v>1105</v>
      </c>
      <c r="B453" s="294" t="s">
        <v>948</v>
      </c>
      <c r="C453" s="295">
        <v>7</v>
      </c>
      <c r="D453" s="295">
        <v>5523</v>
      </c>
      <c r="E453" s="294"/>
      <c r="F453" s="295">
        <v>74488675675170</v>
      </c>
      <c r="G453" s="295">
        <v>99</v>
      </c>
      <c r="H453" s="295">
        <v>0</v>
      </c>
      <c r="I453" s="294"/>
      <c r="J453" s="295">
        <v>1</v>
      </c>
      <c r="K453" s="294" t="s">
        <v>656</v>
      </c>
      <c r="L453" s="304">
        <v>70082.64</v>
      </c>
      <c r="M453" s="295">
        <v>0</v>
      </c>
      <c r="N453" s="295">
        <v>0</v>
      </c>
      <c r="O453" s="295">
        <v>0</v>
      </c>
      <c r="P453" s="303">
        <v>14717.36</v>
      </c>
      <c r="Q453" s="295">
        <v>84800</v>
      </c>
    </row>
    <row r="454" spans="1:17">
      <c r="A454" s="294" t="s">
        <v>1105</v>
      </c>
      <c r="B454" s="294" t="s">
        <v>948</v>
      </c>
      <c r="C454" s="295">
        <v>7</v>
      </c>
      <c r="D454" s="295">
        <v>5515</v>
      </c>
      <c r="E454" s="294"/>
      <c r="F454" s="295">
        <v>74488662718991</v>
      </c>
      <c r="G454" s="294" t="s">
        <v>949</v>
      </c>
      <c r="H454" s="295">
        <v>4648296</v>
      </c>
      <c r="I454" s="294"/>
      <c r="J454" s="295">
        <v>1</v>
      </c>
      <c r="K454" s="294" t="s">
        <v>656</v>
      </c>
      <c r="L454" s="304">
        <v>20661.16</v>
      </c>
      <c r="M454" s="295">
        <v>0</v>
      </c>
      <c r="N454" s="295">
        <v>0</v>
      </c>
      <c r="O454" s="295">
        <v>0</v>
      </c>
      <c r="P454" s="303">
        <v>4338.84</v>
      </c>
      <c r="Q454" s="295">
        <v>25000</v>
      </c>
    </row>
    <row r="455" spans="1:17">
      <c r="A455" s="294" t="s">
        <v>1105</v>
      </c>
      <c r="B455" s="294" t="s">
        <v>948</v>
      </c>
      <c r="C455" s="295">
        <v>5</v>
      </c>
      <c r="D455" s="295">
        <v>11892</v>
      </c>
      <c r="E455" s="294"/>
      <c r="F455" s="295">
        <v>74488665310317</v>
      </c>
      <c r="G455" s="294" t="s">
        <v>949</v>
      </c>
      <c r="H455" s="295">
        <v>6272960</v>
      </c>
      <c r="I455" s="294"/>
      <c r="J455" s="295">
        <v>1</v>
      </c>
      <c r="K455" s="294" t="s">
        <v>656</v>
      </c>
      <c r="L455" s="304">
        <v>52066.12</v>
      </c>
      <c r="M455" s="295">
        <v>0</v>
      </c>
      <c r="N455" s="295">
        <v>0</v>
      </c>
      <c r="O455" s="295">
        <v>0</v>
      </c>
      <c r="P455" s="303">
        <v>10933.88</v>
      </c>
      <c r="Q455" s="295">
        <v>63000</v>
      </c>
    </row>
    <row r="456" spans="1:17">
      <c r="A456" s="294" t="s">
        <v>1105</v>
      </c>
      <c r="B456" s="294" t="s">
        <v>948</v>
      </c>
      <c r="C456" s="295">
        <v>7</v>
      </c>
      <c r="D456" s="295">
        <v>5517</v>
      </c>
      <c r="E456" s="294"/>
      <c r="F456" s="295">
        <v>74488665506911</v>
      </c>
      <c r="G456" s="294" t="s">
        <v>949</v>
      </c>
      <c r="H456" s="295">
        <v>705467</v>
      </c>
      <c r="I456" s="294" t="s">
        <v>1107</v>
      </c>
      <c r="J456" s="295">
        <v>1</v>
      </c>
      <c r="K456" s="294" t="s">
        <v>656</v>
      </c>
      <c r="L456" s="304">
        <v>15289.26</v>
      </c>
      <c r="M456" s="295">
        <v>0</v>
      </c>
      <c r="N456" s="295">
        <v>0</v>
      </c>
      <c r="O456" s="295">
        <v>0</v>
      </c>
      <c r="P456" s="303">
        <v>3210.74</v>
      </c>
      <c r="Q456" s="295">
        <v>18500</v>
      </c>
    </row>
    <row r="457" spans="1:17">
      <c r="A457" s="294" t="s">
        <v>1105</v>
      </c>
      <c r="B457" s="294" t="s">
        <v>948</v>
      </c>
      <c r="C457" s="295">
        <v>7</v>
      </c>
      <c r="D457" s="295">
        <v>5524</v>
      </c>
      <c r="E457" s="294"/>
      <c r="F457" s="295">
        <v>74488678577097</v>
      </c>
      <c r="G457" s="295">
        <v>99</v>
      </c>
      <c r="H457" s="295">
        <v>0</v>
      </c>
      <c r="I457" s="294"/>
      <c r="J457" s="295">
        <v>1</v>
      </c>
      <c r="K457" s="294" t="s">
        <v>656</v>
      </c>
      <c r="L457" s="304">
        <v>12508.26</v>
      </c>
      <c r="M457" s="295">
        <v>0</v>
      </c>
      <c r="N457" s="295">
        <v>0</v>
      </c>
      <c r="O457" s="295">
        <v>0</v>
      </c>
      <c r="P457" s="303">
        <v>2626.74</v>
      </c>
      <c r="Q457" s="295">
        <v>15135</v>
      </c>
    </row>
    <row r="458" spans="1:17">
      <c r="A458" s="294" t="s">
        <v>1105</v>
      </c>
      <c r="B458" s="294" t="s">
        <v>948</v>
      </c>
      <c r="C458" s="295">
        <v>7</v>
      </c>
      <c r="D458" s="295">
        <v>5518</v>
      </c>
      <c r="E458" s="294"/>
      <c r="F458" s="295">
        <v>74488668364877</v>
      </c>
      <c r="G458" s="294" t="s">
        <v>949</v>
      </c>
      <c r="H458" s="295">
        <v>25864351</v>
      </c>
      <c r="I458" s="294" t="s">
        <v>1108</v>
      </c>
      <c r="J458" s="295">
        <v>1</v>
      </c>
      <c r="K458" s="294" t="s">
        <v>656</v>
      </c>
      <c r="L458" s="304">
        <v>19834.71</v>
      </c>
      <c r="M458" s="295">
        <v>0</v>
      </c>
      <c r="N458" s="295">
        <v>0</v>
      </c>
      <c r="O458" s="295">
        <v>0</v>
      </c>
      <c r="P458" s="303">
        <v>4165.29</v>
      </c>
      <c r="Q458" s="295">
        <v>24000</v>
      </c>
    </row>
    <row r="459" spans="1:17">
      <c r="A459" s="294" t="s">
        <v>1105</v>
      </c>
      <c r="B459" s="294" t="s">
        <v>948</v>
      </c>
      <c r="C459" s="295">
        <v>7</v>
      </c>
      <c r="D459" s="295">
        <v>5531</v>
      </c>
      <c r="E459" s="294"/>
      <c r="F459" s="295">
        <v>74488691601443</v>
      </c>
      <c r="G459" s="295">
        <v>99</v>
      </c>
      <c r="H459" s="295">
        <v>0</v>
      </c>
      <c r="I459" s="294"/>
      <c r="J459" s="295">
        <v>1</v>
      </c>
      <c r="K459" s="294" t="s">
        <v>656</v>
      </c>
      <c r="L459" s="306">
        <v>7500</v>
      </c>
      <c r="M459" s="295">
        <v>0</v>
      </c>
      <c r="N459" s="295">
        <v>0</v>
      </c>
      <c r="O459" s="295">
        <v>0</v>
      </c>
      <c r="P459" s="295">
        <v>1575</v>
      </c>
      <c r="Q459" s="295">
        <v>9075</v>
      </c>
    </row>
    <row r="460" spans="1:17">
      <c r="A460" s="294" t="s">
        <v>1105</v>
      </c>
      <c r="B460" s="294" t="s">
        <v>948</v>
      </c>
      <c r="C460" s="295">
        <v>5</v>
      </c>
      <c r="D460" s="295">
        <v>11894</v>
      </c>
      <c r="E460" s="294"/>
      <c r="F460" s="295">
        <v>74488717918156</v>
      </c>
      <c r="G460" s="294" t="s">
        <v>949</v>
      </c>
      <c r="H460" s="295">
        <v>53568894</v>
      </c>
      <c r="I460" s="294" t="s">
        <v>1109</v>
      </c>
      <c r="J460" s="295">
        <v>1</v>
      </c>
      <c r="K460" s="294" t="s">
        <v>656</v>
      </c>
      <c r="L460" s="304">
        <v>64462.81</v>
      </c>
      <c r="M460" s="295">
        <v>0</v>
      </c>
      <c r="N460" s="295">
        <v>0</v>
      </c>
      <c r="O460" s="295">
        <v>0</v>
      </c>
      <c r="P460" s="303">
        <v>13537.19</v>
      </c>
      <c r="Q460" s="295">
        <v>78000</v>
      </c>
    </row>
    <row r="461" spans="1:17">
      <c r="A461" s="294" t="s">
        <v>1105</v>
      </c>
      <c r="B461" s="294" t="s">
        <v>948</v>
      </c>
      <c r="C461" s="295">
        <v>7</v>
      </c>
      <c r="D461" s="295">
        <v>5520</v>
      </c>
      <c r="E461" s="294"/>
      <c r="F461" s="295">
        <v>74488671290077</v>
      </c>
      <c r="G461" s="294" t="s">
        <v>949</v>
      </c>
      <c r="H461" s="295">
        <v>24448662</v>
      </c>
      <c r="I461" s="294" t="s">
        <v>1110</v>
      </c>
      <c r="J461" s="295">
        <v>1</v>
      </c>
      <c r="K461" s="294" t="s">
        <v>656</v>
      </c>
      <c r="L461" s="304">
        <v>31404.959999999999</v>
      </c>
      <c r="M461" s="295">
        <v>0</v>
      </c>
      <c r="N461" s="295">
        <v>0</v>
      </c>
      <c r="O461" s="295">
        <v>0</v>
      </c>
      <c r="P461" s="303">
        <v>6595.04</v>
      </c>
      <c r="Q461" s="295">
        <v>38000</v>
      </c>
    </row>
    <row r="462" spans="1:17">
      <c r="A462" s="294" t="s">
        <v>1105</v>
      </c>
      <c r="B462" s="294" t="s">
        <v>948</v>
      </c>
      <c r="C462" s="295">
        <v>5</v>
      </c>
      <c r="D462" s="295">
        <v>11893</v>
      </c>
      <c r="E462" s="294"/>
      <c r="F462" s="295">
        <v>74488699803565</v>
      </c>
      <c r="G462" s="295">
        <v>99</v>
      </c>
      <c r="H462" s="295">
        <v>0</v>
      </c>
      <c r="I462" s="294"/>
      <c r="J462" s="295">
        <v>1</v>
      </c>
      <c r="K462" s="294" t="s">
        <v>656</v>
      </c>
      <c r="L462" s="304">
        <v>2347.11</v>
      </c>
      <c r="M462" s="295">
        <v>0</v>
      </c>
      <c r="N462" s="295">
        <v>0</v>
      </c>
      <c r="O462" s="295">
        <v>0</v>
      </c>
      <c r="P462" s="303">
        <v>492.89</v>
      </c>
      <c r="Q462" s="295">
        <v>2840</v>
      </c>
    </row>
    <row r="463" spans="1:17">
      <c r="A463" s="294" t="s">
        <v>1105</v>
      </c>
      <c r="B463" s="294" t="s">
        <v>948</v>
      </c>
      <c r="C463" s="295">
        <v>7</v>
      </c>
      <c r="D463" s="295">
        <v>5528</v>
      </c>
      <c r="E463" s="294"/>
      <c r="F463" s="295">
        <v>74488689460465</v>
      </c>
      <c r="G463" s="295">
        <v>99</v>
      </c>
      <c r="H463" s="295">
        <v>0</v>
      </c>
      <c r="I463" s="294"/>
      <c r="J463" s="295">
        <v>1</v>
      </c>
      <c r="K463" s="294" t="s">
        <v>656</v>
      </c>
      <c r="L463" s="304">
        <v>19834.71</v>
      </c>
      <c r="M463" s="295">
        <v>0</v>
      </c>
      <c r="N463" s="295">
        <v>0</v>
      </c>
      <c r="O463" s="295">
        <v>0</v>
      </c>
      <c r="P463" s="303">
        <v>4165.29</v>
      </c>
      <c r="Q463" s="295">
        <v>24000</v>
      </c>
    </row>
    <row r="464" spans="1:17">
      <c r="A464" s="294" t="s">
        <v>1105</v>
      </c>
      <c r="B464" s="294" t="s">
        <v>948</v>
      </c>
      <c r="C464" s="295">
        <v>7</v>
      </c>
      <c r="D464" s="295">
        <v>5516</v>
      </c>
      <c r="E464" s="294"/>
      <c r="F464" s="295">
        <v>74488663848930</v>
      </c>
      <c r="G464" s="294" t="s">
        <v>949</v>
      </c>
      <c r="H464" s="295">
        <v>705467</v>
      </c>
      <c r="I464" s="294" t="s">
        <v>1107</v>
      </c>
      <c r="J464" s="295">
        <v>1</v>
      </c>
      <c r="K464" s="294" t="s">
        <v>656</v>
      </c>
      <c r="L464" s="304">
        <v>15289.26</v>
      </c>
      <c r="M464" s="295">
        <v>0</v>
      </c>
      <c r="N464" s="295">
        <v>0</v>
      </c>
      <c r="O464" s="295">
        <v>0</v>
      </c>
      <c r="P464" s="303">
        <v>3210.74</v>
      </c>
      <c r="Q464" s="295">
        <v>18500</v>
      </c>
    </row>
    <row r="465" spans="1:17">
      <c r="A465" s="294" t="s">
        <v>1105</v>
      </c>
      <c r="B465" s="294" t="s">
        <v>948</v>
      </c>
      <c r="C465" s="295">
        <v>7</v>
      </c>
      <c r="D465" s="295">
        <v>5526</v>
      </c>
      <c r="E465" s="294"/>
      <c r="F465" s="295">
        <v>74488682060630</v>
      </c>
      <c r="G465" s="295">
        <v>99</v>
      </c>
      <c r="H465" s="295">
        <v>0</v>
      </c>
      <c r="I465" s="294"/>
      <c r="J465" s="295">
        <v>1</v>
      </c>
      <c r="K465" s="294" t="s">
        <v>656</v>
      </c>
      <c r="L465" s="304">
        <v>19834.71</v>
      </c>
      <c r="M465" s="295">
        <v>0</v>
      </c>
      <c r="N465" s="295">
        <v>0</v>
      </c>
      <c r="O465" s="295">
        <v>0</v>
      </c>
      <c r="P465" s="303">
        <v>4165.29</v>
      </c>
      <c r="Q465" s="295">
        <v>24000</v>
      </c>
    </row>
    <row r="466" spans="1:17">
      <c r="A466" s="294" t="s">
        <v>1105</v>
      </c>
      <c r="B466" s="294" t="s">
        <v>948</v>
      </c>
      <c r="C466" s="295">
        <v>3</v>
      </c>
      <c r="D466" s="295">
        <v>2887</v>
      </c>
      <c r="E466" s="294"/>
      <c r="F466" s="295">
        <v>74488716246933</v>
      </c>
      <c r="G466" s="294" t="s">
        <v>7</v>
      </c>
      <c r="H466" s="295">
        <v>20940317402</v>
      </c>
      <c r="I466" s="294" t="s">
        <v>1111</v>
      </c>
      <c r="J466" s="295">
        <v>1</v>
      </c>
      <c r="K466" s="294" t="s">
        <v>656</v>
      </c>
      <c r="L466" s="304">
        <v>12396.71</v>
      </c>
      <c r="M466" s="295">
        <v>0</v>
      </c>
      <c r="N466" s="295">
        <v>0</v>
      </c>
      <c r="O466" s="295">
        <v>0</v>
      </c>
      <c r="P466" s="303">
        <v>2603.31</v>
      </c>
      <c r="Q466" s="295">
        <v>15000</v>
      </c>
    </row>
    <row r="467" spans="1:17" hidden="1">
      <c r="A467" s="294" t="s">
        <v>1105</v>
      </c>
      <c r="B467" s="294" t="s">
        <v>950</v>
      </c>
      <c r="C467" s="295">
        <v>7</v>
      </c>
      <c r="D467" s="295">
        <v>174</v>
      </c>
      <c r="E467" s="294"/>
      <c r="F467" s="295">
        <v>74488682452527</v>
      </c>
      <c r="G467" s="295">
        <v>99</v>
      </c>
      <c r="H467" s="295">
        <v>0</v>
      </c>
      <c r="I467" s="294"/>
      <c r="J467" s="295">
        <v>1</v>
      </c>
      <c r="K467" s="294" t="s">
        <v>656</v>
      </c>
      <c r="L467" s="304">
        <v>-19834.71</v>
      </c>
      <c r="M467" s="295"/>
      <c r="N467" s="295">
        <v>0</v>
      </c>
      <c r="O467" s="295">
        <v>0</v>
      </c>
      <c r="P467" s="303">
        <f>+L467*0.21</f>
        <v>-4165.2891</v>
      </c>
      <c r="Q467" s="295">
        <f>SUBTOTAL(9,L467:P467)</f>
        <v>0</v>
      </c>
    </row>
    <row r="468" spans="1:17" hidden="1">
      <c r="A468" s="294" t="s">
        <v>1105</v>
      </c>
      <c r="B468" s="294" t="s">
        <v>950</v>
      </c>
      <c r="C468" s="295">
        <v>7</v>
      </c>
      <c r="D468" s="295">
        <v>173</v>
      </c>
      <c r="E468" s="294"/>
      <c r="F468" s="295">
        <v>74488676816393</v>
      </c>
      <c r="G468" s="295">
        <v>99</v>
      </c>
      <c r="H468" s="295">
        <v>0</v>
      </c>
      <c r="I468" s="294"/>
      <c r="J468" s="295">
        <v>1</v>
      </c>
      <c r="K468" s="294" t="s">
        <v>656</v>
      </c>
      <c r="L468" s="304">
        <v>-70082.64</v>
      </c>
      <c r="M468" s="295"/>
      <c r="N468" s="295">
        <v>0</v>
      </c>
      <c r="O468" s="295">
        <v>0</v>
      </c>
      <c r="P468" s="303">
        <f>+L468*0.21</f>
        <v>-14717.3544</v>
      </c>
      <c r="Q468" s="295">
        <f>SUBTOTAL(9,L468:P468)</f>
        <v>0</v>
      </c>
    </row>
    <row r="469" spans="1:17" hidden="1">
      <c r="A469" s="294" t="s">
        <v>1048</v>
      </c>
      <c r="B469" s="294" t="s">
        <v>654</v>
      </c>
      <c r="C469" s="295">
        <v>7</v>
      </c>
      <c r="D469" s="295">
        <v>2277</v>
      </c>
      <c r="E469" s="294"/>
      <c r="F469" s="295">
        <v>74488798321708</v>
      </c>
      <c r="G469" s="294" t="s">
        <v>7</v>
      </c>
      <c r="H469" s="295">
        <v>30590412631</v>
      </c>
      <c r="I469" s="294" t="s">
        <v>953</v>
      </c>
      <c r="J469" s="295">
        <v>1</v>
      </c>
      <c r="K469" s="294" t="s">
        <v>656</v>
      </c>
      <c r="L469" s="305">
        <v>244628.1</v>
      </c>
      <c r="M469" s="295">
        <v>0</v>
      </c>
      <c r="N469" s="295">
        <v>0</v>
      </c>
      <c r="O469" s="295">
        <v>0</v>
      </c>
      <c r="P469" s="309">
        <v>51371.9</v>
      </c>
      <c r="Q469" s="295">
        <v>296000</v>
      </c>
    </row>
    <row r="470" spans="1:17" hidden="1">
      <c r="A470" s="294" t="s">
        <v>1048</v>
      </c>
      <c r="B470" s="294" t="s">
        <v>654</v>
      </c>
      <c r="C470" s="295">
        <v>7</v>
      </c>
      <c r="D470" s="295">
        <v>2279</v>
      </c>
      <c r="E470" s="294"/>
      <c r="F470" s="295">
        <v>74488805194526</v>
      </c>
      <c r="G470" s="294" t="s">
        <v>7</v>
      </c>
      <c r="H470" s="295">
        <v>30683032227</v>
      </c>
      <c r="I470" s="294" t="s">
        <v>957</v>
      </c>
      <c r="J470" s="295">
        <v>1</v>
      </c>
      <c r="K470" s="294" t="s">
        <v>656</v>
      </c>
      <c r="L470" s="304">
        <v>62809.919999999998</v>
      </c>
      <c r="M470" s="295">
        <v>0</v>
      </c>
      <c r="N470" s="295">
        <v>0</v>
      </c>
      <c r="O470" s="295">
        <v>0</v>
      </c>
      <c r="P470" s="303">
        <v>13190.08</v>
      </c>
      <c r="Q470" s="295">
        <v>76000</v>
      </c>
    </row>
    <row r="471" spans="1:17" hidden="1">
      <c r="A471" s="294" t="s">
        <v>1048</v>
      </c>
      <c r="B471" s="294" t="s">
        <v>654</v>
      </c>
      <c r="C471" s="295">
        <v>7</v>
      </c>
      <c r="D471" s="295">
        <v>2278</v>
      </c>
      <c r="E471" s="294"/>
      <c r="F471" s="295">
        <v>74488802717147</v>
      </c>
      <c r="G471" s="294" t="s">
        <v>7</v>
      </c>
      <c r="H471" s="295">
        <v>30608716390</v>
      </c>
      <c r="I471" s="294" t="s">
        <v>958</v>
      </c>
      <c r="J471" s="295">
        <v>1</v>
      </c>
      <c r="K471" s="294" t="s">
        <v>656</v>
      </c>
      <c r="L471" s="304">
        <v>17503.310000000001</v>
      </c>
      <c r="M471" s="295">
        <v>0</v>
      </c>
      <c r="N471" s="295">
        <v>0</v>
      </c>
      <c r="O471" s="295">
        <v>0</v>
      </c>
      <c r="P471" s="303">
        <v>3675.69</v>
      </c>
      <c r="Q471" s="295">
        <v>21179</v>
      </c>
    </row>
    <row r="472" spans="1:17">
      <c r="A472" s="294" t="s">
        <v>1048</v>
      </c>
      <c r="B472" s="294" t="s">
        <v>948</v>
      </c>
      <c r="C472" s="295">
        <v>7</v>
      </c>
      <c r="D472" s="295">
        <v>5535</v>
      </c>
      <c r="E472" s="294"/>
      <c r="F472" s="295">
        <v>74488834197777</v>
      </c>
      <c r="G472" s="295">
        <v>99</v>
      </c>
      <c r="H472" s="295">
        <v>0</v>
      </c>
      <c r="I472" s="294"/>
      <c r="J472" s="295">
        <v>1</v>
      </c>
      <c r="K472" s="294" t="s">
        <v>656</v>
      </c>
      <c r="L472" s="304">
        <v>19834.71</v>
      </c>
      <c r="M472" s="295">
        <v>0</v>
      </c>
      <c r="N472" s="295">
        <v>0</v>
      </c>
      <c r="O472" s="295">
        <v>0</v>
      </c>
      <c r="P472" s="303">
        <v>4165.29</v>
      </c>
      <c r="Q472" s="295">
        <v>24000</v>
      </c>
    </row>
    <row r="473" spans="1:17">
      <c r="A473" s="294" t="s">
        <v>1048</v>
      </c>
      <c r="B473" s="294" t="s">
        <v>948</v>
      </c>
      <c r="C473" s="295">
        <v>5</v>
      </c>
      <c r="D473" s="295">
        <v>11897</v>
      </c>
      <c r="E473" s="294"/>
      <c r="F473" s="295">
        <v>74488806946020</v>
      </c>
      <c r="G473" s="295">
        <v>99</v>
      </c>
      <c r="H473" s="295">
        <v>0</v>
      </c>
      <c r="I473" s="294"/>
      <c r="J473" s="295">
        <v>1</v>
      </c>
      <c r="K473" s="294" t="s">
        <v>656</v>
      </c>
      <c r="L473" s="304">
        <v>36942.15</v>
      </c>
      <c r="M473" s="295">
        <v>0</v>
      </c>
      <c r="N473" s="295">
        <v>0</v>
      </c>
      <c r="O473" s="295">
        <v>0</v>
      </c>
      <c r="P473" s="303">
        <v>7757.85</v>
      </c>
      <c r="Q473" s="295">
        <v>44700</v>
      </c>
    </row>
    <row r="474" spans="1:17">
      <c r="A474" s="294" t="s">
        <v>1048</v>
      </c>
      <c r="B474" s="294" t="s">
        <v>948</v>
      </c>
      <c r="C474" s="295">
        <v>5</v>
      </c>
      <c r="D474" s="295">
        <v>11895</v>
      </c>
      <c r="E474" s="294"/>
      <c r="F474" s="295">
        <v>74488782367721</v>
      </c>
      <c r="G474" s="295">
        <v>99</v>
      </c>
      <c r="H474" s="295">
        <v>0</v>
      </c>
      <c r="I474" s="294"/>
      <c r="J474" s="295">
        <v>1</v>
      </c>
      <c r="K474" s="294" t="s">
        <v>656</v>
      </c>
      <c r="L474" s="304">
        <v>13223.14</v>
      </c>
      <c r="M474" s="295">
        <v>0</v>
      </c>
      <c r="N474" s="295">
        <v>0</v>
      </c>
      <c r="O474" s="295">
        <v>0</v>
      </c>
      <c r="P474" s="303">
        <v>2776.86</v>
      </c>
      <c r="Q474" s="295">
        <v>16000</v>
      </c>
    </row>
    <row r="475" spans="1:17">
      <c r="A475" s="294" t="s">
        <v>1048</v>
      </c>
      <c r="B475" s="294" t="s">
        <v>948</v>
      </c>
      <c r="C475" s="295">
        <v>5</v>
      </c>
      <c r="D475" s="295">
        <v>11901</v>
      </c>
      <c r="E475" s="294"/>
      <c r="F475" s="295">
        <v>74488829098690</v>
      </c>
      <c r="G475" s="295">
        <v>99</v>
      </c>
      <c r="H475" s="295">
        <v>0</v>
      </c>
      <c r="I475" s="294"/>
      <c r="J475" s="295">
        <v>1</v>
      </c>
      <c r="K475" s="294" t="s">
        <v>656</v>
      </c>
      <c r="L475" s="304">
        <v>40909.089999999997</v>
      </c>
      <c r="M475" s="295">
        <v>0</v>
      </c>
      <c r="N475" s="295">
        <v>0</v>
      </c>
      <c r="O475" s="295">
        <v>0</v>
      </c>
      <c r="P475" s="303">
        <v>8590.91</v>
      </c>
      <c r="Q475" s="295">
        <v>49500</v>
      </c>
    </row>
    <row r="476" spans="1:17">
      <c r="A476" s="294" t="s">
        <v>1048</v>
      </c>
      <c r="B476" s="294" t="s">
        <v>948</v>
      </c>
      <c r="C476" s="295">
        <v>5</v>
      </c>
      <c r="D476" s="295">
        <v>11898</v>
      </c>
      <c r="E476" s="294"/>
      <c r="F476" s="295">
        <v>74488807109343</v>
      </c>
      <c r="G476" s="295">
        <v>99</v>
      </c>
      <c r="H476" s="295">
        <v>0</v>
      </c>
      <c r="I476" s="294"/>
      <c r="J476" s="295">
        <v>1</v>
      </c>
      <c r="K476" s="294" t="s">
        <v>656</v>
      </c>
      <c r="L476" s="304">
        <v>13223.14</v>
      </c>
      <c r="M476" s="295">
        <v>0</v>
      </c>
      <c r="N476" s="295">
        <v>0</v>
      </c>
      <c r="O476" s="295">
        <v>0</v>
      </c>
      <c r="P476" s="303">
        <v>2776.86</v>
      </c>
      <c r="Q476" s="295">
        <v>16000</v>
      </c>
    </row>
    <row r="477" spans="1:17">
      <c r="A477" s="294" t="s">
        <v>1048</v>
      </c>
      <c r="B477" s="294" t="s">
        <v>948</v>
      </c>
      <c r="C477" s="295">
        <v>5</v>
      </c>
      <c r="D477" s="295">
        <v>11902</v>
      </c>
      <c r="E477" s="294"/>
      <c r="F477" s="295">
        <v>74488837666042</v>
      </c>
      <c r="G477" s="295">
        <v>99</v>
      </c>
      <c r="H477" s="295">
        <v>0</v>
      </c>
      <c r="I477" s="294"/>
      <c r="J477" s="295">
        <v>1</v>
      </c>
      <c r="K477" s="294" t="s">
        <v>656</v>
      </c>
      <c r="L477" s="304">
        <v>16942.150000000001</v>
      </c>
      <c r="M477" s="295">
        <v>0</v>
      </c>
      <c r="N477" s="295">
        <v>0</v>
      </c>
      <c r="O477" s="295">
        <v>0</v>
      </c>
      <c r="P477" s="303">
        <v>3557.85</v>
      </c>
      <c r="Q477" s="295">
        <v>20500</v>
      </c>
    </row>
    <row r="478" spans="1:17">
      <c r="A478" s="294" t="s">
        <v>1048</v>
      </c>
      <c r="B478" s="294" t="s">
        <v>948</v>
      </c>
      <c r="C478" s="295">
        <v>7</v>
      </c>
      <c r="D478" s="295">
        <v>5537</v>
      </c>
      <c r="E478" s="294"/>
      <c r="F478" s="295">
        <v>74488843254278</v>
      </c>
      <c r="G478" s="294" t="s">
        <v>7</v>
      </c>
      <c r="H478" s="295">
        <v>30590354798</v>
      </c>
      <c r="I478" s="294" t="s">
        <v>81</v>
      </c>
      <c r="J478" s="295">
        <v>1</v>
      </c>
      <c r="K478" s="294" t="s">
        <v>656</v>
      </c>
      <c r="L478" s="304">
        <v>112396.69</v>
      </c>
      <c r="M478" s="295">
        <v>0</v>
      </c>
      <c r="N478" s="295">
        <v>0</v>
      </c>
      <c r="O478" s="295">
        <v>0</v>
      </c>
      <c r="P478" s="303">
        <v>23603.31</v>
      </c>
      <c r="Q478" s="295">
        <v>136000</v>
      </c>
    </row>
    <row r="479" spans="1:17">
      <c r="A479" s="294" t="s">
        <v>1048</v>
      </c>
      <c r="B479" s="294" t="s">
        <v>948</v>
      </c>
      <c r="C479" s="295">
        <v>5</v>
      </c>
      <c r="D479" s="295">
        <v>11903</v>
      </c>
      <c r="E479" s="294"/>
      <c r="F479" s="295">
        <v>74488837900858</v>
      </c>
      <c r="G479" s="295">
        <v>99</v>
      </c>
      <c r="H479" s="295">
        <v>0</v>
      </c>
      <c r="I479" s="294"/>
      <c r="J479" s="295">
        <v>1</v>
      </c>
      <c r="K479" s="294" t="s">
        <v>656</v>
      </c>
      <c r="L479" s="304">
        <v>24380.17</v>
      </c>
      <c r="M479" s="295">
        <v>0</v>
      </c>
      <c r="N479" s="295">
        <v>0</v>
      </c>
      <c r="O479" s="295">
        <v>0</v>
      </c>
      <c r="P479" s="303">
        <v>5119.83</v>
      </c>
      <c r="Q479" s="295">
        <v>29500</v>
      </c>
    </row>
    <row r="480" spans="1:17">
      <c r="A480" s="294" t="s">
        <v>1048</v>
      </c>
      <c r="B480" s="294" t="s">
        <v>948</v>
      </c>
      <c r="C480" s="295">
        <v>5</v>
      </c>
      <c r="D480" s="295">
        <v>11896</v>
      </c>
      <c r="E480" s="294"/>
      <c r="F480" s="295">
        <v>74488793898528</v>
      </c>
      <c r="G480" s="295">
        <v>99</v>
      </c>
      <c r="H480" s="295">
        <v>0</v>
      </c>
      <c r="I480" s="294"/>
      <c r="J480" s="295">
        <v>1</v>
      </c>
      <c r="K480" s="294" t="s">
        <v>656</v>
      </c>
      <c r="L480" s="305">
        <v>10743.8</v>
      </c>
      <c r="M480" s="295">
        <v>0</v>
      </c>
      <c r="N480" s="295">
        <v>0</v>
      </c>
      <c r="O480" s="295">
        <v>0</v>
      </c>
      <c r="P480" s="309">
        <v>2256.1999999999998</v>
      </c>
      <c r="Q480" s="295">
        <v>13000</v>
      </c>
    </row>
    <row r="481" spans="1:17">
      <c r="A481" s="294" t="s">
        <v>1048</v>
      </c>
      <c r="B481" s="294" t="s">
        <v>948</v>
      </c>
      <c r="C481" s="295">
        <v>5</v>
      </c>
      <c r="D481" s="295">
        <v>11899</v>
      </c>
      <c r="E481" s="294"/>
      <c r="F481" s="295">
        <v>74488813348438</v>
      </c>
      <c r="G481" s="295">
        <v>99</v>
      </c>
      <c r="H481" s="295">
        <v>0</v>
      </c>
      <c r="I481" s="294"/>
      <c r="J481" s="295">
        <v>1</v>
      </c>
      <c r="K481" s="294" t="s">
        <v>656</v>
      </c>
      <c r="L481" s="304">
        <v>13223.14</v>
      </c>
      <c r="M481" s="295">
        <v>0</v>
      </c>
      <c r="N481" s="295">
        <v>0</v>
      </c>
      <c r="O481" s="295">
        <v>0</v>
      </c>
      <c r="P481" s="303">
        <v>2776.86</v>
      </c>
      <c r="Q481" s="295">
        <v>16000</v>
      </c>
    </row>
    <row r="482" spans="1:17">
      <c r="A482" s="294" t="s">
        <v>1048</v>
      </c>
      <c r="B482" s="294" t="s">
        <v>948</v>
      </c>
      <c r="C482" s="295">
        <v>5</v>
      </c>
      <c r="D482" s="295">
        <v>11900</v>
      </c>
      <c r="E482" s="294"/>
      <c r="F482" s="295">
        <v>74488827221071</v>
      </c>
      <c r="G482" s="295">
        <v>99</v>
      </c>
      <c r="H482" s="295">
        <v>0</v>
      </c>
      <c r="I482" s="294"/>
      <c r="J482" s="295">
        <v>1</v>
      </c>
      <c r="K482" s="294" t="s">
        <v>656</v>
      </c>
      <c r="L482" s="305">
        <v>11487.6</v>
      </c>
      <c r="M482" s="295">
        <v>0</v>
      </c>
      <c r="N482" s="295">
        <v>0</v>
      </c>
      <c r="O482" s="295">
        <v>0</v>
      </c>
      <c r="P482" s="309">
        <v>2412.4</v>
      </c>
      <c r="Q482" s="295">
        <v>13900</v>
      </c>
    </row>
    <row r="483" spans="1:17">
      <c r="A483" s="294" t="s">
        <v>1048</v>
      </c>
      <c r="B483" s="294" t="s">
        <v>948</v>
      </c>
      <c r="C483" s="295">
        <v>7</v>
      </c>
      <c r="D483" s="295">
        <v>5536</v>
      </c>
      <c r="E483" s="294"/>
      <c r="F483" s="295">
        <v>74488841353756</v>
      </c>
      <c r="G483" s="294" t="s">
        <v>7</v>
      </c>
      <c r="H483" s="295">
        <v>23255817949</v>
      </c>
      <c r="I483" s="294" t="s">
        <v>1112</v>
      </c>
      <c r="J483" s="295">
        <v>1</v>
      </c>
      <c r="K483" s="294" t="s">
        <v>656</v>
      </c>
      <c r="L483" s="304">
        <v>12396.69</v>
      </c>
      <c r="M483" s="295">
        <v>0</v>
      </c>
      <c r="N483" s="295">
        <v>0</v>
      </c>
      <c r="O483" s="295">
        <v>0</v>
      </c>
      <c r="P483" s="303">
        <v>2603.31</v>
      </c>
      <c r="Q483" s="295">
        <v>15000</v>
      </c>
    </row>
    <row r="484" spans="1:17">
      <c r="A484" s="294" t="s">
        <v>1048</v>
      </c>
      <c r="B484" s="294" t="s">
        <v>948</v>
      </c>
      <c r="C484" s="295">
        <v>5</v>
      </c>
      <c r="D484" s="295">
        <v>11904</v>
      </c>
      <c r="E484" s="294"/>
      <c r="F484" s="295">
        <v>74488838928183</v>
      </c>
      <c r="G484" s="295">
        <v>99</v>
      </c>
      <c r="H484" s="295">
        <v>0</v>
      </c>
      <c r="I484" s="294"/>
      <c r="J484" s="295">
        <v>1</v>
      </c>
      <c r="K484" s="294" t="s">
        <v>656</v>
      </c>
      <c r="L484" s="304">
        <v>13223.14</v>
      </c>
      <c r="M484" s="295">
        <v>0</v>
      </c>
      <c r="N484" s="295">
        <v>0</v>
      </c>
      <c r="O484" s="295">
        <v>0</v>
      </c>
      <c r="P484" s="303">
        <v>2776.86</v>
      </c>
      <c r="Q484" s="295">
        <v>16000</v>
      </c>
    </row>
    <row r="485" spans="1:17">
      <c r="A485" s="294" t="s">
        <v>1048</v>
      </c>
      <c r="B485" s="294" t="s">
        <v>948</v>
      </c>
      <c r="C485" s="295">
        <v>7</v>
      </c>
      <c r="D485" s="295">
        <v>5533</v>
      </c>
      <c r="E485" s="294"/>
      <c r="F485" s="295">
        <v>74488822373601</v>
      </c>
      <c r="G485" s="295">
        <v>99</v>
      </c>
      <c r="H485" s="295">
        <v>0</v>
      </c>
      <c r="I485" s="294"/>
      <c r="J485" s="295">
        <v>1</v>
      </c>
      <c r="K485" s="294" t="s">
        <v>656</v>
      </c>
      <c r="L485" s="306">
        <v>7500</v>
      </c>
      <c r="M485" s="295">
        <v>0</v>
      </c>
      <c r="N485" s="295">
        <v>0</v>
      </c>
      <c r="O485" s="295">
        <v>0</v>
      </c>
      <c r="P485" s="295">
        <v>1575</v>
      </c>
      <c r="Q485" s="295">
        <v>9075</v>
      </c>
    </row>
    <row r="486" spans="1:17">
      <c r="A486" s="294" t="s">
        <v>1048</v>
      </c>
      <c r="B486" s="294" t="s">
        <v>948</v>
      </c>
      <c r="C486" s="295">
        <v>5</v>
      </c>
      <c r="D486" s="295">
        <v>11905</v>
      </c>
      <c r="E486" s="294"/>
      <c r="F486" s="295">
        <v>74488849974591</v>
      </c>
      <c r="G486" s="295">
        <v>99</v>
      </c>
      <c r="H486" s="295">
        <v>0</v>
      </c>
      <c r="I486" s="294"/>
      <c r="J486" s="295">
        <v>1</v>
      </c>
      <c r="K486" s="294" t="s">
        <v>656</v>
      </c>
      <c r="L486" s="304">
        <v>26446.28</v>
      </c>
      <c r="M486" s="295">
        <v>0</v>
      </c>
      <c r="N486" s="295">
        <v>0</v>
      </c>
      <c r="O486" s="295">
        <v>0</v>
      </c>
      <c r="P486" s="303">
        <v>5553.72</v>
      </c>
      <c r="Q486" s="295">
        <v>32000</v>
      </c>
    </row>
    <row r="487" spans="1:17">
      <c r="A487" s="294" t="s">
        <v>1048</v>
      </c>
      <c r="B487" s="294" t="s">
        <v>948</v>
      </c>
      <c r="C487" s="295">
        <v>7</v>
      </c>
      <c r="D487" s="295">
        <v>5532</v>
      </c>
      <c r="E487" s="294"/>
      <c r="F487" s="295">
        <v>74488817180296</v>
      </c>
      <c r="G487" s="294" t="s">
        <v>949</v>
      </c>
      <c r="H487" s="295">
        <v>902191</v>
      </c>
      <c r="I487" s="294"/>
      <c r="J487" s="295">
        <v>1</v>
      </c>
      <c r="K487" s="294" t="s">
        <v>656</v>
      </c>
      <c r="L487" s="304">
        <v>15289.26</v>
      </c>
      <c r="M487" s="295">
        <v>0</v>
      </c>
      <c r="N487" s="295">
        <v>0</v>
      </c>
      <c r="O487" s="295">
        <v>0</v>
      </c>
      <c r="P487" s="303">
        <v>3210.74</v>
      </c>
      <c r="Q487" s="295">
        <v>18500</v>
      </c>
    </row>
    <row r="488" spans="1:17">
      <c r="A488" s="294" t="s">
        <v>1048</v>
      </c>
      <c r="B488" s="294" t="s">
        <v>948</v>
      </c>
      <c r="C488" s="295">
        <v>7</v>
      </c>
      <c r="D488" s="295">
        <v>5534</v>
      </c>
      <c r="E488" s="294"/>
      <c r="F488" s="295">
        <v>74488828490372</v>
      </c>
      <c r="G488" s="295">
        <v>99</v>
      </c>
      <c r="H488" s="295">
        <v>0</v>
      </c>
      <c r="I488" s="294"/>
      <c r="J488" s="295">
        <v>1</v>
      </c>
      <c r="K488" s="294" t="s">
        <v>656</v>
      </c>
      <c r="L488" s="304">
        <v>19834.71</v>
      </c>
      <c r="M488" s="295">
        <v>0</v>
      </c>
      <c r="N488" s="295">
        <v>0</v>
      </c>
      <c r="O488" s="295">
        <v>0</v>
      </c>
      <c r="P488" s="303">
        <v>4165.29</v>
      </c>
      <c r="Q488" s="295">
        <v>24000</v>
      </c>
    </row>
    <row r="489" spans="1:17" hidden="1">
      <c r="A489" s="294" t="s">
        <v>1048</v>
      </c>
      <c r="B489" s="294" t="s">
        <v>951</v>
      </c>
      <c r="C489" s="295">
        <v>6</v>
      </c>
      <c r="D489" s="295">
        <v>551</v>
      </c>
      <c r="E489" s="294"/>
      <c r="F489" s="295">
        <v>74488788987063</v>
      </c>
      <c r="G489" s="294" t="s">
        <v>7</v>
      </c>
      <c r="H489" s="295">
        <v>30522428163</v>
      </c>
      <c r="I489" s="294" t="s">
        <v>947</v>
      </c>
      <c r="J489" s="295">
        <v>1</v>
      </c>
      <c r="K489" s="294" t="s">
        <v>656</v>
      </c>
      <c r="L489" s="304">
        <v>1206280.99</v>
      </c>
      <c r="M489" s="295">
        <v>0</v>
      </c>
      <c r="N489" s="295">
        <v>0</v>
      </c>
      <c r="O489" s="295">
        <v>0</v>
      </c>
      <c r="P489" s="303">
        <v>253319.01</v>
      </c>
      <c r="Q489" s="295">
        <v>1459600</v>
      </c>
    </row>
    <row r="490" spans="1:17" hidden="1">
      <c r="A490" s="294" t="s">
        <v>1050</v>
      </c>
      <c r="B490" s="294" t="s">
        <v>654</v>
      </c>
      <c r="C490" s="295">
        <v>7</v>
      </c>
      <c r="D490" s="295">
        <v>2281</v>
      </c>
      <c r="E490" s="294"/>
      <c r="F490" s="295">
        <v>74488976094951</v>
      </c>
      <c r="G490" s="294" t="s">
        <v>7</v>
      </c>
      <c r="H490" s="295">
        <v>30522428163</v>
      </c>
      <c r="I490" s="294" t="s">
        <v>947</v>
      </c>
      <c r="J490" s="295">
        <v>1</v>
      </c>
      <c r="K490" s="294" t="s">
        <v>656</v>
      </c>
      <c r="L490" s="304">
        <v>103305.79</v>
      </c>
      <c r="M490" s="295">
        <v>0</v>
      </c>
      <c r="N490" s="295">
        <v>0</v>
      </c>
      <c r="O490" s="295">
        <v>0</v>
      </c>
      <c r="P490" s="303">
        <v>21694.21</v>
      </c>
      <c r="Q490" s="295">
        <v>125000</v>
      </c>
    </row>
    <row r="491" spans="1:17" hidden="1">
      <c r="A491" s="294" t="s">
        <v>1050</v>
      </c>
      <c r="B491" s="294" t="s">
        <v>654</v>
      </c>
      <c r="C491" s="295">
        <v>7</v>
      </c>
      <c r="D491" s="295">
        <v>2280</v>
      </c>
      <c r="E491" s="294"/>
      <c r="F491" s="295">
        <v>74488965594439</v>
      </c>
      <c r="G491" s="294" t="s">
        <v>7</v>
      </c>
      <c r="H491" s="295">
        <v>30606274161</v>
      </c>
      <c r="I491" s="294" t="s">
        <v>1067</v>
      </c>
      <c r="J491" s="295">
        <v>1</v>
      </c>
      <c r="K491" s="294" t="s">
        <v>656</v>
      </c>
      <c r="L491" s="304">
        <v>70247.929999999993</v>
      </c>
      <c r="M491" s="295">
        <v>0</v>
      </c>
      <c r="N491" s="295">
        <v>0</v>
      </c>
      <c r="O491" s="295">
        <v>0</v>
      </c>
      <c r="P491" s="303">
        <v>14752.07</v>
      </c>
      <c r="Q491" s="295">
        <v>85000</v>
      </c>
    </row>
    <row r="492" spans="1:17">
      <c r="A492" s="294" t="s">
        <v>1050</v>
      </c>
      <c r="B492" s="294" t="s">
        <v>948</v>
      </c>
      <c r="C492" s="295">
        <v>5</v>
      </c>
      <c r="D492" s="295">
        <v>11909</v>
      </c>
      <c r="E492" s="294"/>
      <c r="F492" s="295">
        <v>74488930614673</v>
      </c>
      <c r="G492" s="294" t="s">
        <v>949</v>
      </c>
      <c r="H492" s="295">
        <v>20324027166</v>
      </c>
      <c r="I492" s="294"/>
      <c r="J492" s="295">
        <v>1</v>
      </c>
      <c r="K492" s="294" t="s">
        <v>656</v>
      </c>
      <c r="L492" s="304">
        <v>22314.05</v>
      </c>
      <c r="M492" s="295">
        <v>0</v>
      </c>
      <c r="N492" s="295">
        <v>0</v>
      </c>
      <c r="O492" s="295">
        <v>0</v>
      </c>
      <c r="P492" s="303">
        <v>4685.95</v>
      </c>
      <c r="Q492" s="295">
        <v>27000</v>
      </c>
    </row>
    <row r="493" spans="1:17">
      <c r="A493" s="294" t="s">
        <v>1050</v>
      </c>
      <c r="B493" s="294" t="s">
        <v>948</v>
      </c>
      <c r="C493" s="295">
        <v>7</v>
      </c>
      <c r="D493" s="295">
        <v>5538</v>
      </c>
      <c r="E493" s="294"/>
      <c r="F493" s="295">
        <v>74488915930778</v>
      </c>
      <c r="G493" s="294" t="s">
        <v>949</v>
      </c>
      <c r="H493" s="295">
        <v>25864351</v>
      </c>
      <c r="I493" s="294" t="s">
        <v>1108</v>
      </c>
      <c r="J493" s="295">
        <v>1</v>
      </c>
      <c r="K493" s="294" t="s">
        <v>656</v>
      </c>
      <c r="L493" s="304">
        <v>19834.71</v>
      </c>
      <c r="M493" s="295">
        <v>0</v>
      </c>
      <c r="N493" s="295">
        <v>0</v>
      </c>
      <c r="O493" s="295">
        <v>0</v>
      </c>
      <c r="P493" s="303">
        <v>4165.29</v>
      </c>
      <c r="Q493" s="295">
        <v>24000</v>
      </c>
    </row>
    <row r="494" spans="1:17">
      <c r="A494" s="294" t="s">
        <v>1050</v>
      </c>
      <c r="B494" s="294" t="s">
        <v>948</v>
      </c>
      <c r="C494" s="295">
        <v>7</v>
      </c>
      <c r="D494" s="295">
        <v>5541</v>
      </c>
      <c r="E494" s="294"/>
      <c r="F494" s="295">
        <v>74488954653783</v>
      </c>
      <c r="G494" s="294" t="s">
        <v>949</v>
      </c>
      <c r="H494" s="295">
        <v>2719694</v>
      </c>
      <c r="I494" s="294" t="s">
        <v>1086</v>
      </c>
      <c r="J494" s="295">
        <v>1</v>
      </c>
      <c r="K494" s="294" t="s">
        <v>656</v>
      </c>
      <c r="L494" s="304">
        <v>7764.46</v>
      </c>
      <c r="M494" s="295">
        <v>0</v>
      </c>
      <c r="N494" s="295">
        <v>0</v>
      </c>
      <c r="O494" s="295">
        <v>0</v>
      </c>
      <c r="P494" s="303">
        <v>1630.54</v>
      </c>
      <c r="Q494" s="295">
        <v>9395</v>
      </c>
    </row>
    <row r="495" spans="1:17">
      <c r="A495" s="294" t="s">
        <v>1050</v>
      </c>
      <c r="B495" s="294" t="s">
        <v>948</v>
      </c>
      <c r="C495" s="295">
        <v>7</v>
      </c>
      <c r="D495" s="295">
        <v>5540</v>
      </c>
      <c r="E495" s="294"/>
      <c r="F495" s="295">
        <v>74488948707296</v>
      </c>
      <c r="G495" s="294" t="s">
        <v>949</v>
      </c>
      <c r="H495" s="295">
        <v>5607654</v>
      </c>
      <c r="I495" s="294" t="s">
        <v>1078</v>
      </c>
      <c r="J495" s="295">
        <v>1</v>
      </c>
      <c r="K495" s="294" t="s">
        <v>656</v>
      </c>
      <c r="L495" s="304">
        <v>19834.71</v>
      </c>
      <c r="M495" s="295">
        <v>0</v>
      </c>
      <c r="N495" s="295">
        <v>0</v>
      </c>
      <c r="O495" s="295">
        <v>0</v>
      </c>
      <c r="P495" s="303">
        <v>4165.29</v>
      </c>
      <c r="Q495" s="295">
        <v>24000</v>
      </c>
    </row>
    <row r="496" spans="1:17">
      <c r="A496" s="294" t="s">
        <v>1050</v>
      </c>
      <c r="B496" s="294" t="s">
        <v>948</v>
      </c>
      <c r="C496" s="295">
        <v>5</v>
      </c>
      <c r="D496" s="295">
        <v>11922</v>
      </c>
      <c r="E496" s="294"/>
      <c r="F496" s="295">
        <v>74488986969345</v>
      </c>
      <c r="G496" s="295">
        <v>99</v>
      </c>
      <c r="H496" s="295">
        <v>0</v>
      </c>
      <c r="I496" s="294"/>
      <c r="J496" s="295">
        <v>1</v>
      </c>
      <c r="K496" s="294" t="s">
        <v>656</v>
      </c>
      <c r="L496" s="304">
        <v>16528.93</v>
      </c>
      <c r="M496" s="295">
        <v>0</v>
      </c>
      <c r="N496" s="295">
        <v>0</v>
      </c>
      <c r="O496" s="295">
        <v>0</v>
      </c>
      <c r="P496" s="303">
        <v>3471.07</v>
      </c>
      <c r="Q496" s="295">
        <v>20000</v>
      </c>
    </row>
    <row r="497" spans="1:17">
      <c r="A497" s="294" t="s">
        <v>1050</v>
      </c>
      <c r="B497" s="294" t="s">
        <v>948</v>
      </c>
      <c r="C497" s="295">
        <v>5</v>
      </c>
      <c r="D497" s="295">
        <v>11917</v>
      </c>
      <c r="E497" s="294"/>
      <c r="F497" s="295">
        <v>74488970160776</v>
      </c>
      <c r="G497" s="295">
        <v>99</v>
      </c>
      <c r="H497" s="295">
        <v>0</v>
      </c>
      <c r="I497" s="294"/>
      <c r="J497" s="295">
        <v>1</v>
      </c>
      <c r="K497" s="294" t="s">
        <v>656</v>
      </c>
      <c r="L497" s="304">
        <v>28099.17</v>
      </c>
      <c r="M497" s="295">
        <v>0</v>
      </c>
      <c r="N497" s="295">
        <v>0</v>
      </c>
      <c r="O497" s="295">
        <v>0</v>
      </c>
      <c r="P497" s="303">
        <v>5900.83</v>
      </c>
      <c r="Q497" s="295">
        <v>34000</v>
      </c>
    </row>
    <row r="498" spans="1:17">
      <c r="A498" s="294" t="s">
        <v>1050</v>
      </c>
      <c r="B498" s="294" t="s">
        <v>948</v>
      </c>
      <c r="C498" s="295">
        <v>5</v>
      </c>
      <c r="D498" s="295">
        <v>11913</v>
      </c>
      <c r="E498" s="294"/>
      <c r="F498" s="295">
        <v>74488946194542</v>
      </c>
      <c r="G498" s="295">
        <v>99</v>
      </c>
      <c r="H498" s="295">
        <v>0</v>
      </c>
      <c r="I498" s="294"/>
      <c r="J498" s="295">
        <v>1</v>
      </c>
      <c r="K498" s="294" t="s">
        <v>656</v>
      </c>
      <c r="L498" s="305">
        <v>27859.5</v>
      </c>
      <c r="M498" s="295">
        <v>0</v>
      </c>
      <c r="N498" s="295">
        <v>0</v>
      </c>
      <c r="O498" s="295">
        <v>0</v>
      </c>
      <c r="P498" s="309">
        <v>5850.5</v>
      </c>
      <c r="Q498" s="295">
        <v>33710</v>
      </c>
    </row>
    <row r="499" spans="1:17">
      <c r="A499" s="294" t="s">
        <v>1050</v>
      </c>
      <c r="B499" s="294" t="s">
        <v>948</v>
      </c>
      <c r="C499" s="295">
        <v>5</v>
      </c>
      <c r="D499" s="295">
        <v>11911</v>
      </c>
      <c r="E499" s="294"/>
      <c r="F499" s="295">
        <v>74488937354812</v>
      </c>
      <c r="G499" s="295">
        <v>99</v>
      </c>
      <c r="H499" s="295">
        <v>0</v>
      </c>
      <c r="I499" s="294"/>
      <c r="J499" s="295">
        <v>1</v>
      </c>
      <c r="K499" s="294" t="s">
        <v>656</v>
      </c>
      <c r="L499" s="304">
        <v>20247.93</v>
      </c>
      <c r="M499" s="295">
        <v>0</v>
      </c>
      <c r="N499" s="295">
        <v>0</v>
      </c>
      <c r="O499" s="295">
        <v>0</v>
      </c>
      <c r="P499" s="303">
        <v>4252.07</v>
      </c>
      <c r="Q499" s="295">
        <v>24500</v>
      </c>
    </row>
    <row r="500" spans="1:17">
      <c r="A500" s="294" t="s">
        <v>1050</v>
      </c>
      <c r="B500" s="294" t="s">
        <v>948</v>
      </c>
      <c r="C500" s="295">
        <v>7</v>
      </c>
      <c r="D500" s="295">
        <v>5543</v>
      </c>
      <c r="E500" s="294"/>
      <c r="F500" s="295">
        <v>74488967699975</v>
      </c>
      <c r="G500" s="294" t="s">
        <v>949</v>
      </c>
      <c r="H500" s="295">
        <v>27960566373</v>
      </c>
      <c r="I500" s="294"/>
      <c r="J500" s="295">
        <v>1</v>
      </c>
      <c r="K500" s="294" t="s">
        <v>656</v>
      </c>
      <c r="L500" s="304">
        <v>26363.64</v>
      </c>
      <c r="M500" s="295">
        <v>0</v>
      </c>
      <c r="N500" s="295">
        <v>0</v>
      </c>
      <c r="O500" s="295">
        <v>0</v>
      </c>
      <c r="P500" s="303">
        <v>5536.36</v>
      </c>
      <c r="Q500" s="295">
        <v>31900</v>
      </c>
    </row>
    <row r="501" spans="1:17">
      <c r="A501" s="294" t="s">
        <v>1050</v>
      </c>
      <c r="B501" s="294" t="s">
        <v>948</v>
      </c>
      <c r="C501" s="295">
        <v>5</v>
      </c>
      <c r="D501" s="295">
        <v>11919</v>
      </c>
      <c r="E501" s="294"/>
      <c r="F501" s="295">
        <v>74488984863866</v>
      </c>
      <c r="G501" s="295">
        <v>99</v>
      </c>
      <c r="H501" s="295">
        <v>0</v>
      </c>
      <c r="I501" s="294"/>
      <c r="J501" s="295">
        <v>1</v>
      </c>
      <c r="K501" s="294" t="s">
        <v>656</v>
      </c>
      <c r="L501" s="304">
        <v>28099.17</v>
      </c>
      <c r="M501" s="295">
        <v>0</v>
      </c>
      <c r="N501" s="295">
        <v>0</v>
      </c>
      <c r="O501" s="295">
        <v>0</v>
      </c>
      <c r="P501" s="303">
        <v>5900.83</v>
      </c>
      <c r="Q501" s="295">
        <v>34000</v>
      </c>
    </row>
    <row r="502" spans="1:17">
      <c r="A502" s="294" t="s">
        <v>1050</v>
      </c>
      <c r="B502" s="294" t="s">
        <v>948</v>
      </c>
      <c r="C502" s="295">
        <v>5</v>
      </c>
      <c r="D502" s="295">
        <v>11907</v>
      </c>
      <c r="E502" s="294"/>
      <c r="F502" s="295">
        <v>74488922519652</v>
      </c>
      <c r="G502" s="295">
        <v>99</v>
      </c>
      <c r="H502" s="295">
        <v>0</v>
      </c>
      <c r="I502" s="294"/>
      <c r="J502" s="295">
        <v>1</v>
      </c>
      <c r="K502" s="294" t="s">
        <v>656</v>
      </c>
      <c r="L502" s="304">
        <v>13223.14</v>
      </c>
      <c r="M502" s="295">
        <v>0</v>
      </c>
      <c r="N502" s="295">
        <v>0</v>
      </c>
      <c r="O502" s="295">
        <v>0</v>
      </c>
      <c r="P502" s="303">
        <v>2776.86</v>
      </c>
      <c r="Q502" s="295">
        <v>16000</v>
      </c>
    </row>
    <row r="503" spans="1:17">
      <c r="A503" s="294" t="s">
        <v>1050</v>
      </c>
      <c r="B503" s="294" t="s">
        <v>948</v>
      </c>
      <c r="C503" s="295">
        <v>5</v>
      </c>
      <c r="D503" s="295">
        <v>11914</v>
      </c>
      <c r="E503" s="294"/>
      <c r="F503" s="295">
        <v>74488955830064</v>
      </c>
      <c r="G503" s="295">
        <v>99</v>
      </c>
      <c r="H503" s="295">
        <v>0</v>
      </c>
      <c r="I503" s="294"/>
      <c r="J503" s="295">
        <v>1</v>
      </c>
      <c r="K503" s="294" t="s">
        <v>656</v>
      </c>
      <c r="L503" s="304">
        <v>26446.28</v>
      </c>
      <c r="M503" s="295">
        <v>0</v>
      </c>
      <c r="N503" s="295">
        <v>0</v>
      </c>
      <c r="O503" s="295">
        <v>0</v>
      </c>
      <c r="P503" s="303">
        <v>5553.72</v>
      </c>
      <c r="Q503" s="295">
        <v>32000</v>
      </c>
    </row>
    <row r="504" spans="1:17">
      <c r="A504" s="294" t="s">
        <v>1050</v>
      </c>
      <c r="B504" s="294" t="s">
        <v>948</v>
      </c>
      <c r="C504" s="295">
        <v>5</v>
      </c>
      <c r="D504" s="295">
        <v>11915</v>
      </c>
      <c r="E504" s="294"/>
      <c r="F504" s="295">
        <v>74488961969109</v>
      </c>
      <c r="G504" s="295">
        <v>99</v>
      </c>
      <c r="H504" s="295">
        <v>0</v>
      </c>
      <c r="I504" s="294"/>
      <c r="J504" s="295">
        <v>1</v>
      </c>
      <c r="K504" s="294" t="s">
        <v>656</v>
      </c>
      <c r="L504" s="304">
        <v>21074.38</v>
      </c>
      <c r="M504" s="285">
        <v>0</v>
      </c>
      <c r="N504" s="285">
        <v>0</v>
      </c>
      <c r="O504" s="285">
        <v>0</v>
      </c>
      <c r="P504" s="349">
        <v>4425.62</v>
      </c>
      <c r="Q504" s="285">
        <v>25500</v>
      </c>
    </row>
    <row r="505" spans="1:17">
      <c r="A505" s="294" t="s">
        <v>1050</v>
      </c>
      <c r="B505" s="294" t="s">
        <v>948</v>
      </c>
      <c r="C505" s="295">
        <v>5</v>
      </c>
      <c r="D505" s="295">
        <v>11920</v>
      </c>
      <c r="E505" s="294"/>
      <c r="F505" s="295">
        <v>74488985183681</v>
      </c>
      <c r="G505" s="295">
        <v>99</v>
      </c>
      <c r="H505" s="295">
        <v>0</v>
      </c>
      <c r="I505" s="294"/>
      <c r="J505" s="295">
        <v>1</v>
      </c>
      <c r="K505" s="294" t="s">
        <v>656</v>
      </c>
      <c r="L505" s="304">
        <v>20661.16</v>
      </c>
      <c r="M505" s="295">
        <v>0</v>
      </c>
      <c r="N505" s="295">
        <v>0</v>
      </c>
      <c r="O505" s="295">
        <v>0</v>
      </c>
      <c r="P505" s="303">
        <v>4338.84</v>
      </c>
      <c r="Q505" s="295">
        <v>25000</v>
      </c>
    </row>
    <row r="506" spans="1:17">
      <c r="A506" s="294" t="s">
        <v>1050</v>
      </c>
      <c r="B506" s="294" t="s">
        <v>948</v>
      </c>
      <c r="C506" s="295">
        <v>5</v>
      </c>
      <c r="D506" s="295">
        <v>11921</v>
      </c>
      <c r="E506" s="294"/>
      <c r="F506" s="295">
        <v>74488985565834</v>
      </c>
      <c r="G506" s="295">
        <v>99</v>
      </c>
      <c r="H506" s="295">
        <v>0</v>
      </c>
      <c r="I506" s="294"/>
      <c r="J506" s="295">
        <v>1</v>
      </c>
      <c r="K506" s="294" t="s">
        <v>656</v>
      </c>
      <c r="L506" s="304">
        <v>16528.93</v>
      </c>
      <c r="M506" s="295">
        <v>0</v>
      </c>
      <c r="N506" s="295">
        <v>0</v>
      </c>
      <c r="O506" s="295">
        <v>0</v>
      </c>
      <c r="P506" s="303">
        <v>3471.07</v>
      </c>
      <c r="Q506" s="295">
        <v>20000</v>
      </c>
    </row>
    <row r="507" spans="1:17">
      <c r="A507" s="294" t="s">
        <v>1050</v>
      </c>
      <c r="B507" s="294" t="s">
        <v>948</v>
      </c>
      <c r="C507" s="295">
        <v>5</v>
      </c>
      <c r="D507" s="295">
        <v>11908</v>
      </c>
      <c r="E507" s="294"/>
      <c r="F507" s="295">
        <v>74488929366000</v>
      </c>
      <c r="G507" s="295">
        <v>99</v>
      </c>
      <c r="H507" s="295">
        <v>0</v>
      </c>
      <c r="I507" s="294"/>
      <c r="J507" s="295">
        <v>1</v>
      </c>
      <c r="K507" s="294" t="s">
        <v>656</v>
      </c>
      <c r="L507" s="305">
        <v>11487.6</v>
      </c>
      <c r="M507" s="295">
        <v>0</v>
      </c>
      <c r="N507" s="295">
        <v>0</v>
      </c>
      <c r="O507" s="295">
        <v>0</v>
      </c>
      <c r="P507" s="309">
        <v>2412.4</v>
      </c>
      <c r="Q507" s="295">
        <v>13900</v>
      </c>
    </row>
    <row r="508" spans="1:17">
      <c r="A508" s="294" t="s">
        <v>1050</v>
      </c>
      <c r="B508" s="294" t="s">
        <v>948</v>
      </c>
      <c r="C508" s="295">
        <v>5</v>
      </c>
      <c r="D508" s="295">
        <v>11906</v>
      </c>
      <c r="E508" s="294"/>
      <c r="F508" s="295">
        <v>74488917573442</v>
      </c>
      <c r="G508" s="295">
        <v>99</v>
      </c>
      <c r="H508" s="295">
        <v>0</v>
      </c>
      <c r="I508" s="294"/>
      <c r="J508" s="295">
        <v>1</v>
      </c>
      <c r="K508" s="294" t="s">
        <v>656</v>
      </c>
      <c r="L508" s="304">
        <v>25619.83</v>
      </c>
      <c r="M508" s="295">
        <v>0</v>
      </c>
      <c r="N508" s="295">
        <v>0</v>
      </c>
      <c r="O508" s="295">
        <v>0</v>
      </c>
      <c r="P508" s="303">
        <v>5380.17</v>
      </c>
      <c r="Q508" s="295">
        <v>31000</v>
      </c>
    </row>
    <row r="509" spans="1:17">
      <c r="A509" s="294" t="s">
        <v>1050</v>
      </c>
      <c r="B509" s="294" t="s">
        <v>948</v>
      </c>
      <c r="C509" s="295">
        <v>7</v>
      </c>
      <c r="D509" s="295">
        <v>5542</v>
      </c>
      <c r="E509" s="294"/>
      <c r="F509" s="295">
        <v>74488965803482</v>
      </c>
      <c r="G509" s="294" t="s">
        <v>949</v>
      </c>
      <c r="H509" s="295">
        <v>92310363</v>
      </c>
      <c r="I509" s="294" t="s">
        <v>1113</v>
      </c>
      <c r="J509" s="295">
        <v>1</v>
      </c>
      <c r="K509" s="294" t="s">
        <v>656</v>
      </c>
      <c r="L509" s="304">
        <v>17355.37</v>
      </c>
      <c r="M509" s="295">
        <v>0</v>
      </c>
      <c r="N509" s="295">
        <v>0</v>
      </c>
      <c r="O509" s="295">
        <v>0</v>
      </c>
      <c r="P509" s="303">
        <v>3644.63</v>
      </c>
      <c r="Q509" s="295">
        <v>21000</v>
      </c>
    </row>
    <row r="510" spans="1:17">
      <c r="A510" s="294" t="s">
        <v>1050</v>
      </c>
      <c r="B510" s="294" t="s">
        <v>948</v>
      </c>
      <c r="C510" s="295">
        <v>5</v>
      </c>
      <c r="D510" s="295">
        <v>11916</v>
      </c>
      <c r="E510" s="294"/>
      <c r="F510" s="295">
        <v>74488969149545</v>
      </c>
      <c r="G510" s="294" t="s">
        <v>949</v>
      </c>
      <c r="H510" s="295">
        <v>4430076</v>
      </c>
      <c r="I510" s="294"/>
      <c r="J510" s="295">
        <v>1</v>
      </c>
      <c r="K510" s="294" t="s">
        <v>656</v>
      </c>
      <c r="L510" s="304">
        <v>12892.56</v>
      </c>
      <c r="M510" s="295">
        <v>0</v>
      </c>
      <c r="N510" s="295">
        <v>0</v>
      </c>
      <c r="O510" s="295">
        <v>0</v>
      </c>
      <c r="P510" s="303">
        <v>2707.44</v>
      </c>
      <c r="Q510" s="295">
        <v>15600</v>
      </c>
    </row>
    <row r="511" spans="1:17">
      <c r="A511" s="294" t="s">
        <v>1050</v>
      </c>
      <c r="B511" s="294" t="s">
        <v>948</v>
      </c>
      <c r="C511" s="295">
        <v>5</v>
      </c>
      <c r="D511" s="295">
        <v>11912</v>
      </c>
      <c r="E511" s="294"/>
      <c r="F511" s="295">
        <v>74488939046579</v>
      </c>
      <c r="G511" s="295">
        <v>99</v>
      </c>
      <c r="H511" s="295">
        <v>0</v>
      </c>
      <c r="I511" s="294"/>
      <c r="J511" s="295">
        <v>1</v>
      </c>
      <c r="K511" s="294" t="s">
        <v>656</v>
      </c>
      <c r="L511" s="304">
        <v>13223.14</v>
      </c>
      <c r="M511" s="295">
        <v>0</v>
      </c>
      <c r="N511" s="295">
        <v>0</v>
      </c>
      <c r="O511" s="295">
        <v>0</v>
      </c>
      <c r="P511" s="303">
        <v>2776.86</v>
      </c>
      <c r="Q511" s="295">
        <v>16000</v>
      </c>
    </row>
    <row r="512" spans="1:17" hidden="1">
      <c r="A512" s="347" t="s">
        <v>1050</v>
      </c>
      <c r="B512" s="347" t="s">
        <v>950</v>
      </c>
      <c r="C512" s="348">
        <v>5</v>
      </c>
      <c r="D512" s="348">
        <v>143</v>
      </c>
      <c r="E512" s="347"/>
      <c r="F512" s="348">
        <v>74488957376747</v>
      </c>
      <c r="G512" s="348">
        <v>99</v>
      </c>
      <c r="H512" s="348">
        <v>0</v>
      </c>
      <c r="I512" s="347"/>
      <c r="J512" s="348">
        <v>1</v>
      </c>
      <c r="K512" s="347" t="s">
        <v>656</v>
      </c>
      <c r="L512" s="304">
        <v>-13223.14</v>
      </c>
      <c r="M512" s="295"/>
      <c r="N512" s="295">
        <v>0</v>
      </c>
      <c r="O512" s="295">
        <v>0</v>
      </c>
      <c r="P512" s="303">
        <f>+L512*0.21</f>
        <v>-2776.8593999999998</v>
      </c>
      <c r="Q512" s="295">
        <f>SUBTOTAL(9,L512:P512)</f>
        <v>0</v>
      </c>
    </row>
    <row r="513" spans="1:17">
      <c r="A513" s="294" t="s">
        <v>1050</v>
      </c>
      <c r="B513" s="294" t="s">
        <v>948</v>
      </c>
      <c r="C513" s="295">
        <v>5</v>
      </c>
      <c r="D513" s="295">
        <v>11918</v>
      </c>
      <c r="E513" s="294"/>
      <c r="F513" s="295">
        <v>74488972345564</v>
      </c>
      <c r="G513" s="295">
        <v>99</v>
      </c>
      <c r="H513" s="295">
        <v>0</v>
      </c>
      <c r="I513" s="294"/>
      <c r="J513" s="295">
        <v>1</v>
      </c>
      <c r="K513" s="294" t="s">
        <v>656</v>
      </c>
      <c r="L513" s="304">
        <v>5206.6099999999997</v>
      </c>
      <c r="M513" s="295">
        <v>0</v>
      </c>
      <c r="N513" s="295">
        <v>0</v>
      </c>
      <c r="O513" s="295">
        <v>0</v>
      </c>
      <c r="P513" s="303">
        <v>1093.3900000000001</v>
      </c>
      <c r="Q513" s="295">
        <v>6300</v>
      </c>
    </row>
    <row r="514" spans="1:17">
      <c r="A514" s="294" t="s">
        <v>1050</v>
      </c>
      <c r="B514" s="294" t="s">
        <v>948</v>
      </c>
      <c r="C514" s="295">
        <v>7</v>
      </c>
      <c r="D514" s="295">
        <v>5539</v>
      </c>
      <c r="E514" s="294"/>
      <c r="F514" s="295">
        <v>74488921281404</v>
      </c>
      <c r="G514" s="309" t="s">
        <v>949</v>
      </c>
      <c r="H514" s="295">
        <v>27932667059</v>
      </c>
      <c r="I514" s="294"/>
      <c r="J514" s="295">
        <v>1</v>
      </c>
      <c r="K514" s="294" t="s">
        <v>656</v>
      </c>
      <c r="L514" s="304">
        <v>17355.37</v>
      </c>
      <c r="M514" s="295">
        <v>0</v>
      </c>
      <c r="N514" s="295">
        <v>0</v>
      </c>
      <c r="O514" s="295">
        <v>0</v>
      </c>
      <c r="P514" s="303">
        <v>3644.63</v>
      </c>
      <c r="Q514" s="295">
        <v>21000</v>
      </c>
    </row>
    <row r="515" spans="1:17">
      <c r="A515" s="294" t="s">
        <v>1050</v>
      </c>
      <c r="B515" s="294" t="s">
        <v>948</v>
      </c>
      <c r="C515" s="295">
        <v>5</v>
      </c>
      <c r="D515" s="295">
        <v>11910</v>
      </c>
      <c r="E515" s="294"/>
      <c r="F515" s="295">
        <v>74488936530381</v>
      </c>
      <c r="G515" s="295">
        <v>99</v>
      </c>
      <c r="H515" s="295">
        <v>0</v>
      </c>
      <c r="I515" s="294"/>
      <c r="J515" s="295">
        <v>1</v>
      </c>
      <c r="K515" s="294" t="s">
        <v>656</v>
      </c>
      <c r="L515" s="304">
        <v>14669.42</v>
      </c>
      <c r="M515" s="295">
        <v>0</v>
      </c>
      <c r="N515" s="295">
        <v>0</v>
      </c>
      <c r="O515" s="295">
        <v>0</v>
      </c>
      <c r="P515" s="303">
        <v>3080.58</v>
      </c>
      <c r="Q515" s="295">
        <v>17750</v>
      </c>
    </row>
  </sheetData>
  <autoFilter ref="A9:Q515">
    <filterColumn colId="1">
      <filters>
        <filter val="6 - Factura B"/>
      </filters>
    </filterColumn>
  </autoFilter>
  <sortState ref="A10:Q515">
    <sortCondition ref="A10:A515"/>
  </sortState>
  <mergeCells count="1">
    <mergeCell ref="A8:Q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48"/>
  <sheetViews>
    <sheetView topLeftCell="A114" workbookViewId="0">
      <selection activeCell="F148" sqref="F148"/>
    </sheetView>
  </sheetViews>
  <sheetFormatPr baseColWidth="10" defaultRowHeight="15"/>
  <cols>
    <col min="1" max="1" width="13" style="292" customWidth="1"/>
    <col min="2" max="2" width="14.28515625" style="292" customWidth="1"/>
    <col min="3" max="3" width="5.5703125" style="292" customWidth="1"/>
    <col min="4" max="4" width="18.42578125" style="292" customWidth="1"/>
    <col min="5" max="5" width="20.5703125" style="292" customWidth="1"/>
    <col min="6" max="6" width="27.5703125" style="292" customWidth="1"/>
    <col min="7" max="7" width="5.140625" style="292" customWidth="1"/>
    <col min="8" max="8" width="15.5703125" style="292" customWidth="1"/>
    <col min="9" max="9" width="32.85546875" style="292" customWidth="1"/>
    <col min="10" max="10" width="14.28515625" style="292" customWidth="1"/>
    <col min="11" max="11" width="7.85546875" style="292" customWidth="1"/>
    <col min="12" max="12" width="22.140625" style="292" customWidth="1"/>
    <col min="13" max="13" width="10.140625" style="292" customWidth="1"/>
    <col min="14" max="14" width="11.85546875" style="292" customWidth="1"/>
    <col min="15" max="15" width="10.42578125" style="292" customWidth="1"/>
    <col min="16" max="16" width="11.7109375" style="292" customWidth="1"/>
    <col min="17" max="17" width="13" style="292" customWidth="1"/>
    <col min="18" max="16384" width="11.42578125" style="292"/>
  </cols>
  <sheetData>
    <row r="1" spans="1:17">
      <c r="A1" s="343" t="s">
        <v>1009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</row>
    <row r="2" spans="1:17">
      <c r="A2" s="293" t="s">
        <v>102</v>
      </c>
      <c r="B2" s="293" t="s">
        <v>638</v>
      </c>
      <c r="C2" s="293" t="s">
        <v>639</v>
      </c>
      <c r="D2" s="293" t="s">
        <v>640</v>
      </c>
      <c r="E2" s="293" t="s">
        <v>641</v>
      </c>
      <c r="F2" s="293" t="s">
        <v>642</v>
      </c>
      <c r="G2" s="293" t="s">
        <v>643</v>
      </c>
      <c r="H2" s="293" t="s">
        <v>644</v>
      </c>
      <c r="I2" s="293" t="s">
        <v>645</v>
      </c>
      <c r="J2" s="293" t="s">
        <v>646</v>
      </c>
      <c r="K2" s="293" t="s">
        <v>647</v>
      </c>
      <c r="L2" s="293" t="s">
        <v>648</v>
      </c>
      <c r="M2" s="293" t="s">
        <v>649</v>
      </c>
      <c r="N2" s="293" t="s">
        <v>650</v>
      </c>
      <c r="O2" s="293" t="s">
        <v>651</v>
      </c>
      <c r="P2" s="293" t="s">
        <v>3</v>
      </c>
      <c r="Q2" s="293" t="s">
        <v>652</v>
      </c>
    </row>
    <row r="3" spans="1:17">
      <c r="A3" s="294" t="s">
        <v>1010</v>
      </c>
      <c r="B3" s="294" t="s">
        <v>654</v>
      </c>
      <c r="C3" s="295">
        <v>500</v>
      </c>
      <c r="D3" s="295">
        <v>1641624</v>
      </c>
      <c r="E3" s="294"/>
      <c r="F3" s="295">
        <v>74447326861618</v>
      </c>
      <c r="G3" s="294" t="s">
        <v>7</v>
      </c>
      <c r="H3" s="295">
        <v>30654118767</v>
      </c>
      <c r="I3" s="294" t="s">
        <v>658</v>
      </c>
      <c r="J3" s="295">
        <v>1</v>
      </c>
      <c r="K3" s="294" t="s">
        <v>656</v>
      </c>
      <c r="L3" s="299">
        <v>102077.93</v>
      </c>
      <c r="M3" s="296">
        <v>0</v>
      </c>
      <c r="N3" s="296">
        <v>0</v>
      </c>
      <c r="O3" s="296">
        <v>6359.83</v>
      </c>
      <c r="P3" s="299">
        <v>21436.37</v>
      </c>
      <c r="Q3" s="296">
        <v>129874.13</v>
      </c>
    </row>
    <row r="4" spans="1:17">
      <c r="A4" s="294" t="s">
        <v>1010</v>
      </c>
      <c r="B4" s="294" t="s">
        <v>654</v>
      </c>
      <c r="C4" s="295">
        <v>17</v>
      </c>
      <c r="D4" s="295">
        <v>10855</v>
      </c>
      <c r="E4" s="294"/>
      <c r="F4" s="295">
        <v>74440611010248</v>
      </c>
      <c r="G4" s="294" t="s">
        <v>7</v>
      </c>
      <c r="H4" s="295">
        <v>30661143610</v>
      </c>
      <c r="I4" s="294" t="s">
        <v>552</v>
      </c>
      <c r="J4" s="295">
        <v>1</v>
      </c>
      <c r="K4" s="294" t="s">
        <v>656</v>
      </c>
      <c r="L4" s="299">
        <v>3950700</v>
      </c>
      <c r="M4" s="296">
        <v>0</v>
      </c>
      <c r="N4" s="296">
        <v>0</v>
      </c>
      <c r="O4" s="296">
        <v>197535</v>
      </c>
      <c r="P4" s="299">
        <v>829647</v>
      </c>
      <c r="Q4" s="296">
        <v>4977882</v>
      </c>
    </row>
    <row r="5" spans="1:17">
      <c r="A5" s="294" t="s">
        <v>1010</v>
      </c>
      <c r="B5" s="294" t="s">
        <v>654</v>
      </c>
      <c r="C5" s="295">
        <v>629</v>
      </c>
      <c r="D5" s="295">
        <v>5571683</v>
      </c>
      <c r="E5" s="294"/>
      <c r="F5" s="295">
        <v>34433634355672</v>
      </c>
      <c r="G5" s="294" t="s">
        <v>7</v>
      </c>
      <c r="H5" s="295">
        <v>30663498513</v>
      </c>
      <c r="I5" s="294" t="s">
        <v>667</v>
      </c>
      <c r="J5" s="295">
        <v>1</v>
      </c>
      <c r="K5" s="294" t="s">
        <v>656</v>
      </c>
      <c r="L5" s="299">
        <v>6731.58</v>
      </c>
      <c r="M5" s="296">
        <v>0</v>
      </c>
      <c r="N5" s="296">
        <v>0</v>
      </c>
      <c r="O5" s="296">
        <v>336.58</v>
      </c>
      <c r="P5" s="299">
        <v>1413.6</v>
      </c>
      <c r="Q5" s="296">
        <v>8481.76</v>
      </c>
    </row>
    <row r="6" spans="1:17">
      <c r="A6" s="294" t="s">
        <v>1010</v>
      </c>
      <c r="B6" s="294" t="s">
        <v>654</v>
      </c>
      <c r="C6" s="295">
        <v>711</v>
      </c>
      <c r="D6" s="295">
        <v>6334596</v>
      </c>
      <c r="E6" s="294"/>
      <c r="F6" s="295">
        <v>34439311727749</v>
      </c>
      <c r="G6" s="294" t="s">
        <v>7</v>
      </c>
      <c r="H6" s="295">
        <v>30677237119</v>
      </c>
      <c r="I6" s="294" t="s">
        <v>668</v>
      </c>
      <c r="J6" s="295">
        <v>1</v>
      </c>
      <c r="K6" s="294" t="s">
        <v>656</v>
      </c>
      <c r="L6" s="299">
        <v>3312.36</v>
      </c>
      <c r="M6" s="296">
        <v>0</v>
      </c>
      <c r="N6" s="296">
        <v>99.37</v>
      </c>
      <c r="O6" s="296">
        <v>165.62</v>
      </c>
      <c r="P6" s="299">
        <v>695.58</v>
      </c>
      <c r="Q6" s="296">
        <v>4272.93</v>
      </c>
    </row>
    <row r="7" spans="1:17">
      <c r="A7" s="294" t="s">
        <v>1010</v>
      </c>
      <c r="B7" s="294" t="s">
        <v>654</v>
      </c>
      <c r="C7" s="295">
        <v>2</v>
      </c>
      <c r="D7" s="295">
        <v>6</v>
      </c>
      <c r="E7" s="294"/>
      <c r="F7" s="295">
        <v>74440602724999</v>
      </c>
      <c r="G7" s="294" t="s">
        <v>7</v>
      </c>
      <c r="H7" s="295">
        <v>20233007820</v>
      </c>
      <c r="I7" s="294" t="s">
        <v>1011</v>
      </c>
      <c r="J7" s="295">
        <v>1</v>
      </c>
      <c r="K7" s="294" t="s">
        <v>656</v>
      </c>
      <c r="L7" s="299">
        <v>23600</v>
      </c>
      <c r="M7" s="296">
        <v>0</v>
      </c>
      <c r="N7" s="296">
        <v>0</v>
      </c>
      <c r="O7" s="296">
        <v>0</v>
      </c>
      <c r="P7" s="299">
        <v>4956</v>
      </c>
      <c r="Q7" s="296">
        <v>28556</v>
      </c>
    </row>
    <row r="8" spans="1:17">
      <c r="A8" s="294" t="s">
        <v>1010</v>
      </c>
      <c r="B8" s="294" t="s">
        <v>665</v>
      </c>
      <c r="C8" s="295">
        <v>3</v>
      </c>
      <c r="D8" s="295">
        <v>1010</v>
      </c>
      <c r="E8" s="294"/>
      <c r="F8" s="295">
        <v>74449587504125</v>
      </c>
      <c r="G8" s="294" t="s">
        <v>7</v>
      </c>
      <c r="H8" s="295">
        <v>20216451679</v>
      </c>
      <c r="I8" s="294" t="s">
        <v>477</v>
      </c>
      <c r="J8" s="295">
        <v>1</v>
      </c>
      <c r="K8" s="294" t="s">
        <v>656</v>
      </c>
      <c r="L8" s="299"/>
      <c r="M8" s="296"/>
      <c r="N8" s="296"/>
      <c r="O8" s="296">
        <v>0</v>
      </c>
      <c r="P8" s="299"/>
      <c r="Q8" s="296">
        <v>400000</v>
      </c>
    </row>
    <row r="9" spans="1:17">
      <c r="A9" s="294" t="s">
        <v>1012</v>
      </c>
      <c r="B9" s="294" t="s">
        <v>654</v>
      </c>
      <c r="C9" s="295">
        <v>3051</v>
      </c>
      <c r="D9" s="295">
        <v>831166</v>
      </c>
      <c r="E9" s="294"/>
      <c r="F9" s="295">
        <v>74447821819310</v>
      </c>
      <c r="G9" s="294" t="s">
        <v>7</v>
      </c>
      <c r="H9" s="295">
        <v>30678814357</v>
      </c>
      <c r="I9" s="294" t="s">
        <v>662</v>
      </c>
      <c r="J9" s="295">
        <v>1</v>
      </c>
      <c r="K9" s="294" t="s">
        <v>656</v>
      </c>
      <c r="L9" s="299">
        <v>28282.81</v>
      </c>
      <c r="M9" s="296">
        <v>0</v>
      </c>
      <c r="N9" s="296">
        <v>0</v>
      </c>
      <c r="O9" s="296">
        <v>3787.98</v>
      </c>
      <c r="P9" s="299">
        <v>7636.36</v>
      </c>
      <c r="Q9" s="296">
        <v>39707.15</v>
      </c>
    </row>
    <row r="10" spans="1:17">
      <c r="A10" s="294" t="s">
        <v>1013</v>
      </c>
      <c r="B10" s="294" t="s">
        <v>654</v>
      </c>
      <c r="C10" s="295">
        <v>5</v>
      </c>
      <c r="D10" s="295">
        <v>160678</v>
      </c>
      <c r="E10" s="294"/>
      <c r="F10" s="295">
        <v>74453921324614</v>
      </c>
      <c r="G10" s="294" t="s">
        <v>7</v>
      </c>
      <c r="H10" s="295">
        <v>30598960093</v>
      </c>
      <c r="I10" s="294" t="s">
        <v>660</v>
      </c>
      <c r="J10" s="295">
        <v>1</v>
      </c>
      <c r="K10" s="294" t="s">
        <v>656</v>
      </c>
      <c r="L10" s="299">
        <v>393556.5</v>
      </c>
      <c r="M10" s="296">
        <v>0</v>
      </c>
      <c r="N10" s="296">
        <v>0</v>
      </c>
      <c r="O10" s="296">
        <v>19677.830000000002</v>
      </c>
      <c r="P10" s="299">
        <v>82646.86</v>
      </c>
      <c r="Q10" s="296">
        <v>495881.19</v>
      </c>
    </row>
    <row r="11" spans="1:17">
      <c r="A11" s="294" t="s">
        <v>1013</v>
      </c>
      <c r="B11" s="294" t="s">
        <v>654</v>
      </c>
      <c r="C11" s="295">
        <v>6</v>
      </c>
      <c r="D11" s="295">
        <v>86462</v>
      </c>
      <c r="E11" s="294"/>
      <c r="F11" s="295">
        <v>74454883728913</v>
      </c>
      <c r="G11" s="294" t="s">
        <v>7</v>
      </c>
      <c r="H11" s="295">
        <v>30711553564</v>
      </c>
      <c r="I11" s="294" t="s">
        <v>236</v>
      </c>
      <c r="J11" s="295">
        <v>1</v>
      </c>
      <c r="K11" s="294" t="s">
        <v>656</v>
      </c>
      <c r="L11" s="299">
        <v>249584</v>
      </c>
      <c r="M11" s="296">
        <v>0</v>
      </c>
      <c r="N11" s="296">
        <v>0</v>
      </c>
      <c r="O11" s="296">
        <v>0</v>
      </c>
      <c r="P11" s="299">
        <v>52412.639999999999</v>
      </c>
      <c r="Q11" s="296">
        <v>301996.64</v>
      </c>
    </row>
    <row r="12" spans="1:17">
      <c r="A12" s="294" t="s">
        <v>1013</v>
      </c>
      <c r="B12" s="294" t="s">
        <v>654</v>
      </c>
      <c r="C12" s="295">
        <v>5</v>
      </c>
      <c r="D12" s="295">
        <v>160663</v>
      </c>
      <c r="E12" s="294"/>
      <c r="F12" s="295">
        <v>74453883837723</v>
      </c>
      <c r="G12" s="294" t="s">
        <v>7</v>
      </c>
      <c r="H12" s="295">
        <v>30598960093</v>
      </c>
      <c r="I12" s="294" t="s">
        <v>660</v>
      </c>
      <c r="J12" s="295">
        <v>1</v>
      </c>
      <c r="K12" s="294" t="s">
        <v>656</v>
      </c>
      <c r="L12" s="299">
        <v>642151.5</v>
      </c>
      <c r="M12" s="296">
        <v>0</v>
      </c>
      <c r="N12" s="296">
        <v>0</v>
      </c>
      <c r="O12" s="296">
        <v>32107.58</v>
      </c>
      <c r="P12" s="299">
        <v>134851.81</v>
      </c>
      <c r="Q12" s="296">
        <v>809110.89</v>
      </c>
    </row>
    <row r="13" spans="1:17">
      <c r="A13" s="294" t="s">
        <v>1013</v>
      </c>
      <c r="B13" s="294" t="s">
        <v>654</v>
      </c>
      <c r="C13" s="295">
        <v>6</v>
      </c>
      <c r="D13" s="295">
        <v>86458</v>
      </c>
      <c r="E13" s="294"/>
      <c r="F13" s="295">
        <v>74454881337054</v>
      </c>
      <c r="G13" s="294" t="s">
        <v>7</v>
      </c>
      <c r="H13" s="295">
        <v>30711553564</v>
      </c>
      <c r="I13" s="294" t="s">
        <v>236</v>
      </c>
      <c r="J13" s="295">
        <v>1</v>
      </c>
      <c r="K13" s="294" t="s">
        <v>656</v>
      </c>
      <c r="L13" s="299">
        <v>1182131.93</v>
      </c>
      <c r="M13" s="296">
        <v>0</v>
      </c>
      <c r="N13" s="296">
        <v>0</v>
      </c>
      <c r="O13" s="296">
        <v>0</v>
      </c>
      <c r="P13" s="299">
        <v>248247.71</v>
      </c>
      <c r="Q13" s="296">
        <v>1430379.64</v>
      </c>
    </row>
    <row r="14" spans="1:17">
      <c r="A14" s="294" t="s">
        <v>1013</v>
      </c>
      <c r="B14" s="294" t="s">
        <v>654</v>
      </c>
      <c r="C14" s="295">
        <v>6</v>
      </c>
      <c r="D14" s="295">
        <v>86459</v>
      </c>
      <c r="E14" s="294"/>
      <c r="F14" s="295">
        <v>74454881511572</v>
      </c>
      <c r="G14" s="294" t="s">
        <v>7</v>
      </c>
      <c r="H14" s="295">
        <v>30711553564</v>
      </c>
      <c r="I14" s="294" t="s">
        <v>236</v>
      </c>
      <c r="J14" s="295">
        <v>1</v>
      </c>
      <c r="K14" s="294" t="s">
        <v>656</v>
      </c>
      <c r="L14" s="299">
        <v>831346.9</v>
      </c>
      <c r="M14" s="296">
        <v>0</v>
      </c>
      <c r="N14" s="296">
        <v>0</v>
      </c>
      <c r="O14" s="296">
        <v>0</v>
      </c>
      <c r="P14" s="299">
        <v>174582.85</v>
      </c>
      <c r="Q14" s="296">
        <v>1005929.75</v>
      </c>
    </row>
    <row r="15" spans="1:17">
      <c r="A15" s="294" t="s">
        <v>1013</v>
      </c>
      <c r="B15" s="294" t="s">
        <v>654</v>
      </c>
      <c r="C15" s="295">
        <v>6</v>
      </c>
      <c r="D15" s="295">
        <v>86460</v>
      </c>
      <c r="E15" s="294"/>
      <c r="F15" s="295">
        <v>74454881999129</v>
      </c>
      <c r="G15" s="294" t="s">
        <v>7</v>
      </c>
      <c r="H15" s="295">
        <v>30711553564</v>
      </c>
      <c r="I15" s="294" t="s">
        <v>236</v>
      </c>
      <c r="J15" s="295">
        <v>1</v>
      </c>
      <c r="K15" s="294" t="s">
        <v>656</v>
      </c>
      <c r="L15" s="299">
        <v>224853.6</v>
      </c>
      <c r="M15" s="296">
        <v>0</v>
      </c>
      <c r="N15" s="296">
        <v>0</v>
      </c>
      <c r="O15" s="296">
        <v>0</v>
      </c>
      <c r="P15" s="299">
        <v>47219.26</v>
      </c>
      <c r="Q15" s="296">
        <v>272072.86</v>
      </c>
    </row>
    <row r="16" spans="1:17">
      <c r="A16" s="294" t="s">
        <v>1013</v>
      </c>
      <c r="B16" s="294" t="s">
        <v>654</v>
      </c>
      <c r="C16" s="295">
        <v>401</v>
      </c>
      <c r="D16" s="295">
        <v>100</v>
      </c>
      <c r="E16" s="294"/>
      <c r="F16" s="295">
        <v>74454890527415</v>
      </c>
      <c r="G16" s="294" t="s">
        <v>7</v>
      </c>
      <c r="H16" s="295">
        <v>30716234114</v>
      </c>
      <c r="I16" s="294" t="s">
        <v>672</v>
      </c>
      <c r="J16" s="295">
        <v>1220</v>
      </c>
      <c r="K16" s="294" t="s">
        <v>673</v>
      </c>
      <c r="L16" s="299">
        <f>129.3*1220</f>
        <v>157746</v>
      </c>
      <c r="M16" s="296">
        <v>0</v>
      </c>
      <c r="N16" s="296">
        <v>0</v>
      </c>
      <c r="O16" s="296">
        <v>0</v>
      </c>
      <c r="P16" s="299">
        <f>+L16*0.21</f>
        <v>33126.659999999996</v>
      </c>
      <c r="Q16" s="296">
        <f>+P16+L16</f>
        <v>190872.66</v>
      </c>
    </row>
    <row r="17" spans="1:17">
      <c r="A17" s="294" t="s">
        <v>1013</v>
      </c>
      <c r="B17" s="294" t="s">
        <v>654</v>
      </c>
      <c r="C17" s="295">
        <v>1</v>
      </c>
      <c r="D17" s="295">
        <v>649205</v>
      </c>
      <c r="E17" s="294"/>
      <c r="F17" s="295">
        <v>74469903137915</v>
      </c>
      <c r="G17" s="294" t="s">
        <v>7</v>
      </c>
      <c r="H17" s="295">
        <v>33716307749</v>
      </c>
      <c r="I17" s="294" t="s">
        <v>732</v>
      </c>
      <c r="J17" s="295">
        <v>1</v>
      </c>
      <c r="K17" s="294" t="s">
        <v>656</v>
      </c>
      <c r="L17" s="299">
        <v>34999</v>
      </c>
      <c r="M17" s="296">
        <v>0</v>
      </c>
      <c r="N17" s="296">
        <v>0</v>
      </c>
      <c r="O17" s="296">
        <v>1749.95</v>
      </c>
      <c r="P17" s="299">
        <v>7349.79</v>
      </c>
      <c r="Q17" s="296">
        <v>44098.74</v>
      </c>
    </row>
    <row r="18" spans="1:17">
      <c r="A18" s="294" t="s">
        <v>1013</v>
      </c>
      <c r="B18" s="294" t="s">
        <v>654</v>
      </c>
      <c r="C18" s="295">
        <v>2</v>
      </c>
      <c r="D18" s="295">
        <v>221</v>
      </c>
      <c r="E18" s="294"/>
      <c r="F18" s="295">
        <v>74452914341353</v>
      </c>
      <c r="G18" s="294" t="s">
        <v>7</v>
      </c>
      <c r="H18" s="295">
        <v>30605344352</v>
      </c>
      <c r="I18" s="294" t="s">
        <v>669</v>
      </c>
      <c r="J18" s="295">
        <v>1</v>
      </c>
      <c r="K18" s="294" t="s">
        <v>656</v>
      </c>
      <c r="L18" s="299">
        <v>834000</v>
      </c>
      <c r="M18" s="296">
        <v>0</v>
      </c>
      <c r="N18" s="296">
        <v>0</v>
      </c>
      <c r="O18" s="296">
        <v>0</v>
      </c>
      <c r="P18" s="299">
        <v>175140</v>
      </c>
      <c r="Q18" s="296">
        <v>1009140</v>
      </c>
    </row>
    <row r="19" spans="1:17">
      <c r="A19" s="294" t="s">
        <v>1013</v>
      </c>
      <c r="B19" s="294" t="s">
        <v>676</v>
      </c>
      <c r="C19" s="295">
        <v>6</v>
      </c>
      <c r="D19" s="295">
        <v>12145</v>
      </c>
      <c r="E19" s="294"/>
      <c r="F19" s="295">
        <v>74454883499642</v>
      </c>
      <c r="G19" s="294" t="s">
        <v>7</v>
      </c>
      <c r="H19" s="295">
        <v>30711553564</v>
      </c>
      <c r="I19" s="294" t="s">
        <v>236</v>
      </c>
      <c r="J19" s="295">
        <v>1</v>
      </c>
      <c r="K19" s="294" t="s">
        <v>656</v>
      </c>
      <c r="L19" s="299">
        <v>-145916.26</v>
      </c>
      <c r="M19" s="296">
        <v>0</v>
      </c>
      <c r="N19" s="296">
        <v>0</v>
      </c>
      <c r="O19" s="296">
        <v>0</v>
      </c>
      <c r="P19" s="299">
        <f>+L19*0.21</f>
        <v>-30642.4146</v>
      </c>
      <c r="Q19" s="296">
        <f>+P19+L19</f>
        <v>-176558.6746</v>
      </c>
    </row>
    <row r="20" spans="1:17">
      <c r="A20" s="294" t="s">
        <v>1013</v>
      </c>
      <c r="B20" s="294" t="s">
        <v>665</v>
      </c>
      <c r="C20" s="295">
        <v>3</v>
      </c>
      <c r="D20" s="295">
        <v>9725</v>
      </c>
      <c r="E20" s="294"/>
      <c r="F20" s="295">
        <v>74456937615061</v>
      </c>
      <c r="G20" s="294" t="s">
        <v>7</v>
      </c>
      <c r="H20" s="295">
        <v>20167634436</v>
      </c>
      <c r="I20" s="294" t="s">
        <v>226</v>
      </c>
      <c r="J20" s="295">
        <v>1</v>
      </c>
      <c r="K20" s="294" t="s">
        <v>656</v>
      </c>
      <c r="L20" s="299"/>
      <c r="M20" s="296"/>
      <c r="N20" s="296"/>
      <c r="O20" s="296">
        <v>0</v>
      </c>
      <c r="P20" s="299"/>
      <c r="Q20" s="296">
        <v>4570</v>
      </c>
    </row>
    <row r="21" spans="1:17">
      <c r="A21" s="294" t="s">
        <v>1013</v>
      </c>
      <c r="B21" s="294" t="s">
        <v>665</v>
      </c>
      <c r="C21" s="295">
        <v>2</v>
      </c>
      <c r="D21" s="295">
        <v>313</v>
      </c>
      <c r="E21" s="294"/>
      <c r="F21" s="295">
        <v>74448830666315</v>
      </c>
      <c r="G21" s="294" t="s">
        <v>7</v>
      </c>
      <c r="H21" s="295">
        <v>27265832178</v>
      </c>
      <c r="I21" s="294" t="s">
        <v>478</v>
      </c>
      <c r="J21" s="295">
        <v>1</v>
      </c>
      <c r="K21" s="294" t="s">
        <v>656</v>
      </c>
      <c r="L21" s="299"/>
      <c r="M21" s="296"/>
      <c r="N21" s="296"/>
      <c r="O21" s="296">
        <v>0</v>
      </c>
      <c r="P21" s="299"/>
      <c r="Q21" s="296">
        <v>3200000</v>
      </c>
    </row>
    <row r="22" spans="1:17">
      <c r="A22" s="294" t="s">
        <v>1013</v>
      </c>
      <c r="B22" s="294" t="s">
        <v>665</v>
      </c>
      <c r="C22" s="295">
        <v>3</v>
      </c>
      <c r="D22" s="295">
        <v>893</v>
      </c>
      <c r="E22" s="294"/>
      <c r="F22" s="295">
        <v>74453925401501</v>
      </c>
      <c r="G22" s="294" t="s">
        <v>7</v>
      </c>
      <c r="H22" s="295">
        <v>20086277523</v>
      </c>
      <c r="I22" s="294" t="s">
        <v>37</v>
      </c>
      <c r="J22" s="295">
        <v>1</v>
      </c>
      <c r="K22" s="294" t="s">
        <v>656</v>
      </c>
      <c r="L22" s="299"/>
      <c r="M22" s="296"/>
      <c r="N22" s="296"/>
      <c r="O22" s="296">
        <v>0</v>
      </c>
      <c r="P22" s="299"/>
      <c r="Q22" s="296">
        <v>275500</v>
      </c>
    </row>
    <row r="23" spans="1:17">
      <c r="A23" s="294" t="s">
        <v>1014</v>
      </c>
      <c r="B23" s="294" t="s">
        <v>654</v>
      </c>
      <c r="C23" s="295">
        <v>1</v>
      </c>
      <c r="D23" s="295">
        <v>106971</v>
      </c>
      <c r="E23" s="294"/>
      <c r="F23" s="295">
        <v>74459220885612</v>
      </c>
      <c r="G23" s="294" t="s">
        <v>7</v>
      </c>
      <c r="H23" s="295">
        <v>30714864269</v>
      </c>
      <c r="I23" s="294" t="s">
        <v>1015</v>
      </c>
      <c r="J23" s="295">
        <v>1</v>
      </c>
      <c r="K23" s="294" t="s">
        <v>656</v>
      </c>
      <c r="L23" s="299">
        <v>115939.17</v>
      </c>
      <c r="M23" s="296">
        <v>0</v>
      </c>
      <c r="N23" s="296">
        <v>0</v>
      </c>
      <c r="O23" s="296">
        <v>0</v>
      </c>
      <c r="P23" s="299">
        <v>24347.23</v>
      </c>
      <c r="Q23" s="296">
        <v>140286.39999999999</v>
      </c>
    </row>
    <row r="24" spans="1:17">
      <c r="A24" s="294" t="s">
        <v>1014</v>
      </c>
      <c r="B24" s="294" t="s">
        <v>654</v>
      </c>
      <c r="C24" s="295">
        <v>17</v>
      </c>
      <c r="D24" s="295">
        <v>10884</v>
      </c>
      <c r="E24" s="294"/>
      <c r="F24" s="295">
        <v>74450210166030</v>
      </c>
      <c r="G24" s="294" t="s">
        <v>7</v>
      </c>
      <c r="H24" s="295">
        <v>30661143610</v>
      </c>
      <c r="I24" s="294" t="s">
        <v>552</v>
      </c>
      <c r="J24" s="295">
        <v>1</v>
      </c>
      <c r="K24" s="294" t="s">
        <v>656</v>
      </c>
      <c r="L24" s="299">
        <v>565493.55000000005</v>
      </c>
      <c r="M24" s="296">
        <v>0</v>
      </c>
      <c r="N24" s="296">
        <v>0</v>
      </c>
      <c r="O24" s="296">
        <v>28274.68</v>
      </c>
      <c r="P24" s="299">
        <v>118753.65</v>
      </c>
      <c r="Q24" s="296">
        <v>712521.88</v>
      </c>
    </row>
    <row r="25" spans="1:17">
      <c r="A25" s="294" t="s">
        <v>1014</v>
      </c>
      <c r="B25" s="294" t="s">
        <v>654</v>
      </c>
      <c r="C25" s="295">
        <v>8</v>
      </c>
      <c r="D25" s="295">
        <v>1712</v>
      </c>
      <c r="E25" s="294"/>
      <c r="F25" s="295">
        <v>74451209572827</v>
      </c>
      <c r="G25" s="294" t="s">
        <v>7</v>
      </c>
      <c r="H25" s="295">
        <v>30708973501</v>
      </c>
      <c r="I25" s="294" t="s">
        <v>688</v>
      </c>
      <c r="J25" s="295">
        <v>1</v>
      </c>
      <c r="K25" s="294" t="s">
        <v>656</v>
      </c>
      <c r="L25" s="299">
        <v>831850</v>
      </c>
      <c r="M25" s="296">
        <v>0</v>
      </c>
      <c r="N25" s="296">
        <v>0</v>
      </c>
      <c r="O25" s="296">
        <v>0</v>
      </c>
      <c r="P25" s="299">
        <v>174688.5</v>
      </c>
      <c r="Q25" s="296">
        <v>1006538.5</v>
      </c>
    </row>
    <row r="26" spans="1:17">
      <c r="A26" s="294" t="s">
        <v>1014</v>
      </c>
      <c r="B26" s="294" t="s">
        <v>665</v>
      </c>
      <c r="C26" s="295">
        <v>1</v>
      </c>
      <c r="D26" s="295">
        <v>9</v>
      </c>
      <c r="E26" s="294"/>
      <c r="F26" s="295">
        <v>74453269307006</v>
      </c>
      <c r="G26" s="294" t="s">
        <v>7</v>
      </c>
      <c r="H26" s="295">
        <v>27443612713</v>
      </c>
      <c r="I26" s="294" t="s">
        <v>1008</v>
      </c>
      <c r="J26" s="295">
        <v>1</v>
      </c>
      <c r="K26" s="294" t="s">
        <v>656</v>
      </c>
      <c r="L26" s="299"/>
      <c r="M26" s="296"/>
      <c r="N26" s="296"/>
      <c r="O26" s="296">
        <v>0</v>
      </c>
      <c r="P26" s="299"/>
      <c r="Q26" s="296">
        <v>850000</v>
      </c>
    </row>
    <row r="27" spans="1:17">
      <c r="A27" s="294" t="s">
        <v>1016</v>
      </c>
      <c r="B27" s="294" t="s">
        <v>654</v>
      </c>
      <c r="C27" s="295">
        <v>5015</v>
      </c>
      <c r="D27" s="295">
        <v>663243</v>
      </c>
      <c r="E27" s="294"/>
      <c r="F27" s="295">
        <v>74454290535475</v>
      </c>
      <c r="G27" s="294" t="s">
        <v>7</v>
      </c>
      <c r="H27" s="295">
        <v>30574876474</v>
      </c>
      <c r="I27" s="294" t="s">
        <v>681</v>
      </c>
      <c r="J27" s="295">
        <v>1</v>
      </c>
      <c r="K27" s="294" t="s">
        <v>656</v>
      </c>
      <c r="L27" s="299">
        <v>5655.84</v>
      </c>
      <c r="M27" s="296">
        <v>0</v>
      </c>
      <c r="N27" s="296">
        <v>0</v>
      </c>
      <c r="O27" s="296">
        <v>735.25</v>
      </c>
      <c r="P27" s="299">
        <v>1187.72</v>
      </c>
      <c r="Q27" s="296">
        <v>7578.81</v>
      </c>
    </row>
    <row r="28" spans="1:17">
      <c r="A28" s="294" t="s">
        <v>1016</v>
      </c>
      <c r="B28" s="294" t="s">
        <v>654</v>
      </c>
      <c r="C28" s="295">
        <v>2</v>
      </c>
      <c r="D28" s="295">
        <v>908</v>
      </c>
      <c r="E28" s="294"/>
      <c r="F28" s="295">
        <v>74459364672319</v>
      </c>
      <c r="G28" s="294" t="s">
        <v>7</v>
      </c>
      <c r="H28" s="295">
        <v>20272865869</v>
      </c>
      <c r="I28" s="294" t="s">
        <v>625</v>
      </c>
      <c r="J28" s="295">
        <v>1</v>
      </c>
      <c r="K28" s="294" t="s">
        <v>656</v>
      </c>
      <c r="L28" s="299">
        <v>126700</v>
      </c>
      <c r="M28" s="296">
        <v>0</v>
      </c>
      <c r="N28" s="296">
        <v>0</v>
      </c>
      <c r="O28" s="296">
        <v>0</v>
      </c>
      <c r="P28" s="299">
        <v>26607</v>
      </c>
      <c r="Q28" s="296">
        <v>153307</v>
      </c>
    </row>
    <row r="29" spans="1:17">
      <c r="A29" s="294" t="s">
        <v>1016</v>
      </c>
      <c r="B29" s="294" t="s">
        <v>665</v>
      </c>
      <c r="C29" s="295">
        <v>2</v>
      </c>
      <c r="D29" s="295">
        <v>514</v>
      </c>
      <c r="E29" s="294"/>
      <c r="F29" s="295">
        <v>74451358198277</v>
      </c>
      <c r="G29" s="294" t="s">
        <v>7</v>
      </c>
      <c r="H29" s="295">
        <v>27299725761</v>
      </c>
      <c r="I29" s="294" t="s">
        <v>1017</v>
      </c>
      <c r="J29" s="295">
        <v>1</v>
      </c>
      <c r="K29" s="294" t="s">
        <v>656</v>
      </c>
      <c r="L29" s="299"/>
      <c r="M29" s="296"/>
      <c r="N29" s="296"/>
      <c r="O29" s="296">
        <v>0</v>
      </c>
      <c r="P29" s="299"/>
      <c r="Q29" s="296">
        <v>460000</v>
      </c>
    </row>
    <row r="30" spans="1:17">
      <c r="A30" s="294" t="s">
        <v>1018</v>
      </c>
      <c r="B30" s="294" t="s">
        <v>654</v>
      </c>
      <c r="C30" s="295">
        <v>2</v>
      </c>
      <c r="D30" s="295">
        <v>909</v>
      </c>
      <c r="E30" s="294"/>
      <c r="F30" s="295">
        <v>74459437726799</v>
      </c>
      <c r="G30" s="294" t="s">
        <v>7</v>
      </c>
      <c r="H30" s="295">
        <v>20272865869</v>
      </c>
      <c r="I30" s="294" t="s">
        <v>625</v>
      </c>
      <c r="J30" s="295">
        <v>1</v>
      </c>
      <c r="K30" s="294" t="s">
        <v>656</v>
      </c>
      <c r="L30" s="299">
        <v>10050</v>
      </c>
      <c r="M30" s="296">
        <v>0</v>
      </c>
      <c r="N30" s="296">
        <v>0</v>
      </c>
      <c r="O30" s="296">
        <v>0</v>
      </c>
      <c r="P30" s="299">
        <v>2110.5</v>
      </c>
      <c r="Q30" s="296">
        <v>12160.5</v>
      </c>
    </row>
    <row r="31" spans="1:17">
      <c r="A31" s="294" t="s">
        <v>1018</v>
      </c>
      <c r="B31" s="294" t="s">
        <v>654</v>
      </c>
      <c r="C31" s="295">
        <v>4</v>
      </c>
      <c r="D31" s="295">
        <v>38780</v>
      </c>
      <c r="E31" s="294"/>
      <c r="F31" s="295">
        <v>74459471135405</v>
      </c>
      <c r="G31" s="294" t="s">
        <v>7</v>
      </c>
      <c r="H31" s="295">
        <v>20289111329</v>
      </c>
      <c r="I31" s="294" t="s">
        <v>695</v>
      </c>
      <c r="J31" s="295">
        <v>1</v>
      </c>
      <c r="K31" s="294" t="s">
        <v>656</v>
      </c>
      <c r="L31" s="299">
        <v>585348.09</v>
      </c>
      <c r="M31" s="296">
        <v>0</v>
      </c>
      <c r="N31" s="296">
        <v>0</v>
      </c>
      <c r="O31" s="296">
        <v>0</v>
      </c>
      <c r="P31" s="299">
        <v>122923.1</v>
      </c>
      <c r="Q31" s="296">
        <v>708271.19</v>
      </c>
    </row>
    <row r="32" spans="1:17">
      <c r="A32" s="294" t="s">
        <v>1018</v>
      </c>
      <c r="B32" s="294" t="s">
        <v>654</v>
      </c>
      <c r="C32" s="295">
        <v>5</v>
      </c>
      <c r="D32" s="295">
        <v>2014</v>
      </c>
      <c r="E32" s="294"/>
      <c r="F32" s="295">
        <v>74456481045397</v>
      </c>
      <c r="G32" s="294" t="s">
        <v>7</v>
      </c>
      <c r="H32" s="295">
        <v>30712187316</v>
      </c>
      <c r="I32" s="294" t="s">
        <v>68</v>
      </c>
      <c r="J32" s="295">
        <v>1</v>
      </c>
      <c r="K32" s="294" t="s">
        <v>656</v>
      </c>
      <c r="L32" s="299">
        <v>263903.45</v>
      </c>
      <c r="M32" s="296">
        <v>0</v>
      </c>
      <c r="N32" s="296">
        <v>0</v>
      </c>
      <c r="O32" s="296">
        <v>0</v>
      </c>
      <c r="P32" s="299">
        <v>55419.72</v>
      </c>
      <c r="Q32" s="296">
        <v>319323.17</v>
      </c>
    </row>
    <row r="33" spans="1:17">
      <c r="A33" s="294" t="s">
        <v>1018</v>
      </c>
      <c r="B33" s="294" t="s">
        <v>654</v>
      </c>
      <c r="C33" s="295">
        <v>120</v>
      </c>
      <c r="D33" s="295">
        <v>5322</v>
      </c>
      <c r="E33" s="294"/>
      <c r="F33" s="295">
        <v>74455493316593</v>
      </c>
      <c r="G33" s="294" t="s">
        <v>7</v>
      </c>
      <c r="H33" s="295">
        <v>30587197215</v>
      </c>
      <c r="I33" s="294" t="s">
        <v>493</v>
      </c>
      <c r="J33" s="295">
        <v>1</v>
      </c>
      <c r="K33" s="294" t="s">
        <v>656</v>
      </c>
      <c r="L33" s="299">
        <v>68595.039999999994</v>
      </c>
      <c r="M33" s="296">
        <v>0</v>
      </c>
      <c r="N33" s="296">
        <v>0</v>
      </c>
      <c r="O33" s="296">
        <v>3429.75</v>
      </c>
      <c r="P33" s="299">
        <v>14404.96</v>
      </c>
      <c r="Q33" s="296">
        <v>86429.75</v>
      </c>
    </row>
    <row r="34" spans="1:17">
      <c r="A34" s="294" t="s">
        <v>1019</v>
      </c>
      <c r="B34" s="294" t="s">
        <v>654</v>
      </c>
      <c r="C34" s="295">
        <v>3101</v>
      </c>
      <c r="D34" s="295">
        <v>197858</v>
      </c>
      <c r="E34" s="294"/>
      <c r="F34" s="295">
        <v>74457706084453</v>
      </c>
      <c r="G34" s="294" t="s">
        <v>7</v>
      </c>
      <c r="H34" s="295">
        <v>30678814357</v>
      </c>
      <c r="I34" s="294" t="s">
        <v>662</v>
      </c>
      <c r="J34" s="295">
        <v>1</v>
      </c>
      <c r="K34" s="294" t="s">
        <v>656</v>
      </c>
      <c r="L34" s="299">
        <v>68662.570000000007</v>
      </c>
      <c r="M34" s="296">
        <v>0</v>
      </c>
      <c r="N34" s="296">
        <v>0</v>
      </c>
      <c r="O34" s="296">
        <v>5493.01</v>
      </c>
      <c r="P34" s="299">
        <v>18538.89</v>
      </c>
      <c r="Q34" s="296">
        <v>92694.47</v>
      </c>
    </row>
    <row r="35" spans="1:17">
      <c r="A35" s="294" t="s">
        <v>1020</v>
      </c>
      <c r="B35" s="294" t="s">
        <v>654</v>
      </c>
      <c r="C35" s="295">
        <v>2</v>
      </c>
      <c r="D35" s="295">
        <v>255</v>
      </c>
      <c r="E35" s="294"/>
      <c r="F35" s="295">
        <v>74463794655257</v>
      </c>
      <c r="G35" s="294" t="s">
        <v>7</v>
      </c>
      <c r="H35" s="295">
        <v>27144282383</v>
      </c>
      <c r="I35" s="294" t="s">
        <v>663</v>
      </c>
      <c r="J35" s="295">
        <v>1</v>
      </c>
      <c r="K35" s="294" t="s">
        <v>656</v>
      </c>
      <c r="L35" s="299">
        <v>50000</v>
      </c>
      <c r="M35" s="296">
        <v>0</v>
      </c>
      <c r="N35" s="296">
        <v>0</v>
      </c>
      <c r="O35" s="296">
        <v>0</v>
      </c>
      <c r="P35" s="299">
        <v>10500</v>
      </c>
      <c r="Q35" s="296">
        <v>60500</v>
      </c>
    </row>
    <row r="36" spans="1:17">
      <c r="A36" s="294" t="s">
        <v>1020</v>
      </c>
      <c r="B36" s="294" t="s">
        <v>654</v>
      </c>
      <c r="C36" s="295">
        <v>7</v>
      </c>
      <c r="D36" s="295">
        <v>6</v>
      </c>
      <c r="E36" s="294"/>
      <c r="F36" s="295">
        <v>74463805989277</v>
      </c>
      <c r="G36" s="294" t="s">
        <v>7</v>
      </c>
      <c r="H36" s="295">
        <v>27325223273</v>
      </c>
      <c r="I36" s="294" t="s">
        <v>1021</v>
      </c>
      <c r="J36" s="295">
        <v>1</v>
      </c>
      <c r="K36" s="294" t="s">
        <v>656</v>
      </c>
      <c r="L36" s="299">
        <v>850000</v>
      </c>
      <c r="M36" s="296">
        <v>0</v>
      </c>
      <c r="N36" s="296">
        <v>0</v>
      </c>
      <c r="O36" s="296">
        <v>0</v>
      </c>
      <c r="P36" s="299">
        <v>178500</v>
      </c>
      <c r="Q36" s="296">
        <v>1028500</v>
      </c>
    </row>
    <row r="37" spans="1:17">
      <c r="A37" s="294" t="s">
        <v>1022</v>
      </c>
      <c r="B37" s="294" t="s">
        <v>654</v>
      </c>
      <c r="C37" s="295">
        <v>1</v>
      </c>
      <c r="D37" s="295">
        <v>5318</v>
      </c>
      <c r="E37" s="294"/>
      <c r="F37" s="295">
        <v>74461943651694</v>
      </c>
      <c r="G37" s="294" t="s">
        <v>7</v>
      </c>
      <c r="H37" s="295">
        <v>30715141201</v>
      </c>
      <c r="I37" s="294" t="s">
        <v>659</v>
      </c>
      <c r="J37" s="295">
        <v>1</v>
      </c>
      <c r="K37" s="294" t="s">
        <v>656</v>
      </c>
      <c r="L37" s="299">
        <v>273915</v>
      </c>
      <c r="M37" s="296">
        <v>0</v>
      </c>
      <c r="N37" s="296">
        <v>0</v>
      </c>
      <c r="O37" s="296">
        <v>0</v>
      </c>
      <c r="P37" s="299">
        <v>57522.15</v>
      </c>
      <c r="Q37" s="296">
        <v>331437.15000000002</v>
      </c>
    </row>
    <row r="38" spans="1:17">
      <c r="A38" s="294" t="s">
        <v>1022</v>
      </c>
      <c r="B38" s="294" t="s">
        <v>654</v>
      </c>
      <c r="C38" s="295">
        <v>17</v>
      </c>
      <c r="D38" s="295">
        <v>2449</v>
      </c>
      <c r="E38" s="294"/>
      <c r="F38" s="295">
        <v>74461967994767</v>
      </c>
      <c r="G38" s="294" t="s">
        <v>7</v>
      </c>
      <c r="H38" s="295">
        <v>30711764921</v>
      </c>
      <c r="I38" s="294" t="s">
        <v>661</v>
      </c>
      <c r="J38" s="295">
        <v>1</v>
      </c>
      <c r="K38" s="294" t="s">
        <v>656</v>
      </c>
      <c r="L38" s="299">
        <v>305928</v>
      </c>
      <c r="M38" s="296">
        <v>0</v>
      </c>
      <c r="N38" s="296">
        <v>0</v>
      </c>
      <c r="O38" s="296">
        <v>0</v>
      </c>
      <c r="P38" s="299">
        <v>64244.88</v>
      </c>
      <c r="Q38" s="296">
        <v>370172.88</v>
      </c>
    </row>
    <row r="39" spans="1:17">
      <c r="A39" s="294" t="s">
        <v>1022</v>
      </c>
      <c r="B39" s="294" t="s">
        <v>654</v>
      </c>
      <c r="C39" s="295">
        <v>1</v>
      </c>
      <c r="D39" s="295">
        <v>5319</v>
      </c>
      <c r="E39" s="294"/>
      <c r="F39" s="295">
        <v>74461944646171</v>
      </c>
      <c r="G39" s="294" t="s">
        <v>7</v>
      </c>
      <c r="H39" s="295">
        <v>30715141201</v>
      </c>
      <c r="I39" s="294" t="s">
        <v>659</v>
      </c>
      <c r="J39" s="295">
        <v>1</v>
      </c>
      <c r="K39" s="294" t="s">
        <v>656</v>
      </c>
      <c r="L39" s="299">
        <v>665437.5</v>
      </c>
      <c r="M39" s="296">
        <v>0</v>
      </c>
      <c r="N39" s="296">
        <v>0</v>
      </c>
      <c r="O39" s="296">
        <v>0</v>
      </c>
      <c r="P39" s="299">
        <v>139741.88</v>
      </c>
      <c r="Q39" s="296">
        <v>805179.38</v>
      </c>
    </row>
    <row r="40" spans="1:17">
      <c r="A40" s="294" t="s">
        <v>1022</v>
      </c>
      <c r="B40" s="294" t="s">
        <v>654</v>
      </c>
      <c r="C40" s="295">
        <v>5</v>
      </c>
      <c r="D40" s="295">
        <v>38</v>
      </c>
      <c r="E40" s="294"/>
      <c r="F40" s="295">
        <v>74462965211526</v>
      </c>
      <c r="G40" s="294" t="s">
        <v>7</v>
      </c>
      <c r="H40" s="295">
        <v>30707370552</v>
      </c>
      <c r="I40" s="294" t="s">
        <v>1023</v>
      </c>
      <c r="J40" s="295">
        <v>1</v>
      </c>
      <c r="K40" s="294" t="s">
        <v>656</v>
      </c>
      <c r="L40" s="299">
        <v>950000</v>
      </c>
      <c r="M40" s="296">
        <v>0</v>
      </c>
      <c r="N40" s="296">
        <v>0</v>
      </c>
      <c r="O40" s="296">
        <v>0</v>
      </c>
      <c r="P40" s="299">
        <v>199500</v>
      </c>
      <c r="Q40" s="296">
        <v>1149500</v>
      </c>
    </row>
    <row r="41" spans="1:17">
      <c r="A41" s="294" t="s">
        <v>1022</v>
      </c>
      <c r="B41" s="294" t="s">
        <v>665</v>
      </c>
      <c r="C41" s="295">
        <v>1</v>
      </c>
      <c r="D41" s="295">
        <v>74</v>
      </c>
      <c r="E41" s="294"/>
      <c r="F41" s="295">
        <v>74464988509063</v>
      </c>
      <c r="G41" s="294" t="s">
        <v>7</v>
      </c>
      <c r="H41" s="295">
        <v>23281233084</v>
      </c>
      <c r="I41" s="294" t="s">
        <v>184</v>
      </c>
      <c r="J41" s="295">
        <v>1</v>
      </c>
      <c r="K41" s="294" t="s">
        <v>656</v>
      </c>
      <c r="L41" s="299"/>
      <c r="M41" s="296"/>
      <c r="N41" s="296"/>
      <c r="O41" s="296">
        <v>0</v>
      </c>
      <c r="P41" s="299"/>
      <c r="Q41" s="296">
        <v>240000</v>
      </c>
    </row>
    <row r="42" spans="1:17">
      <c r="A42" s="294" t="s">
        <v>1024</v>
      </c>
      <c r="B42" s="294" t="s">
        <v>654</v>
      </c>
      <c r="C42" s="295">
        <v>6</v>
      </c>
      <c r="D42" s="295">
        <v>54963</v>
      </c>
      <c r="E42" s="294"/>
      <c r="F42" s="295">
        <v>74468097357588</v>
      </c>
      <c r="G42" s="294" t="s">
        <v>7</v>
      </c>
      <c r="H42" s="295">
        <v>30710177658</v>
      </c>
      <c r="I42" s="294" t="s">
        <v>684</v>
      </c>
      <c r="J42" s="295">
        <v>1</v>
      </c>
      <c r="K42" s="294" t="s">
        <v>656</v>
      </c>
      <c r="L42" s="299">
        <v>372380</v>
      </c>
      <c r="M42" s="296">
        <v>0</v>
      </c>
      <c r="N42" s="296">
        <v>0</v>
      </c>
      <c r="O42" s="296">
        <v>0</v>
      </c>
      <c r="P42" s="299">
        <v>78199.8</v>
      </c>
      <c r="Q42" s="296">
        <v>450579.8</v>
      </c>
    </row>
    <row r="43" spans="1:17">
      <c r="A43" s="294" t="s">
        <v>1024</v>
      </c>
      <c r="B43" s="294" t="s">
        <v>654</v>
      </c>
      <c r="C43" s="295">
        <v>3</v>
      </c>
      <c r="D43" s="295">
        <v>7984</v>
      </c>
      <c r="E43" s="294"/>
      <c r="F43" s="295">
        <v>74469063850739</v>
      </c>
      <c r="G43" s="294" t="s">
        <v>7</v>
      </c>
      <c r="H43" s="295">
        <v>33708218699</v>
      </c>
      <c r="I43" s="294" t="s">
        <v>692</v>
      </c>
      <c r="J43" s="295">
        <v>1</v>
      </c>
      <c r="K43" s="294" t="s">
        <v>656</v>
      </c>
      <c r="L43" s="299">
        <v>19000</v>
      </c>
      <c r="M43" s="296">
        <v>0</v>
      </c>
      <c r="N43" s="296">
        <v>0</v>
      </c>
      <c r="O43" s="296">
        <v>0</v>
      </c>
      <c r="P43" s="299">
        <v>3990</v>
      </c>
      <c r="Q43" s="296">
        <v>22990</v>
      </c>
    </row>
    <row r="44" spans="1:17">
      <c r="A44" s="294" t="s">
        <v>1024</v>
      </c>
      <c r="B44" s="294" t="s">
        <v>665</v>
      </c>
      <c r="C44" s="295">
        <v>2</v>
      </c>
      <c r="D44" s="295">
        <v>114</v>
      </c>
      <c r="E44" s="294"/>
      <c r="F44" s="295">
        <v>74468106749889</v>
      </c>
      <c r="G44" s="294" t="s">
        <v>7</v>
      </c>
      <c r="H44" s="295">
        <v>27315710508</v>
      </c>
      <c r="I44" s="294" t="s">
        <v>1025</v>
      </c>
      <c r="J44" s="295">
        <v>1</v>
      </c>
      <c r="K44" s="294" t="s">
        <v>656</v>
      </c>
      <c r="L44" s="299"/>
      <c r="M44" s="296"/>
      <c r="N44" s="296"/>
      <c r="O44" s="296">
        <v>0</v>
      </c>
      <c r="P44" s="299"/>
      <c r="Q44" s="296">
        <v>440000</v>
      </c>
    </row>
    <row r="45" spans="1:17">
      <c r="A45" s="294" t="s">
        <v>1026</v>
      </c>
      <c r="B45" s="294" t="s">
        <v>654</v>
      </c>
      <c r="C45" s="295">
        <v>7</v>
      </c>
      <c r="D45" s="295">
        <v>19529</v>
      </c>
      <c r="E45" s="294"/>
      <c r="F45" s="295">
        <v>74468190032957</v>
      </c>
      <c r="G45" s="294" t="s">
        <v>7</v>
      </c>
      <c r="H45" s="295">
        <v>30709214078</v>
      </c>
      <c r="I45" s="294" t="s">
        <v>1027</v>
      </c>
      <c r="J45" s="295">
        <v>1</v>
      </c>
      <c r="K45" s="294" t="s">
        <v>656</v>
      </c>
      <c r="L45" s="299">
        <v>1669800</v>
      </c>
      <c r="M45" s="296">
        <v>0</v>
      </c>
      <c r="N45" s="296">
        <v>0</v>
      </c>
      <c r="O45" s="296">
        <v>0</v>
      </c>
      <c r="P45" s="299">
        <v>350658</v>
      </c>
      <c r="Q45" s="296">
        <v>2020458</v>
      </c>
    </row>
    <row r="46" spans="1:17">
      <c r="A46" s="294" t="s">
        <v>1026</v>
      </c>
      <c r="B46" s="294" t="s">
        <v>654</v>
      </c>
      <c r="C46" s="295">
        <v>2</v>
      </c>
      <c r="D46" s="295">
        <v>10948</v>
      </c>
      <c r="E46" s="294"/>
      <c r="F46" s="295">
        <v>74462230615067</v>
      </c>
      <c r="G46" s="294" t="s">
        <v>7</v>
      </c>
      <c r="H46" s="295">
        <v>30714331082</v>
      </c>
      <c r="I46" s="294" t="s">
        <v>1007</v>
      </c>
      <c r="J46" s="295">
        <v>1</v>
      </c>
      <c r="K46" s="294" t="s">
        <v>656</v>
      </c>
      <c r="L46" s="299">
        <v>438505.63</v>
      </c>
      <c r="M46" s="296">
        <v>0</v>
      </c>
      <c r="N46" s="296">
        <v>0</v>
      </c>
      <c r="O46" s="296">
        <v>0</v>
      </c>
      <c r="P46" s="299">
        <v>46043.09</v>
      </c>
      <c r="Q46" s="296">
        <v>484548.72</v>
      </c>
    </row>
    <row r="47" spans="1:17">
      <c r="A47" s="294" t="s">
        <v>1026</v>
      </c>
      <c r="B47" s="294" t="s">
        <v>654</v>
      </c>
      <c r="C47" s="295">
        <v>32</v>
      </c>
      <c r="D47" s="295">
        <v>151158</v>
      </c>
      <c r="E47" s="294"/>
      <c r="F47" s="295">
        <v>74467244260893</v>
      </c>
      <c r="G47" s="294" t="s">
        <v>7</v>
      </c>
      <c r="H47" s="295">
        <v>30708847247</v>
      </c>
      <c r="I47" s="294" t="s">
        <v>1028</v>
      </c>
      <c r="J47" s="295">
        <v>1</v>
      </c>
      <c r="K47" s="294" t="s">
        <v>656</v>
      </c>
      <c r="L47" s="299">
        <v>25084.76</v>
      </c>
      <c r="M47" s="296">
        <v>0</v>
      </c>
      <c r="N47" s="296">
        <v>0</v>
      </c>
      <c r="O47" s="296">
        <v>1254.24</v>
      </c>
      <c r="P47" s="299">
        <v>5267.8</v>
      </c>
      <c r="Q47" s="296">
        <v>31606.799999999999</v>
      </c>
    </row>
    <row r="48" spans="1:17">
      <c r="A48" s="294" t="s">
        <v>1026</v>
      </c>
      <c r="B48" s="294" t="s">
        <v>654</v>
      </c>
      <c r="C48" s="295">
        <v>2</v>
      </c>
      <c r="D48" s="295">
        <v>920</v>
      </c>
      <c r="E48" s="294"/>
      <c r="F48" s="295">
        <v>74469229069072</v>
      </c>
      <c r="G48" s="294" t="s">
        <v>7</v>
      </c>
      <c r="H48" s="295">
        <v>20272865869</v>
      </c>
      <c r="I48" s="294" t="s">
        <v>625</v>
      </c>
      <c r="J48" s="295">
        <v>1</v>
      </c>
      <c r="K48" s="294" t="s">
        <v>656</v>
      </c>
      <c r="L48" s="299">
        <v>184250</v>
      </c>
      <c r="M48" s="296">
        <v>0</v>
      </c>
      <c r="N48" s="296">
        <v>0</v>
      </c>
      <c r="O48" s="296">
        <v>0</v>
      </c>
      <c r="P48" s="299">
        <v>38692.5</v>
      </c>
      <c r="Q48" s="296">
        <v>222942.5</v>
      </c>
    </row>
    <row r="49" spans="1:17">
      <c r="A49" s="294" t="s">
        <v>1026</v>
      </c>
      <c r="B49" s="294" t="s">
        <v>654</v>
      </c>
      <c r="C49" s="295">
        <v>7</v>
      </c>
      <c r="D49" s="295">
        <v>3420</v>
      </c>
      <c r="E49" s="294"/>
      <c r="F49" s="295">
        <v>74464213293743</v>
      </c>
      <c r="G49" s="294" t="s">
        <v>7</v>
      </c>
      <c r="H49" s="295">
        <v>20284183534</v>
      </c>
      <c r="I49" s="294" t="s">
        <v>448</v>
      </c>
      <c r="J49" s="295">
        <v>1</v>
      </c>
      <c r="K49" s="294" t="s">
        <v>656</v>
      </c>
      <c r="L49" s="299">
        <v>3801.66</v>
      </c>
      <c r="M49" s="296">
        <v>0</v>
      </c>
      <c r="N49" s="296">
        <v>0</v>
      </c>
      <c r="O49" s="296">
        <v>0</v>
      </c>
      <c r="P49" s="299">
        <v>798.35</v>
      </c>
      <c r="Q49" s="296">
        <v>4600.01</v>
      </c>
    </row>
    <row r="50" spans="1:17">
      <c r="A50" s="294" t="s">
        <v>1026</v>
      </c>
      <c r="B50" s="294" t="s">
        <v>665</v>
      </c>
      <c r="C50" s="295">
        <v>3</v>
      </c>
      <c r="D50" s="295">
        <v>902</v>
      </c>
      <c r="E50" s="294"/>
      <c r="F50" s="295">
        <v>74463203107635</v>
      </c>
      <c r="G50" s="294" t="s">
        <v>7</v>
      </c>
      <c r="H50" s="295">
        <v>20086277523</v>
      </c>
      <c r="I50" s="294" t="s">
        <v>37</v>
      </c>
      <c r="J50" s="295">
        <v>1</v>
      </c>
      <c r="K50" s="294" t="s">
        <v>656</v>
      </c>
      <c r="L50" s="299"/>
      <c r="M50" s="296"/>
      <c r="N50" s="296"/>
      <c r="O50" s="296">
        <v>0</v>
      </c>
      <c r="P50" s="299"/>
      <c r="Q50" s="296">
        <v>145000</v>
      </c>
    </row>
    <row r="51" spans="1:17">
      <c r="A51" s="294" t="s">
        <v>1026</v>
      </c>
      <c r="B51" s="294" t="s">
        <v>665</v>
      </c>
      <c r="C51" s="295">
        <v>1</v>
      </c>
      <c r="D51" s="295">
        <v>1</v>
      </c>
      <c r="E51" s="294"/>
      <c r="F51" s="295">
        <v>74461185430648</v>
      </c>
      <c r="G51" s="294" t="s">
        <v>7</v>
      </c>
      <c r="H51" s="295">
        <v>20236043631</v>
      </c>
      <c r="I51" s="294" t="s">
        <v>1030</v>
      </c>
      <c r="J51" s="295">
        <v>1</v>
      </c>
      <c r="K51" s="294" t="s">
        <v>656</v>
      </c>
      <c r="L51" s="299"/>
      <c r="M51" s="296"/>
      <c r="N51" s="296"/>
      <c r="O51" s="296">
        <v>0</v>
      </c>
      <c r="P51" s="299"/>
      <c r="Q51" s="296">
        <v>500000</v>
      </c>
    </row>
    <row r="52" spans="1:17">
      <c r="A52" s="294" t="s">
        <v>1031</v>
      </c>
      <c r="B52" s="294" t="s">
        <v>654</v>
      </c>
      <c r="C52" s="295">
        <v>11</v>
      </c>
      <c r="D52" s="295">
        <v>93020</v>
      </c>
      <c r="E52" s="294"/>
      <c r="F52" s="295">
        <v>74464338904334</v>
      </c>
      <c r="G52" s="294" t="s">
        <v>7</v>
      </c>
      <c r="H52" s="295">
        <v>30526582884</v>
      </c>
      <c r="I52" s="294" t="s">
        <v>710</v>
      </c>
      <c r="J52" s="295">
        <v>1</v>
      </c>
      <c r="K52" s="294" t="s">
        <v>656</v>
      </c>
      <c r="L52" s="299">
        <v>59818.18</v>
      </c>
      <c r="M52" s="296">
        <v>0</v>
      </c>
      <c r="N52" s="296">
        <v>0</v>
      </c>
      <c r="O52" s="296">
        <v>0</v>
      </c>
      <c r="P52" s="299">
        <v>12561.82</v>
      </c>
      <c r="Q52" s="296">
        <v>72380</v>
      </c>
    </row>
    <row r="53" spans="1:17">
      <c r="A53" s="294" t="s">
        <v>1032</v>
      </c>
      <c r="B53" s="294" t="s">
        <v>654</v>
      </c>
      <c r="C53" s="295">
        <v>5015</v>
      </c>
      <c r="D53" s="295">
        <v>664668</v>
      </c>
      <c r="E53" s="294"/>
      <c r="F53" s="295">
        <v>74464508031568</v>
      </c>
      <c r="G53" s="294" t="s">
        <v>7</v>
      </c>
      <c r="H53" s="295">
        <v>30574876474</v>
      </c>
      <c r="I53" s="294" t="s">
        <v>681</v>
      </c>
      <c r="J53" s="295">
        <v>1</v>
      </c>
      <c r="K53" s="294" t="s">
        <v>656</v>
      </c>
      <c r="L53" s="299">
        <v>16419.080000000002</v>
      </c>
      <c r="M53" s="296">
        <v>0</v>
      </c>
      <c r="N53" s="296">
        <v>0</v>
      </c>
      <c r="O53" s="296">
        <v>2134.48</v>
      </c>
      <c r="P53" s="299">
        <v>3448</v>
      </c>
      <c r="Q53" s="296">
        <v>22001.56</v>
      </c>
    </row>
    <row r="54" spans="1:17">
      <c r="A54" s="294" t="s">
        <v>1032</v>
      </c>
      <c r="B54" s="294" t="s">
        <v>654</v>
      </c>
      <c r="C54" s="295">
        <v>50</v>
      </c>
      <c r="D54" s="295">
        <v>3901222</v>
      </c>
      <c r="E54" s="294"/>
      <c r="F54" s="295">
        <v>74466550181364</v>
      </c>
      <c r="G54" s="294" t="s">
        <v>7</v>
      </c>
      <c r="H54" s="295">
        <v>30714112836</v>
      </c>
      <c r="I54" s="294" t="s">
        <v>938</v>
      </c>
      <c r="J54" s="295">
        <v>1</v>
      </c>
      <c r="K54" s="294" t="s">
        <v>656</v>
      </c>
      <c r="L54" s="299">
        <v>1818.18</v>
      </c>
      <c r="M54" s="296">
        <v>0</v>
      </c>
      <c r="N54" s="296">
        <v>0</v>
      </c>
      <c r="O54" s="296">
        <v>0</v>
      </c>
      <c r="P54" s="299">
        <v>381.82</v>
      </c>
      <c r="Q54" s="296">
        <v>2200</v>
      </c>
    </row>
    <row r="55" spans="1:17">
      <c r="A55" s="294" t="s">
        <v>1034</v>
      </c>
      <c r="B55" s="294" t="s">
        <v>654</v>
      </c>
      <c r="C55" s="295">
        <v>4</v>
      </c>
      <c r="D55" s="295">
        <v>1340</v>
      </c>
      <c r="E55" s="294"/>
      <c r="F55" s="295">
        <v>74464586155301</v>
      </c>
      <c r="G55" s="294" t="s">
        <v>7</v>
      </c>
      <c r="H55" s="295">
        <v>30712434704</v>
      </c>
      <c r="I55" s="294" t="s">
        <v>1035</v>
      </c>
      <c r="J55" s="295">
        <v>1</v>
      </c>
      <c r="K55" s="294" t="s">
        <v>656</v>
      </c>
      <c r="L55" s="299">
        <v>27438.02</v>
      </c>
      <c r="M55" s="296">
        <v>0</v>
      </c>
      <c r="N55" s="296">
        <v>0</v>
      </c>
      <c r="O55" s="296">
        <v>0</v>
      </c>
      <c r="P55" s="299">
        <v>5761.98</v>
      </c>
      <c r="Q55" s="296">
        <v>33200</v>
      </c>
    </row>
    <row r="56" spans="1:17">
      <c r="A56" s="294" t="s">
        <v>1034</v>
      </c>
      <c r="B56" s="294" t="s">
        <v>654</v>
      </c>
      <c r="C56" s="295">
        <v>629</v>
      </c>
      <c r="D56" s="295">
        <v>5613318</v>
      </c>
      <c r="E56" s="294"/>
      <c r="F56" s="295">
        <v>34463990415580</v>
      </c>
      <c r="G56" s="294" t="s">
        <v>7</v>
      </c>
      <c r="H56" s="295">
        <v>30663498513</v>
      </c>
      <c r="I56" s="294" t="s">
        <v>667</v>
      </c>
      <c r="J56" s="295">
        <v>1</v>
      </c>
      <c r="K56" s="294" t="s">
        <v>656</v>
      </c>
      <c r="L56" s="299">
        <v>2457.58</v>
      </c>
      <c r="M56" s="296">
        <v>0</v>
      </c>
      <c r="N56" s="296">
        <v>0</v>
      </c>
      <c r="O56" s="296">
        <v>122.88</v>
      </c>
      <c r="P56" s="299">
        <v>516.08000000000004</v>
      </c>
      <c r="Q56" s="296">
        <v>3096.54</v>
      </c>
    </row>
    <row r="57" spans="1:17">
      <c r="A57" s="294" t="s">
        <v>1034</v>
      </c>
      <c r="B57" s="294" t="s">
        <v>654</v>
      </c>
      <c r="C57" s="295">
        <v>711</v>
      </c>
      <c r="D57" s="295">
        <v>6394443</v>
      </c>
      <c r="E57" s="294"/>
      <c r="F57" s="295">
        <v>34469612843253</v>
      </c>
      <c r="G57" s="294" t="s">
        <v>7</v>
      </c>
      <c r="H57" s="295">
        <v>30677237119</v>
      </c>
      <c r="I57" s="294" t="s">
        <v>668</v>
      </c>
      <c r="J57" s="295">
        <v>1</v>
      </c>
      <c r="K57" s="294" t="s">
        <v>656</v>
      </c>
      <c r="L57" s="299">
        <v>3312.36</v>
      </c>
      <c r="M57" s="296">
        <v>0</v>
      </c>
      <c r="N57" s="296">
        <v>99.37</v>
      </c>
      <c r="O57" s="296">
        <v>165.62</v>
      </c>
      <c r="P57" s="299">
        <v>695.58</v>
      </c>
      <c r="Q57" s="296">
        <v>4272.93</v>
      </c>
    </row>
    <row r="58" spans="1:17">
      <c r="A58" s="294" t="s">
        <v>1036</v>
      </c>
      <c r="B58" s="294" t="s">
        <v>654</v>
      </c>
      <c r="C58" s="295">
        <v>2</v>
      </c>
      <c r="D58" s="295">
        <v>28</v>
      </c>
      <c r="E58" s="294"/>
      <c r="F58" s="295">
        <v>74475105900652</v>
      </c>
      <c r="G58" s="294" t="s">
        <v>7</v>
      </c>
      <c r="H58" s="295">
        <v>27243660535</v>
      </c>
      <c r="I58" s="294" t="s">
        <v>719</v>
      </c>
      <c r="J58" s="295">
        <v>1</v>
      </c>
      <c r="K58" s="294" t="s">
        <v>656</v>
      </c>
      <c r="L58" s="299">
        <v>414537</v>
      </c>
      <c r="M58" s="296">
        <v>0</v>
      </c>
      <c r="N58" s="296">
        <v>0</v>
      </c>
      <c r="O58" s="296">
        <v>0</v>
      </c>
      <c r="P58" s="299">
        <v>87052.77</v>
      </c>
      <c r="Q58" s="296">
        <v>501589.77</v>
      </c>
    </row>
    <row r="59" spans="1:17">
      <c r="A59" s="294" t="s">
        <v>1037</v>
      </c>
      <c r="B59" s="294" t="s">
        <v>654</v>
      </c>
      <c r="C59" s="295">
        <v>6</v>
      </c>
      <c r="D59" s="295">
        <v>55038</v>
      </c>
      <c r="E59" s="294"/>
      <c r="F59" s="295">
        <v>74478753732061</v>
      </c>
      <c r="G59" s="294" t="s">
        <v>7</v>
      </c>
      <c r="H59" s="295">
        <v>30710177658</v>
      </c>
      <c r="I59" s="294" t="s">
        <v>684</v>
      </c>
      <c r="J59" s="295">
        <v>1</v>
      </c>
      <c r="K59" s="294" t="s">
        <v>656</v>
      </c>
      <c r="L59" s="299">
        <v>272630</v>
      </c>
      <c r="M59" s="296">
        <v>0</v>
      </c>
      <c r="N59" s="296">
        <v>0</v>
      </c>
      <c r="O59" s="296">
        <v>0</v>
      </c>
      <c r="P59" s="299">
        <v>57252.3</v>
      </c>
      <c r="Q59" s="296">
        <v>329882.3</v>
      </c>
    </row>
    <row r="60" spans="1:17">
      <c r="A60" s="294" t="s">
        <v>1037</v>
      </c>
      <c r="B60" s="294" t="s">
        <v>654</v>
      </c>
      <c r="C60" s="295">
        <v>5</v>
      </c>
      <c r="D60" s="295">
        <v>161142</v>
      </c>
      <c r="E60" s="294"/>
      <c r="F60" s="295">
        <v>74473748657612</v>
      </c>
      <c r="G60" s="294" t="s">
        <v>7</v>
      </c>
      <c r="H60" s="295">
        <v>30598960093</v>
      </c>
      <c r="I60" s="294" t="s">
        <v>660</v>
      </c>
      <c r="J60" s="295">
        <v>1</v>
      </c>
      <c r="K60" s="294" t="s">
        <v>656</v>
      </c>
      <c r="L60" s="299">
        <v>1576702.5</v>
      </c>
      <c r="M60" s="296">
        <v>0</v>
      </c>
      <c r="N60" s="296">
        <v>0</v>
      </c>
      <c r="O60" s="296">
        <v>78835.13</v>
      </c>
      <c r="P60" s="299">
        <v>331107.52</v>
      </c>
      <c r="Q60" s="296">
        <v>1986645.15</v>
      </c>
    </row>
    <row r="61" spans="1:17">
      <c r="A61" s="294" t="s">
        <v>1037</v>
      </c>
      <c r="B61" s="294" t="s">
        <v>654</v>
      </c>
      <c r="C61" s="295">
        <v>6</v>
      </c>
      <c r="D61" s="295">
        <v>812</v>
      </c>
      <c r="E61" s="294"/>
      <c r="F61" s="295">
        <v>74479721006393</v>
      </c>
      <c r="G61" s="294" t="s">
        <v>7</v>
      </c>
      <c r="H61" s="295">
        <v>20289111329</v>
      </c>
      <c r="I61" s="294" t="s">
        <v>695</v>
      </c>
      <c r="J61" s="295">
        <v>1</v>
      </c>
      <c r="K61" s="294" t="s">
        <v>656</v>
      </c>
      <c r="L61" s="299">
        <v>1243125</v>
      </c>
      <c r="M61" s="296">
        <v>0</v>
      </c>
      <c r="N61" s="296">
        <v>0</v>
      </c>
      <c r="O61" s="296">
        <v>0</v>
      </c>
      <c r="P61" s="299">
        <v>261056.25</v>
      </c>
      <c r="Q61" s="296">
        <v>1504181.25</v>
      </c>
    </row>
    <row r="62" spans="1:17">
      <c r="A62" s="294" t="s">
        <v>1037</v>
      </c>
      <c r="B62" s="294" t="s">
        <v>654</v>
      </c>
      <c r="C62" s="295">
        <v>4264</v>
      </c>
      <c r="D62" s="295">
        <v>4655209</v>
      </c>
      <c r="E62" s="294"/>
      <c r="F62" s="295">
        <v>74478898671690</v>
      </c>
      <c r="G62" s="294" t="s">
        <v>7</v>
      </c>
      <c r="H62" s="295">
        <v>30639453738</v>
      </c>
      <c r="I62" s="294" t="s">
        <v>707</v>
      </c>
      <c r="J62" s="295">
        <v>1</v>
      </c>
      <c r="K62" s="294" t="s">
        <v>656</v>
      </c>
      <c r="L62" s="299">
        <v>25106.400000000001</v>
      </c>
      <c r="M62" s="296">
        <v>0</v>
      </c>
      <c r="N62" s="296">
        <v>0</v>
      </c>
      <c r="O62" s="296">
        <v>2008.51</v>
      </c>
      <c r="P62" s="299">
        <v>5272.34</v>
      </c>
      <c r="Q62" s="296">
        <v>32387.25</v>
      </c>
    </row>
    <row r="63" spans="1:17">
      <c r="A63" s="294" t="s">
        <v>1037</v>
      </c>
      <c r="B63" s="294" t="s">
        <v>654</v>
      </c>
      <c r="C63" s="295">
        <v>5</v>
      </c>
      <c r="D63" s="295">
        <v>34</v>
      </c>
      <c r="E63" s="294"/>
      <c r="F63" s="295">
        <v>74473808176750</v>
      </c>
      <c r="G63" s="294" t="s">
        <v>7</v>
      </c>
      <c r="H63" s="295">
        <v>20929183143</v>
      </c>
      <c r="I63" s="294" t="s">
        <v>469</v>
      </c>
      <c r="J63" s="295">
        <v>1</v>
      </c>
      <c r="K63" s="294" t="s">
        <v>656</v>
      </c>
      <c r="L63" s="299">
        <v>70000</v>
      </c>
      <c r="M63" s="296">
        <v>0</v>
      </c>
      <c r="N63" s="296">
        <v>0</v>
      </c>
      <c r="O63" s="296">
        <v>0</v>
      </c>
      <c r="P63" s="299">
        <v>14700</v>
      </c>
      <c r="Q63" s="296">
        <v>84700</v>
      </c>
    </row>
    <row r="64" spans="1:17">
      <c r="A64" s="294" t="s">
        <v>1039</v>
      </c>
      <c r="B64" s="294" t="s">
        <v>654</v>
      </c>
      <c r="C64" s="295">
        <v>4</v>
      </c>
      <c r="D64" s="295">
        <v>38881</v>
      </c>
      <c r="E64" s="294"/>
      <c r="F64" s="295">
        <v>74479851202745</v>
      </c>
      <c r="G64" s="294" t="s">
        <v>7</v>
      </c>
      <c r="H64" s="295">
        <v>20289111329</v>
      </c>
      <c r="I64" s="294" t="s">
        <v>695</v>
      </c>
      <c r="J64" s="295">
        <v>1</v>
      </c>
      <c r="K64" s="294" t="s">
        <v>656</v>
      </c>
      <c r="L64" s="299">
        <v>188195.56</v>
      </c>
      <c r="M64" s="296">
        <v>0</v>
      </c>
      <c r="N64" s="296">
        <v>0</v>
      </c>
      <c r="O64" s="296">
        <v>0</v>
      </c>
      <c r="P64" s="299">
        <v>39521.07</v>
      </c>
      <c r="Q64" s="296">
        <v>227716.63</v>
      </c>
    </row>
    <row r="65" spans="1:17">
      <c r="A65" s="294" t="s">
        <v>1039</v>
      </c>
      <c r="B65" s="294" t="s">
        <v>665</v>
      </c>
      <c r="C65" s="295">
        <v>1</v>
      </c>
      <c r="D65" s="295">
        <v>15</v>
      </c>
      <c r="E65" s="294"/>
      <c r="F65" s="295">
        <v>74473823813070</v>
      </c>
      <c r="G65" s="294" t="s">
        <v>7</v>
      </c>
      <c r="H65" s="295">
        <v>20464199633</v>
      </c>
      <c r="I65" s="294" t="s">
        <v>693</v>
      </c>
      <c r="J65" s="295">
        <v>1</v>
      </c>
      <c r="K65" s="294" t="s">
        <v>656</v>
      </c>
      <c r="L65" s="299"/>
      <c r="M65" s="296"/>
      <c r="N65" s="296"/>
      <c r="O65" s="296">
        <v>0</v>
      </c>
      <c r="P65" s="299"/>
      <c r="Q65" s="296">
        <v>759750</v>
      </c>
    </row>
    <row r="66" spans="1:17">
      <c r="A66" s="294" t="s">
        <v>1039</v>
      </c>
      <c r="B66" s="294" t="s">
        <v>665</v>
      </c>
      <c r="C66" s="295">
        <v>3</v>
      </c>
      <c r="D66" s="295">
        <v>2379</v>
      </c>
      <c r="E66" s="294"/>
      <c r="F66" s="295">
        <v>74471832477768</v>
      </c>
      <c r="G66" s="294" t="s">
        <v>7</v>
      </c>
      <c r="H66" s="295">
        <v>20182999661</v>
      </c>
      <c r="I66" s="294" t="s">
        <v>137</v>
      </c>
      <c r="J66" s="295">
        <v>1</v>
      </c>
      <c r="K66" s="294" t="s">
        <v>656</v>
      </c>
      <c r="L66" s="299"/>
      <c r="M66" s="296"/>
      <c r="N66" s="296"/>
      <c r="O66" s="296">
        <v>0</v>
      </c>
      <c r="P66" s="299"/>
      <c r="Q66" s="296">
        <v>14000</v>
      </c>
    </row>
    <row r="67" spans="1:17">
      <c r="A67" s="294" t="s">
        <v>1039</v>
      </c>
      <c r="B67" s="294" t="s">
        <v>665</v>
      </c>
      <c r="C67" s="295">
        <v>1</v>
      </c>
      <c r="D67" s="295">
        <v>16</v>
      </c>
      <c r="E67" s="294"/>
      <c r="F67" s="295">
        <v>74485868422002</v>
      </c>
      <c r="G67" s="294" t="s">
        <v>7</v>
      </c>
      <c r="H67" s="295">
        <v>27443612705</v>
      </c>
      <c r="I67" s="294" t="s">
        <v>714</v>
      </c>
      <c r="J67" s="295">
        <v>1</v>
      </c>
      <c r="K67" s="294" t="s">
        <v>656</v>
      </c>
      <c r="L67" s="299"/>
      <c r="M67" s="296"/>
      <c r="N67" s="296"/>
      <c r="O67" s="296">
        <v>0</v>
      </c>
      <c r="P67" s="299"/>
      <c r="Q67" s="296">
        <v>450000</v>
      </c>
    </row>
    <row r="68" spans="1:17">
      <c r="A68" s="294" t="s">
        <v>1040</v>
      </c>
      <c r="B68" s="294" t="s">
        <v>654</v>
      </c>
      <c r="C68" s="295">
        <v>5</v>
      </c>
      <c r="D68" s="295">
        <v>3171882</v>
      </c>
      <c r="E68" s="294"/>
      <c r="F68" s="295">
        <v>74475013916155</v>
      </c>
      <c r="G68" s="294" t="s">
        <v>7</v>
      </c>
      <c r="H68" s="295">
        <v>30702652975</v>
      </c>
      <c r="I68" s="294" t="s">
        <v>716</v>
      </c>
      <c r="J68" s="295">
        <v>1</v>
      </c>
      <c r="K68" s="294" t="s">
        <v>656</v>
      </c>
      <c r="L68" s="299">
        <v>28528.6</v>
      </c>
      <c r="M68" s="296">
        <v>0</v>
      </c>
      <c r="N68" s="296">
        <v>0</v>
      </c>
      <c r="O68" s="296">
        <v>1426.43</v>
      </c>
      <c r="P68" s="299">
        <v>5991.01</v>
      </c>
      <c r="Q68" s="296">
        <v>35946.04</v>
      </c>
    </row>
    <row r="69" spans="1:17">
      <c r="A69" s="294" t="s">
        <v>1040</v>
      </c>
      <c r="B69" s="294" t="s">
        <v>654</v>
      </c>
      <c r="C69" s="295">
        <v>6</v>
      </c>
      <c r="D69" s="295">
        <v>55075</v>
      </c>
      <c r="E69" s="294"/>
      <c r="F69" s="295">
        <v>74478014571317</v>
      </c>
      <c r="G69" s="294" t="s">
        <v>7</v>
      </c>
      <c r="H69" s="295">
        <v>30710177658</v>
      </c>
      <c r="I69" s="294" t="s">
        <v>684</v>
      </c>
      <c r="J69" s="295">
        <v>1</v>
      </c>
      <c r="K69" s="294" t="s">
        <v>656</v>
      </c>
      <c r="L69" s="299">
        <v>0</v>
      </c>
      <c r="M69" s="296">
        <v>0</v>
      </c>
      <c r="N69" s="296">
        <v>0</v>
      </c>
      <c r="O69" s="296">
        <v>0</v>
      </c>
      <c r="P69" s="299">
        <v>0</v>
      </c>
      <c r="Q69" s="296">
        <v>0</v>
      </c>
    </row>
    <row r="70" spans="1:17">
      <c r="A70" s="294" t="s">
        <v>1040</v>
      </c>
      <c r="B70" s="294" t="s">
        <v>654</v>
      </c>
      <c r="C70" s="295">
        <v>2</v>
      </c>
      <c r="D70" s="295">
        <v>938</v>
      </c>
      <c r="E70" s="294"/>
      <c r="F70" s="295">
        <v>74479020740116</v>
      </c>
      <c r="G70" s="294" t="s">
        <v>7</v>
      </c>
      <c r="H70" s="295">
        <v>20272865869</v>
      </c>
      <c r="I70" s="294" t="s">
        <v>625</v>
      </c>
      <c r="J70" s="295">
        <v>1</v>
      </c>
      <c r="K70" s="294" t="s">
        <v>656</v>
      </c>
      <c r="L70" s="299">
        <v>216450</v>
      </c>
      <c r="M70" s="296">
        <v>0</v>
      </c>
      <c r="N70" s="296">
        <v>0</v>
      </c>
      <c r="O70" s="296">
        <v>0</v>
      </c>
      <c r="P70" s="299">
        <v>45454.5</v>
      </c>
      <c r="Q70" s="296">
        <v>261904.5</v>
      </c>
    </row>
    <row r="71" spans="1:17">
      <c r="A71" s="294" t="s">
        <v>1040</v>
      </c>
      <c r="B71" s="294" t="s">
        <v>654</v>
      </c>
      <c r="C71" s="295">
        <v>2</v>
      </c>
      <c r="D71" s="295">
        <v>257</v>
      </c>
      <c r="E71" s="294"/>
      <c r="F71" s="295">
        <v>74473019850081</v>
      </c>
      <c r="G71" s="294" t="s">
        <v>7</v>
      </c>
      <c r="H71" s="295">
        <v>27144282383</v>
      </c>
      <c r="I71" s="294" t="s">
        <v>663</v>
      </c>
      <c r="J71" s="295">
        <v>1</v>
      </c>
      <c r="K71" s="294" t="s">
        <v>656</v>
      </c>
      <c r="L71" s="299">
        <v>300000</v>
      </c>
      <c r="M71" s="296">
        <v>0</v>
      </c>
      <c r="N71" s="296">
        <v>0</v>
      </c>
      <c r="O71" s="296">
        <v>0</v>
      </c>
      <c r="P71" s="299">
        <v>63000</v>
      </c>
      <c r="Q71" s="296">
        <v>363000</v>
      </c>
    </row>
    <row r="72" spans="1:17">
      <c r="A72" s="294" t="s">
        <v>1040</v>
      </c>
      <c r="B72" s="294" t="s">
        <v>665</v>
      </c>
      <c r="C72" s="295">
        <v>2</v>
      </c>
      <c r="D72" s="295">
        <v>515</v>
      </c>
      <c r="E72" s="294"/>
      <c r="F72" s="295">
        <v>74471026621718</v>
      </c>
      <c r="G72" s="294" t="s">
        <v>7</v>
      </c>
      <c r="H72" s="295">
        <v>27299725761</v>
      </c>
      <c r="I72" s="294" t="s">
        <v>1017</v>
      </c>
      <c r="J72" s="295">
        <v>1</v>
      </c>
      <c r="K72" s="294" t="s">
        <v>656</v>
      </c>
      <c r="L72" s="299"/>
      <c r="M72" s="296"/>
      <c r="N72" s="296"/>
      <c r="O72" s="296">
        <v>0</v>
      </c>
      <c r="P72" s="299"/>
      <c r="Q72" s="296">
        <v>570000</v>
      </c>
    </row>
    <row r="73" spans="1:17">
      <c r="A73" s="294" t="s">
        <v>1041</v>
      </c>
      <c r="B73" s="294" t="s">
        <v>654</v>
      </c>
      <c r="C73" s="295">
        <v>2</v>
      </c>
      <c r="D73" s="295">
        <v>7795</v>
      </c>
      <c r="E73" s="294"/>
      <c r="F73" s="295">
        <v>74477094882209</v>
      </c>
      <c r="G73" s="294" t="s">
        <v>7</v>
      </c>
      <c r="H73" s="295">
        <v>30694549817</v>
      </c>
      <c r="I73" s="294" t="s">
        <v>1042</v>
      </c>
      <c r="J73" s="295">
        <v>1</v>
      </c>
      <c r="K73" s="294" t="s">
        <v>656</v>
      </c>
      <c r="L73" s="299">
        <v>89807.43</v>
      </c>
      <c r="M73" s="296">
        <v>0</v>
      </c>
      <c r="N73" s="296">
        <v>0</v>
      </c>
      <c r="O73" s="296">
        <v>0</v>
      </c>
      <c r="P73" s="299">
        <v>18859.560000000001</v>
      </c>
      <c r="Q73" s="296">
        <v>108666.99</v>
      </c>
    </row>
    <row r="74" spans="1:17">
      <c r="A74" s="294" t="s">
        <v>1041</v>
      </c>
      <c r="B74" s="294" t="s">
        <v>665</v>
      </c>
      <c r="C74" s="295">
        <v>1</v>
      </c>
      <c r="D74" s="295">
        <v>158</v>
      </c>
      <c r="E74" s="294"/>
      <c r="F74" s="295">
        <v>74470131360714</v>
      </c>
      <c r="G74" s="294" t="s">
        <v>7</v>
      </c>
      <c r="H74" s="295">
        <v>27338342840</v>
      </c>
      <c r="I74" s="294" t="s">
        <v>432</v>
      </c>
      <c r="J74" s="295">
        <v>1</v>
      </c>
      <c r="K74" s="294" t="s">
        <v>656</v>
      </c>
      <c r="L74" s="299"/>
      <c r="M74" s="296"/>
      <c r="N74" s="296"/>
      <c r="O74" s="296">
        <v>0</v>
      </c>
      <c r="P74" s="299"/>
      <c r="Q74" s="296">
        <v>223271</v>
      </c>
    </row>
    <row r="75" spans="1:17">
      <c r="A75" s="294" t="s">
        <v>1043</v>
      </c>
      <c r="B75" s="294" t="s">
        <v>654</v>
      </c>
      <c r="C75" s="295">
        <v>5015</v>
      </c>
      <c r="D75" s="295">
        <v>668157</v>
      </c>
      <c r="E75" s="294"/>
      <c r="F75" s="295">
        <v>74474212487392</v>
      </c>
      <c r="G75" s="294" t="s">
        <v>7</v>
      </c>
      <c r="H75" s="295">
        <v>30574876474</v>
      </c>
      <c r="I75" s="294" t="s">
        <v>681</v>
      </c>
      <c r="J75" s="295">
        <v>1</v>
      </c>
      <c r="K75" s="294" t="s">
        <v>656</v>
      </c>
      <c r="L75" s="299">
        <v>21292.13</v>
      </c>
      <c r="M75" s="296">
        <v>0</v>
      </c>
      <c r="N75" s="296">
        <v>0</v>
      </c>
      <c r="O75" s="296">
        <v>2767.96</v>
      </c>
      <c r="P75" s="299">
        <v>4471.33</v>
      </c>
      <c r="Q75" s="296">
        <v>28531.42</v>
      </c>
    </row>
    <row r="76" spans="1:17">
      <c r="A76" s="294" t="s">
        <v>1044</v>
      </c>
      <c r="B76" s="294" t="s">
        <v>654</v>
      </c>
      <c r="C76" s="295">
        <v>2</v>
      </c>
      <c r="D76" s="295">
        <v>39919</v>
      </c>
      <c r="E76" s="294"/>
      <c r="F76" s="295">
        <v>74480471113802</v>
      </c>
      <c r="G76" s="294" t="s">
        <v>7</v>
      </c>
      <c r="H76" s="295">
        <v>30717273520</v>
      </c>
      <c r="I76" s="294" t="s">
        <v>1045</v>
      </c>
      <c r="J76" s="295">
        <v>1</v>
      </c>
      <c r="K76" s="294" t="s">
        <v>656</v>
      </c>
      <c r="L76" s="299">
        <v>6928.1</v>
      </c>
      <c r="M76" s="296">
        <v>0</v>
      </c>
      <c r="N76" s="296">
        <v>0</v>
      </c>
      <c r="O76" s="296">
        <v>0</v>
      </c>
      <c r="P76" s="299">
        <v>1454.9</v>
      </c>
      <c r="Q76" s="296">
        <v>8383</v>
      </c>
    </row>
    <row r="77" spans="1:17">
      <c r="A77" s="294" t="s">
        <v>1044</v>
      </c>
      <c r="B77" s="294" t="s">
        <v>654</v>
      </c>
      <c r="C77" s="295">
        <v>16</v>
      </c>
      <c r="D77" s="295">
        <v>27</v>
      </c>
      <c r="E77" s="294"/>
      <c r="F77" s="295">
        <v>74483455137169</v>
      </c>
      <c r="G77" s="294" t="s">
        <v>7</v>
      </c>
      <c r="H77" s="295">
        <v>27310367813</v>
      </c>
      <c r="I77" s="294" t="s">
        <v>564</v>
      </c>
      <c r="J77" s="295">
        <v>1</v>
      </c>
      <c r="K77" s="294" t="s">
        <v>656</v>
      </c>
      <c r="L77" s="299">
        <v>133140.5</v>
      </c>
      <c r="M77" s="296">
        <v>0</v>
      </c>
      <c r="N77" s="296">
        <v>0</v>
      </c>
      <c r="O77" s="296">
        <v>0</v>
      </c>
      <c r="P77" s="299">
        <v>27959.5</v>
      </c>
      <c r="Q77" s="296">
        <v>161100</v>
      </c>
    </row>
    <row r="78" spans="1:17">
      <c r="A78" s="294" t="s">
        <v>1044</v>
      </c>
      <c r="B78" s="294" t="s">
        <v>654</v>
      </c>
      <c r="C78" s="295">
        <v>6</v>
      </c>
      <c r="D78" s="295">
        <v>87011</v>
      </c>
      <c r="E78" s="294"/>
      <c r="F78" s="295">
        <v>74484452643029</v>
      </c>
      <c r="G78" s="294" t="s">
        <v>7</v>
      </c>
      <c r="H78" s="295">
        <v>30711553564</v>
      </c>
      <c r="I78" s="294" t="s">
        <v>236</v>
      </c>
      <c r="J78" s="295">
        <v>1</v>
      </c>
      <c r="K78" s="294" t="s">
        <v>656</v>
      </c>
      <c r="L78" s="299">
        <v>78414</v>
      </c>
      <c r="M78" s="296">
        <v>0</v>
      </c>
      <c r="N78" s="296">
        <v>0</v>
      </c>
      <c r="O78" s="296">
        <v>0</v>
      </c>
      <c r="P78" s="299">
        <v>16466.939999999999</v>
      </c>
      <c r="Q78" s="296">
        <v>94880.94</v>
      </c>
    </row>
    <row r="79" spans="1:17">
      <c r="A79" s="294" t="s">
        <v>1044</v>
      </c>
      <c r="B79" s="294" t="s">
        <v>654</v>
      </c>
      <c r="C79" s="295">
        <v>1</v>
      </c>
      <c r="D79" s="295">
        <v>5468</v>
      </c>
      <c r="E79" s="294"/>
      <c r="F79" s="295">
        <v>74481385458086</v>
      </c>
      <c r="G79" s="294" t="s">
        <v>7</v>
      </c>
      <c r="H79" s="295">
        <v>30715141201</v>
      </c>
      <c r="I79" s="294" t="s">
        <v>659</v>
      </c>
      <c r="J79" s="295">
        <v>1</v>
      </c>
      <c r="K79" s="294" t="s">
        <v>656</v>
      </c>
      <c r="L79" s="299">
        <v>7781132.3700000001</v>
      </c>
      <c r="M79" s="296">
        <v>0</v>
      </c>
      <c r="N79" s="296">
        <v>0</v>
      </c>
      <c r="O79" s="296">
        <v>0</v>
      </c>
      <c r="P79" s="299">
        <v>1634037.8</v>
      </c>
      <c r="Q79" s="296">
        <v>9415170.1699999999</v>
      </c>
    </row>
    <row r="80" spans="1:17">
      <c r="A80" s="294" t="s">
        <v>1044</v>
      </c>
      <c r="B80" s="294" t="s">
        <v>665</v>
      </c>
      <c r="C80" s="295">
        <v>1</v>
      </c>
      <c r="D80" s="295">
        <v>17</v>
      </c>
      <c r="E80" s="294"/>
      <c r="F80" s="295">
        <v>74485868562394</v>
      </c>
      <c r="G80" s="294" t="s">
        <v>7</v>
      </c>
      <c r="H80" s="295">
        <v>27443612705</v>
      </c>
      <c r="I80" s="294" t="s">
        <v>714</v>
      </c>
      <c r="J80" s="295">
        <v>1</v>
      </c>
      <c r="K80" s="294" t="s">
        <v>656</v>
      </c>
      <c r="L80" s="299"/>
      <c r="M80" s="296"/>
      <c r="N80" s="296"/>
      <c r="O80" s="296">
        <v>0</v>
      </c>
      <c r="P80" s="299"/>
      <c r="Q80" s="296">
        <v>450000</v>
      </c>
    </row>
    <row r="81" spans="1:17">
      <c r="A81" s="294" t="s">
        <v>1046</v>
      </c>
      <c r="B81" s="294" t="s">
        <v>654</v>
      </c>
      <c r="C81" s="295">
        <v>1001</v>
      </c>
      <c r="D81" s="295">
        <v>5588</v>
      </c>
      <c r="E81" s="294"/>
      <c r="F81" s="295">
        <v>74483571832189</v>
      </c>
      <c r="G81" s="294" t="s">
        <v>7</v>
      </c>
      <c r="H81" s="295">
        <v>30715848623</v>
      </c>
      <c r="I81" s="294" t="s">
        <v>1047</v>
      </c>
      <c r="J81" s="295">
        <v>1</v>
      </c>
      <c r="K81" s="294" t="s">
        <v>656</v>
      </c>
      <c r="L81" s="299">
        <v>35044.15</v>
      </c>
      <c r="M81" s="296">
        <v>0</v>
      </c>
      <c r="N81" s="296">
        <v>0</v>
      </c>
      <c r="O81" s="296">
        <v>0</v>
      </c>
      <c r="P81" s="299">
        <v>7359.27</v>
      </c>
      <c r="Q81" s="296">
        <v>42403.42</v>
      </c>
    </row>
    <row r="82" spans="1:17">
      <c r="A82" s="294" t="s">
        <v>1046</v>
      </c>
      <c r="B82" s="294" t="s">
        <v>654</v>
      </c>
      <c r="C82" s="295">
        <v>5</v>
      </c>
      <c r="D82" s="295">
        <v>161347</v>
      </c>
      <c r="E82" s="294"/>
      <c r="F82" s="295">
        <v>74483576457080</v>
      </c>
      <c r="G82" s="294" t="s">
        <v>7</v>
      </c>
      <c r="H82" s="295">
        <v>30598960093</v>
      </c>
      <c r="I82" s="294" t="s">
        <v>660</v>
      </c>
      <c r="J82" s="295">
        <v>1</v>
      </c>
      <c r="K82" s="294" t="s">
        <v>656</v>
      </c>
      <c r="L82" s="299">
        <v>946021.5</v>
      </c>
      <c r="M82" s="296">
        <v>0</v>
      </c>
      <c r="N82" s="296">
        <v>0</v>
      </c>
      <c r="O82" s="296">
        <v>47301.08</v>
      </c>
      <c r="P82" s="299">
        <v>198664.52</v>
      </c>
      <c r="Q82" s="296">
        <v>1191987.1000000001</v>
      </c>
    </row>
    <row r="83" spans="1:17">
      <c r="A83" s="294" t="s">
        <v>1048</v>
      </c>
      <c r="B83" s="294" t="s">
        <v>654</v>
      </c>
      <c r="C83" s="295">
        <v>2</v>
      </c>
      <c r="D83" s="295">
        <v>952</v>
      </c>
      <c r="E83" s="294"/>
      <c r="F83" s="295">
        <v>74489852320753</v>
      </c>
      <c r="G83" s="294" t="s">
        <v>7</v>
      </c>
      <c r="H83" s="295">
        <v>20272865869</v>
      </c>
      <c r="I83" s="294" t="s">
        <v>625</v>
      </c>
      <c r="J83" s="295">
        <v>1</v>
      </c>
      <c r="K83" s="294" t="s">
        <v>656</v>
      </c>
      <c r="L83" s="299">
        <v>125000</v>
      </c>
      <c r="M83" s="296">
        <v>0</v>
      </c>
      <c r="N83" s="296">
        <v>0</v>
      </c>
      <c r="O83" s="296">
        <v>0</v>
      </c>
      <c r="P83" s="299">
        <v>26250</v>
      </c>
      <c r="Q83" s="296">
        <v>151250</v>
      </c>
    </row>
    <row r="84" spans="1:17">
      <c r="A84" s="294" t="s">
        <v>1050</v>
      </c>
      <c r="B84" s="294" t="s">
        <v>654</v>
      </c>
      <c r="C84" s="295">
        <v>1000</v>
      </c>
      <c r="D84" s="295">
        <v>209165</v>
      </c>
      <c r="E84" s="294"/>
      <c r="F84" s="295">
        <v>74483965400795</v>
      </c>
      <c r="G84" s="294" t="s">
        <v>7</v>
      </c>
      <c r="H84" s="295">
        <v>30715123483</v>
      </c>
      <c r="I84" s="294" t="s">
        <v>1051</v>
      </c>
      <c r="J84" s="295">
        <v>1</v>
      </c>
      <c r="K84" s="294" t="s">
        <v>656</v>
      </c>
      <c r="L84" s="299">
        <v>11314.04</v>
      </c>
      <c r="M84" s="296">
        <v>0</v>
      </c>
      <c r="N84" s="296">
        <v>0</v>
      </c>
      <c r="O84" s="296">
        <v>471.07</v>
      </c>
      <c r="P84" s="299">
        <v>2375.9499999999998</v>
      </c>
      <c r="Q84" s="296">
        <v>14161.06</v>
      </c>
    </row>
    <row r="85" spans="1:17">
      <c r="A85" s="294" t="s">
        <v>1050</v>
      </c>
      <c r="B85" s="294" t="s">
        <v>654</v>
      </c>
      <c r="C85" s="295">
        <v>68</v>
      </c>
      <c r="D85" s="295">
        <v>68872</v>
      </c>
      <c r="E85" s="294"/>
      <c r="F85" s="295">
        <v>74484130854044</v>
      </c>
      <c r="G85" s="294" t="s">
        <v>7</v>
      </c>
      <c r="H85" s="295">
        <v>30703088534</v>
      </c>
      <c r="I85" s="294" t="s">
        <v>728</v>
      </c>
      <c r="J85" s="295">
        <v>1</v>
      </c>
      <c r="K85" s="294" t="s">
        <v>656</v>
      </c>
      <c r="L85" s="299">
        <v>59228.63</v>
      </c>
      <c r="M85" s="296">
        <v>0</v>
      </c>
      <c r="N85" s="296">
        <v>0</v>
      </c>
      <c r="O85" s="296">
        <v>4738.29</v>
      </c>
      <c r="P85" s="299">
        <v>12438.01</v>
      </c>
      <c r="Q85" s="296">
        <v>76404.929999999993</v>
      </c>
    </row>
    <row r="86" spans="1:17">
      <c r="A86" s="294" t="s">
        <v>1050</v>
      </c>
      <c r="B86" s="294" t="s">
        <v>654</v>
      </c>
      <c r="C86" s="295">
        <v>1</v>
      </c>
      <c r="D86" s="295">
        <v>108</v>
      </c>
      <c r="E86" s="294"/>
      <c r="F86" s="295">
        <v>74487974528093</v>
      </c>
      <c r="G86" s="294" t="s">
        <v>7</v>
      </c>
      <c r="H86" s="295">
        <v>20359609087</v>
      </c>
      <c r="I86" s="294" t="s">
        <v>1052</v>
      </c>
      <c r="J86" s="295">
        <v>1</v>
      </c>
      <c r="K86" s="294" t="s">
        <v>656</v>
      </c>
      <c r="L86" s="299">
        <v>2973555</v>
      </c>
      <c r="M86" s="296">
        <v>0</v>
      </c>
      <c r="N86" s="296">
        <v>0</v>
      </c>
      <c r="O86" s="296">
        <v>0</v>
      </c>
      <c r="P86" s="299">
        <v>624446.55000000005</v>
      </c>
      <c r="Q86" s="296">
        <v>3598001.55</v>
      </c>
    </row>
    <row r="87" spans="1:17">
      <c r="A87" s="294" t="s">
        <v>1050</v>
      </c>
      <c r="B87" s="294" t="s">
        <v>665</v>
      </c>
      <c r="C87" s="295">
        <v>5</v>
      </c>
      <c r="D87" s="295">
        <v>173</v>
      </c>
      <c r="E87" s="294"/>
      <c r="F87" s="295">
        <v>74489993015542</v>
      </c>
      <c r="G87" s="294" t="s">
        <v>7</v>
      </c>
      <c r="H87" s="295">
        <v>27062343449</v>
      </c>
      <c r="I87" s="294" t="s">
        <v>404</v>
      </c>
      <c r="J87" s="295">
        <v>1</v>
      </c>
      <c r="K87" s="294" t="s">
        <v>656</v>
      </c>
      <c r="L87" s="299"/>
      <c r="M87" s="296"/>
      <c r="N87" s="296"/>
      <c r="O87" s="296">
        <v>0</v>
      </c>
      <c r="P87" s="299"/>
      <c r="Q87" s="296">
        <v>100000</v>
      </c>
    </row>
    <row r="88" spans="1:17">
      <c r="A88" s="294" t="s">
        <v>1050</v>
      </c>
      <c r="B88" s="294" t="s">
        <v>665</v>
      </c>
      <c r="C88" s="295">
        <v>5</v>
      </c>
      <c r="D88" s="295">
        <v>172</v>
      </c>
      <c r="E88" s="294"/>
      <c r="F88" s="295">
        <v>74489992771285</v>
      </c>
      <c r="G88" s="294" t="s">
        <v>7</v>
      </c>
      <c r="H88" s="295">
        <v>27062343449</v>
      </c>
      <c r="I88" s="294" t="s">
        <v>404</v>
      </c>
      <c r="J88" s="295">
        <v>1</v>
      </c>
      <c r="K88" s="294" t="s">
        <v>656</v>
      </c>
      <c r="L88" s="299"/>
      <c r="M88" s="296"/>
      <c r="N88" s="296"/>
      <c r="O88" s="296">
        <v>0</v>
      </c>
      <c r="P88" s="299"/>
      <c r="Q88" s="296">
        <v>250000</v>
      </c>
    </row>
    <row r="89" spans="1:17">
      <c r="L89" s="300">
        <f>SUM(L3:L88)</f>
        <v>33676874.419999987</v>
      </c>
      <c r="M89" s="300">
        <f t="shared" ref="M89:Q89" si="0">SUM(M3:M88)</f>
        <v>0</v>
      </c>
      <c r="N89" s="300">
        <f t="shared" si="0"/>
        <v>198.74</v>
      </c>
      <c r="O89" s="300">
        <f t="shared" si="0"/>
        <v>440878.75</v>
      </c>
      <c r="P89" s="300">
        <f t="shared" si="0"/>
        <v>7031917.1653999984</v>
      </c>
      <c r="Q89" s="300">
        <f t="shared" si="0"/>
        <v>50481960.075400002</v>
      </c>
    </row>
    <row r="100" spans="1:17">
      <c r="A100" s="345" t="s">
        <v>919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</row>
    <row r="106" spans="1:17">
      <c r="A106" s="293" t="s">
        <v>102</v>
      </c>
      <c r="B106" s="293" t="s">
        <v>638</v>
      </c>
      <c r="C106" s="293" t="s">
        <v>639</v>
      </c>
      <c r="D106" s="293" t="s">
        <v>640</v>
      </c>
      <c r="E106" s="293" t="s">
        <v>641</v>
      </c>
      <c r="F106" s="293" t="s">
        <v>642</v>
      </c>
      <c r="G106" s="293" t="s">
        <v>643</v>
      </c>
      <c r="H106" s="293" t="s">
        <v>644</v>
      </c>
      <c r="I106" s="293" t="s">
        <v>645</v>
      </c>
      <c r="J106" s="293" t="s">
        <v>646</v>
      </c>
      <c r="K106" s="293" t="s">
        <v>647</v>
      </c>
      <c r="L106" s="293" t="s">
        <v>648</v>
      </c>
      <c r="M106" s="293" t="s">
        <v>649</v>
      </c>
      <c r="N106" s="293" t="s">
        <v>650</v>
      </c>
      <c r="O106" s="293" t="s">
        <v>651</v>
      </c>
      <c r="P106" s="293" t="s">
        <v>3</v>
      </c>
      <c r="Q106" s="293" t="s">
        <v>652</v>
      </c>
    </row>
    <row r="107" spans="1:17">
      <c r="A107" s="294" t="s">
        <v>1014</v>
      </c>
      <c r="B107" s="294" t="s">
        <v>654</v>
      </c>
      <c r="C107" s="295">
        <v>700</v>
      </c>
      <c r="D107" s="295">
        <v>2041657</v>
      </c>
      <c r="E107" s="294"/>
      <c r="F107" s="295">
        <v>74452187708519</v>
      </c>
      <c r="G107" s="294" t="s">
        <v>7</v>
      </c>
      <c r="H107" s="295">
        <v>30715804812</v>
      </c>
      <c r="I107" s="294" t="s">
        <v>679</v>
      </c>
      <c r="J107" s="295">
        <v>1</v>
      </c>
      <c r="K107" s="294" t="s">
        <v>656</v>
      </c>
      <c r="L107" s="296">
        <v>1923.32</v>
      </c>
      <c r="M107" s="296">
        <v>0</v>
      </c>
      <c r="N107" s="296">
        <v>0</v>
      </c>
      <c r="O107" s="296">
        <v>0</v>
      </c>
      <c r="P107" s="302">
        <v>403.9</v>
      </c>
      <c r="Q107" s="296">
        <v>2327.2199999999998</v>
      </c>
    </row>
    <row r="108" spans="1:17">
      <c r="A108" s="294" t="s">
        <v>1014</v>
      </c>
      <c r="B108" s="294" t="s">
        <v>654</v>
      </c>
      <c r="C108" s="295">
        <v>700</v>
      </c>
      <c r="D108" s="295">
        <v>2041658</v>
      </c>
      <c r="E108" s="294"/>
      <c r="F108" s="295">
        <v>74452187708593</v>
      </c>
      <c r="G108" s="294" t="s">
        <v>7</v>
      </c>
      <c r="H108" s="295">
        <v>30715804812</v>
      </c>
      <c r="I108" s="294" t="s">
        <v>679</v>
      </c>
      <c r="J108" s="295">
        <v>1</v>
      </c>
      <c r="K108" s="294" t="s">
        <v>656</v>
      </c>
      <c r="L108" s="296">
        <v>3077.32</v>
      </c>
      <c r="M108" s="296">
        <v>0</v>
      </c>
      <c r="N108" s="296">
        <v>0</v>
      </c>
      <c r="O108" s="296">
        <v>153.87</v>
      </c>
      <c r="P108" s="302">
        <v>646.24</v>
      </c>
      <c r="Q108" s="296">
        <v>3877.43</v>
      </c>
    </row>
    <row r="109" spans="1:17">
      <c r="A109" s="294" t="s">
        <v>1016</v>
      </c>
      <c r="B109" s="294" t="s">
        <v>654</v>
      </c>
      <c r="C109" s="295">
        <v>12</v>
      </c>
      <c r="D109" s="295">
        <v>1790771</v>
      </c>
      <c r="E109" s="294"/>
      <c r="F109" s="295">
        <v>74454430790967</v>
      </c>
      <c r="G109" s="294" t="s">
        <v>7</v>
      </c>
      <c r="H109" s="295">
        <v>30709776564</v>
      </c>
      <c r="I109" s="294" t="s">
        <v>682</v>
      </c>
      <c r="J109" s="295">
        <v>1</v>
      </c>
      <c r="K109" s="294" t="s">
        <v>656</v>
      </c>
      <c r="L109" s="296">
        <v>129241</v>
      </c>
      <c r="M109" s="296">
        <v>0</v>
      </c>
      <c r="N109" s="296">
        <v>0</v>
      </c>
      <c r="O109" s="296">
        <v>6462.05</v>
      </c>
      <c r="P109" s="302">
        <v>27140.61</v>
      </c>
      <c r="Q109" s="296">
        <v>162843.68</v>
      </c>
    </row>
    <row r="110" spans="1:17">
      <c r="A110" s="294" t="s">
        <v>1026</v>
      </c>
      <c r="B110" s="294" t="s">
        <v>654</v>
      </c>
      <c r="C110" s="295">
        <v>5</v>
      </c>
      <c r="D110" s="295">
        <v>19996</v>
      </c>
      <c r="E110" s="294"/>
      <c r="F110" s="295">
        <v>74464186228461</v>
      </c>
      <c r="G110" s="294" t="s">
        <v>7</v>
      </c>
      <c r="H110" s="295">
        <v>30715668994</v>
      </c>
      <c r="I110" s="297" t="s">
        <v>1029</v>
      </c>
      <c r="J110" s="295">
        <v>1</v>
      </c>
      <c r="K110" s="294" t="s">
        <v>656</v>
      </c>
      <c r="L110" s="296">
        <v>18420</v>
      </c>
      <c r="M110" s="296">
        <v>0</v>
      </c>
      <c r="N110" s="296">
        <v>0</v>
      </c>
      <c r="O110" s="296">
        <v>0</v>
      </c>
      <c r="P110" s="302">
        <v>3868.2</v>
      </c>
      <c r="Q110" s="296">
        <v>22288.2</v>
      </c>
    </row>
    <row r="111" spans="1:17">
      <c r="A111" s="294" t="s">
        <v>1031</v>
      </c>
      <c r="B111" s="294" t="s">
        <v>676</v>
      </c>
      <c r="C111" s="295">
        <v>3177</v>
      </c>
      <c r="D111" s="295">
        <v>62698</v>
      </c>
      <c r="E111" s="294"/>
      <c r="F111" s="295">
        <v>74467368972434</v>
      </c>
      <c r="G111" s="294" t="s">
        <v>7</v>
      </c>
      <c r="H111" s="295">
        <v>30678814357</v>
      </c>
      <c r="I111" s="294" t="s">
        <v>662</v>
      </c>
      <c r="J111" s="295">
        <v>1</v>
      </c>
      <c r="K111" s="294" t="s">
        <v>656</v>
      </c>
      <c r="L111" s="296">
        <v>-3703.7</v>
      </c>
      <c r="M111" s="296">
        <v>0</v>
      </c>
      <c r="N111" s="296">
        <v>0</v>
      </c>
      <c r="O111" s="296">
        <v>-296.3</v>
      </c>
      <c r="P111" s="302">
        <v>-1000</v>
      </c>
      <c r="Q111" s="296">
        <v>-5000</v>
      </c>
    </row>
    <row r="112" spans="1:17">
      <c r="A112" s="294" t="s">
        <v>1031</v>
      </c>
      <c r="B112" s="294" t="s">
        <v>676</v>
      </c>
      <c r="C112" s="295">
        <v>5</v>
      </c>
      <c r="D112" s="295">
        <v>691</v>
      </c>
      <c r="E112" s="294"/>
      <c r="F112" s="295">
        <v>74464366952555</v>
      </c>
      <c r="G112" s="294" t="s">
        <v>7</v>
      </c>
      <c r="H112" s="295">
        <v>30715668994</v>
      </c>
      <c r="I112" s="294" t="s">
        <v>1029</v>
      </c>
      <c r="J112" s="295">
        <v>1</v>
      </c>
      <c r="K112" s="294" t="s">
        <v>656</v>
      </c>
      <c r="L112" s="296">
        <v>-18420</v>
      </c>
      <c r="M112" s="296">
        <v>0</v>
      </c>
      <c r="N112" s="296">
        <v>0</v>
      </c>
      <c r="O112" s="296">
        <v>0</v>
      </c>
      <c r="P112" s="302">
        <v>-3868.2</v>
      </c>
      <c r="Q112" s="296">
        <v>-22288.2</v>
      </c>
    </row>
    <row r="113" spans="1:17">
      <c r="A113" s="294" t="s">
        <v>1032</v>
      </c>
      <c r="B113" s="294" t="s">
        <v>654</v>
      </c>
      <c r="C113" s="295">
        <v>5009</v>
      </c>
      <c r="D113" s="295">
        <v>1067282</v>
      </c>
      <c r="E113" s="294"/>
      <c r="F113" s="295">
        <v>74464521271177</v>
      </c>
      <c r="G113" s="294" t="s">
        <v>7</v>
      </c>
      <c r="H113" s="295">
        <v>30574876474</v>
      </c>
      <c r="I113" s="294" t="s">
        <v>681</v>
      </c>
      <c r="J113" s="295">
        <v>1</v>
      </c>
      <c r="K113" s="294" t="s">
        <v>656</v>
      </c>
      <c r="L113" s="296">
        <v>4691.18</v>
      </c>
      <c r="M113" s="296">
        <v>0</v>
      </c>
      <c r="N113" s="296">
        <v>0</v>
      </c>
      <c r="O113" s="296">
        <v>609.85</v>
      </c>
      <c r="P113" s="302">
        <v>985.14</v>
      </c>
      <c r="Q113" s="296">
        <v>6286.17</v>
      </c>
    </row>
    <row r="114" spans="1:17">
      <c r="A114" s="294" t="s">
        <v>1032</v>
      </c>
      <c r="B114" s="294" t="s">
        <v>654</v>
      </c>
      <c r="C114" s="295">
        <v>11</v>
      </c>
      <c r="D114" s="295">
        <v>65381</v>
      </c>
      <c r="E114" s="294"/>
      <c r="F114" s="295">
        <v>74462512069738</v>
      </c>
      <c r="G114" s="294" t="s">
        <v>7</v>
      </c>
      <c r="H114" s="295">
        <v>30711091552</v>
      </c>
      <c r="I114" s="294" t="s">
        <v>1033</v>
      </c>
      <c r="J114" s="295">
        <v>1</v>
      </c>
      <c r="K114" s="294" t="s">
        <v>656</v>
      </c>
      <c r="L114" s="296">
        <v>57851.24</v>
      </c>
      <c r="M114" s="296">
        <v>0</v>
      </c>
      <c r="N114" s="296">
        <v>0</v>
      </c>
      <c r="O114" s="296">
        <v>0</v>
      </c>
      <c r="P114" s="302">
        <v>12148.76</v>
      </c>
      <c r="Q114" s="296">
        <v>70000</v>
      </c>
    </row>
    <row r="115" spans="1:17">
      <c r="A115" s="294" t="s">
        <v>1034</v>
      </c>
      <c r="B115" s="294" t="s">
        <v>948</v>
      </c>
      <c r="C115" s="295">
        <v>102</v>
      </c>
      <c r="D115" s="295">
        <v>4004628</v>
      </c>
      <c r="E115" s="294"/>
      <c r="F115" s="295">
        <v>74465540132147</v>
      </c>
      <c r="G115" s="294" t="s">
        <v>7</v>
      </c>
      <c r="H115" s="295">
        <v>30701307115</v>
      </c>
      <c r="I115" s="294" t="s">
        <v>1006</v>
      </c>
      <c r="J115" s="295">
        <v>1</v>
      </c>
      <c r="K115" s="294" t="s">
        <v>656</v>
      </c>
      <c r="L115" s="296">
        <v>0</v>
      </c>
      <c r="M115" s="296">
        <v>0</v>
      </c>
      <c r="N115" s="296">
        <v>0</v>
      </c>
      <c r="O115" s="296">
        <v>315.60000000000002</v>
      </c>
      <c r="P115" s="302">
        <v>0</v>
      </c>
      <c r="Q115" s="296">
        <v>7953.14</v>
      </c>
    </row>
    <row r="116" spans="1:17">
      <c r="A116" s="294" t="s">
        <v>1036</v>
      </c>
      <c r="B116" s="294" t="s">
        <v>665</v>
      </c>
      <c r="C116" s="295">
        <v>1</v>
      </c>
      <c r="D116" s="295">
        <v>263</v>
      </c>
      <c r="E116" s="294"/>
      <c r="F116" s="295">
        <v>74485866837632</v>
      </c>
      <c r="G116" s="294" t="s">
        <v>7</v>
      </c>
      <c r="H116" s="295">
        <v>27217606255</v>
      </c>
      <c r="I116" s="294" t="s">
        <v>359</v>
      </c>
      <c r="J116" s="295">
        <v>1</v>
      </c>
      <c r="K116" s="294" t="s">
        <v>656</v>
      </c>
      <c r="L116" s="296"/>
      <c r="M116" s="296"/>
      <c r="N116" s="296"/>
      <c r="O116" s="296">
        <v>0</v>
      </c>
      <c r="P116" s="302"/>
      <c r="Q116" s="296">
        <v>85055.12</v>
      </c>
    </row>
    <row r="117" spans="1:17">
      <c r="A117" s="294" t="s">
        <v>1037</v>
      </c>
      <c r="B117" s="294" t="s">
        <v>654</v>
      </c>
      <c r="C117" s="295">
        <v>1</v>
      </c>
      <c r="D117" s="295">
        <v>1695</v>
      </c>
      <c r="E117" s="294"/>
      <c r="F117" s="295">
        <v>74478725365321</v>
      </c>
      <c r="G117" s="294" t="s">
        <v>7</v>
      </c>
      <c r="H117" s="295">
        <v>30717207188</v>
      </c>
      <c r="I117" s="294" t="s">
        <v>1038</v>
      </c>
      <c r="J117" s="295">
        <v>1</v>
      </c>
      <c r="K117" s="294" t="s">
        <v>656</v>
      </c>
      <c r="L117" s="296">
        <v>9000</v>
      </c>
      <c r="M117" s="296">
        <v>0</v>
      </c>
      <c r="N117" s="296">
        <v>0</v>
      </c>
      <c r="O117" s="296">
        <v>0</v>
      </c>
      <c r="P117" s="302">
        <v>945</v>
      </c>
      <c r="Q117" s="296">
        <v>9945</v>
      </c>
    </row>
    <row r="118" spans="1:17">
      <c r="A118" s="294" t="s">
        <v>1037</v>
      </c>
      <c r="B118" s="294" t="s">
        <v>665</v>
      </c>
      <c r="C118" s="295">
        <v>1</v>
      </c>
      <c r="D118" s="295">
        <v>264</v>
      </c>
      <c r="E118" s="294"/>
      <c r="F118" s="295">
        <v>74485866993277</v>
      </c>
      <c r="G118" s="294" t="s">
        <v>7</v>
      </c>
      <c r="H118" s="295">
        <v>27217606255</v>
      </c>
      <c r="I118" s="294" t="s">
        <v>359</v>
      </c>
      <c r="J118" s="295">
        <v>1</v>
      </c>
      <c r="K118" s="294" t="s">
        <v>656</v>
      </c>
      <c r="L118" s="296"/>
      <c r="M118" s="296"/>
      <c r="N118" s="296"/>
      <c r="O118" s="296">
        <v>0</v>
      </c>
      <c r="P118" s="302"/>
      <c r="Q118" s="296">
        <v>75334.539999999994</v>
      </c>
    </row>
    <row r="119" spans="1:17">
      <c r="A119" s="294" t="s">
        <v>1039</v>
      </c>
      <c r="B119" s="294" t="s">
        <v>665</v>
      </c>
      <c r="C119" s="295">
        <v>1</v>
      </c>
      <c r="D119" s="295">
        <v>266</v>
      </c>
      <c r="E119" s="294"/>
      <c r="F119" s="295">
        <v>74485867235972</v>
      </c>
      <c r="G119" s="294" t="s">
        <v>7</v>
      </c>
      <c r="H119" s="295">
        <v>27217606255</v>
      </c>
      <c r="I119" s="294" t="s">
        <v>359</v>
      </c>
      <c r="J119" s="295">
        <v>1</v>
      </c>
      <c r="K119" s="294" t="s">
        <v>656</v>
      </c>
      <c r="L119" s="296"/>
      <c r="M119" s="296"/>
      <c r="N119" s="296"/>
      <c r="O119" s="296">
        <v>0</v>
      </c>
      <c r="P119" s="302"/>
      <c r="Q119" s="296">
        <v>223375.02</v>
      </c>
    </row>
    <row r="120" spans="1:17">
      <c r="A120" s="294" t="s">
        <v>1039</v>
      </c>
      <c r="B120" s="294" t="s">
        <v>665</v>
      </c>
      <c r="C120" s="295">
        <v>1</v>
      </c>
      <c r="D120" s="295">
        <v>265</v>
      </c>
      <c r="E120" s="294"/>
      <c r="F120" s="295">
        <v>74485867109093</v>
      </c>
      <c r="G120" s="294" t="s">
        <v>7</v>
      </c>
      <c r="H120" s="295">
        <v>27217606255</v>
      </c>
      <c r="I120" s="294" t="s">
        <v>359</v>
      </c>
      <c r="J120" s="295">
        <v>1</v>
      </c>
      <c r="K120" s="294" t="s">
        <v>656</v>
      </c>
      <c r="L120" s="296"/>
      <c r="M120" s="296"/>
      <c r="N120" s="296"/>
      <c r="O120" s="296">
        <v>0</v>
      </c>
      <c r="P120" s="302"/>
      <c r="Q120" s="296">
        <v>82624.98</v>
      </c>
    </row>
    <row r="121" spans="1:17">
      <c r="A121" s="294" t="s">
        <v>1040</v>
      </c>
      <c r="B121" s="294" t="s">
        <v>665</v>
      </c>
      <c r="C121" s="295">
        <v>1</v>
      </c>
      <c r="D121" s="295">
        <v>267</v>
      </c>
      <c r="E121" s="294"/>
      <c r="F121" s="295">
        <v>74485867370874</v>
      </c>
      <c r="G121" s="294" t="s">
        <v>7</v>
      </c>
      <c r="H121" s="295">
        <v>27217606255</v>
      </c>
      <c r="I121" s="294" t="s">
        <v>359</v>
      </c>
      <c r="J121" s="295">
        <v>1</v>
      </c>
      <c r="K121" s="294" t="s">
        <v>656</v>
      </c>
      <c r="L121" s="296"/>
      <c r="M121" s="296"/>
      <c r="N121" s="296"/>
      <c r="O121" s="296">
        <v>0</v>
      </c>
      <c r="P121" s="302"/>
      <c r="Q121" s="296">
        <v>144536.78</v>
      </c>
    </row>
    <row r="122" spans="1:17">
      <c r="A122" s="294" t="s">
        <v>1041</v>
      </c>
      <c r="B122" s="294" t="s">
        <v>654</v>
      </c>
      <c r="C122" s="295">
        <v>700</v>
      </c>
      <c r="D122" s="295">
        <v>2073391</v>
      </c>
      <c r="E122" s="294"/>
      <c r="F122" s="295">
        <v>74482387027868</v>
      </c>
      <c r="G122" s="294" t="s">
        <v>7</v>
      </c>
      <c r="H122" s="295">
        <v>30715804812</v>
      </c>
      <c r="I122" s="294" t="s">
        <v>679</v>
      </c>
      <c r="J122" s="295">
        <v>1</v>
      </c>
      <c r="K122" s="294" t="s">
        <v>656</v>
      </c>
      <c r="L122" s="296">
        <v>1923.32</v>
      </c>
      <c r="M122" s="296">
        <v>0</v>
      </c>
      <c r="N122" s="296">
        <v>0</v>
      </c>
      <c r="O122" s="296">
        <v>0</v>
      </c>
      <c r="P122" s="302">
        <v>403.9</v>
      </c>
      <c r="Q122" s="296">
        <v>2327.2199999999998</v>
      </c>
    </row>
    <row r="123" spans="1:17">
      <c r="A123" s="294" t="s">
        <v>1041</v>
      </c>
      <c r="B123" s="294" t="s">
        <v>665</v>
      </c>
      <c r="C123" s="295">
        <v>1</v>
      </c>
      <c r="D123" s="295">
        <v>268</v>
      </c>
      <c r="E123" s="294"/>
      <c r="F123" s="295">
        <v>74485867483296</v>
      </c>
      <c r="G123" s="294" t="s">
        <v>7</v>
      </c>
      <c r="H123" s="295">
        <v>27217606255</v>
      </c>
      <c r="I123" s="294" t="s">
        <v>359</v>
      </c>
      <c r="J123" s="295">
        <v>1</v>
      </c>
      <c r="K123" s="294" t="s">
        <v>656</v>
      </c>
      <c r="L123" s="296"/>
      <c r="M123" s="296"/>
      <c r="N123" s="296"/>
      <c r="O123" s="296">
        <v>0</v>
      </c>
      <c r="P123" s="302"/>
      <c r="Q123" s="296">
        <v>157676.49</v>
      </c>
    </row>
    <row r="124" spans="1:17">
      <c r="A124" s="294" t="s">
        <v>1041</v>
      </c>
      <c r="B124" s="294" t="s">
        <v>665</v>
      </c>
      <c r="C124" s="295">
        <v>1</v>
      </c>
      <c r="D124" s="295">
        <v>269</v>
      </c>
      <c r="E124" s="294"/>
      <c r="F124" s="295">
        <v>74485867598709</v>
      </c>
      <c r="G124" s="294" t="s">
        <v>7</v>
      </c>
      <c r="H124" s="295">
        <v>27217606255</v>
      </c>
      <c r="I124" s="294" t="s">
        <v>359</v>
      </c>
      <c r="J124" s="295">
        <v>1</v>
      </c>
      <c r="K124" s="294" t="s">
        <v>656</v>
      </c>
      <c r="L124" s="296"/>
      <c r="M124" s="296"/>
      <c r="N124" s="296"/>
      <c r="O124" s="296">
        <v>0</v>
      </c>
      <c r="P124" s="302"/>
      <c r="Q124" s="296">
        <v>131397.07</v>
      </c>
    </row>
    <row r="125" spans="1:17">
      <c r="A125" s="294" t="s">
        <v>1044</v>
      </c>
      <c r="B125" s="294" t="s">
        <v>676</v>
      </c>
      <c r="C125" s="295">
        <v>15</v>
      </c>
      <c r="D125" s="295">
        <v>171535</v>
      </c>
      <c r="E125" s="294"/>
      <c r="F125" s="295">
        <v>74484440070356</v>
      </c>
      <c r="G125" s="294" t="s">
        <v>7</v>
      </c>
      <c r="H125" s="295">
        <v>30709776564</v>
      </c>
      <c r="I125" s="294" t="s">
        <v>682</v>
      </c>
      <c r="J125" s="295">
        <v>1</v>
      </c>
      <c r="K125" s="294" t="s">
        <v>656</v>
      </c>
      <c r="L125" s="296">
        <v>-129241</v>
      </c>
      <c r="M125" s="296">
        <v>0</v>
      </c>
      <c r="N125" s="296">
        <v>0</v>
      </c>
      <c r="O125" s="296">
        <v>-6462.05</v>
      </c>
      <c r="P125" s="302">
        <v>-27140.61</v>
      </c>
      <c r="Q125" s="296">
        <v>-162843.68</v>
      </c>
    </row>
    <row r="126" spans="1:17">
      <c r="A126" s="294" t="s">
        <v>1048</v>
      </c>
      <c r="B126" s="294" t="s">
        <v>654</v>
      </c>
      <c r="C126" s="295">
        <v>12</v>
      </c>
      <c r="D126" s="295">
        <v>2139</v>
      </c>
      <c r="E126" s="294"/>
      <c r="F126" s="295">
        <v>74485814877226</v>
      </c>
      <c r="G126" s="294" t="s">
        <v>7</v>
      </c>
      <c r="H126" s="295">
        <v>27041809715</v>
      </c>
      <c r="I126" s="294" t="s">
        <v>1049</v>
      </c>
      <c r="J126" s="295">
        <v>1</v>
      </c>
      <c r="K126" s="294" t="s">
        <v>656</v>
      </c>
      <c r="L126" s="296">
        <v>47812.73</v>
      </c>
      <c r="M126" s="296">
        <v>0</v>
      </c>
      <c r="N126" s="296">
        <v>0</v>
      </c>
      <c r="O126" s="296">
        <v>0</v>
      </c>
      <c r="P126" s="302">
        <v>10040.67</v>
      </c>
      <c r="Q126" s="296">
        <v>57853.4</v>
      </c>
    </row>
    <row r="127" spans="1:17">
      <c r="A127" s="294" t="s">
        <v>1053</v>
      </c>
      <c r="B127" s="294" t="s">
        <v>654</v>
      </c>
      <c r="C127" s="295">
        <v>6</v>
      </c>
      <c r="D127" s="295">
        <v>17981249</v>
      </c>
      <c r="E127" s="294"/>
      <c r="F127" s="295">
        <v>74487023900794</v>
      </c>
      <c r="G127" s="294" t="s">
        <v>7</v>
      </c>
      <c r="H127" s="295">
        <v>30620177497</v>
      </c>
      <c r="I127" s="294" t="s">
        <v>730</v>
      </c>
      <c r="J127" s="295">
        <v>1</v>
      </c>
      <c r="K127" s="294" t="s">
        <v>656</v>
      </c>
      <c r="L127" s="296">
        <v>0</v>
      </c>
      <c r="M127" s="296">
        <v>0</v>
      </c>
      <c r="N127" s="296">
        <v>0</v>
      </c>
      <c r="O127" s="296">
        <v>0</v>
      </c>
      <c r="P127" s="302">
        <v>0</v>
      </c>
      <c r="Q127" s="296">
        <v>0</v>
      </c>
    </row>
    <row r="128" spans="1:17">
      <c r="A128" s="294" t="s">
        <v>1053</v>
      </c>
      <c r="B128" s="294" t="s">
        <v>654</v>
      </c>
      <c r="C128" s="295">
        <v>6</v>
      </c>
      <c r="D128" s="295">
        <v>18120737</v>
      </c>
      <c r="E128" s="294"/>
      <c r="F128" s="295">
        <v>74487052173974</v>
      </c>
      <c r="G128" s="294" t="s">
        <v>7</v>
      </c>
      <c r="H128" s="295">
        <v>30620177497</v>
      </c>
      <c r="I128" s="294" t="s">
        <v>730</v>
      </c>
      <c r="J128" s="295">
        <v>1</v>
      </c>
      <c r="K128" s="294" t="s">
        <v>656</v>
      </c>
      <c r="L128" s="296">
        <v>28217.24</v>
      </c>
      <c r="M128" s="296">
        <v>0</v>
      </c>
      <c r="N128" s="296">
        <v>0</v>
      </c>
      <c r="O128" s="296">
        <v>2257.38</v>
      </c>
      <c r="P128" s="302">
        <v>5925.62</v>
      </c>
      <c r="Q128" s="296">
        <v>36400.239999999998</v>
      </c>
    </row>
    <row r="129" spans="1:17">
      <c r="A129" s="294" t="s">
        <v>1053</v>
      </c>
      <c r="B129" s="294" t="s">
        <v>654</v>
      </c>
      <c r="C129" s="295">
        <v>5015</v>
      </c>
      <c r="D129" s="295">
        <v>670627</v>
      </c>
      <c r="E129" s="294"/>
      <c r="F129" s="295">
        <v>74484228678649</v>
      </c>
      <c r="G129" s="294" t="s">
        <v>7</v>
      </c>
      <c r="H129" s="295">
        <v>30574876474</v>
      </c>
      <c r="I129" s="294" t="s">
        <v>681</v>
      </c>
      <c r="J129" s="295">
        <v>1</v>
      </c>
      <c r="K129" s="294" t="s">
        <v>656</v>
      </c>
      <c r="L129" s="296">
        <v>26086.09</v>
      </c>
      <c r="M129" s="296">
        <v>0</v>
      </c>
      <c r="N129" s="296">
        <v>0</v>
      </c>
      <c r="O129" s="296">
        <v>3391.18</v>
      </c>
      <c r="P129" s="302">
        <v>5478.07</v>
      </c>
      <c r="Q129" s="296">
        <v>34955.339999999997</v>
      </c>
    </row>
    <row r="130" spans="1:17">
      <c r="A130" s="294" t="s">
        <v>1053</v>
      </c>
      <c r="B130" s="294" t="s">
        <v>654</v>
      </c>
      <c r="C130" s="295">
        <v>50</v>
      </c>
      <c r="D130" s="295">
        <v>3938445</v>
      </c>
      <c r="E130" s="294"/>
      <c r="F130" s="295">
        <v>74496281029548</v>
      </c>
      <c r="G130" s="294" t="s">
        <v>7</v>
      </c>
      <c r="H130" s="295">
        <v>30714112836</v>
      </c>
      <c r="I130" s="294" t="s">
        <v>938</v>
      </c>
      <c r="J130" s="295">
        <v>1</v>
      </c>
      <c r="K130" s="294" t="s">
        <v>656</v>
      </c>
      <c r="L130" s="296">
        <v>1322.31</v>
      </c>
      <c r="M130" s="296">
        <v>0</v>
      </c>
      <c r="N130" s="296">
        <v>0</v>
      </c>
      <c r="O130" s="296">
        <v>0</v>
      </c>
      <c r="P130" s="302">
        <v>277.69</v>
      </c>
      <c r="Q130" s="296">
        <v>1600</v>
      </c>
    </row>
    <row r="131" spans="1:17">
      <c r="A131" s="294" t="s">
        <v>1053</v>
      </c>
      <c r="B131" s="294" t="s">
        <v>654</v>
      </c>
      <c r="C131" s="295">
        <v>113</v>
      </c>
      <c r="D131" s="295">
        <v>3939720</v>
      </c>
      <c r="E131" s="294"/>
      <c r="F131" s="295">
        <v>74490510340887</v>
      </c>
      <c r="G131" s="294" t="s">
        <v>7</v>
      </c>
      <c r="H131" s="295">
        <v>30577207190</v>
      </c>
      <c r="I131" s="294" t="s">
        <v>701</v>
      </c>
      <c r="J131" s="295">
        <v>1</v>
      </c>
      <c r="K131" s="294" t="s">
        <v>656</v>
      </c>
      <c r="L131" s="296">
        <v>1983.47</v>
      </c>
      <c r="M131" s="296">
        <v>0</v>
      </c>
      <c r="N131" s="296">
        <v>0</v>
      </c>
      <c r="O131" s="296">
        <v>0</v>
      </c>
      <c r="P131" s="302">
        <v>416.53</v>
      </c>
      <c r="Q131" s="296">
        <v>2400</v>
      </c>
    </row>
    <row r="132" spans="1:17">
      <c r="L132" s="298">
        <f>SUM(L107:L131)</f>
        <v>180184.52</v>
      </c>
      <c r="M132" s="298">
        <f t="shared" ref="M132:Q132" si="1">SUM(M107:M131)</f>
        <v>0</v>
      </c>
      <c r="N132" s="298">
        <f t="shared" si="1"/>
        <v>0</v>
      </c>
      <c r="O132" s="298">
        <f t="shared" si="1"/>
        <v>6431.58</v>
      </c>
      <c r="P132" s="298">
        <f t="shared" si="1"/>
        <v>36671.520000000004</v>
      </c>
      <c r="Q132" s="298">
        <f t="shared" si="1"/>
        <v>1130925.1599999999</v>
      </c>
    </row>
    <row r="135" spans="1:17">
      <c r="A135" s="346" t="s">
        <v>920</v>
      </c>
      <c r="B135" s="346"/>
      <c r="C135" s="346"/>
      <c r="D135" s="346"/>
      <c r="E135" s="346"/>
      <c r="F135" s="346"/>
      <c r="G135" s="346"/>
      <c r="H135" s="346"/>
      <c r="I135" s="346"/>
      <c r="J135" s="346"/>
      <c r="K135" s="346"/>
      <c r="L135" s="346"/>
      <c r="M135" s="346"/>
    </row>
    <row r="138" spans="1:17">
      <c r="D138" s="259" t="s">
        <v>921</v>
      </c>
      <c r="E138"/>
      <c r="F138"/>
    </row>
    <row r="139" spans="1:17">
      <c r="D139" s="212" t="s">
        <v>922</v>
      </c>
      <c r="E139" s="212"/>
      <c r="F139" s="212">
        <v>734.1</v>
      </c>
    </row>
    <row r="140" spans="1:17">
      <c r="D140" s="212" t="s">
        <v>923</v>
      </c>
      <c r="E140" s="212"/>
      <c r="F140" s="212">
        <v>6238.47</v>
      </c>
    </row>
    <row r="141" spans="1:17">
      <c r="D141"/>
      <c r="E141"/>
      <c r="F141"/>
    </row>
    <row r="142" spans="1:17">
      <c r="D142"/>
      <c r="E142"/>
      <c r="F142"/>
    </row>
    <row r="143" spans="1:17">
      <c r="D143" s="259" t="s">
        <v>924</v>
      </c>
      <c r="E143"/>
      <c r="F143"/>
    </row>
    <row r="144" spans="1:17">
      <c r="D144" s="212" t="s">
        <v>925</v>
      </c>
      <c r="E144" s="212"/>
      <c r="F144" s="212">
        <v>7386.75</v>
      </c>
    </row>
    <row r="145" spans="4:6">
      <c r="D145" s="212" t="s">
        <v>926</v>
      </c>
      <c r="E145" s="212"/>
      <c r="F145" s="212">
        <v>1020</v>
      </c>
    </row>
    <row r="146" spans="4:6">
      <c r="D146"/>
      <c r="E146"/>
      <c r="F146"/>
    </row>
    <row r="147" spans="4:6">
      <c r="D147"/>
      <c r="E147"/>
      <c r="F147"/>
    </row>
    <row r="148" spans="4:6">
      <c r="D148"/>
      <c r="E148" s="54" t="s">
        <v>927</v>
      </c>
      <c r="F148" s="284">
        <f>+SUM(F139,F140,F144,F145)</f>
        <v>15379.32</v>
      </c>
    </row>
  </sheetData>
  <autoFilter ref="A2:Q88"/>
  <mergeCells count="3">
    <mergeCell ref="A1:Q1"/>
    <mergeCell ref="A100:M100"/>
    <mergeCell ref="A135:M1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Configuracion</vt:lpstr>
      <vt:lpstr>Nov 24</vt:lpstr>
      <vt:lpstr>Calculo IVA</vt:lpstr>
      <vt:lpstr>afip</vt:lpstr>
      <vt:lpstr>Hoja3</vt:lpstr>
      <vt:lpstr>Resumen Ventas 11</vt:lpstr>
      <vt:lpstr>Ventas 11</vt:lpstr>
      <vt:lpstr>Compras 11</vt:lpstr>
      <vt:lpstr>'Nov 24'!Área_de_impresión</vt:lpstr>
      <vt:lpstr>Configuracion!partner_id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2024-12-09T17:06:15Z</dcterms:modified>
</cp:coreProperties>
</file>