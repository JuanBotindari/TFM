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Octubre 22" sheetId="7" r:id="rId1"/>
  </sheets>
  <calcPr calcId="125725"/>
</workbook>
</file>

<file path=xl/calcChain.xml><?xml version="1.0" encoding="utf-8"?>
<calcChain xmlns="http://schemas.openxmlformats.org/spreadsheetml/2006/main">
  <c r="F59" i="7"/>
  <c r="F60" s="1"/>
  <c r="F61" s="1"/>
  <c r="C59"/>
  <c r="C60" s="1"/>
  <c r="C61" l="1"/>
</calcChain>
</file>

<file path=xl/sharedStrings.xml><?xml version="1.0" encoding="utf-8"?>
<sst xmlns="http://schemas.openxmlformats.org/spreadsheetml/2006/main" count="171" uniqueCount="152">
  <si>
    <t>Factura A N°</t>
  </si>
  <si>
    <t>Cliente</t>
  </si>
  <si>
    <t>Importe Neto</t>
  </si>
  <si>
    <t>Factura B N°</t>
  </si>
  <si>
    <t>Obra Social Del Personal De Las Telecomunicaciones De La Republica Argentina</t>
  </si>
  <si>
    <t>Asociacion Mutual Sancor Salud</t>
  </si>
  <si>
    <t>Galeno Argentina Sociedad Anonima</t>
  </si>
  <si>
    <t>Hc Homecare Internacion Domiciliaria S.A.</t>
  </si>
  <si>
    <t>Amparo Salud S.R.L.</t>
  </si>
  <si>
    <t>Login Door S.A</t>
  </si>
  <si>
    <t>MARIA ELENA RODRIGUEZ</t>
  </si>
  <si>
    <t>Zc Diabetes Srl</t>
  </si>
  <si>
    <t>Medincare Argentina S.A.</t>
  </si>
  <si>
    <t>Aguirre Diego</t>
  </si>
  <si>
    <t>Alexander Fleming S A</t>
  </si>
  <si>
    <t>Ensalud S.A</t>
  </si>
  <si>
    <t>Herman Patricia</t>
  </si>
  <si>
    <t>Obra Social De Los Trabajadores De La Industria Del Gas</t>
  </si>
  <si>
    <t>Fundacion Empresaria Maderera</t>
  </si>
  <si>
    <t>Medicus Sociedad Anonima De Asistencia Medica Y Cientifica</t>
  </si>
  <si>
    <t>MGR IMPLANTES SA</t>
  </si>
  <si>
    <t>GLORIA FULLGRAFF</t>
  </si>
  <si>
    <t xml:space="preserve">SARA STRASBERG </t>
  </si>
  <si>
    <t>MONTI, MARIA PAULA</t>
  </si>
  <si>
    <t>SILVIA ROLDAN</t>
  </si>
  <si>
    <t>Subtotal</t>
  </si>
  <si>
    <t>IVA 21%</t>
  </si>
  <si>
    <t>Total</t>
  </si>
  <si>
    <t xml:space="preserve">DONADINI, MARIANA INES </t>
  </si>
  <si>
    <t>Obra Social Del Personal De La Industria Del Plastico</t>
  </si>
  <si>
    <t>Obra Social Union Personal De La Union  Del Personal Civil De La Nacion</t>
  </si>
  <si>
    <t>GENDELMAN,MAURICIO</t>
  </si>
  <si>
    <t>Schelgel, Luis Alberto</t>
  </si>
  <si>
    <t>VARALLA, HÉCTOR SANTIAGO</t>
  </si>
  <si>
    <t>SAENZ, MAGDALENA.</t>
  </si>
  <si>
    <t>CRISTIAN GOLDENHORN</t>
  </si>
  <si>
    <t xml:space="preserve">MOREIRAS, MARIA DEL CARMEN </t>
  </si>
  <si>
    <t>ENRIQUETA MARIA DEL SOCORRO MAJO</t>
  </si>
  <si>
    <t>Chiari Maria Enriqueta del Socorro</t>
  </si>
  <si>
    <t>WIKINSKI, SILVIA INES</t>
  </si>
  <si>
    <t>Obra Social De La Actividad De Seguros, Reaseguros, Capitalizacion Y Ahorro Y Prestamo  Para La Vivienda</t>
  </si>
  <si>
    <t>RIZZO, HORACIO GUSTAVO</t>
  </si>
  <si>
    <t>ALEJANDRA SIFFREDI TORRES SANMARCO</t>
  </si>
  <si>
    <t xml:space="preserve">IZZO, ADRIANA </t>
  </si>
  <si>
    <t>SANZIO, INMACULADA CONCEPCION</t>
  </si>
  <si>
    <t>MINERVINI, MARIA DEL CARMEN LILIANA</t>
  </si>
  <si>
    <t xml:space="preserve">ARANA, MARCELLA OFELIA </t>
  </si>
  <si>
    <t>MIGUEL, EDUARDO ADRIAN</t>
  </si>
  <si>
    <t>CUDERO, SILVINA</t>
  </si>
  <si>
    <t>BARATTINI, CESAR RUBEN</t>
  </si>
  <si>
    <t>FERRAZIN, CAROLINA ELEONORA INES</t>
  </si>
  <si>
    <t>PEDRO SERGIO TORREGROSA</t>
  </si>
  <si>
    <t>JUAN PABLO MINVIELLE</t>
  </si>
  <si>
    <t>Alquiler Facturado - Octubre</t>
  </si>
  <si>
    <t>FA-A 0006-00000262</t>
  </si>
  <si>
    <t>FA-A 0006-00000263</t>
  </si>
  <si>
    <t>FA-A 0007-00001201</t>
  </si>
  <si>
    <t>FA-A 0007-00001202</t>
  </si>
  <si>
    <t>FA-A 0007-00001204</t>
  </si>
  <si>
    <t>FA-A 0007-00001205</t>
  </si>
  <si>
    <t>FA-A 0007-00001206</t>
  </si>
  <si>
    <t>FA-A 0007-00001207</t>
  </si>
  <si>
    <t>FA-A 0007-00001208</t>
  </si>
  <si>
    <t>FA-A 0007-00001210</t>
  </si>
  <si>
    <t>FA-A 0007-00001211</t>
  </si>
  <si>
    <t>FA-A 0007-00001212</t>
  </si>
  <si>
    <t>FA-A 0007-00001213</t>
  </si>
  <si>
    <t>FA-A 0007-00001216</t>
  </si>
  <si>
    <t>FA-A 0007-00001219</t>
  </si>
  <si>
    <t>FA-A 0007-00001220</t>
  </si>
  <si>
    <t>FA-A 0007-00001221</t>
  </si>
  <si>
    <t>FA-A 0007-00001222</t>
  </si>
  <si>
    <t>FA-A 0007-00001223</t>
  </si>
  <si>
    <t>FA-A 0007-00001224</t>
  </si>
  <si>
    <t>FA-A 0007-00001226</t>
  </si>
  <si>
    <t>FA-A 0007-00001227</t>
  </si>
  <si>
    <t>FA-A 0007-00001228</t>
  </si>
  <si>
    <t>Centro Medico Amenabar Srl</t>
  </si>
  <si>
    <t>Obra Social Del Sindicato De Mecanicos Y Afines Del Transporte Automotor</t>
  </si>
  <si>
    <t>FA-B 0007-00003713</t>
  </si>
  <si>
    <t>FA-B 0007-00003716</t>
  </si>
  <si>
    <t>FA-B 0007-00003717</t>
  </si>
  <si>
    <t>FA-B 0007-00003719</t>
  </si>
  <si>
    <t>FA-B 0007-00003720</t>
  </si>
  <si>
    <t>FA-B 0007-00003721</t>
  </si>
  <si>
    <t>FA-B 0007-00003729</t>
  </si>
  <si>
    <t>FA-B 0007-00003730</t>
  </si>
  <si>
    <t>FA-B 0007-00003731</t>
  </si>
  <si>
    <t>FA-B 0007-00003732</t>
  </si>
  <si>
    <t>FA-B 0007-00003733</t>
  </si>
  <si>
    <t>FA-B 0007-00003734</t>
  </si>
  <si>
    <t>FA-B 0007-00003735</t>
  </si>
  <si>
    <t>FA-B 0007-00003736</t>
  </si>
  <si>
    <t>FA-B 0007-00003737</t>
  </si>
  <si>
    <t>FA-B 0007-00003738</t>
  </si>
  <si>
    <t>FA-B 0007-00003739</t>
  </si>
  <si>
    <t>FA-B 0007-00003741</t>
  </si>
  <si>
    <t>FA-B 0007-00003742</t>
  </si>
  <si>
    <t>FA-B 0007-00003743</t>
  </si>
  <si>
    <t>FA-B 0007-00003744</t>
  </si>
  <si>
    <t>FA-B 0007-00003745</t>
  </si>
  <si>
    <t>FA-B 0007-00003746</t>
  </si>
  <si>
    <t>FA-B 0007-00003747</t>
  </si>
  <si>
    <t>FA-B 0007-00003748</t>
  </si>
  <si>
    <t>FA-B 0007-00003749</t>
  </si>
  <si>
    <t>FA-B 0007-00003750</t>
  </si>
  <si>
    <t>FA-B 0007-00003751</t>
  </si>
  <si>
    <t>FA-B 0007-00003752</t>
  </si>
  <si>
    <t>FA-B 0007-00003754</t>
  </si>
  <si>
    <t>FA-B 0007-00003756</t>
  </si>
  <si>
    <t>FA-B 0007-00003757</t>
  </si>
  <si>
    <t>FA-B 0007-00003758</t>
  </si>
  <si>
    <t>FA-B 0007-00003760</t>
  </si>
  <si>
    <t>FA-B 0007-00003762</t>
  </si>
  <si>
    <t>FA-B 0007-00003763</t>
  </si>
  <si>
    <t>FA-B 0007-00003764</t>
  </si>
  <si>
    <t>FA-B 0007-00003765</t>
  </si>
  <si>
    <t>FA-B 0007-00003766</t>
  </si>
  <si>
    <t>FA-B 0007-00003767</t>
  </si>
  <si>
    <t>FA-B 0007-00003768</t>
  </si>
  <si>
    <t>FA-B 0007-00003769</t>
  </si>
  <si>
    <t>FA-B 0007-00003770</t>
  </si>
  <si>
    <t>FA-B 0007-00003776</t>
  </si>
  <si>
    <t>FA-B 0007-00003780</t>
  </si>
  <si>
    <t>FA-B 0007-00003782</t>
  </si>
  <si>
    <t>FA-B 0007-00003783</t>
  </si>
  <si>
    <t>FA-B 0007-00003784</t>
  </si>
  <si>
    <t>FA-B 0007-00003785</t>
  </si>
  <si>
    <t>FA-B 0007-00003786</t>
  </si>
  <si>
    <t>FA-B 0007-00003787</t>
  </si>
  <si>
    <t>FA-B 0007-00003788</t>
  </si>
  <si>
    <t>FA-B 0007-00003789</t>
  </si>
  <si>
    <t>FA-B 0007-00003790</t>
  </si>
  <si>
    <t>FA-B 0007-00003791</t>
  </si>
  <si>
    <t>FA-B 0007-00003792</t>
  </si>
  <si>
    <t>FERNANDEZ, SILVIA HORTENCIA</t>
  </si>
  <si>
    <t xml:space="preserve">JURADO, MARIA ESTHER </t>
  </si>
  <si>
    <t>CARUSO LUCIA</t>
  </si>
  <si>
    <t xml:space="preserve">MALDONADO, FEDERICO    </t>
  </si>
  <si>
    <t>JORGE RODRIGUEZ</t>
  </si>
  <si>
    <t>BUNCHICOFF, MARIA</t>
  </si>
  <si>
    <t>BERTOLINI MEZA, ÁNGEL DANIEL</t>
  </si>
  <si>
    <t>HERRERA, CECILIA AMALIA</t>
  </si>
  <si>
    <t>JUAN JOSE RADIVOJ</t>
  </si>
  <si>
    <t>RIOS, DANIELA MARIEL</t>
  </si>
  <si>
    <t>SADER, JORGE ALEJANDRO</t>
  </si>
  <si>
    <t>MARTINEZ, MARCELO GUSTAVO</t>
  </si>
  <si>
    <t>AHUMADA, EDITH NELLY</t>
  </si>
  <si>
    <t>HIDALGO OSCAR ATILIO</t>
  </si>
  <si>
    <t>VARGAS VILLANUEVA FELICITA VICTORINA</t>
  </si>
  <si>
    <t>EDUARDO RAUL ARREGUI</t>
  </si>
  <si>
    <t>MARIA ISABEL CALDERER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</si>
</sst>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topLeftCell="A37" workbookViewId="0">
      <selection activeCell="F60" sqref="F60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3" t="s">
        <v>53</v>
      </c>
      <c r="B1" s="13"/>
      <c r="C1" s="13"/>
      <c r="D1" s="13"/>
      <c r="E1" s="13"/>
      <c r="F1" s="13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2" t="s">
        <v>54</v>
      </c>
      <c r="B3" s="3" t="s">
        <v>6</v>
      </c>
      <c r="C3" s="4">
        <v>248187.2</v>
      </c>
      <c r="D3" s="2" t="s">
        <v>79</v>
      </c>
      <c r="E3" s="3" t="s">
        <v>135</v>
      </c>
      <c r="F3" s="4">
        <v>2479.34</v>
      </c>
    </row>
    <row r="4" spans="1:6">
      <c r="A4" s="2" t="s">
        <v>55</v>
      </c>
      <c r="B4" s="3" t="s">
        <v>6</v>
      </c>
      <c r="C4" s="4">
        <v>1727788.29</v>
      </c>
      <c r="D4" s="2" t="s">
        <v>80</v>
      </c>
      <c r="E4" s="3" t="s">
        <v>37</v>
      </c>
      <c r="F4" s="4">
        <v>2066.12</v>
      </c>
    </row>
    <row r="5" spans="1:6">
      <c r="A5" s="2" t="s">
        <v>56</v>
      </c>
      <c r="B5" s="3" t="s">
        <v>7</v>
      </c>
      <c r="C5" s="4">
        <v>23057.85</v>
      </c>
      <c r="D5" s="2" t="s">
        <v>81</v>
      </c>
      <c r="E5" s="3" t="s">
        <v>38</v>
      </c>
      <c r="F5" s="4">
        <v>2066.12</v>
      </c>
    </row>
    <row r="6" spans="1:6">
      <c r="A6" s="2" t="s">
        <v>57</v>
      </c>
      <c r="B6" s="3" t="s">
        <v>8</v>
      </c>
      <c r="C6" s="4">
        <v>42360.33</v>
      </c>
      <c r="D6" s="2" t="s">
        <v>82</v>
      </c>
      <c r="E6" s="3" t="s">
        <v>42</v>
      </c>
      <c r="F6" s="4">
        <v>4628.1000000000004</v>
      </c>
    </row>
    <row r="7" spans="1:6">
      <c r="A7" s="2" t="s">
        <v>58</v>
      </c>
      <c r="B7" s="3" t="s">
        <v>77</v>
      </c>
      <c r="C7" s="4">
        <v>13223.14</v>
      </c>
      <c r="D7" s="2" t="s">
        <v>83</v>
      </c>
      <c r="E7" s="3" t="s">
        <v>47</v>
      </c>
      <c r="F7" s="4">
        <v>1884.3</v>
      </c>
    </row>
    <row r="8" spans="1:6">
      <c r="A8" s="2" t="s">
        <v>59</v>
      </c>
      <c r="B8" s="3" t="s">
        <v>11</v>
      </c>
      <c r="C8" s="4">
        <v>30823.97</v>
      </c>
      <c r="D8" s="2" t="s">
        <v>84</v>
      </c>
      <c r="E8" s="3" t="s">
        <v>136</v>
      </c>
      <c r="F8" s="4">
        <v>3719.01</v>
      </c>
    </row>
    <row r="9" spans="1:6">
      <c r="A9" s="2" t="s">
        <v>60</v>
      </c>
      <c r="B9" s="3" t="s">
        <v>18</v>
      </c>
      <c r="C9" s="4">
        <v>1677.69</v>
      </c>
      <c r="D9" s="2" t="s">
        <v>85</v>
      </c>
      <c r="E9" s="3" t="s">
        <v>10</v>
      </c>
      <c r="F9" s="4">
        <v>2396.7000000000003</v>
      </c>
    </row>
    <row r="10" spans="1:6">
      <c r="A10" s="2" t="s">
        <v>61</v>
      </c>
      <c r="B10" s="3" t="s">
        <v>9</v>
      </c>
      <c r="C10" s="4">
        <v>8553.7199999999993</v>
      </c>
      <c r="D10" s="2" t="s">
        <v>86</v>
      </c>
      <c r="E10" s="3" t="s">
        <v>28</v>
      </c>
      <c r="F10" s="4">
        <v>6033.06</v>
      </c>
    </row>
    <row r="11" spans="1:6">
      <c r="A11" s="2" t="s">
        <v>62</v>
      </c>
      <c r="B11" s="3" t="s">
        <v>19</v>
      </c>
      <c r="C11" s="4">
        <v>10029.75</v>
      </c>
      <c r="D11" s="2" t="s">
        <v>87</v>
      </c>
      <c r="E11" s="3" t="s">
        <v>43</v>
      </c>
      <c r="F11" s="4">
        <v>2314.0500000000002</v>
      </c>
    </row>
    <row r="12" spans="1:6">
      <c r="A12" s="2" t="s">
        <v>63</v>
      </c>
      <c r="B12" s="3" t="s">
        <v>19</v>
      </c>
      <c r="C12" s="4">
        <v>1735.54</v>
      </c>
      <c r="D12" s="2" t="s">
        <v>88</v>
      </c>
      <c r="E12" s="3" t="s">
        <v>34</v>
      </c>
      <c r="F12" s="4">
        <v>2231.41</v>
      </c>
    </row>
    <row r="13" spans="1:6">
      <c r="A13" s="2" t="s">
        <v>64</v>
      </c>
      <c r="B13" s="3" t="s">
        <v>19</v>
      </c>
      <c r="C13" s="4">
        <v>7768.59</v>
      </c>
      <c r="D13" s="2" t="s">
        <v>89</v>
      </c>
      <c r="E13" s="3" t="s">
        <v>34</v>
      </c>
      <c r="F13" s="4">
        <v>1818.18</v>
      </c>
    </row>
    <row r="14" spans="1:6">
      <c r="A14" s="2" t="s">
        <v>65</v>
      </c>
      <c r="B14" s="3" t="s">
        <v>12</v>
      </c>
      <c r="C14" s="4">
        <v>1007.44</v>
      </c>
      <c r="D14" s="2" t="s">
        <v>90</v>
      </c>
      <c r="E14" s="3" t="s">
        <v>45</v>
      </c>
      <c r="F14" s="4">
        <v>4628.1000000000004</v>
      </c>
    </row>
    <row r="15" spans="1:6">
      <c r="A15" s="2" t="s">
        <v>66</v>
      </c>
      <c r="B15" s="3" t="s">
        <v>4</v>
      </c>
      <c r="C15" s="4">
        <v>5206.6099999999997</v>
      </c>
      <c r="D15" s="2" t="s">
        <v>91</v>
      </c>
      <c r="E15" s="3" t="s">
        <v>16</v>
      </c>
      <c r="F15" s="4">
        <v>6611.57</v>
      </c>
    </row>
    <row r="16" spans="1:6">
      <c r="A16" s="2" t="s">
        <v>67</v>
      </c>
      <c r="B16" s="3" t="s">
        <v>30</v>
      </c>
      <c r="C16" s="4">
        <v>109913.41</v>
      </c>
      <c r="D16" s="2" t="s">
        <v>92</v>
      </c>
      <c r="E16" s="3" t="s">
        <v>33</v>
      </c>
      <c r="F16" s="4">
        <v>2727.27</v>
      </c>
    </row>
    <row r="17" spans="1:6">
      <c r="A17" s="2" t="s">
        <v>68</v>
      </c>
      <c r="B17" s="3" t="s">
        <v>20</v>
      </c>
      <c r="C17" s="4">
        <v>5090.91</v>
      </c>
      <c r="D17" s="2" t="s">
        <v>93</v>
      </c>
      <c r="E17" s="3" t="s">
        <v>44</v>
      </c>
      <c r="F17" s="4">
        <v>2355.37</v>
      </c>
    </row>
    <row r="18" spans="1:6">
      <c r="A18" s="2" t="s">
        <v>69</v>
      </c>
      <c r="B18" s="3" t="s">
        <v>14</v>
      </c>
      <c r="C18" s="4">
        <v>8098.0700000000006</v>
      </c>
      <c r="D18" s="2" t="s">
        <v>94</v>
      </c>
      <c r="E18" s="3" t="s">
        <v>137</v>
      </c>
      <c r="F18" s="4">
        <v>5123.97</v>
      </c>
    </row>
    <row r="19" spans="1:6">
      <c r="A19" s="2" t="s">
        <v>70</v>
      </c>
      <c r="B19" s="3" t="s">
        <v>15</v>
      </c>
      <c r="C19" s="4">
        <v>3219.83</v>
      </c>
      <c r="D19" s="2" t="s">
        <v>95</v>
      </c>
      <c r="E19" s="3" t="s">
        <v>13</v>
      </c>
      <c r="F19" s="4">
        <v>1735.54</v>
      </c>
    </row>
    <row r="20" spans="1:6">
      <c r="A20" s="2" t="s">
        <v>71</v>
      </c>
      <c r="B20" s="3" t="s">
        <v>15</v>
      </c>
      <c r="C20" s="4">
        <v>3219.83</v>
      </c>
      <c r="D20" s="2" t="s">
        <v>96</v>
      </c>
      <c r="E20" s="3" t="s">
        <v>22</v>
      </c>
      <c r="F20" s="4">
        <v>3223.14</v>
      </c>
    </row>
    <row r="21" spans="1:6">
      <c r="A21" s="2" t="s">
        <v>72</v>
      </c>
      <c r="B21" s="3" t="s">
        <v>15</v>
      </c>
      <c r="C21" s="4">
        <v>1421.49</v>
      </c>
      <c r="D21" s="2" t="s">
        <v>97</v>
      </c>
      <c r="E21" s="3" t="s">
        <v>41</v>
      </c>
      <c r="F21" s="4">
        <v>1652.89</v>
      </c>
    </row>
    <row r="22" spans="1:6">
      <c r="A22" s="2" t="s">
        <v>73</v>
      </c>
      <c r="B22" s="3" t="s">
        <v>19</v>
      </c>
      <c r="C22" s="4">
        <v>5454.54</v>
      </c>
      <c r="D22" s="2" t="s">
        <v>98</v>
      </c>
      <c r="E22" s="3" t="s">
        <v>138</v>
      </c>
      <c r="F22" s="4">
        <v>8677.69</v>
      </c>
    </row>
    <row r="23" spans="1:6">
      <c r="A23" s="2" t="s">
        <v>74</v>
      </c>
      <c r="B23" s="3" t="s">
        <v>40</v>
      </c>
      <c r="C23" s="4">
        <v>991.74</v>
      </c>
      <c r="D23" s="2" t="s">
        <v>99</v>
      </c>
      <c r="E23" s="3" t="s">
        <v>35</v>
      </c>
      <c r="F23" s="4">
        <v>2892.56</v>
      </c>
    </row>
    <row r="24" spans="1:6">
      <c r="A24" s="2" t="s">
        <v>75</v>
      </c>
      <c r="B24" s="3" t="s">
        <v>40</v>
      </c>
      <c r="C24" s="4">
        <v>2892.56</v>
      </c>
      <c r="D24" s="2" t="s">
        <v>100</v>
      </c>
      <c r="E24" s="3" t="s">
        <v>21</v>
      </c>
      <c r="F24" s="4">
        <v>2809.91</v>
      </c>
    </row>
    <row r="25" spans="1:6">
      <c r="A25" s="2" t="s">
        <v>76</v>
      </c>
      <c r="B25" s="3" t="s">
        <v>78</v>
      </c>
      <c r="C25" s="4">
        <v>153719.01</v>
      </c>
      <c r="D25" s="2" t="s">
        <v>101</v>
      </c>
      <c r="E25" s="3" t="s">
        <v>48</v>
      </c>
      <c r="F25" s="4">
        <v>4132.2300000000005</v>
      </c>
    </row>
    <row r="26" spans="1:6">
      <c r="A26" s="5"/>
      <c r="B26" s="5"/>
      <c r="C26" s="5"/>
      <c r="D26" s="2" t="s">
        <v>102</v>
      </c>
      <c r="E26" s="3" t="s">
        <v>139</v>
      </c>
      <c r="F26" s="4">
        <v>24793.39</v>
      </c>
    </row>
    <row r="27" spans="1:6">
      <c r="A27" s="5"/>
      <c r="B27" s="5"/>
      <c r="C27" s="5"/>
      <c r="D27" s="2" t="s">
        <v>103</v>
      </c>
      <c r="E27" s="3" t="s">
        <v>51</v>
      </c>
      <c r="F27" s="4">
        <v>4628.1000000000004</v>
      </c>
    </row>
    <row r="28" spans="1:6">
      <c r="A28" s="5"/>
      <c r="B28" s="5"/>
      <c r="C28" s="5"/>
      <c r="D28" s="2" t="s">
        <v>104</v>
      </c>
      <c r="E28" s="3" t="s">
        <v>5</v>
      </c>
      <c r="F28" s="4">
        <v>222583.46</v>
      </c>
    </row>
    <row r="29" spans="1:6">
      <c r="A29" s="5"/>
      <c r="B29" s="5"/>
      <c r="C29" s="5"/>
      <c r="D29" s="2" t="s">
        <v>105</v>
      </c>
      <c r="E29" s="3" t="s">
        <v>140</v>
      </c>
      <c r="F29" s="4">
        <v>2185.9500000000003</v>
      </c>
    </row>
    <row r="30" spans="1:6">
      <c r="A30" s="5"/>
      <c r="B30" s="5"/>
      <c r="C30" s="5"/>
      <c r="D30" s="2" t="s">
        <v>106</v>
      </c>
      <c r="E30" s="3" t="s">
        <v>140</v>
      </c>
      <c r="F30" s="4">
        <v>3142.97</v>
      </c>
    </row>
    <row r="31" spans="1:6">
      <c r="A31" s="5"/>
      <c r="B31" s="5"/>
      <c r="C31" s="5"/>
      <c r="D31" s="2" t="s">
        <v>107</v>
      </c>
      <c r="E31" s="3" t="s">
        <v>17</v>
      </c>
      <c r="F31" s="4">
        <v>29701.65</v>
      </c>
    </row>
    <row r="32" spans="1:6">
      <c r="A32" s="5"/>
      <c r="B32" s="5"/>
      <c r="C32" s="5"/>
      <c r="D32" s="2" t="s">
        <v>108</v>
      </c>
      <c r="E32" s="3" t="s">
        <v>141</v>
      </c>
      <c r="F32" s="4">
        <v>4380.17</v>
      </c>
    </row>
    <row r="33" spans="1:6">
      <c r="A33" s="5"/>
      <c r="B33" s="5"/>
      <c r="C33" s="5"/>
      <c r="D33" s="2" t="s">
        <v>109</v>
      </c>
      <c r="E33" s="3" t="s">
        <v>49</v>
      </c>
      <c r="F33" s="4">
        <v>8347.11</v>
      </c>
    </row>
    <row r="34" spans="1:6">
      <c r="A34" s="5"/>
      <c r="B34" s="5"/>
      <c r="C34" s="5"/>
      <c r="D34" s="2" t="s">
        <v>110</v>
      </c>
      <c r="E34" s="3" t="s">
        <v>142</v>
      </c>
      <c r="F34" s="4">
        <v>2892.56</v>
      </c>
    </row>
    <row r="35" spans="1:6">
      <c r="A35" s="5"/>
      <c r="B35" s="5"/>
      <c r="C35" s="5"/>
      <c r="D35" s="2" t="s">
        <v>111</v>
      </c>
      <c r="E35" s="3" t="s">
        <v>143</v>
      </c>
      <c r="F35" s="4">
        <v>3719.01</v>
      </c>
    </row>
    <row r="36" spans="1:6">
      <c r="A36" s="5"/>
      <c r="B36" s="5"/>
      <c r="C36" s="5"/>
      <c r="D36" s="2" t="s">
        <v>112</v>
      </c>
      <c r="E36" s="3" t="s">
        <v>29</v>
      </c>
      <c r="F36" s="4">
        <v>7069.67</v>
      </c>
    </row>
    <row r="37" spans="1:6">
      <c r="A37" s="5"/>
      <c r="B37" s="5"/>
      <c r="C37" s="5"/>
      <c r="D37" s="2" t="s">
        <v>113</v>
      </c>
      <c r="E37" s="3" t="s">
        <v>46</v>
      </c>
      <c r="F37" s="4">
        <v>2289.25</v>
      </c>
    </row>
    <row r="38" spans="1:6">
      <c r="A38" s="5"/>
      <c r="B38" s="5"/>
      <c r="C38" s="5"/>
      <c r="D38" s="2" t="s">
        <v>114</v>
      </c>
      <c r="E38" s="3" t="s">
        <v>144</v>
      </c>
      <c r="F38" s="4">
        <v>4958.68</v>
      </c>
    </row>
    <row r="39" spans="1:6">
      <c r="A39" s="5"/>
      <c r="B39" s="5"/>
      <c r="C39" s="5"/>
      <c r="D39" s="2" t="s">
        <v>115</v>
      </c>
      <c r="E39" s="3" t="s">
        <v>39</v>
      </c>
      <c r="F39" s="4">
        <v>2892.56</v>
      </c>
    </row>
    <row r="40" spans="1:6">
      <c r="A40" s="5"/>
      <c r="B40" s="5"/>
      <c r="C40" s="5"/>
      <c r="D40" s="2" t="s">
        <v>116</v>
      </c>
      <c r="E40" s="3" t="s">
        <v>50</v>
      </c>
      <c r="F40" s="4">
        <v>3057.85</v>
      </c>
    </row>
    <row r="41" spans="1:6">
      <c r="A41" s="5"/>
      <c r="B41" s="5"/>
      <c r="C41" s="5"/>
      <c r="D41" s="2" t="s">
        <v>117</v>
      </c>
      <c r="E41" s="3" t="s">
        <v>32</v>
      </c>
      <c r="F41" s="4">
        <v>2892.56</v>
      </c>
    </row>
    <row r="42" spans="1:6">
      <c r="A42" s="5"/>
      <c r="B42" s="5"/>
      <c r="C42" s="5"/>
      <c r="D42" s="2" t="s">
        <v>118</v>
      </c>
      <c r="E42" s="3" t="s">
        <v>145</v>
      </c>
      <c r="F42" s="4">
        <v>4958.68</v>
      </c>
    </row>
    <row r="43" spans="1:6">
      <c r="A43" s="5"/>
      <c r="B43" s="5"/>
      <c r="C43" s="5"/>
      <c r="D43" s="2" t="s">
        <v>119</v>
      </c>
      <c r="E43" s="3" t="s">
        <v>23</v>
      </c>
      <c r="F43" s="4">
        <v>4958.68</v>
      </c>
    </row>
    <row r="44" spans="1:6">
      <c r="A44" s="5"/>
      <c r="B44" s="5"/>
      <c r="C44" s="5"/>
      <c r="D44" s="2" t="s">
        <v>120</v>
      </c>
      <c r="E44" s="3" t="s">
        <v>24</v>
      </c>
      <c r="F44" s="4">
        <v>6198.35</v>
      </c>
    </row>
    <row r="45" spans="1:6">
      <c r="A45" s="5"/>
      <c r="B45" s="5"/>
      <c r="C45" s="5"/>
      <c r="D45" s="2" t="s">
        <v>121</v>
      </c>
      <c r="E45" s="3" t="s">
        <v>146</v>
      </c>
      <c r="F45" s="4">
        <v>6694.22</v>
      </c>
    </row>
    <row r="46" spans="1:6">
      <c r="A46" s="5"/>
      <c r="B46" s="5"/>
      <c r="C46" s="5"/>
      <c r="D46" s="2" t="s">
        <v>122</v>
      </c>
      <c r="E46" s="3" t="s">
        <v>147</v>
      </c>
      <c r="F46" s="4">
        <v>1239.67</v>
      </c>
    </row>
    <row r="47" spans="1:6">
      <c r="A47" s="5"/>
      <c r="B47" s="5"/>
      <c r="C47" s="5"/>
      <c r="D47" s="2" t="s">
        <v>123</v>
      </c>
      <c r="E47" s="3" t="s">
        <v>148</v>
      </c>
      <c r="F47" s="4">
        <v>6198.34</v>
      </c>
    </row>
    <row r="48" spans="1:6">
      <c r="A48" s="5"/>
      <c r="B48" s="5"/>
      <c r="C48" s="5"/>
      <c r="D48" s="2" t="s">
        <v>124</v>
      </c>
      <c r="E48" s="3" t="s">
        <v>149</v>
      </c>
      <c r="F48" s="4">
        <v>4958.67</v>
      </c>
    </row>
    <row r="49" spans="1:6">
      <c r="A49" s="5"/>
      <c r="B49" s="5"/>
      <c r="C49" s="5"/>
      <c r="D49" s="2" t="s">
        <v>125</v>
      </c>
      <c r="E49" s="3" t="s">
        <v>36</v>
      </c>
      <c r="F49" s="4">
        <v>2892.56</v>
      </c>
    </row>
    <row r="50" spans="1:6">
      <c r="A50" s="5"/>
      <c r="B50" s="5"/>
      <c r="C50" s="5"/>
      <c r="D50" s="2" t="s">
        <v>126</v>
      </c>
      <c r="E50" s="3" t="s">
        <v>52</v>
      </c>
      <c r="F50" s="4">
        <v>3223.14</v>
      </c>
    </row>
    <row r="51" spans="1:6">
      <c r="A51" s="5"/>
      <c r="B51" s="5"/>
      <c r="C51" s="5"/>
      <c r="D51" s="2" t="s">
        <v>127</v>
      </c>
      <c r="E51" s="3" t="s">
        <v>52</v>
      </c>
      <c r="F51" s="4">
        <v>2561.98</v>
      </c>
    </row>
    <row r="52" spans="1:6">
      <c r="A52" s="5"/>
      <c r="B52" s="5"/>
      <c r="C52" s="5"/>
      <c r="D52" s="2" t="s">
        <v>128</v>
      </c>
      <c r="E52" s="3" t="s">
        <v>31</v>
      </c>
      <c r="F52" s="4">
        <v>2892.56</v>
      </c>
    </row>
    <row r="53" spans="1:6">
      <c r="A53" s="5"/>
      <c r="B53" s="5"/>
      <c r="C53" s="5"/>
      <c r="D53" s="2" t="s">
        <v>129</v>
      </c>
      <c r="E53" s="3" t="s">
        <v>150</v>
      </c>
      <c r="F53" s="4">
        <v>20000</v>
      </c>
    </row>
    <row r="54" spans="1:6">
      <c r="A54" s="5"/>
      <c r="B54" s="5"/>
      <c r="C54" s="5"/>
      <c r="D54" s="2" t="s">
        <v>130</v>
      </c>
      <c r="E54" s="3" t="s">
        <v>150</v>
      </c>
      <c r="F54" s="4">
        <v>20000</v>
      </c>
    </row>
    <row r="55" spans="1:6">
      <c r="A55" s="5"/>
      <c r="B55" s="5"/>
      <c r="C55" s="5"/>
      <c r="D55" s="2" t="s">
        <v>131</v>
      </c>
      <c r="E55" s="3" t="s">
        <v>5</v>
      </c>
      <c r="F55" s="4">
        <v>59504.13</v>
      </c>
    </row>
    <row r="56" spans="1:6">
      <c r="A56" s="5"/>
      <c r="B56" s="5"/>
      <c r="C56" s="5"/>
      <c r="D56" s="2" t="s">
        <v>132</v>
      </c>
      <c r="E56" s="3" t="s">
        <v>150</v>
      </c>
      <c r="F56" s="4">
        <v>5950.41</v>
      </c>
    </row>
    <row r="57" spans="1:6">
      <c r="A57" s="5"/>
      <c r="B57" s="5"/>
      <c r="C57" s="5"/>
      <c r="D57" s="2" t="s">
        <v>133</v>
      </c>
      <c r="E57" s="3" t="s">
        <v>150</v>
      </c>
      <c r="F57" s="4">
        <v>5950.41</v>
      </c>
    </row>
    <row r="58" spans="1:6">
      <c r="A58" s="5"/>
      <c r="B58" s="5"/>
      <c r="C58" s="5"/>
      <c r="D58" s="2" t="s">
        <v>134</v>
      </c>
      <c r="E58" s="3" t="s">
        <v>151</v>
      </c>
      <c r="F58" s="4">
        <v>4462.8100000000004</v>
      </c>
    </row>
    <row r="59" spans="1:6" ht="15.75">
      <c r="A59" s="6" t="s">
        <v>25</v>
      </c>
      <c r="B59" s="6"/>
      <c r="C59" s="7">
        <f>SUM(C3:C58)</f>
        <v>2415441.5100000007</v>
      </c>
      <c r="D59" s="6" t="s">
        <v>25</v>
      </c>
      <c r="E59" s="6"/>
      <c r="F59" s="8">
        <f>SUM(F3:F58)</f>
        <v>570386.17999999993</v>
      </c>
    </row>
    <row r="60" spans="1:6" ht="15.75">
      <c r="A60" s="9" t="s">
        <v>26</v>
      </c>
      <c r="B60" s="9"/>
      <c r="C60" s="10">
        <f>(C59*0.21)</f>
        <v>507242.71710000013</v>
      </c>
      <c r="D60" s="9" t="s">
        <v>26</v>
      </c>
      <c r="E60" s="9"/>
      <c r="F60" s="8">
        <f>(F59*0.21)</f>
        <v>119781.09779999999</v>
      </c>
    </row>
    <row r="61" spans="1:6" ht="15.75">
      <c r="A61" s="9" t="s">
        <v>27</v>
      </c>
      <c r="B61" s="9"/>
      <c r="C61" s="11">
        <f>SUM(C59:C60)</f>
        <v>2922684.2271000007</v>
      </c>
      <c r="D61" s="9" t="s">
        <v>27</v>
      </c>
      <c r="E61" s="9"/>
      <c r="F61" s="12">
        <f>SUM(F59:F60)</f>
        <v>690167.27779999992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 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2022-11-11T18:39:17Z</dcterms:modified>
</cp:coreProperties>
</file>