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Febrero 22" sheetId="6" r:id="rId1"/>
  </sheets>
  <calcPr calcId="125725"/>
</workbook>
</file>

<file path=xl/calcChain.xml><?xml version="1.0" encoding="utf-8"?>
<calcChain xmlns="http://schemas.openxmlformats.org/spreadsheetml/2006/main">
  <c r="F64" i="6"/>
  <c r="C64"/>
  <c r="C65" s="1"/>
  <c r="F65"/>
  <c r="F66" l="1"/>
  <c r="C66"/>
</calcChain>
</file>

<file path=xl/sharedStrings.xml><?xml version="1.0" encoding="utf-8"?>
<sst xmlns="http://schemas.openxmlformats.org/spreadsheetml/2006/main" count="185" uniqueCount="160">
  <si>
    <t>IVA 21%</t>
  </si>
  <si>
    <t>Galeno Argentina Sociedad Anonima</t>
  </si>
  <si>
    <t>Obra Social Del Personal De Las Telecomunicaciones De La Republica Argentina</t>
  </si>
  <si>
    <t>Hc Homecare Internacion Domiciliaria S.A.</t>
  </si>
  <si>
    <t>Login Door S.A</t>
  </si>
  <si>
    <t>Medincare Argentina S.A.</t>
  </si>
  <si>
    <t>Amparo Salud S.R.L.</t>
  </si>
  <si>
    <t>Zc Diabetes Srl</t>
  </si>
  <si>
    <t>ELIDA MABEL CASTELLI</t>
  </si>
  <si>
    <t>Herman Patricia</t>
  </si>
  <si>
    <t xml:space="preserve">ZACARIAS, ANDREA ELIZABETH  </t>
  </si>
  <si>
    <t>Aguirre Diego</t>
  </si>
  <si>
    <t>Luz Reyero</t>
  </si>
  <si>
    <t>CARUSO LUCIA</t>
  </si>
  <si>
    <t xml:space="preserve">ARANA, MARCELLA OFELIA </t>
  </si>
  <si>
    <t>ESPAÑA MARQUEZ, MONICA</t>
  </si>
  <si>
    <t>MARIA ELENA RODRIGUEZ</t>
  </si>
  <si>
    <t>Schelgel, Luis Alberto</t>
  </si>
  <si>
    <t>Factura A N°</t>
  </si>
  <si>
    <t>Cliente</t>
  </si>
  <si>
    <t>Importe Neto</t>
  </si>
  <si>
    <t>Factura B N°</t>
  </si>
  <si>
    <t>Subtotal</t>
  </si>
  <si>
    <t>Total</t>
  </si>
  <si>
    <t>Desalvo Miguel Angel</t>
  </si>
  <si>
    <t>RAMON FONTENLA NUÑEZ</t>
  </si>
  <si>
    <t>ADRIANA ANA MARÍA MARCUZZO</t>
  </si>
  <si>
    <t>PERLA MATILDE ISART</t>
  </si>
  <si>
    <t>SAENZ, MAGDALENA.</t>
  </si>
  <si>
    <t>Centro Medico Amenabar Srl</t>
  </si>
  <si>
    <t>Fundacion Empresaria Maderera</t>
  </si>
  <si>
    <t xml:space="preserve">BERENGUER, LEONOR LUCIA </t>
  </si>
  <si>
    <t>ROBERTO, GUSTAVO CÉSAR HERNÁN</t>
  </si>
  <si>
    <t>ALEJANDRA SIFFREDI TORRES SANMARCO</t>
  </si>
  <si>
    <t>ALBARO BRESCIANO</t>
  </si>
  <si>
    <t>VOLPI, ALBERTO JAVIER</t>
  </si>
  <si>
    <t>PLYT, SARA ETEL</t>
  </si>
  <si>
    <t xml:space="preserve">IZZO ADRIANA </t>
  </si>
  <si>
    <t>MIGUEL, EDUARDO ADRIAN</t>
  </si>
  <si>
    <t>ANDREA SOTO</t>
  </si>
  <si>
    <t>WIKINSKI, SILVIA INES</t>
  </si>
  <si>
    <t>SILVIA ROLDAN</t>
  </si>
  <si>
    <t>Ensalud S.A</t>
  </si>
  <si>
    <t>Medicus Sociedad Anonima De Asistencia Medica Y Cientifica</t>
  </si>
  <si>
    <t>Alquiler Facturado - Febrero 22</t>
  </si>
  <si>
    <t>FA-A 0006-00000193</t>
  </si>
  <si>
    <t>FA-A 0006-00000194</t>
  </si>
  <si>
    <t>FA-A 0007-00000903</t>
  </si>
  <si>
    <t>FA-A 0007-00000906</t>
  </si>
  <si>
    <t>FA-A 0007-00000907</t>
  </si>
  <si>
    <t>FA-A 0007-00000908</t>
  </si>
  <si>
    <t>FA-A 0007-00000910</t>
  </si>
  <si>
    <t>FA-A 0007-00000911</t>
  </si>
  <si>
    <t>FA-A 0007-00000912</t>
  </si>
  <si>
    <t>FA-A 0007-00000913</t>
  </si>
  <si>
    <t>FA-A 0007-00000914</t>
  </si>
  <si>
    <t>FA-A 0007-00000915</t>
  </si>
  <si>
    <t>FA-A 0007-00000917</t>
  </si>
  <si>
    <t>FA-A 0007-00000918</t>
  </si>
  <si>
    <t>FA-A 0007-00000919</t>
  </si>
  <si>
    <t>FA-A 0007-00000920</t>
  </si>
  <si>
    <t>FA-A 0007-00000921</t>
  </si>
  <si>
    <t>FA-A 0007-00000922</t>
  </si>
  <si>
    <t>FA-A 0007-00000923</t>
  </si>
  <si>
    <t>FA-A 0007-00000924</t>
  </si>
  <si>
    <t>FA-A 0007-00000925</t>
  </si>
  <si>
    <t>FA-A 0007-00000926</t>
  </si>
  <si>
    <t>FA-A 0007-00000927</t>
  </si>
  <si>
    <t>FA-A 0007-00000930</t>
  </si>
  <si>
    <t>FA-A 0007-00000931</t>
  </si>
  <si>
    <t>MGR IMPLANTES SA</t>
  </si>
  <si>
    <t>Obra Social De La Actividad De Seguros, Reaseguros, Capitalizacion Y Ahorro Y Prestamo  Para La Vivienda</t>
  </si>
  <si>
    <t>FA-B 0007-00002978</t>
  </si>
  <si>
    <t>FA-B 0007-00002979</t>
  </si>
  <si>
    <t>FA-B 0007-00002980</t>
  </si>
  <si>
    <t>FA-B 0007-00002981</t>
  </si>
  <si>
    <t>FA-B 0007-00002982</t>
  </si>
  <si>
    <t>FA-B 0007-00002983</t>
  </si>
  <si>
    <t>FA-B 0007-00002984</t>
  </si>
  <si>
    <t>FA-B 0007-00002986</t>
  </si>
  <si>
    <t>FA-B 0007-00002987</t>
  </si>
  <si>
    <t>FA-B 0007-00002988</t>
  </si>
  <si>
    <t>FA-B 0007-00002989</t>
  </si>
  <si>
    <t>FA-B 0007-00002990</t>
  </si>
  <si>
    <t>FA-B 0007-00002991</t>
  </si>
  <si>
    <t>FA-B 0007-00002992</t>
  </si>
  <si>
    <t>FA-B 0007-00002993</t>
  </si>
  <si>
    <t>FA-B 0007-00002994</t>
  </si>
  <si>
    <t>FA-B 0007-00002995</t>
  </si>
  <si>
    <t>FA-B 0007-00002996</t>
  </si>
  <si>
    <t>FA-B 0007-00002997</t>
  </si>
  <si>
    <t>FA-B 0007-00002998</t>
  </si>
  <si>
    <t>FA-B 0007-00002999</t>
  </si>
  <si>
    <t>FA-B 0007-00003003</t>
  </si>
  <si>
    <t>FA-B 0007-00003006</t>
  </si>
  <si>
    <t>FA-B 0007-00003007</t>
  </si>
  <si>
    <t>FA-B 0007-00003008</t>
  </si>
  <si>
    <t>FA-B 0007-00003009</t>
  </si>
  <si>
    <t>FA-B 0007-00003011</t>
  </si>
  <si>
    <t>FA-B 0007-00003012</t>
  </si>
  <si>
    <t>FA-B 0007-00003013</t>
  </si>
  <si>
    <t>FA-B 0007-00003014</t>
  </si>
  <si>
    <t>FA-B 0007-00003015</t>
  </si>
  <si>
    <t>FA-B 0007-00003016</t>
  </si>
  <si>
    <t>FA-B 0007-00003017</t>
  </si>
  <si>
    <t>FA-B 0007-00003018</t>
  </si>
  <si>
    <t>FA-B 0007-00003019</t>
  </si>
  <si>
    <t>FA-B 0007-00003020</t>
  </si>
  <si>
    <t>FA-B 0007-00003021</t>
  </si>
  <si>
    <t>FA-B 0007-00003022</t>
  </si>
  <si>
    <t>FA-B 0007-00003025</t>
  </si>
  <si>
    <t>FA-B 0007-00003027</t>
  </si>
  <si>
    <t>FA-B 0007-00003028</t>
  </si>
  <si>
    <t>FA-B 0007-00003029</t>
  </si>
  <si>
    <t>FA-B 0007-00003030</t>
  </si>
  <si>
    <t>FA-B 0007-00003031</t>
  </si>
  <si>
    <t>FA-B 0007-00003032</t>
  </si>
  <si>
    <t>FA-B 0007-00003033</t>
  </si>
  <si>
    <t>FA-B 0007-00003034</t>
  </si>
  <si>
    <t>FA-B 0007-00003035</t>
  </si>
  <si>
    <t>FA-B 0007-00003036</t>
  </si>
  <si>
    <t>FA-B 0007-00003037</t>
  </si>
  <si>
    <t>FA-B 0007-00003040</t>
  </si>
  <si>
    <t>FA-B 0007-00003041</t>
  </si>
  <si>
    <t>FA-B 0007-00003042</t>
  </si>
  <si>
    <t>FA-B 0007-00003043</t>
  </si>
  <si>
    <t>FA-B 0007-00003044</t>
  </si>
  <si>
    <t>FA-B 0007-00003045</t>
  </si>
  <si>
    <t>FA-B 0007-00003046</t>
  </si>
  <si>
    <t>FA-B 0007-00003047</t>
  </si>
  <si>
    <t>FA-B 0007-00003048</t>
  </si>
  <si>
    <t>FA-B 0007-00003049</t>
  </si>
  <si>
    <t>FA-B 0007-00003050</t>
  </si>
  <si>
    <t>GERONIMO, JUAN CARLOS</t>
  </si>
  <si>
    <t>NAIMAN, CARLOS ISAAC</t>
  </si>
  <si>
    <t>ENRIQUETA MARIA DEL SOCORRO MAJO</t>
  </si>
  <si>
    <t>PIRARO, SALVADOR</t>
  </si>
  <si>
    <t>GABRIELA VANINA GALLO</t>
  </si>
  <si>
    <t>Asociacion Mutual Sancor Salud</t>
  </si>
  <si>
    <t>KOHAN, RUTH SUSANA</t>
  </si>
  <si>
    <t>MORGAN, SANTIAGO</t>
  </si>
  <si>
    <t xml:space="preserve">HIGA MARCELA SANDRA </t>
  </si>
  <si>
    <t>VAICIKAUSKAS, GUSTAVO</t>
  </si>
  <si>
    <t>FERRAZIN CAROLINA ELEONORA INES</t>
  </si>
  <si>
    <t>DANIEL GUSTAVO VOLPE</t>
  </si>
  <si>
    <t>MATIENZO, MABEL</t>
  </si>
  <si>
    <t>Obra Social De Los Trabajadores De La Industria Del Gas</t>
  </si>
  <si>
    <t>BEATRIZ WARRAND</t>
  </si>
  <si>
    <t>PENSO, MARTA INES</t>
  </si>
  <si>
    <t>RUSSO, MARIANO SILVIO</t>
  </si>
  <si>
    <t>MARTINA GUTIERREZ</t>
  </si>
  <si>
    <t>FLORENTIN, CINTIA YANINA</t>
  </si>
  <si>
    <t xml:space="preserve">GONZALEZ, LAURA BEATRIZ </t>
  </si>
  <si>
    <t>LOLY GARCIA, SERGIO LUIS</t>
  </si>
  <si>
    <t>CALDERONI, MÓNICA</t>
  </si>
  <si>
    <t xml:space="preserve">SARA STRASBERG </t>
  </si>
  <si>
    <t>BORDON, NATALIA ALEJANDRA</t>
  </si>
  <si>
    <t>ARGENTINA EDITH ZARRILLO</t>
  </si>
  <si>
    <t>SCHMID, MARIANA MIRTA</t>
  </si>
  <si>
    <t>ROSARIO AZUCENA HERRERA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</si>
</sst>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2" fontId="3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topLeftCell="A34" workbookViewId="0">
      <selection activeCell="F65" sqref="F65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3" t="s">
        <v>44</v>
      </c>
      <c r="B1" s="13"/>
      <c r="C1" s="13"/>
      <c r="D1" s="13"/>
      <c r="E1" s="13"/>
      <c r="F1" s="13"/>
    </row>
    <row r="2" spans="1:6" ht="15.75">
      <c r="A2" s="1" t="s">
        <v>18</v>
      </c>
      <c r="B2" s="1" t="s">
        <v>19</v>
      </c>
      <c r="C2" s="1" t="s">
        <v>20</v>
      </c>
      <c r="D2" s="1" t="s">
        <v>21</v>
      </c>
      <c r="E2" s="1" t="s">
        <v>19</v>
      </c>
      <c r="F2" s="1" t="s">
        <v>20</v>
      </c>
    </row>
    <row r="3" spans="1:6">
      <c r="A3" s="2" t="s">
        <v>45</v>
      </c>
      <c r="B3" s="3" t="s">
        <v>1</v>
      </c>
      <c r="C3" s="12">
        <v>187172</v>
      </c>
      <c r="D3" s="2" t="s">
        <v>72</v>
      </c>
      <c r="E3" s="3" t="s">
        <v>133</v>
      </c>
      <c r="F3" s="12">
        <v>1652.9</v>
      </c>
    </row>
    <row r="4" spans="1:6">
      <c r="A4" s="2" t="s">
        <v>46</v>
      </c>
      <c r="B4" s="3" t="s">
        <v>1</v>
      </c>
      <c r="C4" s="12">
        <v>1331957.52</v>
      </c>
      <c r="D4" s="2" t="s">
        <v>73</v>
      </c>
      <c r="E4" s="3" t="s">
        <v>134</v>
      </c>
      <c r="F4" s="12">
        <v>3140.5</v>
      </c>
    </row>
    <row r="5" spans="1:6">
      <c r="A5" s="2" t="s">
        <v>47</v>
      </c>
      <c r="B5" s="3" t="s">
        <v>3</v>
      </c>
      <c r="C5" s="12">
        <v>21743.8</v>
      </c>
      <c r="D5" s="2" t="s">
        <v>74</v>
      </c>
      <c r="E5" s="3" t="s">
        <v>135</v>
      </c>
      <c r="F5" s="12">
        <v>3305.79</v>
      </c>
    </row>
    <row r="6" spans="1:6">
      <c r="A6" s="2" t="s">
        <v>48</v>
      </c>
      <c r="B6" s="3" t="s">
        <v>4</v>
      </c>
      <c r="C6" s="12">
        <v>6280.99</v>
      </c>
      <c r="D6" s="2" t="s">
        <v>75</v>
      </c>
      <c r="E6" s="3" t="s">
        <v>136</v>
      </c>
      <c r="F6" s="12">
        <v>1239.67</v>
      </c>
    </row>
    <row r="7" spans="1:6">
      <c r="A7" s="2" t="s">
        <v>49</v>
      </c>
      <c r="B7" s="3" t="s">
        <v>4</v>
      </c>
      <c r="C7" s="12">
        <v>3140.5</v>
      </c>
      <c r="D7" s="2" t="s">
        <v>76</v>
      </c>
      <c r="E7" s="3" t="s">
        <v>136</v>
      </c>
      <c r="F7" s="12">
        <v>20000</v>
      </c>
    </row>
    <row r="8" spans="1:6">
      <c r="A8" s="2" t="s">
        <v>50</v>
      </c>
      <c r="B8" s="3" t="s">
        <v>6</v>
      </c>
      <c r="C8" s="12">
        <v>27223.13</v>
      </c>
      <c r="D8" s="2" t="s">
        <v>77</v>
      </c>
      <c r="E8" s="3" t="s">
        <v>137</v>
      </c>
      <c r="F8" s="12">
        <v>6198.34</v>
      </c>
    </row>
    <row r="9" spans="1:6">
      <c r="A9" s="2" t="s">
        <v>51</v>
      </c>
      <c r="B9" s="3" t="s">
        <v>30</v>
      </c>
      <c r="C9" s="12">
        <v>1115.7</v>
      </c>
      <c r="D9" s="2" t="s">
        <v>78</v>
      </c>
      <c r="E9" s="3" t="s">
        <v>32</v>
      </c>
      <c r="F9" s="12">
        <v>1735.54</v>
      </c>
    </row>
    <row r="10" spans="1:6">
      <c r="A10" s="2" t="s">
        <v>52</v>
      </c>
      <c r="B10" s="3" t="s">
        <v>43</v>
      </c>
      <c r="C10" s="12">
        <v>7421.49</v>
      </c>
      <c r="D10" s="2" t="s">
        <v>79</v>
      </c>
      <c r="E10" s="3" t="s">
        <v>138</v>
      </c>
      <c r="F10" s="12">
        <v>175416.31</v>
      </c>
    </row>
    <row r="11" spans="1:6">
      <c r="A11" s="2" t="s">
        <v>53</v>
      </c>
      <c r="B11" s="3" t="s">
        <v>29</v>
      </c>
      <c r="C11" s="12">
        <v>5785.12</v>
      </c>
      <c r="D11" s="2" t="s">
        <v>80</v>
      </c>
      <c r="E11" s="3" t="s">
        <v>24</v>
      </c>
      <c r="F11" s="12">
        <v>1652.89</v>
      </c>
    </row>
    <row r="12" spans="1:6">
      <c r="A12" s="2" t="s">
        <v>54</v>
      </c>
      <c r="B12" s="3" t="s">
        <v>5</v>
      </c>
      <c r="C12" s="12">
        <v>9322.31</v>
      </c>
      <c r="D12" s="2" t="s">
        <v>81</v>
      </c>
      <c r="E12" s="3" t="s">
        <v>139</v>
      </c>
      <c r="F12" s="12">
        <v>2148.7600000000002</v>
      </c>
    </row>
    <row r="13" spans="1:6">
      <c r="A13" s="2" t="s">
        <v>55</v>
      </c>
      <c r="B13" s="3" t="s">
        <v>7</v>
      </c>
      <c r="C13" s="12">
        <v>20248.760000000002</v>
      </c>
      <c r="D13" s="2" t="s">
        <v>82</v>
      </c>
      <c r="E13" s="3" t="s">
        <v>37</v>
      </c>
      <c r="F13" s="12">
        <v>1570.25</v>
      </c>
    </row>
    <row r="14" spans="1:6">
      <c r="A14" s="2" t="s">
        <v>56</v>
      </c>
      <c r="B14" s="3" t="s">
        <v>70</v>
      </c>
      <c r="C14" s="12">
        <v>5950.41</v>
      </c>
      <c r="D14" s="2" t="s">
        <v>83</v>
      </c>
      <c r="E14" s="3" t="s">
        <v>16</v>
      </c>
      <c r="F14" s="12">
        <v>1239.67</v>
      </c>
    </row>
    <row r="15" spans="1:6">
      <c r="A15" s="2" t="s">
        <v>57</v>
      </c>
      <c r="B15" s="3" t="s">
        <v>42</v>
      </c>
      <c r="C15" s="12">
        <v>3272.72</v>
      </c>
      <c r="D15" s="2" t="s">
        <v>84</v>
      </c>
      <c r="E15" s="3" t="s">
        <v>140</v>
      </c>
      <c r="F15" s="12">
        <v>3140.49</v>
      </c>
    </row>
    <row r="16" spans="1:6">
      <c r="A16" s="2" t="s">
        <v>58</v>
      </c>
      <c r="B16" s="3" t="s">
        <v>42</v>
      </c>
      <c r="C16" s="12">
        <v>3272.72</v>
      </c>
      <c r="D16" s="2" t="s">
        <v>85</v>
      </c>
      <c r="E16" s="3" t="s">
        <v>15</v>
      </c>
      <c r="F16" s="12">
        <v>1735.54</v>
      </c>
    </row>
    <row r="17" spans="1:6">
      <c r="A17" s="2" t="s">
        <v>59</v>
      </c>
      <c r="B17" s="3" t="s">
        <v>42</v>
      </c>
      <c r="C17" s="12">
        <v>2421.48</v>
      </c>
      <c r="D17" s="2" t="s">
        <v>86</v>
      </c>
      <c r="E17" s="3" t="s">
        <v>35</v>
      </c>
      <c r="F17" s="12">
        <v>2057.85</v>
      </c>
    </row>
    <row r="18" spans="1:6">
      <c r="A18" s="2" t="s">
        <v>60</v>
      </c>
      <c r="B18" s="3" t="s">
        <v>42</v>
      </c>
      <c r="C18" s="12">
        <v>1446.28</v>
      </c>
      <c r="D18" s="2" t="s">
        <v>87</v>
      </c>
      <c r="E18" s="3" t="s">
        <v>141</v>
      </c>
      <c r="F18" s="12">
        <v>10413.23</v>
      </c>
    </row>
    <row r="19" spans="1:6">
      <c r="A19" s="2" t="s">
        <v>61</v>
      </c>
      <c r="B19" s="3" t="s">
        <v>42</v>
      </c>
      <c r="C19" s="12">
        <v>479.34</v>
      </c>
      <c r="D19" s="2" t="s">
        <v>88</v>
      </c>
      <c r="E19" s="3" t="s">
        <v>142</v>
      </c>
      <c r="F19" s="12">
        <v>2231.4</v>
      </c>
    </row>
    <row r="20" spans="1:6">
      <c r="A20" s="2" t="s">
        <v>62</v>
      </c>
      <c r="B20" s="3" t="s">
        <v>71</v>
      </c>
      <c r="C20" s="12">
        <v>1322.32</v>
      </c>
      <c r="D20" s="2" t="s">
        <v>89</v>
      </c>
      <c r="E20" s="3" t="s">
        <v>26</v>
      </c>
      <c r="F20" s="12">
        <v>4090.9100000000003</v>
      </c>
    </row>
    <row r="21" spans="1:6">
      <c r="A21" s="2" t="s">
        <v>63</v>
      </c>
      <c r="B21" s="3" t="s">
        <v>2</v>
      </c>
      <c r="C21" s="12">
        <v>3966.94</v>
      </c>
      <c r="D21" s="2" t="s">
        <v>90</v>
      </c>
      <c r="E21" s="3" t="s">
        <v>34</v>
      </c>
      <c r="F21" s="12">
        <v>1570.24</v>
      </c>
    </row>
    <row r="22" spans="1:6">
      <c r="A22" s="2" t="s">
        <v>64</v>
      </c>
      <c r="B22" s="3" t="s">
        <v>71</v>
      </c>
      <c r="C22" s="12">
        <v>1322.32</v>
      </c>
      <c r="D22" s="2" t="s">
        <v>91</v>
      </c>
      <c r="E22" s="3" t="s">
        <v>41</v>
      </c>
      <c r="F22" s="12">
        <v>5619.83</v>
      </c>
    </row>
    <row r="23" spans="1:6">
      <c r="A23" s="2" t="s">
        <v>65</v>
      </c>
      <c r="B23" s="3" t="s">
        <v>71</v>
      </c>
      <c r="C23" s="12">
        <v>1487.6</v>
      </c>
      <c r="D23" s="2" t="s">
        <v>92</v>
      </c>
      <c r="E23" s="3" t="s">
        <v>143</v>
      </c>
      <c r="F23" s="12">
        <v>3801.65</v>
      </c>
    </row>
    <row r="24" spans="1:6">
      <c r="A24" s="2" t="s">
        <v>66</v>
      </c>
      <c r="B24" s="3" t="s">
        <v>71</v>
      </c>
      <c r="C24" s="12">
        <v>1322.32</v>
      </c>
      <c r="D24" s="2" t="s">
        <v>93</v>
      </c>
      <c r="E24" s="3" t="s">
        <v>144</v>
      </c>
      <c r="F24" s="12">
        <v>13884.29</v>
      </c>
    </row>
    <row r="25" spans="1:6">
      <c r="A25" s="2" t="s">
        <v>67</v>
      </c>
      <c r="B25" s="3" t="s">
        <v>71</v>
      </c>
      <c r="C25" s="12">
        <v>2082.66</v>
      </c>
      <c r="D25" s="2" t="s">
        <v>94</v>
      </c>
      <c r="E25" s="3" t="s">
        <v>145</v>
      </c>
      <c r="F25" s="12">
        <v>2231.41</v>
      </c>
    </row>
    <row r="26" spans="1:6">
      <c r="A26" s="2" t="s">
        <v>68</v>
      </c>
      <c r="B26" s="3" t="s">
        <v>2</v>
      </c>
      <c r="C26" s="12">
        <v>6082.65</v>
      </c>
      <c r="D26" s="2" t="s">
        <v>95</v>
      </c>
      <c r="E26" s="3" t="s">
        <v>145</v>
      </c>
      <c r="F26" s="12">
        <v>2231.41</v>
      </c>
    </row>
    <row r="27" spans="1:6">
      <c r="A27" s="2" t="s">
        <v>69</v>
      </c>
      <c r="B27" s="3" t="s">
        <v>2</v>
      </c>
      <c r="C27" s="12">
        <v>454.55</v>
      </c>
      <c r="D27" s="2" t="s">
        <v>96</v>
      </c>
      <c r="E27" s="3" t="s">
        <v>146</v>
      </c>
      <c r="F27" s="12">
        <v>19727.27</v>
      </c>
    </row>
    <row r="28" spans="1:6">
      <c r="A28" s="4"/>
      <c r="B28" s="4"/>
      <c r="C28" s="4"/>
      <c r="D28" s="2" t="s">
        <v>97</v>
      </c>
      <c r="E28" s="3" t="s">
        <v>28</v>
      </c>
      <c r="F28" s="12">
        <v>1363.64</v>
      </c>
    </row>
    <row r="29" spans="1:6">
      <c r="A29" s="4"/>
      <c r="B29" s="4"/>
      <c r="C29" s="4"/>
      <c r="D29" s="2" t="s">
        <v>98</v>
      </c>
      <c r="E29" s="3" t="s">
        <v>8</v>
      </c>
      <c r="F29" s="12">
        <v>5867.77</v>
      </c>
    </row>
    <row r="30" spans="1:6">
      <c r="A30" s="4"/>
      <c r="B30" s="4"/>
      <c r="C30" s="4"/>
      <c r="D30" s="2" t="s">
        <v>99</v>
      </c>
      <c r="E30" s="3" t="s">
        <v>147</v>
      </c>
      <c r="F30" s="12">
        <v>5289.26</v>
      </c>
    </row>
    <row r="31" spans="1:6">
      <c r="A31" s="4"/>
      <c r="B31" s="4"/>
      <c r="C31" s="4"/>
      <c r="D31" s="2" t="s">
        <v>100</v>
      </c>
      <c r="E31" s="3" t="s">
        <v>9</v>
      </c>
      <c r="F31" s="12">
        <v>5785.12</v>
      </c>
    </row>
    <row r="32" spans="1:6">
      <c r="A32" s="4"/>
      <c r="B32" s="4"/>
      <c r="C32" s="4"/>
      <c r="D32" s="2" t="s">
        <v>101</v>
      </c>
      <c r="E32" s="3" t="s">
        <v>38</v>
      </c>
      <c r="F32" s="12">
        <v>1239.67</v>
      </c>
    </row>
    <row r="33" spans="1:6">
      <c r="A33" s="4"/>
      <c r="B33" s="4"/>
      <c r="C33" s="4"/>
      <c r="D33" s="2" t="s">
        <v>102</v>
      </c>
      <c r="E33" s="3" t="s">
        <v>148</v>
      </c>
      <c r="F33" s="12">
        <v>1983.47</v>
      </c>
    </row>
    <row r="34" spans="1:6">
      <c r="A34" s="4"/>
      <c r="B34" s="4"/>
      <c r="C34" s="4"/>
      <c r="D34" s="2" t="s">
        <v>103</v>
      </c>
      <c r="E34" s="3" t="s">
        <v>11</v>
      </c>
      <c r="F34" s="12">
        <v>1115.7</v>
      </c>
    </row>
    <row r="35" spans="1:6">
      <c r="A35" s="4"/>
      <c r="B35" s="4"/>
      <c r="C35" s="4"/>
      <c r="D35" s="2" t="s">
        <v>104</v>
      </c>
      <c r="E35" s="3" t="s">
        <v>149</v>
      </c>
      <c r="F35" s="12">
        <v>4793.3900000000003</v>
      </c>
    </row>
    <row r="36" spans="1:6">
      <c r="A36" s="4"/>
      <c r="B36" s="4"/>
      <c r="C36" s="4"/>
      <c r="D36" s="2" t="s">
        <v>105</v>
      </c>
      <c r="E36" s="3" t="s">
        <v>33</v>
      </c>
      <c r="F36" s="12">
        <v>1818.18</v>
      </c>
    </row>
    <row r="37" spans="1:6">
      <c r="A37" s="4"/>
      <c r="B37" s="4"/>
      <c r="C37" s="4"/>
      <c r="D37" s="2" t="s">
        <v>106</v>
      </c>
      <c r="E37" s="3" t="s">
        <v>36</v>
      </c>
      <c r="F37" s="12">
        <v>2066.11</v>
      </c>
    </row>
    <row r="38" spans="1:6">
      <c r="A38" s="4"/>
      <c r="B38" s="4"/>
      <c r="C38" s="4"/>
      <c r="D38" s="2" t="s">
        <v>107</v>
      </c>
      <c r="E38" s="3" t="s">
        <v>27</v>
      </c>
      <c r="F38" s="12">
        <v>1074.3800000000001</v>
      </c>
    </row>
    <row r="39" spans="1:6">
      <c r="A39" s="4"/>
      <c r="B39" s="4"/>
      <c r="C39" s="4"/>
      <c r="D39" s="2" t="s">
        <v>108</v>
      </c>
      <c r="E39" s="3" t="s">
        <v>150</v>
      </c>
      <c r="F39" s="12">
        <v>1983.47</v>
      </c>
    </row>
    <row r="40" spans="1:6">
      <c r="A40" s="4"/>
      <c r="B40" s="4"/>
      <c r="C40" s="4"/>
      <c r="D40" s="2" t="s">
        <v>109</v>
      </c>
      <c r="E40" s="3" t="s">
        <v>13</v>
      </c>
      <c r="F40" s="12">
        <v>1735.54</v>
      </c>
    </row>
    <row r="41" spans="1:6">
      <c r="A41" s="4"/>
      <c r="B41" s="4"/>
      <c r="C41" s="4"/>
      <c r="D41" s="2" t="s">
        <v>110</v>
      </c>
      <c r="E41" s="3" t="s">
        <v>151</v>
      </c>
      <c r="F41" s="12">
        <v>3925.61</v>
      </c>
    </row>
    <row r="42" spans="1:6">
      <c r="A42" s="4"/>
      <c r="B42" s="4"/>
      <c r="C42" s="4"/>
      <c r="D42" s="2" t="s">
        <v>111</v>
      </c>
      <c r="E42" s="3" t="s">
        <v>25</v>
      </c>
      <c r="F42" s="12">
        <v>1157.02</v>
      </c>
    </row>
    <row r="43" spans="1:6">
      <c r="A43" s="4"/>
      <c r="B43" s="4"/>
      <c r="C43" s="4"/>
      <c r="D43" s="2" t="s">
        <v>112</v>
      </c>
      <c r="E43" s="3" t="s">
        <v>152</v>
      </c>
      <c r="F43" s="12">
        <v>3471.07</v>
      </c>
    </row>
    <row r="44" spans="1:6">
      <c r="A44" s="4"/>
      <c r="B44" s="4"/>
      <c r="C44" s="4"/>
      <c r="D44" s="2" t="s">
        <v>113</v>
      </c>
      <c r="E44" s="3" t="s">
        <v>153</v>
      </c>
      <c r="F44" s="12">
        <v>1983.47</v>
      </c>
    </row>
    <row r="45" spans="1:6">
      <c r="A45" s="4"/>
      <c r="B45" s="4"/>
      <c r="C45" s="4"/>
      <c r="D45" s="2" t="s">
        <v>114</v>
      </c>
      <c r="E45" s="3" t="s">
        <v>154</v>
      </c>
      <c r="F45" s="12">
        <v>3553.71</v>
      </c>
    </row>
    <row r="46" spans="1:6">
      <c r="A46" s="4"/>
      <c r="B46" s="4"/>
      <c r="C46" s="4"/>
      <c r="D46" s="2" t="s">
        <v>115</v>
      </c>
      <c r="E46" s="3" t="s">
        <v>12</v>
      </c>
      <c r="F46" s="12">
        <v>1239.67</v>
      </c>
    </row>
    <row r="47" spans="1:6">
      <c r="A47" s="4"/>
      <c r="B47" s="4"/>
      <c r="C47" s="4"/>
      <c r="D47" s="2" t="s">
        <v>116</v>
      </c>
      <c r="E47" s="3" t="s">
        <v>41</v>
      </c>
      <c r="F47" s="12">
        <v>5619.83</v>
      </c>
    </row>
    <row r="48" spans="1:6">
      <c r="A48" s="4"/>
      <c r="B48" s="4"/>
      <c r="C48" s="4"/>
      <c r="D48" s="2" t="s">
        <v>117</v>
      </c>
      <c r="E48" s="3" t="s">
        <v>39</v>
      </c>
      <c r="F48" s="12">
        <v>2148.7600000000002</v>
      </c>
    </row>
    <row r="49" spans="1:6">
      <c r="A49" s="4"/>
      <c r="B49" s="4"/>
      <c r="C49" s="4"/>
      <c r="D49" s="2" t="s">
        <v>118</v>
      </c>
      <c r="E49" s="3" t="s">
        <v>14</v>
      </c>
      <c r="F49" s="12">
        <v>1735.54</v>
      </c>
    </row>
    <row r="50" spans="1:6">
      <c r="A50" s="4"/>
      <c r="B50" s="4"/>
      <c r="C50" s="4"/>
      <c r="D50" s="2" t="s">
        <v>119</v>
      </c>
      <c r="E50" s="3" t="s">
        <v>10</v>
      </c>
      <c r="F50" s="12">
        <v>2066.11</v>
      </c>
    </row>
    <row r="51" spans="1:6">
      <c r="A51" s="4"/>
      <c r="B51" s="4"/>
      <c r="C51" s="4"/>
      <c r="D51" s="2" t="s">
        <v>120</v>
      </c>
      <c r="E51" s="3" t="s">
        <v>155</v>
      </c>
      <c r="F51" s="12">
        <v>1611.57</v>
      </c>
    </row>
    <row r="52" spans="1:6">
      <c r="A52" s="4"/>
      <c r="B52" s="4"/>
      <c r="C52" s="4"/>
      <c r="D52" s="2" t="s">
        <v>121</v>
      </c>
      <c r="E52" s="3" t="s">
        <v>155</v>
      </c>
      <c r="F52" s="12">
        <v>1611.57</v>
      </c>
    </row>
    <row r="53" spans="1:6">
      <c r="A53" s="4"/>
      <c r="B53" s="4"/>
      <c r="C53" s="4"/>
      <c r="D53" s="2" t="s">
        <v>122</v>
      </c>
      <c r="E53" s="3" t="s">
        <v>156</v>
      </c>
      <c r="F53" s="12">
        <v>1983.47</v>
      </c>
    </row>
    <row r="54" spans="1:6">
      <c r="A54" s="4"/>
      <c r="B54" s="4"/>
      <c r="C54" s="4"/>
      <c r="D54" s="2" t="s">
        <v>123</v>
      </c>
      <c r="E54" s="3" t="s">
        <v>14</v>
      </c>
      <c r="F54" s="12">
        <v>743.8</v>
      </c>
    </row>
    <row r="55" spans="1:6">
      <c r="A55" s="4"/>
      <c r="B55" s="4"/>
      <c r="C55" s="4"/>
      <c r="D55" s="2" t="s">
        <v>124</v>
      </c>
      <c r="E55" s="3" t="s">
        <v>157</v>
      </c>
      <c r="F55" s="12">
        <v>6198.35</v>
      </c>
    </row>
    <row r="56" spans="1:6">
      <c r="A56" s="4"/>
      <c r="B56" s="4"/>
      <c r="C56" s="4"/>
      <c r="D56" s="2" t="s">
        <v>125</v>
      </c>
      <c r="E56" s="3" t="s">
        <v>17</v>
      </c>
      <c r="F56" s="12">
        <v>1735.54</v>
      </c>
    </row>
    <row r="57" spans="1:6">
      <c r="A57" s="4"/>
      <c r="B57" s="4"/>
      <c r="C57" s="4"/>
      <c r="D57" s="2" t="s">
        <v>126</v>
      </c>
      <c r="E57" s="3" t="s">
        <v>40</v>
      </c>
      <c r="F57" s="12">
        <v>2066.12</v>
      </c>
    </row>
    <row r="58" spans="1:6">
      <c r="A58" s="4"/>
      <c r="B58" s="4"/>
      <c r="C58" s="4"/>
      <c r="D58" s="2" t="s">
        <v>127</v>
      </c>
      <c r="E58" s="3" t="s">
        <v>40</v>
      </c>
      <c r="F58" s="12">
        <v>1611.57</v>
      </c>
    </row>
    <row r="59" spans="1:6">
      <c r="A59" s="4"/>
      <c r="B59" s="4"/>
      <c r="C59" s="4"/>
      <c r="D59" s="2" t="s">
        <v>128</v>
      </c>
      <c r="E59" s="3" t="s">
        <v>158</v>
      </c>
      <c r="F59" s="12">
        <v>2148.7600000000002</v>
      </c>
    </row>
    <row r="60" spans="1:6">
      <c r="A60" s="4"/>
      <c r="B60" s="4"/>
      <c r="C60" s="4"/>
      <c r="D60" s="2" t="s">
        <v>129</v>
      </c>
      <c r="E60" s="3" t="s">
        <v>159</v>
      </c>
      <c r="F60" s="12">
        <v>2479.34</v>
      </c>
    </row>
    <row r="61" spans="1:6">
      <c r="A61" s="4"/>
      <c r="B61" s="4"/>
      <c r="C61" s="4"/>
      <c r="D61" s="2" t="s">
        <v>130</v>
      </c>
      <c r="E61" s="3" t="s">
        <v>31</v>
      </c>
      <c r="F61" s="12">
        <v>2479.34</v>
      </c>
    </row>
    <row r="62" spans="1:6">
      <c r="A62" s="4"/>
      <c r="B62" s="4"/>
      <c r="C62" s="4"/>
      <c r="D62" s="2" t="s">
        <v>131</v>
      </c>
      <c r="E62" s="3" t="s">
        <v>159</v>
      </c>
      <c r="F62" s="12">
        <v>826.45</v>
      </c>
    </row>
    <row r="63" spans="1:6">
      <c r="A63" s="4"/>
      <c r="B63" s="4"/>
      <c r="C63" s="4"/>
      <c r="D63" s="2" t="s">
        <v>132</v>
      </c>
      <c r="E63" s="3" t="s">
        <v>31</v>
      </c>
      <c r="F63" s="12">
        <v>2644.63</v>
      </c>
    </row>
    <row r="64" spans="1:6" ht="15.75">
      <c r="A64" s="5" t="s">
        <v>22</v>
      </c>
      <c r="B64" s="5"/>
      <c r="C64" s="6">
        <f>SUM(C3:C63)</f>
        <v>1656295.6300000001</v>
      </c>
      <c r="D64" s="5" t="s">
        <v>22</v>
      </c>
      <c r="E64" s="5"/>
      <c r="F64" s="7">
        <f>SUM(F3:F63)</f>
        <v>383193.1399999999</v>
      </c>
    </row>
    <row r="65" spans="1:6" ht="15.75">
      <c r="A65" s="8" t="s">
        <v>0</v>
      </c>
      <c r="B65" s="8"/>
      <c r="C65" s="9">
        <f>(C64*0.21)</f>
        <v>347822.08230000001</v>
      </c>
      <c r="D65" s="8" t="s">
        <v>0</v>
      </c>
      <c r="E65" s="8"/>
      <c r="F65" s="7">
        <f>(F64*0.21)</f>
        <v>80470.559399999969</v>
      </c>
    </row>
    <row r="66" spans="1:6" ht="15.75">
      <c r="A66" s="8" t="s">
        <v>23</v>
      </c>
      <c r="B66" s="8"/>
      <c r="C66" s="10">
        <f>SUM(C64:C65)</f>
        <v>2004117.7123000002</v>
      </c>
      <c r="D66" s="8" t="s">
        <v>23</v>
      </c>
      <c r="E66" s="8"/>
      <c r="F66" s="11">
        <f>SUM(F64:F65)</f>
        <v>463663.69939999987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2022-03-03T17:06:24Z</dcterms:modified>
</cp:coreProperties>
</file>