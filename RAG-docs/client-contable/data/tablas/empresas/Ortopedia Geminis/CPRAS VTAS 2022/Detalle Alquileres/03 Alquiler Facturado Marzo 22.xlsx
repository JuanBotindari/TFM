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rzo 22" sheetId="7" r:id="rId1"/>
  </sheets>
  <calcPr calcId="125725"/>
</workbook>
</file>

<file path=xl/calcChain.xml><?xml version="1.0" encoding="utf-8"?>
<calcChain xmlns="http://schemas.openxmlformats.org/spreadsheetml/2006/main">
  <c r="F92" i="7"/>
  <c r="C92"/>
  <c r="C93" s="1"/>
  <c r="F94"/>
  <c r="F93"/>
  <c r="C94" l="1"/>
</calcChain>
</file>

<file path=xl/sharedStrings.xml><?xml version="1.0" encoding="utf-8"?>
<sst xmlns="http://schemas.openxmlformats.org/spreadsheetml/2006/main" count="251" uniqueCount="219">
  <si>
    <t>IVA 21%</t>
  </si>
  <si>
    <t>Galeno Argentina Sociedad Anonima</t>
  </si>
  <si>
    <t>Obra Social Del Personal De Las Telecomunicaciones De La Republica Argentina</t>
  </si>
  <si>
    <t>Hc Homecare Internacion Domiciliaria S.A.</t>
  </si>
  <si>
    <t>Login Door S.A</t>
  </si>
  <si>
    <t>Medincare Argentina S.A.</t>
  </si>
  <si>
    <t>Amparo Salud S.R.L.</t>
  </si>
  <si>
    <t>Zc Diabetes Srl</t>
  </si>
  <si>
    <t>Herman Patricia</t>
  </si>
  <si>
    <t xml:space="preserve">ZACARIAS, ANDREA ELIZABETH  </t>
  </si>
  <si>
    <t>Aguirre Diego</t>
  </si>
  <si>
    <t>Luz Reyero</t>
  </si>
  <si>
    <t>CARUSO LUCIA</t>
  </si>
  <si>
    <t xml:space="preserve">ARANA, MARCELLA OFELIA </t>
  </si>
  <si>
    <t>ESPAÑA MARQUEZ, MONICA</t>
  </si>
  <si>
    <t>MARIA ELENA RODRIGUEZ</t>
  </si>
  <si>
    <t>Schelgel, Luis Alberto</t>
  </si>
  <si>
    <t>Factura A N°</t>
  </si>
  <si>
    <t>Cliente</t>
  </si>
  <si>
    <t>Importe Neto</t>
  </si>
  <si>
    <t>Factura B N°</t>
  </si>
  <si>
    <t>Subtotal</t>
  </si>
  <si>
    <t>Total</t>
  </si>
  <si>
    <t>Desalvo Miguel Angel</t>
  </si>
  <si>
    <t>RAMON FONTENLA NUÑEZ</t>
  </si>
  <si>
    <t>ADRIANA ANA MARÍA MARCUZZO</t>
  </si>
  <si>
    <t>PERLA MATILDE ISART</t>
  </si>
  <si>
    <t>SAENZ, MAGDALENA.</t>
  </si>
  <si>
    <t>Centro Medico Amenabar Srl</t>
  </si>
  <si>
    <t>Fundacion Empresaria Maderera</t>
  </si>
  <si>
    <t>ROBERTO, GUSTAVO CÉSAR HERNÁN</t>
  </si>
  <si>
    <t>ALEJANDRA SIFFREDI TORRES SANMARCO</t>
  </si>
  <si>
    <t>ALBARO BRESCIANO</t>
  </si>
  <si>
    <t>PLYT, SARA ETEL</t>
  </si>
  <si>
    <t>MIGUEL, EDUARDO ADRIAN</t>
  </si>
  <si>
    <t>WIKINSKI, SILVIA INES</t>
  </si>
  <si>
    <t>SILVIA ROLDAN</t>
  </si>
  <si>
    <t>Ensalud S.A</t>
  </si>
  <si>
    <t>Medicus Sociedad Anonima De Asistencia Medica Y Cientifica</t>
  </si>
  <si>
    <t>MGR IMPLANTES SA</t>
  </si>
  <si>
    <t>Obra Social De La Actividad De Seguros, Reaseguros, Capitalizacion Y Ahorro Y Prestamo  Para La Vivienda</t>
  </si>
  <si>
    <t>NAIMAN, CARLOS ISAAC</t>
  </si>
  <si>
    <t>PIRARO, SALVADOR</t>
  </si>
  <si>
    <t>Asociacion Mutual Sancor Salud</t>
  </si>
  <si>
    <t>MORGAN, SANTIAGO</t>
  </si>
  <si>
    <t>MATIENZO, MABEL</t>
  </si>
  <si>
    <t>Obra Social De Los Trabajadores De La Industria Del Gas</t>
  </si>
  <si>
    <t>RUSSO, MARIANO SILVIO</t>
  </si>
  <si>
    <t>MARTINA GUTIERREZ</t>
  </si>
  <si>
    <t>FLORENTIN, CINTIA YANINA</t>
  </si>
  <si>
    <t>LOLY GARCIA, SERGIO LUIS</t>
  </si>
  <si>
    <t xml:space="preserve">SARA STRASBERG </t>
  </si>
  <si>
    <t>Alquiler Facturado - Marzo 22</t>
  </si>
  <si>
    <t>FA-A 0006-00000203</t>
  </si>
  <si>
    <t>FA-A 0006-00000204</t>
  </si>
  <si>
    <t>FA-A 0007-00000934</t>
  </si>
  <si>
    <t>Mayer, Julian</t>
  </si>
  <si>
    <t>FA-A 0007-00000935</t>
  </si>
  <si>
    <t>FA-A 0007-00000937</t>
  </si>
  <si>
    <t>FA-A 0007-00000938</t>
  </si>
  <si>
    <t>FA-A 0007-00000939</t>
  </si>
  <si>
    <t>FA-A 0007-00000940</t>
  </si>
  <si>
    <t>FA-A 0007-00000941</t>
  </si>
  <si>
    <t>FA-A 0007-00000942</t>
  </si>
  <si>
    <t>FA-A 0007-00000943</t>
  </si>
  <si>
    <t>FA-A 0007-00000945</t>
  </si>
  <si>
    <t>FA-A 0007-00000946</t>
  </si>
  <si>
    <t>FA-A 0007-00000947</t>
  </si>
  <si>
    <t>Alexander Fleming S A</t>
  </si>
  <si>
    <t>FA-A 0007-00000948</t>
  </si>
  <si>
    <t>FA-A 0007-00000949</t>
  </si>
  <si>
    <t>FA-A 0007-00000950</t>
  </si>
  <si>
    <t>FA-A 0007-00000951</t>
  </si>
  <si>
    <t>FA-A 0007-00000952</t>
  </si>
  <si>
    <t>FA-A 0007-00000953</t>
  </si>
  <si>
    <t>FA-A 0007-00000954</t>
  </si>
  <si>
    <t>FA-A 0007-00000955</t>
  </si>
  <si>
    <t>FA-A 0007-00000956</t>
  </si>
  <si>
    <t>FA-A 0007-00000957</t>
  </si>
  <si>
    <t>FA-A 0007-00000958</t>
  </si>
  <si>
    <t>FA-A 0007-00000959</t>
  </si>
  <si>
    <t>FA-A 0007-00000960</t>
  </si>
  <si>
    <t>FA-A 0007-00000961</t>
  </si>
  <si>
    <t>FA-A 0007-00000963</t>
  </si>
  <si>
    <t>Vignati Eduardo Alberto Y Rossetti Pablo Manuel Sociedad De Hecho</t>
  </si>
  <si>
    <t>FA-A 0007-00000964</t>
  </si>
  <si>
    <t>FA-B 0007-00003052</t>
  </si>
  <si>
    <t>VIDAL, MARCELA BEATRIZ</t>
  </si>
  <si>
    <t>FA-B 0007-00003053</t>
  </si>
  <si>
    <t>PEREZ PRADO, MARIA ALEJANDRA</t>
  </si>
  <si>
    <t>FA-B 0007-00003055</t>
  </si>
  <si>
    <t>FA-B 0007-00003056</t>
  </si>
  <si>
    <t>ANZOR, WALTER ABDON</t>
  </si>
  <si>
    <t>FA-B 0007-00003057</t>
  </si>
  <si>
    <t>OLIVIA LORENZO</t>
  </si>
  <si>
    <t>FA-B 0007-00003058</t>
  </si>
  <si>
    <t xml:space="preserve">FLORENCIA INES VOLPE </t>
  </si>
  <si>
    <t>FA-B 0007-00003059</t>
  </si>
  <si>
    <t>ABIUSO, MARTHA</t>
  </si>
  <si>
    <t>FA-B 0007-00003060</t>
  </si>
  <si>
    <t>Suburu Monica</t>
  </si>
  <si>
    <t>FA-B 0007-00003061</t>
  </si>
  <si>
    <t>RAMIREZ, JAVIER EDUARDO</t>
  </si>
  <si>
    <t>FA-B 0007-00003062</t>
  </si>
  <si>
    <t>MANGIN, BIBIANA</t>
  </si>
  <si>
    <t>FA-B 0007-00003064</t>
  </si>
  <si>
    <t>PAGANOTTO, MARCELO OSCAR</t>
  </si>
  <si>
    <t>FA-B 0007-00003065</t>
  </si>
  <si>
    <t>MARÍA CAROLINA ULLOA</t>
  </si>
  <si>
    <t>FA-B 0007-00003066</t>
  </si>
  <si>
    <t xml:space="preserve">IOVINO, FABIANA MARCELA </t>
  </si>
  <si>
    <t>FA-B 0007-00003067</t>
  </si>
  <si>
    <t>MONTI, MARIA PAULA</t>
  </si>
  <si>
    <t>FA-B 0007-00003069</t>
  </si>
  <si>
    <t>FA-B 0007-00003072</t>
  </si>
  <si>
    <t>FA-B 0007-00003074</t>
  </si>
  <si>
    <t>FA-B 0007-00003075</t>
  </si>
  <si>
    <t>CHAMOSA JOSE MARIA</t>
  </si>
  <si>
    <t>FA-B 0007-00003076</t>
  </si>
  <si>
    <t>FA-B 0007-00003077</t>
  </si>
  <si>
    <t>FA-B 0007-00003078</t>
  </si>
  <si>
    <t>FA-B 0007-00003079</t>
  </si>
  <si>
    <t xml:space="preserve">IZZO, ADRIANA </t>
  </si>
  <si>
    <t>FA-B 0007-00003080</t>
  </si>
  <si>
    <t>FA-B 0007-00003081</t>
  </si>
  <si>
    <t>FA-B 0007-00003083</t>
  </si>
  <si>
    <t>GALECKI, TADEO</t>
  </si>
  <si>
    <t>FA-B 0007-00003084</t>
  </si>
  <si>
    <t>FA-B 0007-00003086</t>
  </si>
  <si>
    <t>FA-B 0007-00003088</t>
  </si>
  <si>
    <t>FA-B 0007-00003089</t>
  </si>
  <si>
    <t>ORLANDO FABIAN ZUBIAT</t>
  </si>
  <si>
    <t>FA-B 0007-00003090</t>
  </si>
  <si>
    <t>FA-B 0007-00003091</t>
  </si>
  <si>
    <t>GHERLANZ, ANDREA VIVIANA</t>
  </si>
  <si>
    <t>FA-B 0007-00003092</t>
  </si>
  <si>
    <t>CORZO, MARIA EVA</t>
  </si>
  <si>
    <t>FA-B 0007-00003093</t>
  </si>
  <si>
    <t>FA-B 0007-00003094</t>
  </si>
  <si>
    <t>Mammana Mario Prospero</t>
  </si>
  <si>
    <t>FA-B 0007-00003095</t>
  </si>
  <si>
    <t>SILVIA CRISTINA DELL´ORTO</t>
  </si>
  <si>
    <t>FA-B 0007-00003096</t>
  </si>
  <si>
    <t>FA-B 0007-00003097</t>
  </si>
  <si>
    <t>DARIO DE LA ROSA</t>
  </si>
  <si>
    <t>FA-B 0007-00003098</t>
  </si>
  <si>
    <t>FA-B 0007-00003099</t>
  </si>
  <si>
    <t>FA-B 0007-00003100</t>
  </si>
  <si>
    <t>AGOSTINO, ANA CAROLINA</t>
  </si>
  <si>
    <t>FA-B 0007-00003101</t>
  </si>
  <si>
    <t>BUNCHICOFF, MARIA</t>
  </si>
  <si>
    <t>FA-B 0007-00003102</t>
  </si>
  <si>
    <t>FA-B 0007-00003103</t>
  </si>
  <si>
    <t>FA-B 0007-00003104</t>
  </si>
  <si>
    <t>FA-B 0007-00003105</t>
  </si>
  <si>
    <t>FA-B 0007-00003106</t>
  </si>
  <si>
    <t>FA-B 0007-00003107</t>
  </si>
  <si>
    <t>FA-B 0007-00003108</t>
  </si>
  <si>
    <t>PEDRO SERGIO TORREGROSA</t>
  </si>
  <si>
    <t>FA-B 0007-00003112</t>
  </si>
  <si>
    <t>BRENNAN, MARIA IRENE</t>
  </si>
  <si>
    <t>FA-B 0007-00003113</t>
  </si>
  <si>
    <t>FA-B 0007-00003114</t>
  </si>
  <si>
    <t>GLORIA FULLGRAFF</t>
  </si>
  <si>
    <t>FA-B 0007-00003115</t>
  </si>
  <si>
    <t>UTHURRALT JOSE ARISTOBULO</t>
  </si>
  <si>
    <t>FA-B 0007-00003116</t>
  </si>
  <si>
    <t>ADRIANA SAN PEDRO</t>
  </si>
  <si>
    <t>FA-B 0007-00003117</t>
  </si>
  <si>
    <t>FA-B 0007-00003118</t>
  </si>
  <si>
    <t>FA-B 0007-00003119</t>
  </si>
  <si>
    <t>ACCAVALLO, MARIA DE LOS ANGELES</t>
  </si>
  <si>
    <t>FA-B 0007-00003120</t>
  </si>
  <si>
    <t>FA-B 0007-00003121</t>
  </si>
  <si>
    <t>FA-B 0007-00003122</t>
  </si>
  <si>
    <t>FA-B 0007-00003123</t>
  </si>
  <si>
    <t>NOBILI, EDUARDO JOSE</t>
  </si>
  <si>
    <t>FA-B 0007-00003124</t>
  </si>
  <si>
    <t>FA-B 0007-00003125</t>
  </si>
  <si>
    <t>BARQUIN MARIA ANTONIA</t>
  </si>
  <si>
    <t>FA-B 0007-00003126</t>
  </si>
  <si>
    <t>FA-B 0007-00003127</t>
  </si>
  <si>
    <t>FA-B 0007-00003128</t>
  </si>
  <si>
    <t>FA-B 0007-00003129</t>
  </si>
  <si>
    <t>VARALLA, HÉCTOR SANTIAGO</t>
  </si>
  <si>
    <t>FA-B 0007-00003130</t>
  </si>
  <si>
    <t>GRACIELA NORMA GUIET</t>
  </si>
  <si>
    <t>FA-B 0007-00003131</t>
  </si>
  <si>
    <t>FA-B 0007-00003132</t>
  </si>
  <si>
    <t>SIMONE, CLAUDIA MARINA</t>
  </si>
  <si>
    <t>FA-B 0007-00003133</t>
  </si>
  <si>
    <t>FA-B 0007-00003134</t>
  </si>
  <si>
    <t>GARCIA COZZI, JORGE NORBERTO</t>
  </si>
  <si>
    <t>FA-B 0007-00003135</t>
  </si>
  <si>
    <t>NINE, JULIO CESAR</t>
  </si>
  <si>
    <t>FA-B 0007-00003136</t>
  </si>
  <si>
    <t>FA-B 0007-00003137</t>
  </si>
  <si>
    <t>FA-B 0007-00003138</t>
  </si>
  <si>
    <t>STURTZ, MARGARITA ALEJANDRA</t>
  </si>
  <si>
    <t>FA-B 0007-00003141</t>
  </si>
  <si>
    <t>MOYA, MONICA ISABEL</t>
  </si>
  <si>
    <t>FA-B 0007-00003142</t>
  </si>
  <si>
    <t>Obra Social De Talleristas A Domicilio</t>
  </si>
  <si>
    <t>FA-B 0007-00003143</t>
  </si>
  <si>
    <t>FA-B 0007-00003144</t>
  </si>
  <si>
    <t>DURAN, CARMEN</t>
  </si>
  <si>
    <t>FA-B 0007-00003145</t>
  </si>
  <si>
    <t>FA-B 0007-00003146</t>
  </si>
  <si>
    <t>FA-B 0007-00003147</t>
  </si>
  <si>
    <t>FARINA, MARIA JIMENA</t>
  </si>
  <si>
    <t>FA-B 0007-00003148</t>
  </si>
  <si>
    <t>FA-B 0007-00003149</t>
  </si>
  <si>
    <t>FA-B 0007-00003150</t>
  </si>
  <si>
    <t>RODRIGUEZ JOSE MARIA</t>
  </si>
  <si>
    <t>FA-B 0007-00003152</t>
  </si>
  <si>
    <t>FA-B 0007-00003153</t>
  </si>
  <si>
    <t>FA-B 0007-00003154</t>
  </si>
  <si>
    <t>RUIZ MELGAREJO, MONICA ELIZABETH</t>
  </si>
  <si>
    <t>FA-B 0007-00003155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</si>
</sst>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>
      <selection activeCell="F93" sqref="F93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52</v>
      </c>
      <c r="B1" s="13"/>
      <c r="C1" s="13"/>
      <c r="D1" s="13"/>
      <c r="E1" s="13"/>
      <c r="F1" s="13"/>
    </row>
    <row r="2" spans="1:6" ht="15.75">
      <c r="A2" s="1" t="s">
        <v>17</v>
      </c>
      <c r="B2" s="1" t="s">
        <v>18</v>
      </c>
      <c r="C2" s="1" t="s">
        <v>19</v>
      </c>
      <c r="D2" s="1" t="s">
        <v>20</v>
      </c>
      <c r="E2" s="1" t="s">
        <v>18</v>
      </c>
      <c r="F2" s="1" t="s">
        <v>19</v>
      </c>
    </row>
    <row r="3" spans="1:6">
      <c r="A3" s="2" t="s">
        <v>53</v>
      </c>
      <c r="B3" s="3" t="s">
        <v>1</v>
      </c>
      <c r="C3" s="12">
        <v>195318.51</v>
      </c>
      <c r="D3" s="2" t="s">
        <v>86</v>
      </c>
      <c r="E3" s="3" t="s">
        <v>87</v>
      </c>
      <c r="F3" s="12">
        <v>1818.18</v>
      </c>
    </row>
    <row r="4" spans="1:6">
      <c r="A4" s="2" t="s">
        <v>54</v>
      </c>
      <c r="B4" s="3" t="s">
        <v>1</v>
      </c>
      <c r="C4" s="12">
        <v>1374328.64</v>
      </c>
      <c r="D4" s="2" t="s">
        <v>88</v>
      </c>
      <c r="E4" s="3" t="s">
        <v>89</v>
      </c>
      <c r="F4" s="12">
        <v>1983.47</v>
      </c>
    </row>
    <row r="5" spans="1:6">
      <c r="A5" s="2" t="s">
        <v>55</v>
      </c>
      <c r="B5" s="3" t="s">
        <v>56</v>
      </c>
      <c r="C5" s="12">
        <v>1983.47</v>
      </c>
      <c r="D5" s="2" t="s">
        <v>90</v>
      </c>
      <c r="E5" s="3" t="s">
        <v>41</v>
      </c>
      <c r="F5" s="12">
        <v>4793.3900000000003</v>
      </c>
    </row>
    <row r="6" spans="1:6">
      <c r="A6" s="2" t="s">
        <v>57</v>
      </c>
      <c r="B6" s="3" t="s">
        <v>3</v>
      </c>
      <c r="C6" s="12">
        <v>23396.69</v>
      </c>
      <c r="D6" s="2" t="s">
        <v>91</v>
      </c>
      <c r="E6" s="3" t="s">
        <v>92</v>
      </c>
      <c r="F6" s="12">
        <v>867.77</v>
      </c>
    </row>
    <row r="7" spans="1:6">
      <c r="A7" s="2" t="s">
        <v>58</v>
      </c>
      <c r="B7" s="3" t="s">
        <v>2</v>
      </c>
      <c r="C7" s="12">
        <v>1818.18</v>
      </c>
      <c r="D7" s="2" t="s">
        <v>93</v>
      </c>
      <c r="E7" s="3" t="s">
        <v>94</v>
      </c>
      <c r="F7" s="12">
        <v>4752.0600000000004</v>
      </c>
    </row>
    <row r="8" spans="1:6">
      <c r="A8" s="2" t="s">
        <v>59</v>
      </c>
      <c r="B8" s="3" t="s">
        <v>2</v>
      </c>
      <c r="C8" s="12">
        <v>909.1</v>
      </c>
      <c r="D8" s="2" t="s">
        <v>95</v>
      </c>
      <c r="E8" s="3" t="s">
        <v>96</v>
      </c>
      <c r="F8" s="12">
        <v>3719.01</v>
      </c>
    </row>
    <row r="9" spans="1:6">
      <c r="A9" s="2" t="s">
        <v>60</v>
      </c>
      <c r="B9" s="3" t="s">
        <v>2</v>
      </c>
      <c r="C9" s="12">
        <v>1239.68</v>
      </c>
      <c r="D9" s="2" t="s">
        <v>97</v>
      </c>
      <c r="E9" s="3" t="s">
        <v>98</v>
      </c>
      <c r="F9" s="12">
        <v>2479.34</v>
      </c>
    </row>
    <row r="10" spans="1:6">
      <c r="A10" s="2" t="s">
        <v>61</v>
      </c>
      <c r="B10" s="3" t="s">
        <v>29</v>
      </c>
      <c r="C10" s="12">
        <v>1115.7</v>
      </c>
      <c r="D10" s="2" t="s">
        <v>99</v>
      </c>
      <c r="E10" s="3" t="s">
        <v>100</v>
      </c>
      <c r="F10" s="12">
        <v>2561.98</v>
      </c>
    </row>
    <row r="11" spans="1:6">
      <c r="A11" s="2" t="s">
        <v>62</v>
      </c>
      <c r="B11" s="3" t="s">
        <v>7</v>
      </c>
      <c r="C11" s="12">
        <v>17677.689999999999</v>
      </c>
      <c r="D11" s="2" t="s">
        <v>101</v>
      </c>
      <c r="E11" s="3" t="s">
        <v>102</v>
      </c>
      <c r="F11" s="12">
        <v>1425.62</v>
      </c>
    </row>
    <row r="12" spans="1:6">
      <c r="A12" s="2" t="s">
        <v>63</v>
      </c>
      <c r="B12" s="3" t="s">
        <v>2</v>
      </c>
      <c r="C12" s="12">
        <v>1818.18</v>
      </c>
      <c r="D12" s="2" t="s">
        <v>103</v>
      </c>
      <c r="E12" s="3" t="s">
        <v>104</v>
      </c>
      <c r="F12" s="12">
        <v>1487.6</v>
      </c>
    </row>
    <row r="13" spans="1:6">
      <c r="A13" s="2" t="s">
        <v>64</v>
      </c>
      <c r="B13" s="3" t="s">
        <v>6</v>
      </c>
      <c r="C13" s="12">
        <v>36524.379999999997</v>
      </c>
      <c r="D13" s="2" t="s">
        <v>105</v>
      </c>
      <c r="E13" s="3" t="s">
        <v>106</v>
      </c>
      <c r="F13" s="12">
        <v>1735.54</v>
      </c>
    </row>
    <row r="14" spans="1:6">
      <c r="A14" s="2" t="s">
        <v>65</v>
      </c>
      <c r="B14" s="3" t="s">
        <v>38</v>
      </c>
      <c r="C14" s="12">
        <v>7421.49</v>
      </c>
      <c r="D14" s="2" t="s">
        <v>107</v>
      </c>
      <c r="E14" s="3" t="s">
        <v>108</v>
      </c>
      <c r="F14" s="12">
        <v>3966.95</v>
      </c>
    </row>
    <row r="15" spans="1:6">
      <c r="A15" s="2" t="s">
        <v>66</v>
      </c>
      <c r="B15" s="3" t="s">
        <v>5</v>
      </c>
      <c r="C15" s="12">
        <v>9322.31</v>
      </c>
      <c r="D15" s="2" t="s">
        <v>109</v>
      </c>
      <c r="E15" s="3" t="s">
        <v>110</v>
      </c>
      <c r="F15" s="12">
        <v>9917.35</v>
      </c>
    </row>
    <row r="16" spans="1:6">
      <c r="A16" s="2" t="s">
        <v>67</v>
      </c>
      <c r="B16" s="3" t="s">
        <v>68</v>
      </c>
      <c r="C16" s="12">
        <v>11570.24</v>
      </c>
      <c r="D16" s="2" t="s">
        <v>111</v>
      </c>
      <c r="E16" s="3" t="s">
        <v>112</v>
      </c>
      <c r="F16" s="12">
        <v>4132.2300000000005</v>
      </c>
    </row>
    <row r="17" spans="1:6">
      <c r="A17" s="2" t="s">
        <v>69</v>
      </c>
      <c r="B17" s="3" t="s">
        <v>4</v>
      </c>
      <c r="C17" s="12">
        <v>9421.49</v>
      </c>
      <c r="D17" s="2" t="s">
        <v>113</v>
      </c>
      <c r="E17" s="3" t="s">
        <v>30</v>
      </c>
      <c r="F17" s="12">
        <v>1735.54</v>
      </c>
    </row>
    <row r="18" spans="1:6">
      <c r="A18" s="2" t="s">
        <v>70</v>
      </c>
      <c r="B18" s="3" t="s">
        <v>28</v>
      </c>
      <c r="C18" s="12">
        <v>5785.12</v>
      </c>
      <c r="D18" s="2" t="s">
        <v>114</v>
      </c>
      <c r="E18" s="3" t="s">
        <v>34</v>
      </c>
      <c r="F18" s="12">
        <v>1239.67</v>
      </c>
    </row>
    <row r="19" spans="1:6">
      <c r="A19" s="2" t="s">
        <v>71</v>
      </c>
      <c r="B19" s="3" t="s">
        <v>37</v>
      </c>
      <c r="C19" s="12">
        <v>2127.2800000000002</v>
      </c>
      <c r="D19" s="2" t="s">
        <v>115</v>
      </c>
      <c r="E19" s="3" t="s">
        <v>45</v>
      </c>
      <c r="F19" s="12">
        <v>4462.8100000000004</v>
      </c>
    </row>
    <row r="20" spans="1:6">
      <c r="A20" s="2" t="s">
        <v>72</v>
      </c>
      <c r="B20" s="3" t="s">
        <v>37</v>
      </c>
      <c r="C20" s="12">
        <v>1573.97</v>
      </c>
      <c r="D20" s="2" t="s">
        <v>116</v>
      </c>
      <c r="E20" s="3" t="s">
        <v>117</v>
      </c>
      <c r="F20" s="12">
        <v>909.09</v>
      </c>
    </row>
    <row r="21" spans="1:6">
      <c r="A21" s="2" t="s">
        <v>73</v>
      </c>
      <c r="B21" s="3" t="s">
        <v>37</v>
      </c>
      <c r="C21" s="12">
        <v>940.08</v>
      </c>
      <c r="D21" s="2" t="s">
        <v>118</v>
      </c>
      <c r="E21" s="3" t="s">
        <v>8</v>
      </c>
      <c r="F21" s="12">
        <v>5785.12</v>
      </c>
    </row>
    <row r="22" spans="1:6">
      <c r="A22" s="2" t="s">
        <v>74</v>
      </c>
      <c r="B22" s="3" t="s">
        <v>37</v>
      </c>
      <c r="C22" s="12">
        <v>311.57</v>
      </c>
      <c r="D22" s="2" t="s">
        <v>119</v>
      </c>
      <c r="E22" s="3" t="s">
        <v>25</v>
      </c>
      <c r="F22" s="12">
        <v>4704.13</v>
      </c>
    </row>
    <row r="23" spans="1:6">
      <c r="A23" s="2" t="s">
        <v>75</v>
      </c>
      <c r="B23" s="3" t="s">
        <v>37</v>
      </c>
      <c r="C23" s="12">
        <v>2127.2800000000002</v>
      </c>
      <c r="D23" s="2" t="s">
        <v>120</v>
      </c>
      <c r="E23" s="3" t="s">
        <v>15</v>
      </c>
      <c r="F23" s="12">
        <v>1570.25</v>
      </c>
    </row>
    <row r="24" spans="1:6">
      <c r="A24" s="2" t="s">
        <v>76</v>
      </c>
      <c r="B24" s="3" t="s">
        <v>2</v>
      </c>
      <c r="C24" s="12">
        <v>3966.94</v>
      </c>
      <c r="D24" s="2" t="s">
        <v>121</v>
      </c>
      <c r="E24" s="3" t="s">
        <v>122</v>
      </c>
      <c r="F24" s="12">
        <v>1570.24</v>
      </c>
    </row>
    <row r="25" spans="1:6">
      <c r="A25" s="2" t="s">
        <v>77</v>
      </c>
      <c r="B25" s="3" t="s">
        <v>40</v>
      </c>
      <c r="C25" s="12">
        <v>661.16</v>
      </c>
      <c r="D25" s="2" t="s">
        <v>123</v>
      </c>
      <c r="E25" s="3" t="s">
        <v>42</v>
      </c>
      <c r="F25" s="12">
        <v>9256.2100000000009</v>
      </c>
    </row>
    <row r="26" spans="1:6">
      <c r="A26" s="2" t="s">
        <v>78</v>
      </c>
      <c r="B26" s="3" t="s">
        <v>40</v>
      </c>
      <c r="C26" s="12">
        <v>892.56</v>
      </c>
      <c r="D26" s="2" t="s">
        <v>124</v>
      </c>
      <c r="E26" s="3" t="s">
        <v>43</v>
      </c>
      <c r="F26" s="12">
        <v>153635.29</v>
      </c>
    </row>
    <row r="27" spans="1:6">
      <c r="A27" s="2" t="s">
        <v>79</v>
      </c>
      <c r="B27" s="3" t="s">
        <v>39</v>
      </c>
      <c r="C27" s="12">
        <v>9173.5500000000011</v>
      </c>
      <c r="D27" s="2" t="s">
        <v>125</v>
      </c>
      <c r="E27" s="3" t="s">
        <v>126</v>
      </c>
      <c r="F27" s="12">
        <v>1710.75</v>
      </c>
    </row>
    <row r="28" spans="1:6">
      <c r="A28" s="2" t="s">
        <v>80</v>
      </c>
      <c r="B28" s="3" t="s">
        <v>40</v>
      </c>
      <c r="C28" s="12">
        <v>1041.33</v>
      </c>
      <c r="D28" s="2" t="s">
        <v>127</v>
      </c>
      <c r="E28" s="3" t="s">
        <v>14</v>
      </c>
      <c r="F28" s="12">
        <v>1735.54</v>
      </c>
    </row>
    <row r="29" spans="1:6">
      <c r="A29" s="2" t="s">
        <v>81</v>
      </c>
      <c r="B29" s="3" t="s">
        <v>40</v>
      </c>
      <c r="C29" s="12">
        <v>661.16</v>
      </c>
      <c r="D29" s="2" t="s">
        <v>128</v>
      </c>
      <c r="E29" s="3" t="s">
        <v>44</v>
      </c>
      <c r="F29" s="12">
        <v>2396.7000000000003</v>
      </c>
    </row>
    <row r="30" spans="1:6">
      <c r="A30" s="2" t="s">
        <v>82</v>
      </c>
      <c r="B30" s="3" t="s">
        <v>2</v>
      </c>
      <c r="C30" s="12">
        <v>1652.9</v>
      </c>
      <c r="D30" s="2" t="s">
        <v>129</v>
      </c>
      <c r="E30" s="3" t="s">
        <v>46</v>
      </c>
      <c r="F30" s="12">
        <v>20421.490000000002</v>
      </c>
    </row>
    <row r="31" spans="1:6">
      <c r="A31" s="2" t="s">
        <v>83</v>
      </c>
      <c r="B31" s="3" t="s">
        <v>84</v>
      </c>
      <c r="C31" s="12">
        <v>19834.71</v>
      </c>
      <c r="D31" s="2" t="s">
        <v>130</v>
      </c>
      <c r="E31" s="3" t="s">
        <v>131</v>
      </c>
      <c r="F31" s="12">
        <v>4958.68</v>
      </c>
    </row>
    <row r="32" spans="1:6">
      <c r="A32" s="2" t="s">
        <v>85</v>
      </c>
      <c r="B32" s="3" t="s">
        <v>2</v>
      </c>
      <c r="C32" s="12">
        <v>454.55</v>
      </c>
      <c r="D32" s="2" t="s">
        <v>132</v>
      </c>
      <c r="E32" s="3" t="s">
        <v>49</v>
      </c>
      <c r="F32" s="12">
        <v>3925.61</v>
      </c>
    </row>
    <row r="33" spans="1:6">
      <c r="A33" s="4"/>
      <c r="B33" s="4"/>
      <c r="C33" s="4"/>
      <c r="D33" s="2" t="s">
        <v>133</v>
      </c>
      <c r="E33" s="3" t="s">
        <v>134</v>
      </c>
      <c r="F33" s="12">
        <v>1487.6</v>
      </c>
    </row>
    <row r="34" spans="1:6">
      <c r="A34" s="4"/>
      <c r="B34" s="4"/>
      <c r="C34" s="4"/>
      <c r="D34" s="2" t="s">
        <v>135</v>
      </c>
      <c r="E34" s="3" t="s">
        <v>136</v>
      </c>
      <c r="F34" s="12">
        <v>1983.47</v>
      </c>
    </row>
    <row r="35" spans="1:6">
      <c r="A35" s="4"/>
      <c r="B35" s="4"/>
      <c r="C35" s="4"/>
      <c r="D35" s="2" t="s">
        <v>137</v>
      </c>
      <c r="E35" s="3" t="s">
        <v>27</v>
      </c>
      <c r="F35" s="12">
        <v>1363.63</v>
      </c>
    </row>
    <row r="36" spans="1:6">
      <c r="A36" s="4"/>
      <c r="B36" s="4"/>
      <c r="C36" s="4"/>
      <c r="D36" s="2" t="s">
        <v>138</v>
      </c>
      <c r="E36" s="3" t="s">
        <v>139</v>
      </c>
      <c r="F36" s="12">
        <v>1322.32</v>
      </c>
    </row>
    <row r="37" spans="1:6">
      <c r="A37" s="4"/>
      <c r="B37" s="4"/>
      <c r="C37" s="4"/>
      <c r="D37" s="2" t="s">
        <v>140</v>
      </c>
      <c r="E37" s="3" t="s">
        <v>141</v>
      </c>
      <c r="F37" s="12">
        <v>1487.61</v>
      </c>
    </row>
    <row r="38" spans="1:6">
      <c r="A38" s="4"/>
      <c r="B38" s="4"/>
      <c r="C38" s="4"/>
      <c r="D38" s="2" t="s">
        <v>142</v>
      </c>
      <c r="E38" s="3" t="s">
        <v>23</v>
      </c>
      <c r="F38" s="12">
        <v>1652.9</v>
      </c>
    </row>
    <row r="39" spans="1:6">
      <c r="A39" s="4"/>
      <c r="B39" s="4"/>
      <c r="C39" s="4"/>
      <c r="D39" s="2" t="s">
        <v>143</v>
      </c>
      <c r="E39" s="3" t="s">
        <v>144</v>
      </c>
      <c r="F39" s="12">
        <v>2809.91</v>
      </c>
    </row>
    <row r="40" spans="1:6">
      <c r="A40" s="4"/>
      <c r="B40" s="4"/>
      <c r="C40" s="4"/>
      <c r="D40" s="2" t="s">
        <v>145</v>
      </c>
      <c r="E40" s="3" t="s">
        <v>144</v>
      </c>
      <c r="F40" s="12">
        <v>2809.92</v>
      </c>
    </row>
    <row r="41" spans="1:6">
      <c r="A41" s="4"/>
      <c r="B41" s="4"/>
      <c r="C41" s="4"/>
      <c r="D41" s="2" t="s">
        <v>146</v>
      </c>
      <c r="E41" s="3" t="s">
        <v>47</v>
      </c>
      <c r="F41" s="12">
        <v>3801.66</v>
      </c>
    </row>
    <row r="42" spans="1:6">
      <c r="A42" s="4"/>
      <c r="B42" s="4"/>
      <c r="C42" s="4"/>
      <c r="D42" s="2" t="s">
        <v>147</v>
      </c>
      <c r="E42" s="3" t="s">
        <v>148</v>
      </c>
      <c r="F42" s="12">
        <v>1487.6</v>
      </c>
    </row>
    <row r="43" spans="1:6">
      <c r="A43" s="4"/>
      <c r="B43" s="4"/>
      <c r="C43" s="4"/>
      <c r="D43" s="2" t="s">
        <v>149</v>
      </c>
      <c r="E43" s="3" t="s">
        <v>150</v>
      </c>
      <c r="F43" s="12">
        <v>2066.11</v>
      </c>
    </row>
    <row r="44" spans="1:6">
      <c r="A44" s="4"/>
      <c r="B44" s="4"/>
      <c r="C44" s="4"/>
      <c r="D44" s="2" t="s">
        <v>151</v>
      </c>
      <c r="E44" s="3" t="s">
        <v>150</v>
      </c>
      <c r="F44" s="12">
        <v>1652.9</v>
      </c>
    </row>
    <row r="45" spans="1:6">
      <c r="A45" s="4"/>
      <c r="B45" s="4"/>
      <c r="C45" s="4"/>
      <c r="D45" s="2" t="s">
        <v>152</v>
      </c>
      <c r="E45" s="3" t="s">
        <v>150</v>
      </c>
      <c r="F45" s="12">
        <v>2066.12</v>
      </c>
    </row>
    <row r="46" spans="1:6">
      <c r="A46" s="4"/>
      <c r="B46" s="4"/>
      <c r="C46" s="4"/>
      <c r="D46" s="2" t="s">
        <v>153</v>
      </c>
      <c r="E46" s="3" t="s">
        <v>150</v>
      </c>
      <c r="F46" s="12">
        <v>1652.89</v>
      </c>
    </row>
    <row r="47" spans="1:6">
      <c r="A47" s="4"/>
      <c r="B47" s="4"/>
      <c r="C47" s="4"/>
      <c r="D47" s="2" t="s">
        <v>154</v>
      </c>
      <c r="E47" s="3" t="s">
        <v>112</v>
      </c>
      <c r="F47" s="12">
        <v>4132.2300000000005</v>
      </c>
    </row>
    <row r="48" spans="1:6">
      <c r="A48" s="4"/>
      <c r="B48" s="4"/>
      <c r="C48" s="4"/>
      <c r="D48" s="2" t="s">
        <v>155</v>
      </c>
      <c r="E48" s="3" t="s">
        <v>10</v>
      </c>
      <c r="F48" s="12">
        <v>1115.7</v>
      </c>
    </row>
    <row r="49" spans="1:6">
      <c r="A49" s="4"/>
      <c r="B49" s="4"/>
      <c r="C49" s="4"/>
      <c r="D49" s="2" t="s">
        <v>156</v>
      </c>
      <c r="E49" s="3" t="s">
        <v>26</v>
      </c>
      <c r="F49" s="12">
        <v>1074.3800000000001</v>
      </c>
    </row>
    <row r="50" spans="1:6">
      <c r="A50" s="4"/>
      <c r="B50" s="4"/>
      <c r="C50" s="4"/>
      <c r="D50" s="2" t="s">
        <v>157</v>
      </c>
      <c r="E50" s="3" t="s">
        <v>158</v>
      </c>
      <c r="F50" s="12">
        <v>3966.95</v>
      </c>
    </row>
    <row r="51" spans="1:6">
      <c r="A51" s="4"/>
      <c r="B51" s="4"/>
      <c r="C51" s="4"/>
      <c r="D51" s="2" t="s">
        <v>159</v>
      </c>
      <c r="E51" s="3" t="s">
        <v>160</v>
      </c>
      <c r="F51" s="12">
        <v>7933.89</v>
      </c>
    </row>
    <row r="52" spans="1:6">
      <c r="A52" s="4"/>
      <c r="B52" s="4"/>
      <c r="C52" s="4"/>
      <c r="D52" s="2" t="s">
        <v>161</v>
      </c>
      <c r="E52" s="3" t="s">
        <v>11</v>
      </c>
      <c r="F52" s="12">
        <v>1239.67</v>
      </c>
    </row>
    <row r="53" spans="1:6">
      <c r="A53" s="4"/>
      <c r="B53" s="4"/>
      <c r="C53" s="4"/>
      <c r="D53" s="2" t="s">
        <v>162</v>
      </c>
      <c r="E53" s="3" t="s">
        <v>163</v>
      </c>
      <c r="F53" s="12">
        <v>2066.12</v>
      </c>
    </row>
    <row r="54" spans="1:6">
      <c r="A54" s="4"/>
      <c r="B54" s="4"/>
      <c r="C54" s="4"/>
      <c r="D54" s="2" t="s">
        <v>164</v>
      </c>
      <c r="E54" s="3" t="s">
        <v>165</v>
      </c>
      <c r="F54" s="12">
        <v>2479.34</v>
      </c>
    </row>
    <row r="55" spans="1:6">
      <c r="A55" s="4"/>
      <c r="B55" s="4"/>
      <c r="C55" s="4"/>
      <c r="D55" s="2" t="s">
        <v>166</v>
      </c>
      <c r="E55" s="3" t="s">
        <v>167</v>
      </c>
      <c r="F55" s="12">
        <v>4462.8100000000004</v>
      </c>
    </row>
    <row r="56" spans="1:6">
      <c r="A56" s="4"/>
      <c r="B56" s="4"/>
      <c r="C56" s="4"/>
      <c r="D56" s="2" t="s">
        <v>168</v>
      </c>
      <c r="E56" s="3" t="s">
        <v>33</v>
      </c>
      <c r="F56" s="12">
        <v>2066.12</v>
      </c>
    </row>
    <row r="57" spans="1:6">
      <c r="A57" s="4"/>
      <c r="B57" s="4"/>
      <c r="C57" s="4"/>
      <c r="D57" s="2" t="s">
        <v>169</v>
      </c>
      <c r="E57" s="3" t="s">
        <v>12</v>
      </c>
      <c r="F57" s="12">
        <v>1735.54</v>
      </c>
    </row>
    <row r="58" spans="1:6">
      <c r="A58" s="4"/>
      <c r="B58" s="4"/>
      <c r="C58" s="4"/>
      <c r="D58" s="2" t="s">
        <v>170</v>
      </c>
      <c r="E58" s="3" t="s">
        <v>171</v>
      </c>
      <c r="F58" s="12">
        <v>1983.47</v>
      </c>
    </row>
    <row r="59" spans="1:6">
      <c r="A59" s="4"/>
      <c r="B59" s="4"/>
      <c r="C59" s="4"/>
      <c r="D59" s="2" t="s">
        <v>172</v>
      </c>
      <c r="E59" s="3" t="s">
        <v>48</v>
      </c>
      <c r="F59" s="12">
        <v>1983.47</v>
      </c>
    </row>
    <row r="60" spans="1:6">
      <c r="A60" s="4"/>
      <c r="B60" s="4"/>
      <c r="C60" s="4"/>
      <c r="D60" s="2" t="s">
        <v>173</v>
      </c>
      <c r="E60" s="3" t="s">
        <v>51</v>
      </c>
      <c r="F60" s="12">
        <v>1611.57</v>
      </c>
    </row>
    <row r="61" spans="1:6">
      <c r="A61" s="4"/>
      <c r="B61" s="4"/>
      <c r="C61" s="4"/>
      <c r="D61" s="2" t="s">
        <v>174</v>
      </c>
      <c r="E61" s="3" t="s">
        <v>13</v>
      </c>
      <c r="F61" s="12">
        <v>1735.54</v>
      </c>
    </row>
    <row r="62" spans="1:6">
      <c r="A62" s="4"/>
      <c r="B62" s="4"/>
      <c r="C62" s="4"/>
      <c r="D62" s="2" t="s">
        <v>175</v>
      </c>
      <c r="E62" s="3" t="s">
        <v>176</v>
      </c>
      <c r="F62" s="12">
        <v>1216.53</v>
      </c>
    </row>
    <row r="63" spans="1:6">
      <c r="A63" s="4"/>
      <c r="B63" s="4"/>
      <c r="C63" s="4"/>
      <c r="D63" s="2" t="s">
        <v>177</v>
      </c>
      <c r="E63" s="3" t="s">
        <v>176</v>
      </c>
      <c r="F63" s="12">
        <v>1652.89</v>
      </c>
    </row>
    <row r="64" spans="1:6">
      <c r="A64" s="4"/>
      <c r="B64" s="4"/>
      <c r="C64" s="4"/>
      <c r="D64" s="2" t="s">
        <v>178</v>
      </c>
      <c r="E64" s="3" t="s">
        <v>179</v>
      </c>
      <c r="F64" s="12">
        <v>1487.6</v>
      </c>
    </row>
    <row r="65" spans="1:6">
      <c r="A65" s="4"/>
      <c r="B65" s="4"/>
      <c r="C65" s="4"/>
      <c r="D65" s="2" t="s">
        <v>180</v>
      </c>
      <c r="E65" s="3" t="s">
        <v>179</v>
      </c>
      <c r="F65" s="12">
        <v>1487.61</v>
      </c>
    </row>
    <row r="66" spans="1:6">
      <c r="A66" s="4"/>
      <c r="B66" s="4"/>
      <c r="C66" s="4"/>
      <c r="D66" s="2" t="s">
        <v>181</v>
      </c>
      <c r="E66" s="3" t="s">
        <v>24</v>
      </c>
      <c r="F66" s="12">
        <v>1487.6</v>
      </c>
    </row>
    <row r="67" spans="1:6">
      <c r="A67" s="4"/>
      <c r="B67" s="4"/>
      <c r="C67" s="4"/>
      <c r="D67" s="2" t="s">
        <v>182</v>
      </c>
      <c r="E67" s="3" t="s">
        <v>50</v>
      </c>
      <c r="F67" s="12">
        <v>1983.47</v>
      </c>
    </row>
    <row r="68" spans="1:6">
      <c r="A68" s="4"/>
      <c r="B68" s="4"/>
      <c r="C68" s="4"/>
      <c r="D68" s="2" t="s">
        <v>183</v>
      </c>
      <c r="E68" s="3" t="s">
        <v>184</v>
      </c>
      <c r="F68" s="12">
        <v>2066.12</v>
      </c>
    </row>
    <row r="69" spans="1:6">
      <c r="A69" s="4"/>
      <c r="B69" s="4"/>
      <c r="C69" s="4"/>
      <c r="D69" s="2" t="s">
        <v>185</v>
      </c>
      <c r="E69" s="3" t="s">
        <v>186</v>
      </c>
      <c r="F69" s="12">
        <v>2975.21</v>
      </c>
    </row>
    <row r="70" spans="1:6">
      <c r="A70" s="4"/>
      <c r="B70" s="4"/>
      <c r="C70" s="4"/>
      <c r="D70" s="2" t="s">
        <v>187</v>
      </c>
      <c r="E70" s="3" t="s">
        <v>186</v>
      </c>
      <c r="F70" s="12">
        <v>1652.9</v>
      </c>
    </row>
    <row r="71" spans="1:6">
      <c r="A71" s="4"/>
      <c r="B71" s="4"/>
      <c r="C71" s="4"/>
      <c r="D71" s="2" t="s">
        <v>188</v>
      </c>
      <c r="E71" s="3" t="s">
        <v>189</v>
      </c>
      <c r="F71" s="12">
        <v>1983.47</v>
      </c>
    </row>
    <row r="72" spans="1:6">
      <c r="A72" s="4"/>
      <c r="B72" s="4"/>
      <c r="C72" s="4"/>
      <c r="D72" s="2" t="s">
        <v>190</v>
      </c>
      <c r="E72" s="3" t="s">
        <v>9</v>
      </c>
      <c r="F72" s="12">
        <v>2066.12</v>
      </c>
    </row>
    <row r="73" spans="1:6">
      <c r="A73" s="4"/>
      <c r="B73" s="4"/>
      <c r="C73" s="4"/>
      <c r="D73" s="2" t="s">
        <v>191</v>
      </c>
      <c r="E73" s="3" t="s">
        <v>192</v>
      </c>
      <c r="F73" s="12">
        <v>7438.02</v>
      </c>
    </row>
    <row r="74" spans="1:6">
      <c r="A74" s="4"/>
      <c r="B74" s="4"/>
      <c r="C74" s="4"/>
      <c r="D74" s="2" t="s">
        <v>193</v>
      </c>
      <c r="E74" s="3" t="s">
        <v>194</v>
      </c>
      <c r="F74" s="12">
        <v>5702.48</v>
      </c>
    </row>
    <row r="75" spans="1:6">
      <c r="A75" s="4"/>
      <c r="B75" s="4"/>
      <c r="C75" s="4"/>
      <c r="D75" s="2" t="s">
        <v>195</v>
      </c>
      <c r="E75" s="3" t="s">
        <v>36</v>
      </c>
      <c r="F75" s="12">
        <v>5206.6099999999997</v>
      </c>
    </row>
    <row r="76" spans="1:6">
      <c r="A76" s="4"/>
      <c r="B76" s="4"/>
      <c r="C76" s="4"/>
      <c r="D76" s="2" t="s">
        <v>196</v>
      </c>
      <c r="E76" s="3" t="s">
        <v>35</v>
      </c>
      <c r="F76" s="12">
        <v>2066.12</v>
      </c>
    </row>
    <row r="77" spans="1:6">
      <c r="A77" s="4"/>
      <c r="B77" s="4"/>
      <c r="C77" s="4"/>
      <c r="D77" s="2" t="s">
        <v>197</v>
      </c>
      <c r="E77" s="3" t="s">
        <v>198</v>
      </c>
      <c r="F77" s="12">
        <v>2314.0500000000002</v>
      </c>
    </row>
    <row r="78" spans="1:6">
      <c r="A78" s="4"/>
      <c r="B78" s="4"/>
      <c r="C78" s="4"/>
      <c r="D78" s="2" t="s">
        <v>199</v>
      </c>
      <c r="E78" s="3" t="s">
        <v>200</v>
      </c>
      <c r="F78" s="12">
        <v>1983.47</v>
      </c>
    </row>
    <row r="79" spans="1:6">
      <c r="A79" s="4"/>
      <c r="B79" s="4"/>
      <c r="C79" s="4"/>
      <c r="D79" s="2" t="s">
        <v>201</v>
      </c>
      <c r="E79" s="3" t="s">
        <v>202</v>
      </c>
      <c r="F79" s="12">
        <v>7851.23</v>
      </c>
    </row>
    <row r="80" spans="1:6">
      <c r="A80" s="4"/>
      <c r="B80" s="4"/>
      <c r="C80" s="4"/>
      <c r="D80" s="2" t="s">
        <v>203</v>
      </c>
      <c r="E80" s="3" t="s">
        <v>100</v>
      </c>
      <c r="F80" s="12">
        <v>2561.98</v>
      </c>
    </row>
    <row r="81" spans="1:6">
      <c r="A81" s="4"/>
      <c r="B81" s="4"/>
      <c r="C81" s="4"/>
      <c r="D81" s="2" t="s">
        <v>204</v>
      </c>
      <c r="E81" s="3" t="s">
        <v>205</v>
      </c>
      <c r="F81" s="12">
        <v>454.55</v>
      </c>
    </row>
    <row r="82" spans="1:6">
      <c r="A82" s="4"/>
      <c r="B82" s="4"/>
      <c r="C82" s="4"/>
      <c r="D82" s="2" t="s">
        <v>206</v>
      </c>
      <c r="E82" s="3" t="s">
        <v>32</v>
      </c>
      <c r="F82" s="12">
        <v>1570.25</v>
      </c>
    </row>
    <row r="83" spans="1:6">
      <c r="A83" s="4"/>
      <c r="B83" s="4"/>
      <c r="C83" s="4"/>
      <c r="D83" s="2" t="s">
        <v>207</v>
      </c>
      <c r="E83" s="3" t="s">
        <v>92</v>
      </c>
      <c r="F83" s="12">
        <v>997.53</v>
      </c>
    </row>
    <row r="84" spans="1:6">
      <c r="A84" s="4"/>
      <c r="B84" s="4"/>
      <c r="C84" s="4"/>
      <c r="D84" s="2" t="s">
        <v>208</v>
      </c>
      <c r="E84" s="3" t="s">
        <v>209</v>
      </c>
      <c r="F84" s="12">
        <v>2396.7000000000003</v>
      </c>
    </row>
    <row r="85" spans="1:6">
      <c r="A85" s="4"/>
      <c r="B85" s="4"/>
      <c r="C85" s="4"/>
      <c r="D85" s="2" t="s">
        <v>210</v>
      </c>
      <c r="E85" s="3" t="s">
        <v>106</v>
      </c>
      <c r="F85" s="12">
        <v>1735.54</v>
      </c>
    </row>
    <row r="86" spans="1:6">
      <c r="A86" s="4"/>
      <c r="B86" s="4"/>
      <c r="C86" s="4"/>
      <c r="D86" s="2" t="s">
        <v>211</v>
      </c>
      <c r="E86" s="3" t="s">
        <v>96</v>
      </c>
      <c r="F86" s="12">
        <v>3719.01</v>
      </c>
    </row>
    <row r="87" spans="1:6">
      <c r="A87" s="4"/>
      <c r="B87" s="4"/>
      <c r="C87" s="4"/>
      <c r="D87" s="2" t="s">
        <v>212</v>
      </c>
      <c r="E87" s="3" t="s">
        <v>213</v>
      </c>
      <c r="F87" s="12">
        <v>1983.47</v>
      </c>
    </row>
    <row r="88" spans="1:6">
      <c r="A88" s="4"/>
      <c r="B88" s="4"/>
      <c r="C88" s="4"/>
      <c r="D88" s="2" t="s">
        <v>214</v>
      </c>
      <c r="E88" s="3" t="s">
        <v>16</v>
      </c>
      <c r="F88" s="12">
        <v>1735.54</v>
      </c>
    </row>
    <row r="89" spans="1:6">
      <c r="A89" s="4"/>
      <c r="B89" s="4"/>
      <c r="C89" s="4"/>
      <c r="D89" s="2" t="s">
        <v>215</v>
      </c>
      <c r="E89" s="3" t="s">
        <v>98</v>
      </c>
      <c r="F89" s="12">
        <v>2479.34</v>
      </c>
    </row>
    <row r="90" spans="1:6">
      <c r="A90" s="4"/>
      <c r="B90" s="4"/>
      <c r="C90" s="4"/>
      <c r="D90" s="2" t="s">
        <v>216</v>
      </c>
      <c r="E90" s="3" t="s">
        <v>217</v>
      </c>
      <c r="F90" s="12">
        <v>1983.47</v>
      </c>
    </row>
    <row r="91" spans="1:6">
      <c r="A91" s="4"/>
      <c r="B91" s="4"/>
      <c r="C91" s="4"/>
      <c r="D91" s="2" t="s">
        <v>218</v>
      </c>
      <c r="E91" s="3" t="s">
        <v>31</v>
      </c>
      <c r="F91" s="12">
        <v>1818.18</v>
      </c>
    </row>
    <row r="92" spans="1:6" ht="15.75">
      <c r="A92" s="5" t="s">
        <v>21</v>
      </c>
      <c r="B92" s="5"/>
      <c r="C92" s="6">
        <f>SUM(C3:C91)</f>
        <v>1745069.9099999997</v>
      </c>
      <c r="D92" s="5" t="s">
        <v>21</v>
      </c>
      <c r="E92" s="5"/>
      <c r="F92" s="7">
        <f>SUM(F3:F91)</f>
        <v>408946.10999999969</v>
      </c>
    </row>
    <row r="93" spans="1:6" ht="15.75">
      <c r="A93" s="8" t="s">
        <v>0</v>
      </c>
      <c r="B93" s="8"/>
      <c r="C93" s="9">
        <f>(C92*0.21)</f>
        <v>366464.68109999993</v>
      </c>
      <c r="D93" s="8" t="s">
        <v>0</v>
      </c>
      <c r="E93" s="8"/>
      <c r="F93" s="7">
        <f>(F92*0.21)</f>
        <v>85878.683099999937</v>
      </c>
    </row>
    <row r="94" spans="1:6" ht="15.75">
      <c r="A94" s="8" t="s">
        <v>22</v>
      </c>
      <c r="B94" s="8"/>
      <c r="C94" s="10">
        <f>SUM(C92:C93)</f>
        <v>2111534.5910999998</v>
      </c>
      <c r="D94" s="8" t="s">
        <v>22</v>
      </c>
      <c r="E94" s="8"/>
      <c r="F94" s="11">
        <f>SUM(F92:F93)</f>
        <v>494824.79309999966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2022-04-06T16:52:10Z</dcterms:modified>
</cp:coreProperties>
</file>