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5600" windowHeight="11160" firstSheet="6" activeTab="10"/>
  </bookViews>
  <sheets>
    <sheet name="01-23" sheetId="1" r:id="rId1"/>
    <sheet name="03-23" sheetId="2" r:id="rId2"/>
    <sheet name="04-23" sheetId="5" r:id="rId3"/>
    <sheet name="05-23" sheetId="6" r:id="rId4"/>
    <sheet name="06-23" sheetId="7" r:id="rId5"/>
    <sheet name="07-23" sheetId="8" r:id="rId6"/>
    <sheet name="08-23" sheetId="9" r:id="rId7"/>
    <sheet name="09-23" sheetId="11" r:id="rId8"/>
    <sheet name="10-23" sheetId="12" r:id="rId9"/>
    <sheet name="11-23" sheetId="13" r:id="rId10"/>
    <sheet name="12-23" sheetId="15" r:id="rId11"/>
  </sheets>
  <definedNames>
    <definedName name="_xlnm._FilterDatabase" localSheetId="7" hidden="1">'09-23'!$A$85:$H$455</definedName>
  </definedNames>
  <calcPr calcId="162913"/>
</workbook>
</file>

<file path=xl/calcChain.xml><?xml version="1.0" encoding="utf-8"?>
<calcChain xmlns="http://schemas.openxmlformats.org/spreadsheetml/2006/main">
  <c r="K300" i="15" l="1"/>
  <c r="J300" i="15"/>
  <c r="I300" i="15"/>
  <c r="K299" i="15"/>
  <c r="K301" i="15" s="1"/>
  <c r="J299" i="15"/>
  <c r="J301" i="15" s="1"/>
  <c r="I299" i="15"/>
  <c r="I301" i="15" s="1"/>
  <c r="L354" i="13" l="1"/>
  <c r="M355" i="13"/>
  <c r="L355" i="13"/>
  <c r="K355" i="13"/>
  <c r="F68" i="13"/>
  <c r="K354" i="13" s="1"/>
  <c r="K356" i="13" s="1"/>
  <c r="N68" i="13"/>
  <c r="M354" i="13" s="1"/>
  <c r="M356" i="13" s="1"/>
  <c r="L356" i="13" l="1"/>
  <c r="L454" i="12"/>
  <c r="K454" i="12"/>
  <c r="F450" i="12"/>
  <c r="J455" i="12" s="1"/>
  <c r="J454" i="12"/>
  <c r="L453" i="12"/>
  <c r="K453" i="12"/>
  <c r="J453" i="12"/>
  <c r="M450" i="12"/>
  <c r="L455" i="12" s="1"/>
  <c r="J450" i="12"/>
  <c r="K455" i="12" s="1"/>
  <c r="L450" i="12"/>
  <c r="K450" i="12"/>
  <c r="I450" i="12"/>
  <c r="H450" i="12"/>
  <c r="G450" i="12"/>
  <c r="G455" i="11" l="1"/>
  <c r="G458" i="11" s="1"/>
  <c r="H455" i="11"/>
  <c r="H458" i="11" s="1"/>
  <c r="F455" i="11"/>
  <c r="F458" i="11" s="1"/>
  <c r="F82" i="11"/>
  <c r="F457" i="11" s="1"/>
  <c r="F459" i="11" s="1"/>
  <c r="G82" i="11"/>
  <c r="G457" i="11" s="1"/>
  <c r="G459" i="11" s="1"/>
  <c r="H82" i="11"/>
  <c r="H457" i="11" s="1"/>
  <c r="H459" i="11" l="1"/>
  <c r="K454" i="9"/>
  <c r="K79" i="9"/>
  <c r="F79" i="9"/>
  <c r="F454" i="9"/>
  <c r="N79" i="9"/>
  <c r="M79" i="9"/>
  <c r="L79" i="9"/>
  <c r="J79" i="9"/>
  <c r="I79" i="9"/>
  <c r="H79" i="9"/>
  <c r="G79" i="9"/>
  <c r="J456" i="9" l="1"/>
  <c r="J457" i="9"/>
  <c r="L394" i="8"/>
  <c r="K394" i="8"/>
  <c r="J394" i="8"/>
  <c r="K66" i="8" l="1"/>
  <c r="L66" i="8"/>
  <c r="J66" i="8"/>
  <c r="K382" i="8"/>
  <c r="J382" i="8"/>
  <c r="L382" i="8"/>
  <c r="H56" i="7" l="1"/>
  <c r="I56" i="7"/>
  <c r="J56" i="7"/>
  <c r="K56" i="7"/>
  <c r="L56" i="7"/>
  <c r="M56" i="7"/>
  <c r="N56" i="7"/>
  <c r="O56" i="7"/>
  <c r="G56" i="7"/>
  <c r="H342" i="7"/>
  <c r="I342" i="7"/>
  <c r="J342" i="7"/>
  <c r="K342" i="7"/>
  <c r="L342" i="7"/>
  <c r="M342" i="7"/>
  <c r="N342" i="7"/>
  <c r="O342" i="7"/>
  <c r="G342" i="7"/>
  <c r="G344" i="7" s="1"/>
  <c r="O344" i="7" l="1"/>
  <c r="L344" i="7"/>
  <c r="L49" i="6"/>
  <c r="G49" i="6"/>
  <c r="L379" i="6"/>
  <c r="G379" i="6"/>
  <c r="G380" i="6" l="1"/>
  <c r="L380" i="6"/>
  <c r="N380" i="6"/>
  <c r="M380" i="6"/>
  <c r="K380" i="6"/>
  <c r="J380" i="6"/>
  <c r="I380" i="6"/>
  <c r="H380" i="6"/>
  <c r="O380" i="6" l="1"/>
  <c r="M322" i="5"/>
  <c r="N322" i="5"/>
  <c r="O322" i="5"/>
  <c r="G322" i="5"/>
  <c r="H322" i="5"/>
  <c r="I322" i="5"/>
  <c r="J322" i="5"/>
  <c r="K322" i="5"/>
  <c r="L322" i="5"/>
  <c r="L359" i="2" l="1"/>
  <c r="G359" i="2"/>
  <c r="G62" i="2"/>
  <c r="L62" i="2"/>
  <c r="Q360" i="2"/>
  <c r="H360" i="2"/>
  <c r="I360" i="2"/>
  <c r="J360" i="2"/>
  <c r="K360" i="2"/>
  <c r="M360" i="2"/>
  <c r="N360" i="2"/>
  <c r="O360" i="2"/>
  <c r="G360" i="2" l="1"/>
  <c r="L360" i="2"/>
  <c r="O314" i="1"/>
  <c r="L314" i="1"/>
  <c r="G314" i="1"/>
  <c r="O71" i="1"/>
  <c r="L71" i="1"/>
  <c r="G71" i="1"/>
  <c r="M314" i="1"/>
  <c r="N314" i="1"/>
  <c r="K314" i="1"/>
  <c r="J314" i="1"/>
  <c r="I314" i="1"/>
  <c r="H314" i="1"/>
  <c r="G318" i="1" l="1"/>
  <c r="O318" i="1"/>
  <c r="L318" i="1"/>
</calcChain>
</file>

<file path=xl/sharedStrings.xml><?xml version="1.0" encoding="utf-8"?>
<sst xmlns="http://schemas.openxmlformats.org/spreadsheetml/2006/main" count="18063" uniqueCount="4257">
  <si>
    <t>Fecha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</si>
  <si>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</si>
  <si>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</si>
  <si>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</si>
  <si>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</si>
  <si>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</si>
  <si>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</si>
  <si>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</si>
  <si>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</si>
  <si>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</si>
  <si>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IVA 21%</t>
  </si>
  <si>
    <t>IVA 27%</t>
  </si>
  <si>
    <t>Otros Imp</t>
  </si>
  <si>
    <t>Total Compr.</t>
  </si>
  <si>
    <t>02/01/2023</t>
  </si>
  <si>
    <t>FA-A 0006-00000286</t>
  </si>
  <si>
    <t>Galeno Argentina Sociedad Anonima</t>
  </si>
  <si>
    <t>IVA Responsable Inscripto</t>
  </si>
  <si>
    <t>FA-A 0006-00000287</t>
  </si>
  <si>
    <t>FA-A 0006-00000288</t>
  </si>
  <si>
    <t>FA-A 0006-00000289</t>
  </si>
  <si>
    <t>FA-A 0006-00000290</t>
  </si>
  <si>
    <t>FA-A 0006-00000291</t>
  </si>
  <si>
    <t>FA-A 0006-00000292</t>
  </si>
  <si>
    <t>03/01/2023</t>
  </si>
  <si>
    <t>FA-A 0006-00000293</t>
  </si>
  <si>
    <t>FA-A 0006-00000294</t>
  </si>
  <si>
    <t>06/01/2023</t>
  </si>
  <si>
    <t>FA-A 0006-00000295</t>
  </si>
  <si>
    <t>10/01/2023</t>
  </si>
  <si>
    <t>FA-A 0006-00000296</t>
  </si>
  <si>
    <t>12/01/2023</t>
  </si>
  <si>
    <t>FA-A 0006-00000297</t>
  </si>
  <si>
    <t>Obra Social Union Personal De La Union  Del Personal Civil De La Nacion</t>
  </si>
  <si>
    <t>16/01/2023</t>
  </si>
  <si>
    <t>FA-A 0006-00000298</t>
  </si>
  <si>
    <t>FA-A 0006-00000299</t>
  </si>
  <si>
    <t>18/01/2023</t>
  </si>
  <si>
    <t>FA-A 0006-00000300</t>
  </si>
  <si>
    <t>25/01/2023</t>
  </si>
  <si>
    <t>FA-A 0006-00000301</t>
  </si>
  <si>
    <t>26/01/2023</t>
  </si>
  <si>
    <t>FA-A 0006-00000302</t>
  </si>
  <si>
    <t>FA-A 0006-00000303</t>
  </si>
  <si>
    <t>31/01/2023</t>
  </si>
  <si>
    <t>FA-A 0006-00000304</t>
  </si>
  <si>
    <t>FA-A 0007-00001293</t>
  </si>
  <si>
    <t>FA-A 0007-00001294</t>
  </si>
  <si>
    <t>FA-A 0007-00001295</t>
  </si>
  <si>
    <t>FA-A 0007-00001296</t>
  </si>
  <si>
    <t>04/01/2023</t>
  </si>
  <si>
    <t>FA-A 0007-00001297</t>
  </si>
  <si>
    <t>FA-A 0007-00001298</t>
  </si>
  <si>
    <t>FA-A 0007-00001299</t>
  </si>
  <si>
    <t>Vitale, Walter Ruben</t>
  </si>
  <si>
    <t>05/01/2023</t>
  </si>
  <si>
    <t>FA-A 0007-00001300</t>
  </si>
  <si>
    <t>Amparo Salud S.R.L.</t>
  </si>
  <si>
    <t>FA-A 0007-00001301</t>
  </si>
  <si>
    <t>FA-A 0007-00001302</t>
  </si>
  <si>
    <t>Hc Homecare Internacion Domiciliaria S.A.</t>
  </si>
  <si>
    <t>FA-A 0007-00001303</t>
  </si>
  <si>
    <t>Medincare Argentina S.A.</t>
  </si>
  <si>
    <t>FA-A 0007-00001304</t>
  </si>
  <si>
    <t>Medicus Sociedad Anonima De Asistencia Medica Y Cientifica</t>
  </si>
  <si>
    <t>FA-A 0007-00001305</t>
  </si>
  <si>
    <t>Zc Diabetes Srl</t>
  </si>
  <si>
    <t>FA-A 0007-00001306</t>
  </si>
  <si>
    <t>Login Door S.A</t>
  </si>
  <si>
    <t>FA-A 0007-00001307</t>
  </si>
  <si>
    <t>Alexander Fleming S A</t>
  </si>
  <si>
    <t>FA-A 0007-00001308</t>
  </si>
  <si>
    <t>Fundacion Empresaria Maderera</t>
  </si>
  <si>
    <t>FA-A 0007-00001309</t>
  </si>
  <si>
    <t>Centro Medico Amenabar Srl</t>
  </si>
  <si>
    <t>FA-A 0007-00001310</t>
  </si>
  <si>
    <t>Obra Social De La Actividad De Seguros, Reaseguros, Capitalizacion Y Ahorro Y Prestamo  Para La Vivienda</t>
  </si>
  <si>
    <t>FA-A 0007-00001311</t>
  </si>
  <si>
    <t>09/01/2023</t>
  </si>
  <si>
    <t>FA-A 0007-00001312</t>
  </si>
  <si>
    <t>Obra Social Del Personal De Las Telecomunicaciones De La Republica Argentina</t>
  </si>
  <si>
    <t>FA-A 0007-00001313</t>
  </si>
  <si>
    <t>FA-A 0007-00001314</t>
  </si>
  <si>
    <t>FA-A 0007-00001315</t>
  </si>
  <si>
    <t>MGR IMPLANTES SA</t>
  </si>
  <si>
    <t>FA-A 0007-00001316</t>
  </si>
  <si>
    <t>FA-A 0007-00001317</t>
  </si>
  <si>
    <t>FA-A 0007-00001318</t>
  </si>
  <si>
    <t>FA-A 0007-00001319</t>
  </si>
  <si>
    <t>FA-A 0007-00001320</t>
  </si>
  <si>
    <t>11/01/2023</t>
  </si>
  <si>
    <t>FA-A 0007-00001321</t>
  </si>
  <si>
    <t>FA-A 0007-00001322</t>
  </si>
  <si>
    <t>FA-A 0007-00001323</t>
  </si>
  <si>
    <t>17/01/2023</t>
  </si>
  <si>
    <t>FA-A 0007-00001324</t>
  </si>
  <si>
    <t>FA-A 0007-00001325</t>
  </si>
  <si>
    <t>FA-A 0007-00001326</t>
  </si>
  <si>
    <t>Ensalud S.A</t>
  </si>
  <si>
    <t>19/01/2023</t>
  </si>
  <si>
    <t>FA-A 0007-00001327</t>
  </si>
  <si>
    <t>Piaggio, Paula Andrea</t>
  </si>
  <si>
    <t>20/01/2023</t>
  </si>
  <si>
    <t>FA-A 0007-00001328</t>
  </si>
  <si>
    <t>24/01/2023</t>
  </si>
  <si>
    <t>FA-A 0007-00001329</t>
  </si>
  <si>
    <t>FA-A 0007-00001330</t>
  </si>
  <si>
    <t>FA-A 0007-00001331</t>
  </si>
  <si>
    <t>FA-A 0007-00001332</t>
  </si>
  <si>
    <t>Roseboon, Miguel Osvaldo</t>
  </si>
  <si>
    <t>FA-A 0007-00001333</t>
  </si>
  <si>
    <t>27/01/2023</t>
  </si>
  <si>
    <t>FA-A 0007-00001334</t>
  </si>
  <si>
    <t>De Marco, Maria Florencia</t>
  </si>
  <si>
    <t>30/01/2023</t>
  </si>
  <si>
    <t>FA-A 0007-00001335</t>
  </si>
  <si>
    <t>FA-A 0007-00001336</t>
  </si>
  <si>
    <t>Vignati Eduardo Alberto Y Rossetti Pablo Manuel Sociedad De Hecho</t>
  </si>
  <si>
    <t>NC-A 0007-00000077</t>
  </si>
  <si>
    <t>203 - Nota de Crédito Electrónica MiPyMEs (FCE) A</t>
  </si>
  <si>
    <t>GALENO ARGENTINA SOCIEDAD ANONIMA</t>
  </si>
  <si>
    <t>FA-B 0005-00007131</t>
  </si>
  <si>
    <t>.CONSUMIDOR FINAL</t>
  </si>
  <si>
    <t>Consumidor Final</t>
  </si>
  <si>
    <t/>
  </si>
  <si>
    <t>FA-B 0005-00007132</t>
  </si>
  <si>
    <t>FA-B 0005-00007133</t>
  </si>
  <si>
    <t>FA-B 0005-00007134</t>
  </si>
  <si>
    <t>FA-B 0005-00007135</t>
  </si>
  <si>
    <t>FA-B 0005-00007136</t>
  </si>
  <si>
    <t>FA-B 0005-00007137</t>
  </si>
  <si>
    <t>FA-B 0005-00007138</t>
  </si>
  <si>
    <t>FA-B 0005-00007139</t>
  </si>
  <si>
    <t>FA-B 0005-00007140</t>
  </si>
  <si>
    <t>FA-B 0005-00007141</t>
  </si>
  <si>
    <t>FA-B 0005-00007142</t>
  </si>
  <si>
    <t>FA-B 0005-00007143</t>
  </si>
  <si>
    <t>FA-B 0005-00007144</t>
  </si>
  <si>
    <t>FA-B 0005-00007145</t>
  </si>
  <si>
    <t>FA-B 0005-00007146</t>
  </si>
  <si>
    <t>FA-B 0005-00007147</t>
  </si>
  <si>
    <t>FA-B 0005-00007148</t>
  </si>
  <si>
    <t>FA-B 0005-00007149</t>
  </si>
  <si>
    <t>FA-B 0005-00007150</t>
  </si>
  <si>
    <t>FA-B 0005-00007151</t>
  </si>
  <si>
    <t>FA-B 0005-00007152</t>
  </si>
  <si>
    <t>FA-B 0005-00007153</t>
  </si>
  <si>
    <t>FA-B 0005-00007154</t>
  </si>
  <si>
    <t>FA-B 0005-00007155</t>
  </si>
  <si>
    <t>FA-B 0005-00007156</t>
  </si>
  <si>
    <t>FA-B 0005-00007157</t>
  </si>
  <si>
    <t>FA-B 0005-00007158</t>
  </si>
  <si>
    <t>FA-B 0005-00007159</t>
  </si>
  <si>
    <t>CONSUMIDOR FINAL</t>
  </si>
  <si>
    <t>FA-B 0005-00007160</t>
  </si>
  <si>
    <t>FA-B 0005-00007161</t>
  </si>
  <si>
    <t>FA-B 0005-00007162</t>
  </si>
  <si>
    <t>FA-B 0005-00007163</t>
  </si>
  <si>
    <t>FA-B 0005-00007164</t>
  </si>
  <si>
    <t>FA-B 0005-00007165</t>
  </si>
  <si>
    <t>FA-B 0005-00007166</t>
  </si>
  <si>
    <t>FA-B 0005-00007167</t>
  </si>
  <si>
    <t>FA-B 0005-00007168</t>
  </si>
  <si>
    <t>FA-B 0005-00007169</t>
  </si>
  <si>
    <t>FA-B 0005-00007170</t>
  </si>
  <si>
    <t>FA-B 0005-00007171</t>
  </si>
  <si>
    <t>FA-B 0005-00007172</t>
  </si>
  <si>
    <t>FA-B 0005-00007173</t>
  </si>
  <si>
    <t>FA-B 0005-00007174</t>
  </si>
  <si>
    <t>FA-B 0005-00007175</t>
  </si>
  <si>
    <t>FA-B 0005-00007176</t>
  </si>
  <si>
    <t>FA-B 0005-00007177</t>
  </si>
  <si>
    <t>FA-B 0005-00007178</t>
  </si>
  <si>
    <t>FA-B 0005-00007179</t>
  </si>
  <si>
    <t>FA-B 0005-00007180</t>
  </si>
  <si>
    <t>FA-B 0005-00007181</t>
  </si>
  <si>
    <t>FA-B 0005-00007182</t>
  </si>
  <si>
    <t>FA-B 0005-00007183</t>
  </si>
  <si>
    <t>FA-B 0005-00007184</t>
  </si>
  <si>
    <t>FA-B 0005-00007185</t>
  </si>
  <si>
    <t>FA-B 0005-00007186</t>
  </si>
  <si>
    <t>FA-B 0005-00007187</t>
  </si>
  <si>
    <t>FA-B 0005-00007188</t>
  </si>
  <si>
    <t>FA-B 0005-00007189</t>
  </si>
  <si>
    <t>13/01/2023</t>
  </si>
  <si>
    <t>FA-B 0005-00007190</t>
  </si>
  <si>
    <t>FA-B 0005-00007191</t>
  </si>
  <si>
    <t>FA-B 0005-00007192</t>
  </si>
  <si>
    <t>FA-B 0005-00007193</t>
  </si>
  <si>
    <t>FA-B 0005-00007194</t>
  </si>
  <si>
    <t>FA-B 0005-00007195</t>
  </si>
  <si>
    <t>FA-B 0005-00007196</t>
  </si>
  <si>
    <t>FA-B 0005-00007197</t>
  </si>
  <si>
    <t>FA-B 0005-00007198</t>
  </si>
  <si>
    <t>FA-B 0005-00007199</t>
  </si>
  <si>
    <t>FA-B 0005-00007200</t>
  </si>
  <si>
    <t>FA-B 0005-00007201</t>
  </si>
  <si>
    <t>FA-B 0005-00007202</t>
  </si>
  <si>
    <t>FA-B 0005-00007203</t>
  </si>
  <si>
    <t>FA-B 0005-00007204</t>
  </si>
  <si>
    <t>FA-B 0005-00007205</t>
  </si>
  <si>
    <t>FA-B 0005-00007206</t>
  </si>
  <si>
    <t>FA-B 0005-00007207</t>
  </si>
  <si>
    <t>FA-B 0005-00007208</t>
  </si>
  <si>
    <t>FA-B 0005-00007209</t>
  </si>
  <si>
    <t>FA-B 0005-00007210</t>
  </si>
  <si>
    <t>FA-B 0005-00007211</t>
  </si>
  <si>
    <t>FA-B 0005-00007212</t>
  </si>
  <si>
    <t>FA-B 0005-00007213</t>
  </si>
  <si>
    <t>FA-B 0005-00007214</t>
  </si>
  <si>
    <t>FA-B 0005-00007215</t>
  </si>
  <si>
    <t>FA-B 0005-00007216</t>
  </si>
  <si>
    <t>FA-B 0005-00007217</t>
  </si>
  <si>
    <t>FA-B 0005-00007218</t>
  </si>
  <si>
    <t>FA-B 0005-00007219</t>
  </si>
  <si>
    <t>FA-B 0005-00007220</t>
  </si>
  <si>
    <t>FA-B 0005-00007221</t>
  </si>
  <si>
    <t>FA-B 0005-00007222</t>
  </si>
  <si>
    <t>FA-B 0005-00007223</t>
  </si>
  <si>
    <t>FA-B 0005-00007224</t>
  </si>
  <si>
    <t>FA-B 0005-00007225</t>
  </si>
  <si>
    <t>FA-B 0005-00007226</t>
  </si>
  <si>
    <t>FA-B 0005-00007227</t>
  </si>
  <si>
    <t>FA-B 0005-00007228</t>
  </si>
  <si>
    <t>23/01/2023</t>
  </si>
  <si>
    <t>FA-B 0005-00007229</t>
  </si>
  <si>
    <t>FA-B 0005-00007230</t>
  </si>
  <si>
    <t>FA-B 0005-00007231</t>
  </si>
  <si>
    <t>FA-B 0005-00007232</t>
  </si>
  <si>
    <t>FA-B 0005-00007233</t>
  </si>
  <si>
    <t>FA-B 0005-00007234</t>
  </si>
  <si>
    <t>FA-B 0005-00007235</t>
  </si>
  <si>
    <t>FA-B 0005-00007236</t>
  </si>
  <si>
    <t>FA-B 0005-00007237</t>
  </si>
  <si>
    <t>FA-B 0005-00007238</t>
  </si>
  <si>
    <t>FA-B 0005-00007239</t>
  </si>
  <si>
    <t>FA-B 0005-00007240</t>
  </si>
  <si>
    <t>FA-B 0005-00007241</t>
  </si>
  <si>
    <t>FA-B 0005-00007242</t>
  </si>
  <si>
    <t>FA-B 0005-00007243</t>
  </si>
  <si>
    <t>FA-B 0005-00007244</t>
  </si>
  <si>
    <t>FA-B 0005-00007245</t>
  </si>
  <si>
    <t>FA-B 0005-00007246</t>
  </si>
  <si>
    <t>FA-B 0005-00007247</t>
  </si>
  <si>
    <t>FA-B 0005-00007248</t>
  </si>
  <si>
    <t>FA-B 0005-00007249</t>
  </si>
  <si>
    <t>FA-B 0005-00007250</t>
  </si>
  <si>
    <t>FA-B 0005-00007251</t>
  </si>
  <si>
    <t>FA-B 0005-00007252</t>
  </si>
  <si>
    <t>FA-B 0005-00007253</t>
  </si>
  <si>
    <t>FA-B 0005-00007254</t>
  </si>
  <si>
    <t>FA-B 0005-00007255</t>
  </si>
  <si>
    <t>FA-B 0005-00007256</t>
  </si>
  <si>
    <t>FA-B 0005-00007257</t>
  </si>
  <si>
    <t>FA-B 0005-00007258</t>
  </si>
  <si>
    <t>FA-B 0005-00007259</t>
  </si>
  <si>
    <t>FA-B 0005-00007260</t>
  </si>
  <si>
    <t>FA-B 0005-00007261</t>
  </si>
  <si>
    <t>FA-B 0005-00007262</t>
  </si>
  <si>
    <t>FA-B 0005-00007263</t>
  </si>
  <si>
    <t>FA-B 0005-00007264</t>
  </si>
  <si>
    <t>FA-B 0005-00007265</t>
  </si>
  <si>
    <t>FA-B 0005-00007266</t>
  </si>
  <si>
    <t>FA-B 0005-00007267</t>
  </si>
  <si>
    <t>FA-B 0005-00007268</t>
  </si>
  <si>
    <t>FA-B 0005-00007269</t>
  </si>
  <si>
    <t>FA-B 0005-00007270</t>
  </si>
  <si>
    <t>FA-B 0005-00007271</t>
  </si>
  <si>
    <t>FA-B 0005-00007272</t>
  </si>
  <si>
    <t>FA-B 0005-00007273</t>
  </si>
  <si>
    <t>FA-B 0005-00007274</t>
  </si>
  <si>
    <t>FA-B 0005-00007275</t>
  </si>
  <si>
    <t>FA-B 0005-00007276</t>
  </si>
  <si>
    <t>FA-B 0005-00007277</t>
  </si>
  <si>
    <t>FA-B 0007-00003988</t>
  </si>
  <si>
    <t>Asociacion Mutual Sancor Salud</t>
  </si>
  <si>
    <t>IVA Sujeto Exento</t>
  </si>
  <si>
    <t>FA-B 0007-00003989</t>
  </si>
  <si>
    <t>Corte Suprema De Justicia Obra Social Del Poder Judicial</t>
  </si>
  <si>
    <t>FA-B 0007-00003990</t>
  </si>
  <si>
    <t>FA-B 0007-00003991</t>
  </si>
  <si>
    <t>ZAIDMAN, CESAR JAVIER</t>
  </si>
  <si>
    <t>FA-B 0007-00003992</t>
  </si>
  <si>
    <t>FA-B 0007-00003993</t>
  </si>
  <si>
    <t>AGUIRRE, IVANA NOELIA</t>
  </si>
  <si>
    <t>FA-B 0007-00003994</t>
  </si>
  <si>
    <t xml:space="preserve">ARANA, MARCELLA OFELIA </t>
  </si>
  <si>
    <t>FA-B 0007-00003995</t>
  </si>
  <si>
    <t>FA-B 0007-00003996</t>
  </si>
  <si>
    <t>GRACIELA NORMA GUIET</t>
  </si>
  <si>
    <t>FA-B 0007-00003997</t>
  </si>
  <si>
    <t>FA-B 0007-00003998</t>
  </si>
  <si>
    <t>FA-B 0007-00003999</t>
  </si>
  <si>
    <t>FA-B 0007-00004000</t>
  </si>
  <si>
    <t>SADER, JORGE ALEJANDRO</t>
  </si>
  <si>
    <t>FA-B 0007-00004001</t>
  </si>
  <si>
    <t>RAUL RUBEN BRACCHI</t>
  </si>
  <si>
    <t>FA-B 0007-00004002</t>
  </si>
  <si>
    <t>Desalvo Miguel Angel</t>
  </si>
  <si>
    <t>FA-B 0007-00004003</t>
  </si>
  <si>
    <t>MARRAFFA VALERIA</t>
  </si>
  <si>
    <t>FA-B 0007-00004004</t>
  </si>
  <si>
    <t>RAQUEL DURAÑONA</t>
  </si>
  <si>
    <t>FA-B 0007-00004005</t>
  </si>
  <si>
    <t>CARUSO LUCIA</t>
  </si>
  <si>
    <t>FA-B 0007-00004006</t>
  </si>
  <si>
    <t>FA-B 0007-00004007</t>
  </si>
  <si>
    <t>Obra Social Del Personal De La Industria Del Plastico</t>
  </si>
  <si>
    <t>FA-B 0007-00004008</t>
  </si>
  <si>
    <t>FA-B 0007-00004009</t>
  </si>
  <si>
    <t>ARLUNA, NELLY MARIA</t>
  </si>
  <si>
    <t>FA-B 0007-00004010</t>
  </si>
  <si>
    <t>GIUGGIARO, LUIS ALBERTO</t>
  </si>
  <si>
    <t>FA-B 0007-00004011</t>
  </si>
  <si>
    <t>Obra Social De Los Trabajadores De La Industria Del Gas</t>
  </si>
  <si>
    <t>FA-B 0007-00004012</t>
  </si>
  <si>
    <t xml:space="preserve">JURADO, MARIA ESTHER </t>
  </si>
  <si>
    <t>FA-B 0007-00004013</t>
  </si>
  <si>
    <t xml:space="preserve">HIGA MARCELA SANDRA </t>
  </si>
  <si>
    <t>FA-B 0007-00004014</t>
  </si>
  <si>
    <t>FA-B 0007-00004015</t>
  </si>
  <si>
    <t>HIDALGO OSCAR ATILIO</t>
  </si>
  <si>
    <t>FA-B 0007-00004016</t>
  </si>
  <si>
    <t>PASTOR ROSALES ROSA NOEMI</t>
  </si>
  <si>
    <t>FA-B 0007-00004017</t>
  </si>
  <si>
    <t>FA-B 0007-00004018</t>
  </si>
  <si>
    <t>LUIS MATIAS ALAZRAKI</t>
  </si>
  <si>
    <t>FA-B 0007-00004019</t>
  </si>
  <si>
    <t>BEATRIZ WARRAND</t>
  </si>
  <si>
    <t>FA-B 0007-00004020</t>
  </si>
  <si>
    <t>FA-B 0007-00004021</t>
  </si>
  <si>
    <t>Galeno A.R.T. S.A.</t>
  </si>
  <si>
    <t>FA-B 0007-00004022</t>
  </si>
  <si>
    <t>FOFFANO, MARIO DANIEL</t>
  </si>
  <si>
    <t>FA-B 0007-00004023</t>
  </si>
  <si>
    <t xml:space="preserve">SARA STRASBERG </t>
  </si>
  <si>
    <t>FA-B 0007-00004024</t>
  </si>
  <si>
    <t>CHAMOSA JOSE MARIA</t>
  </si>
  <si>
    <t>FA-B 0007-00004025</t>
  </si>
  <si>
    <t>VAICIKAUSKAS, GUSTAVO</t>
  </si>
  <si>
    <t>FA-B 0007-00004026</t>
  </si>
  <si>
    <t>FA-B 0007-00004027</t>
  </si>
  <si>
    <t>GONZALEZ, TEODORA</t>
  </si>
  <si>
    <t>FA-B 0007-00004028</t>
  </si>
  <si>
    <t xml:space="preserve">SAGGESE, ENRIQUE LUIS </t>
  </si>
  <si>
    <t>FA-B 0007-00004029</t>
  </si>
  <si>
    <t>CELI, LILIANA NOEMI</t>
  </si>
  <si>
    <t>FA-B 0007-00004030</t>
  </si>
  <si>
    <t>GABRIELA VANINA GALLO</t>
  </si>
  <si>
    <t>FA-B 0007-00004031</t>
  </si>
  <si>
    <t>Herman Patricia</t>
  </si>
  <si>
    <t>FA-B 0007-00004032</t>
  </si>
  <si>
    <t>RIZZO, HORACIO GUSTAVO</t>
  </si>
  <si>
    <t>FA-B 0007-00004033</t>
  </si>
  <si>
    <t>MARIA ELENA RODRIGUEZ</t>
  </si>
  <si>
    <t>FA-B 0007-00004034</t>
  </si>
  <si>
    <t>INOCENTTI, CLAUDIO</t>
  </si>
  <si>
    <t>FA-B 0007-00004035</t>
  </si>
  <si>
    <t>SANZIO, INMACULADA CONCEPCION</t>
  </si>
  <si>
    <t>FA-B 0007-00004036</t>
  </si>
  <si>
    <t>ALEJANDRA SIFFREDI TORRES SANMARCO</t>
  </si>
  <si>
    <t>FA-B 0007-00004037</t>
  </si>
  <si>
    <t>ENRIQUETA MARIA DEL SOCORRO MAJO</t>
  </si>
  <si>
    <t>FA-B 0007-00004038</t>
  </si>
  <si>
    <t>Chiari Maria Enriqueta del Socorro</t>
  </si>
  <si>
    <t>FA-B 0007-00004039</t>
  </si>
  <si>
    <t>FA-B 0007-00004040</t>
  </si>
  <si>
    <t>FERRAZIN, CAROLINA ELEONORA INES</t>
  </si>
  <si>
    <t>FA-B 0007-00004041</t>
  </si>
  <si>
    <t>GLORIA FULLGRAFF</t>
  </si>
  <si>
    <t>FA-B 0007-00004042</t>
  </si>
  <si>
    <t>QUINTEIROS CAMPOS VICTORIA</t>
  </si>
  <si>
    <t>FA-B 0007-00004043</t>
  </si>
  <si>
    <t>PARRA ELBIO</t>
  </si>
  <si>
    <t>FA-B 0007-00004044</t>
  </si>
  <si>
    <t>Suburu Monica</t>
  </si>
  <si>
    <t>FA-B 0007-00004045</t>
  </si>
  <si>
    <t>FA-B 0007-00004046</t>
  </si>
  <si>
    <t>FA-B 0007-00004047</t>
  </si>
  <si>
    <t>SCHELGEL, LUIS ALBERTO</t>
  </si>
  <si>
    <t>FA-B 0007-00004048</t>
  </si>
  <si>
    <t>JUAN JOSE RADIVOJ</t>
  </si>
  <si>
    <t>FA-B 0007-00004049</t>
  </si>
  <si>
    <t>Obra Social Del Personal De Estaciones De Servicios Garages Playas De Estacionamiento Y Lavaderos Automaticos</t>
  </si>
  <si>
    <t>FA-B 0007-00004050</t>
  </si>
  <si>
    <t>FA-B 0007-00004051</t>
  </si>
  <si>
    <t>FA-B 0007-00004052</t>
  </si>
  <si>
    <t>ALVIER GRADOS, JESUS ALBERTO</t>
  </si>
  <si>
    <t>FA-B 0007-00004053</t>
  </si>
  <si>
    <t xml:space="preserve">GOMEZ TERESA </t>
  </si>
  <si>
    <t>FA-B 0007-00004054</t>
  </si>
  <si>
    <t>BARATTINI, CESAR RUBEN</t>
  </si>
  <si>
    <t>FA-B 0007-00004055</t>
  </si>
  <si>
    <t>ALBARO BRESCIANO</t>
  </si>
  <si>
    <t>FA-B 0007-00004056</t>
  </si>
  <si>
    <t>Hansen Wilhelm Gabriel Alejandro</t>
  </si>
  <si>
    <t>FA-B 0007-00004057</t>
  </si>
  <si>
    <t>GENDELMAN,MAURICIO</t>
  </si>
  <si>
    <t>FA-B 0007-00004058</t>
  </si>
  <si>
    <t>SILVIA ROLDAN</t>
  </si>
  <si>
    <t>FA-B 0007-00004059</t>
  </si>
  <si>
    <t>ARGENTINA EDITH ZARRILLO</t>
  </si>
  <si>
    <t>FA-B 0007-00004060</t>
  </si>
  <si>
    <t>HIRSCH FERRANDO ANNA FRIDA</t>
  </si>
  <si>
    <t>FA-B 0007-00004061</t>
  </si>
  <si>
    <t>FA-B 0007-00004062</t>
  </si>
  <si>
    <t>MINERVINI, MARIA DEL CARMEN LILIANA</t>
  </si>
  <si>
    <t>FA-B 0007-00004063</t>
  </si>
  <si>
    <t>FA-B 0007-00004064</t>
  </si>
  <si>
    <t>ROMEO, NELIDA ZULMA</t>
  </si>
  <si>
    <t>FA-B 0007-00004065</t>
  </si>
  <si>
    <t>BRENNAN, MARIA IRENE</t>
  </si>
  <si>
    <t>FA-B 0007-00004066</t>
  </si>
  <si>
    <t>AGOSTINO, ANA CAROLINA</t>
  </si>
  <si>
    <t>FA-B 0007-00004067</t>
  </si>
  <si>
    <t>COSTA, MARTA CRISTINA</t>
  </si>
  <si>
    <t>FA-B 0007-00004068</t>
  </si>
  <si>
    <t>OLIVIA LORENZO</t>
  </si>
  <si>
    <t>FA-B 0007-00004069</t>
  </si>
  <si>
    <t>FA-B 0007-00004070</t>
  </si>
  <si>
    <t>VIEITES, BLANCA LEONOR</t>
  </si>
  <si>
    <t>FA-B 0007-00004071</t>
  </si>
  <si>
    <t>CERRUTI GRACIELA CRISTINA</t>
  </si>
  <si>
    <t>FA-B 0007-00004072</t>
  </si>
  <si>
    <t>PEDROZO, PAULA GABRIELA</t>
  </si>
  <si>
    <t>FA-B 0007-00004073</t>
  </si>
  <si>
    <t>ANDREOTTI, CECILIA BEATRIZ</t>
  </si>
  <si>
    <t>FA-B 0007-00004074</t>
  </si>
  <si>
    <t>CORREA, PABLO FERNANDO</t>
  </si>
  <si>
    <t>FA-B 0007-00004075</t>
  </si>
  <si>
    <t>FA-B 0007-00004076</t>
  </si>
  <si>
    <t>MARIA ISABEL CALDERER</t>
  </si>
  <si>
    <t>a</t>
  </si>
  <si>
    <t>b</t>
  </si>
  <si>
    <t>c</t>
  </si>
  <si>
    <t>d</t>
  </si>
  <si>
    <t>e</t>
  </si>
  <si>
    <t>NO ESTABAN EN EL EXCEL DE DANTE</t>
  </si>
  <si>
    <t>23/03/2023</t>
  </si>
  <si>
    <t>FA-A 0005-00000131</t>
  </si>
  <si>
    <t>Haag, Julio Cesar</t>
  </si>
  <si>
    <t>29/03/2023</t>
  </si>
  <si>
    <t>FA-A 0005-00000132</t>
  </si>
  <si>
    <t>03/03/2023</t>
  </si>
  <si>
    <t>FA-A 0006-00000320</t>
  </si>
  <si>
    <t>FA-A 0006-00000321</t>
  </si>
  <si>
    <t>06/03/2023</t>
  </si>
  <si>
    <t>FA-A 0006-00000322</t>
  </si>
  <si>
    <t>FA-A 0006-00000323</t>
  </si>
  <si>
    <t>07/03/2023</t>
  </si>
  <si>
    <t>FA-A 0006-00000324</t>
  </si>
  <si>
    <t>10/03/2023</t>
  </si>
  <si>
    <t>FA-A 0006-00000325</t>
  </si>
  <si>
    <t>FA-A 0006-00000326</t>
  </si>
  <si>
    <t>14/03/2023</t>
  </si>
  <si>
    <t>FA-A 0006-00000327</t>
  </si>
  <si>
    <t>FA-A 0006-00000328</t>
  </si>
  <si>
    <t>FA-A 0006-00000329</t>
  </si>
  <si>
    <t>FA-A 0006-00000330</t>
  </si>
  <si>
    <t>27/03/2023</t>
  </si>
  <si>
    <t>FA-A 0006-00000331</t>
  </si>
  <si>
    <t>01/03/2023</t>
  </si>
  <si>
    <t>FA-A 0007-00001362</t>
  </si>
  <si>
    <t>FA-A 0007-00001363</t>
  </si>
  <si>
    <t>FA-A 0007-00001364</t>
  </si>
  <si>
    <t>02/03/2023</t>
  </si>
  <si>
    <t>FA-A 0007-00001365</t>
  </si>
  <si>
    <t>FA-A 0007-00001366</t>
  </si>
  <si>
    <t>Osteolife Srl</t>
  </si>
  <si>
    <t>FA-A 0007-00001367</t>
  </si>
  <si>
    <t>FA-A 0007-00001368</t>
  </si>
  <si>
    <t>FA-A 0007-00001369</t>
  </si>
  <si>
    <t>FA-A 0007-00001370</t>
  </si>
  <si>
    <t>FA-A 0007-00001371</t>
  </si>
  <si>
    <t>08/03/2023</t>
  </si>
  <si>
    <t>FA-A 0007-00001372</t>
  </si>
  <si>
    <t>FA-A 0007-00001373</t>
  </si>
  <si>
    <t>FA-A 0007-00001374</t>
  </si>
  <si>
    <t>FA-A 0007-00001375</t>
  </si>
  <si>
    <t>FA-A 0007-00001376</t>
  </si>
  <si>
    <t>FA-A 0007-00001377</t>
  </si>
  <si>
    <t>FA-A 0007-00001378</t>
  </si>
  <si>
    <t>09/03/2023</t>
  </si>
  <si>
    <t>FA-A 0007-00001379</t>
  </si>
  <si>
    <t>FA-A 0007-00001380</t>
  </si>
  <si>
    <t>FA-A 0007-00001381</t>
  </si>
  <si>
    <t>FA-A 0007-00001382</t>
  </si>
  <si>
    <t>FA-A 0007-00001383</t>
  </si>
  <si>
    <t>FA-A 0007-00001384</t>
  </si>
  <si>
    <t>FA-A 0007-00001385</t>
  </si>
  <si>
    <t>FA-A 0007-00001386</t>
  </si>
  <si>
    <t>FA-A 0007-00001387</t>
  </si>
  <si>
    <t>FA-A 0007-00001388</t>
  </si>
  <si>
    <t>FA-A 0007-00001389</t>
  </si>
  <si>
    <t>FA-A 0007-00001390</t>
  </si>
  <si>
    <t>J.F.A.A. SA</t>
  </si>
  <si>
    <t>15/03/2023</t>
  </si>
  <si>
    <t>FA-A 0007-00001391</t>
  </si>
  <si>
    <t>20/03/2023</t>
  </si>
  <si>
    <t>FA-A 0007-00001392</t>
  </si>
  <si>
    <t>FA-A 0007-00001393</t>
  </si>
  <si>
    <t>FA-A 0007-00001394</t>
  </si>
  <si>
    <t>Obra Social Del Sindicato De Mecanicos Y Afines Del Transporte Automotor</t>
  </si>
  <si>
    <t>FA-A 0007-00001395</t>
  </si>
  <si>
    <t>PEREYRA PATRICIA</t>
  </si>
  <si>
    <t>30/03/2023</t>
  </si>
  <si>
    <t>FA-A 0007-00001396</t>
  </si>
  <si>
    <t>FA-A 0007-00001397</t>
  </si>
  <si>
    <t>NC-A 0006-00000020</t>
  </si>
  <si>
    <t>21/03/2023</t>
  </si>
  <si>
    <t>NC-A 0007-00000079</t>
  </si>
  <si>
    <t>NC-A 0007-00000080</t>
  </si>
  <si>
    <t>NC-A 0007-00000081</t>
  </si>
  <si>
    <t>NC-A 0007-00000082</t>
  </si>
  <si>
    <t>NC-A 0007-00000083</t>
  </si>
  <si>
    <t>NC-A 0007-00000084</t>
  </si>
  <si>
    <t>FA-B 0005-00007439</t>
  </si>
  <si>
    <t>FA-B 0005-00007440</t>
  </si>
  <si>
    <t>FA-B 0005-00007441</t>
  </si>
  <si>
    <t>FA-B 0005-00007442</t>
  </si>
  <si>
    <t>FA-B 0005-00007443</t>
  </si>
  <si>
    <t>FA-B 0005-00007444</t>
  </si>
  <si>
    <t>FA-B 0005-00007445</t>
  </si>
  <si>
    <t>FA-B 0005-00007446</t>
  </si>
  <si>
    <t>FA-B 0005-00007447</t>
  </si>
  <si>
    <t>FA-B 0005-00007448</t>
  </si>
  <si>
    <t>FA-B 0005-00007449</t>
  </si>
  <si>
    <t>FA-B 0005-00007450</t>
  </si>
  <si>
    <t>FA-B 0005-00007451</t>
  </si>
  <si>
    <t>FA-B 0005-00007452</t>
  </si>
  <si>
    <t>FA-B 0005-00007453</t>
  </si>
  <si>
    <t>FA-B 0005-00007454</t>
  </si>
  <si>
    <t>FA-B 0005-00007455</t>
  </si>
  <si>
    <t>FA-B 0005-00007456</t>
  </si>
  <si>
    <t>FA-B 0005-00007457</t>
  </si>
  <si>
    <t>FA-B 0005-00007458</t>
  </si>
  <si>
    <t>FA-B 0005-00007459</t>
  </si>
  <si>
    <t>FA-B 0005-00007460</t>
  </si>
  <si>
    <t>FA-B 0005-00007461</t>
  </si>
  <si>
    <t>FA-B 0005-00007462</t>
  </si>
  <si>
    <t>FA-B 0005-00007463</t>
  </si>
  <si>
    <t>FA-B 0005-00007464</t>
  </si>
  <si>
    <t>FA-B 0005-00007465</t>
  </si>
  <si>
    <t>FA-B 0005-00007466</t>
  </si>
  <si>
    <t>FA-B 0005-00007467</t>
  </si>
  <si>
    <t>FA-B 0005-00007468</t>
  </si>
  <si>
    <t>FA-B 0005-00007469</t>
  </si>
  <si>
    <t>FA-B 0005-00007470</t>
  </si>
  <si>
    <t>FA-B 0005-00007471</t>
  </si>
  <si>
    <t>FA-B 0005-00007472</t>
  </si>
  <si>
    <t>FA-B 0005-00007473</t>
  </si>
  <si>
    <t>FA-B 0005-00007474</t>
  </si>
  <si>
    <t>FA-B 0005-00007475</t>
  </si>
  <si>
    <t>FA-B 0005-00007476</t>
  </si>
  <si>
    <t>FA-B 0005-00007477</t>
  </si>
  <si>
    <t>FA-B 0005-00007478</t>
  </si>
  <si>
    <t>FA-B 0005-00007479</t>
  </si>
  <si>
    <t>FA-B 0005-00007480</t>
  </si>
  <si>
    <t>FA-B 0005-00007481</t>
  </si>
  <si>
    <t>FA-B 0005-00007482</t>
  </si>
  <si>
    <t>FA-B 0005-00007483</t>
  </si>
  <si>
    <t>FA-B 0005-00007484</t>
  </si>
  <si>
    <t>FA-B 0005-00007485</t>
  </si>
  <si>
    <t>FA-B 0005-00007486</t>
  </si>
  <si>
    <t>FA-B 0005-00007487</t>
  </si>
  <si>
    <t>FA-B 0005-00007488</t>
  </si>
  <si>
    <t>FA-B 0005-00007489</t>
  </si>
  <si>
    <t>FA-B 0005-00007490</t>
  </si>
  <si>
    <t>FA-B 0005-00007491</t>
  </si>
  <si>
    <t>FA-B 0005-00007492</t>
  </si>
  <si>
    <t>13/03/2023</t>
  </si>
  <si>
    <t>FA-B 0005-00007493</t>
  </si>
  <si>
    <t>FA-B 0005-00007494</t>
  </si>
  <si>
    <t>FA-B 0005-00007495</t>
  </si>
  <si>
    <t>FA-B 0005-00007496</t>
  </si>
  <si>
    <t>FA-B 0005-00007497</t>
  </si>
  <si>
    <t>FA-B 0005-00007498</t>
  </si>
  <si>
    <t>FA-B 0005-00007499</t>
  </si>
  <si>
    <t>FA-B 0005-00007500</t>
  </si>
  <si>
    <t>FA-B 0005-00007501</t>
  </si>
  <si>
    <t>FA-B 0005-00007502</t>
  </si>
  <si>
    <t>FA-B 0005-00007503</t>
  </si>
  <si>
    <t>FA-B 0005-00007504</t>
  </si>
  <si>
    <t>FA-B 0005-00007505</t>
  </si>
  <si>
    <t>FA-B 0005-00007506</t>
  </si>
  <si>
    <t>FA-B 0005-00007507</t>
  </si>
  <si>
    <t>FA-B 0005-00007508</t>
  </si>
  <si>
    <t>FA-B 0005-00007509</t>
  </si>
  <si>
    <t>FA-B 0005-00007510</t>
  </si>
  <si>
    <t>FA-B 0005-00007511</t>
  </si>
  <si>
    <t>FA-B 0005-00007512</t>
  </si>
  <si>
    <t>FA-B 0005-00007513</t>
  </si>
  <si>
    <t>FA-B 0005-00007514</t>
  </si>
  <si>
    <t>FA-B 0005-00007515</t>
  </si>
  <si>
    <t>16/03/2023</t>
  </si>
  <si>
    <t>FA-B 0005-00007516</t>
  </si>
  <si>
    <t>FA-B 0005-00007517</t>
  </si>
  <si>
    <t>FA-B 0005-00007518</t>
  </si>
  <si>
    <t>FA-B 0005-00007519</t>
  </si>
  <si>
    <t>FA-B 0005-00007520</t>
  </si>
  <si>
    <t>FA-B 0005-00007521</t>
  </si>
  <si>
    <t>FA-B 0005-00007522</t>
  </si>
  <si>
    <t>FA-B 0005-00007523</t>
  </si>
  <si>
    <t>FA-B 0005-00007524</t>
  </si>
  <si>
    <t>FA-B 0005-00007525</t>
  </si>
  <si>
    <t>17/03/2023</t>
  </si>
  <si>
    <t>FA-B 0005-00007526</t>
  </si>
  <si>
    <t>FA-B 0005-00007527</t>
  </si>
  <si>
    <t>FA-B 0005-00007528</t>
  </si>
  <si>
    <t>FA-B 0005-00007529</t>
  </si>
  <si>
    <t>FA-B 0005-00007530</t>
  </si>
  <si>
    <t>FA-B 0005-00007531</t>
  </si>
  <si>
    <t>FA-B 0005-00007532</t>
  </si>
  <si>
    <t>FA-B 0005-00007533</t>
  </si>
  <si>
    <t>FA-B 0005-00007534</t>
  </si>
  <si>
    <t>FA-B 0005-00007535</t>
  </si>
  <si>
    <t>FA-B 0005-00007536</t>
  </si>
  <si>
    <t>FA-B 0005-00007537</t>
  </si>
  <si>
    <t>FA-B 0005-00007538</t>
  </si>
  <si>
    <t>FA-B 0005-00007539</t>
  </si>
  <si>
    <t>FA-B 0005-00007540</t>
  </si>
  <si>
    <t>FA-B 0005-00007541</t>
  </si>
  <si>
    <t>FA-B 0005-00007542</t>
  </si>
  <si>
    <t>FA-B 0005-00007543</t>
  </si>
  <si>
    <t>FA-B 0005-00007544</t>
  </si>
  <si>
    <t>FA-B 0005-00007545</t>
  </si>
  <si>
    <t>FA-B 0005-00007546</t>
  </si>
  <si>
    <t>FA-B 0005-00007547</t>
  </si>
  <si>
    <t>FA-B 0005-00007548</t>
  </si>
  <si>
    <t>FA-B 0005-00007549</t>
  </si>
  <si>
    <t>FA-B 0005-00007550</t>
  </si>
  <si>
    <t>FA-B 0005-00007551</t>
  </si>
  <si>
    <t>FA-B 0005-00007552</t>
  </si>
  <si>
    <t>FA-B 0005-00007553</t>
  </si>
  <si>
    <t>FA-B 0005-00007554</t>
  </si>
  <si>
    <t>FA-B 0005-00007555</t>
  </si>
  <si>
    <t>FA-B 0005-00007556</t>
  </si>
  <si>
    <t>FA-B 0005-00007557</t>
  </si>
  <si>
    <t>FA-B 0005-00007558</t>
  </si>
  <si>
    <t>22/03/2023</t>
  </si>
  <si>
    <t>FA-B 0005-00007559</t>
  </si>
  <si>
    <t>FA-B 0005-00007560</t>
  </si>
  <si>
    <t>FA-B 0005-00007561</t>
  </si>
  <si>
    <t>FA-B 0005-00007562</t>
  </si>
  <si>
    <t>FA-B 0005-00007563</t>
  </si>
  <si>
    <t>FA-B 0005-00007564</t>
  </si>
  <si>
    <t>FA-B 0005-00007565</t>
  </si>
  <si>
    <t>FA-B 0005-00007566</t>
  </si>
  <si>
    <t>FA-B 0005-00007567</t>
  </si>
  <si>
    <t>FA-B 0005-00007568</t>
  </si>
  <si>
    <t>FA-B 0005-00007569</t>
  </si>
  <si>
    <t>FA-B 0005-00007570</t>
  </si>
  <si>
    <t>FA-B 0005-00007571</t>
  </si>
  <si>
    <t>FA-B 0005-00007572</t>
  </si>
  <si>
    <t>FA-B 0005-00007573</t>
  </si>
  <si>
    <t>FA-B 0005-00007574</t>
  </si>
  <si>
    <t>FA-B 0005-00007575</t>
  </si>
  <si>
    <t>FA-B 0005-00007576</t>
  </si>
  <si>
    <t>FA-B 0005-00007577</t>
  </si>
  <si>
    <t>FA-B 0005-00007578</t>
  </si>
  <si>
    <t>FA-B 0005-00007579</t>
  </si>
  <si>
    <t>FA-B 0005-00007580</t>
  </si>
  <si>
    <t>Federacion Argentina De Empleados De Comercio Y Servicios</t>
  </si>
  <si>
    <t>FA-B 0005-00007581</t>
  </si>
  <si>
    <t>FA-B 0005-00007582</t>
  </si>
  <si>
    <t>FA-B 0005-00007583</t>
  </si>
  <si>
    <t>FA-B 0005-00007584</t>
  </si>
  <si>
    <t>FA-B 0005-00007585</t>
  </si>
  <si>
    <t>FA-B 0005-00007586</t>
  </si>
  <si>
    <t>FA-B 0005-00007587</t>
  </si>
  <si>
    <t>FA-B 0005-00007588</t>
  </si>
  <si>
    <t>FA-B 0005-00007589</t>
  </si>
  <si>
    <t>FA-B 0005-00007590</t>
  </si>
  <si>
    <t>FA-B 0005-00007591</t>
  </si>
  <si>
    <t>FA-B 0005-00007592</t>
  </si>
  <si>
    <t>FA-B 0005-00007593</t>
  </si>
  <si>
    <t>FA-B 0005-00007594</t>
  </si>
  <si>
    <t>FA-B 0005-00007595</t>
  </si>
  <si>
    <t>FA-B 0005-00007596</t>
  </si>
  <si>
    <t>FA-B 0005-00007597</t>
  </si>
  <si>
    <t>FA-B 0005-00007598</t>
  </si>
  <si>
    <t>FA-B 0005-00007599</t>
  </si>
  <si>
    <t>28/03/2023</t>
  </si>
  <si>
    <t>FA-B 0005-00007600</t>
  </si>
  <si>
    <t>FA-B 0005-00007601</t>
  </si>
  <si>
    <t>FA-B 0005-00007602</t>
  </si>
  <si>
    <t>FA-B 0005-00007603</t>
  </si>
  <si>
    <t>FA-B 0005-00007604</t>
  </si>
  <si>
    <t>FA-B 0005-00007605</t>
  </si>
  <si>
    <t>FA-B 0005-00007606</t>
  </si>
  <si>
    <t>FA-B 0005-00007607</t>
  </si>
  <si>
    <t>FA-B 0005-00007608</t>
  </si>
  <si>
    <t>FA-B 0005-00007609</t>
  </si>
  <si>
    <t>FA-B 0005-00007610</t>
  </si>
  <si>
    <t>FA-B 0005-00007611</t>
  </si>
  <si>
    <t>FA-B 0005-00007612</t>
  </si>
  <si>
    <t>FA-B 0005-00007613</t>
  </si>
  <si>
    <t>FA-B 0005-00007614</t>
  </si>
  <si>
    <t>FA-B 0005-00007615</t>
  </si>
  <si>
    <t>FA-B 0005-00007616</t>
  </si>
  <si>
    <t>FA-B 0005-00007617</t>
  </si>
  <si>
    <t>FA-B 0005-00007618</t>
  </si>
  <si>
    <t>FA-B 0005-00007619</t>
  </si>
  <si>
    <t>FA-B 0005-00007620</t>
  </si>
  <si>
    <t>FA-B 0005-00007621</t>
  </si>
  <si>
    <t>FA-B 0005-00007622</t>
  </si>
  <si>
    <t>SPOSATO HUMBERTO</t>
  </si>
  <si>
    <t>FA-B 0005-00007623</t>
  </si>
  <si>
    <t>FA-B 0005-00007624</t>
  </si>
  <si>
    <t>FA-B 0005-00007625</t>
  </si>
  <si>
    <t>FA-B 0005-00007626</t>
  </si>
  <si>
    <t>FA-B 0005-00007627</t>
  </si>
  <si>
    <t>FA-B 0005-00007628</t>
  </si>
  <si>
    <t>FA-B 0005-00007629</t>
  </si>
  <si>
    <t>31/03/2023</t>
  </si>
  <si>
    <t>FA-B 0005-00007630</t>
  </si>
  <si>
    <t>FA-B 0005-00007631</t>
  </si>
  <si>
    <t>FA-B 0005-00007632</t>
  </si>
  <si>
    <t>FA-B 0005-00007633</t>
  </si>
  <si>
    <t>FA-B 0005-00007634</t>
  </si>
  <si>
    <t>FA-B 0005-00007635</t>
  </si>
  <si>
    <t>FA-B 0005-00007636</t>
  </si>
  <si>
    <t>FA-B 0005-00007637</t>
  </si>
  <si>
    <t>FA-B 0005-00007638</t>
  </si>
  <si>
    <t>Britos Matheo Ignacio</t>
  </si>
  <si>
    <t>FA-B 0005-00007639</t>
  </si>
  <si>
    <t>Britos Jade Lujan</t>
  </si>
  <si>
    <t>FA-B 0005-00007640</t>
  </si>
  <si>
    <t>FA-B 0005-00007641</t>
  </si>
  <si>
    <t>FA-B 0005-00007642</t>
  </si>
  <si>
    <t>FA-B 0005-00007643</t>
  </si>
  <si>
    <t>FA-B 0007-00004141</t>
  </si>
  <si>
    <t>FA-B 0007-00004142</t>
  </si>
  <si>
    <t>FA-B 0007-00004143</t>
  </si>
  <si>
    <t>FA-B 0007-00004144</t>
  </si>
  <si>
    <t>FA-B 0007-00004145</t>
  </si>
  <si>
    <t>FA-B 0007-00004146</t>
  </si>
  <si>
    <t xml:space="preserve">DI PIERO, ROMEO                                                                                                                                  </t>
  </si>
  <si>
    <t>FA-B 0007-00004147</t>
  </si>
  <si>
    <t>FA-B 0007-00004148</t>
  </si>
  <si>
    <t>ROTE HECTOR DANIEL</t>
  </si>
  <si>
    <t>FA-B 0007-00004149</t>
  </si>
  <si>
    <t>FA-B 0007-00004150</t>
  </si>
  <si>
    <t>HANSEN ALEJANDRO GABRIEL</t>
  </si>
  <si>
    <t>FA-B 0007-00004151</t>
  </si>
  <si>
    <t>COLOMBO ROSITA</t>
  </si>
  <si>
    <t>FA-B 0007-00004152</t>
  </si>
  <si>
    <t>RICARDO RAMIREZ</t>
  </si>
  <si>
    <t>FA-B 0007-00004153</t>
  </si>
  <si>
    <t>ROTELA CANDIDO</t>
  </si>
  <si>
    <t>FA-B 0007-00004154</t>
  </si>
  <si>
    <t>FA-B 0007-00004155</t>
  </si>
  <si>
    <t>SPADONI, ANALIA BEATRIZ</t>
  </si>
  <si>
    <t>FA-B 0007-00004156</t>
  </si>
  <si>
    <t>FA-B 0007-00004157</t>
  </si>
  <si>
    <t>FA-B 0007-00004158</t>
  </si>
  <si>
    <t>FA-B 0007-00004159</t>
  </si>
  <si>
    <t>FA-B 0007-00004160</t>
  </si>
  <si>
    <t>FA-B 0007-00004161</t>
  </si>
  <si>
    <t>FA-B 0007-00004162</t>
  </si>
  <si>
    <t>SUED ISAAC JONATHAN</t>
  </si>
  <si>
    <t>FA-B 0007-00004163</t>
  </si>
  <si>
    <t>SEGOVIA, NATALIA NOEMÍ</t>
  </si>
  <si>
    <t>FA-B 0007-00004164</t>
  </si>
  <si>
    <t>FA-B 0007-00004165</t>
  </si>
  <si>
    <t>SAENZ, MAGDALENA.</t>
  </si>
  <si>
    <t>FA-B 0007-00004166</t>
  </si>
  <si>
    <t>Aguirre Diego</t>
  </si>
  <si>
    <t>FA-B 0007-00004167</t>
  </si>
  <si>
    <t>VOLPI, ALBERTO JAVIER</t>
  </si>
  <si>
    <t>FA-B 0007-00004168</t>
  </si>
  <si>
    <t>FA-B 0007-00004169</t>
  </si>
  <si>
    <t>BUNCHICOFF, MARIA</t>
  </si>
  <si>
    <t>FA-B 0007-00004170</t>
  </si>
  <si>
    <t>FA-B 0007-00004171</t>
  </si>
  <si>
    <t>CUDERO, SILVINA</t>
  </si>
  <si>
    <t>FA-B 0007-00004172</t>
  </si>
  <si>
    <t>FA-B 0007-00004173</t>
  </si>
  <si>
    <t>ADRIANA SAN PEDRO</t>
  </si>
  <si>
    <t>FA-B 0007-00004174</t>
  </si>
  <si>
    <t>GALVEZ SONIA</t>
  </si>
  <si>
    <t>FA-B 0007-00004175</t>
  </si>
  <si>
    <t xml:space="preserve">CORTAZAR VELAZQUEZ ADA </t>
  </si>
  <si>
    <t>FA-B 0007-00004176</t>
  </si>
  <si>
    <t>FA-B 0007-00004177</t>
  </si>
  <si>
    <t>FA-B 0007-00004178</t>
  </si>
  <si>
    <t>FA-B 0007-00004179</t>
  </si>
  <si>
    <t>PATRICIA GONGORA</t>
  </si>
  <si>
    <t>FA-B 0007-00004180</t>
  </si>
  <si>
    <t>FA-B 0007-00004181</t>
  </si>
  <si>
    <t>FA-B 0007-00004182</t>
  </si>
  <si>
    <t>NIETO BARRIOS, YISLAINE YSABEL</t>
  </si>
  <si>
    <t>FA-B 0007-00004183</t>
  </si>
  <si>
    <t>FA-B 0007-00004184</t>
  </si>
  <si>
    <t>FA-B 0007-00004185</t>
  </si>
  <si>
    <t>CEPEDA REYES, GONZALO OSCAR</t>
  </si>
  <si>
    <t>FA-B 0007-00004186</t>
  </si>
  <si>
    <t>FA-B 0007-00004187</t>
  </si>
  <si>
    <t>WASSER, ANDREA NOEMI</t>
  </si>
  <si>
    <t>FA-B 0007-00004188</t>
  </si>
  <si>
    <t>BASAVILBASO ALBERTO ERNESTO</t>
  </si>
  <si>
    <t>FA-B 0007-00004189</t>
  </si>
  <si>
    <t>REPETTO LYNCH, BENJAMIN MARIA</t>
  </si>
  <si>
    <t>FA-B 0007-00004190</t>
  </si>
  <si>
    <t>FA-B 0007-00004191</t>
  </si>
  <si>
    <t>FA-B 0007-00004192</t>
  </si>
  <si>
    <t>HIRSCHHORN, VALERIA BETTINA</t>
  </si>
  <si>
    <t>FA-B 0007-00004193</t>
  </si>
  <si>
    <t>FA-B 0007-00004194</t>
  </si>
  <si>
    <t>APA, MARÍA ESTER</t>
  </si>
  <si>
    <t>FA-B 0007-00004195</t>
  </si>
  <si>
    <t>MORGAN, SANTIAGO</t>
  </si>
  <si>
    <t>FA-B 0007-00004196</t>
  </si>
  <si>
    <t>FA-B 0007-00004197</t>
  </si>
  <si>
    <t>VEGA, PAULA VALERIA</t>
  </si>
  <si>
    <t>FA-B 0007-00004198</t>
  </si>
  <si>
    <t>FA-B 0007-00004199</t>
  </si>
  <si>
    <t>FA-B 0007-00004200</t>
  </si>
  <si>
    <t>FA-B 0007-00004201</t>
  </si>
  <si>
    <t>FA-B 0007-00004202</t>
  </si>
  <si>
    <t>YOLANDA DE LAS ROSAS GONZÁLEZ GÓMEZ</t>
  </si>
  <si>
    <t>FA-B 0007-00004203</t>
  </si>
  <si>
    <t>CAMPOBASSO, MARIANA LAURA</t>
  </si>
  <si>
    <t>FA-B 0007-00004204</t>
  </si>
  <si>
    <t>FA-B 0007-00004205</t>
  </si>
  <si>
    <t>FA-B 0007-00004206</t>
  </si>
  <si>
    <t>Obra Social Del Personal Rural Y Estibadores De La Republica Argentina Osprera</t>
  </si>
  <si>
    <t>FA-B 0007-00004207</t>
  </si>
  <si>
    <t>Obra Social Del Personal De Imprentas Diarios Y Afines</t>
  </si>
  <si>
    <t>FA-B 0007-00004208</t>
  </si>
  <si>
    <t>SEGOVIA, NICOLAS FERNANDO EZEQUIEL</t>
  </si>
  <si>
    <t>FA-B 0007-00004209</t>
  </si>
  <si>
    <t>FA-B 0007-00004210</t>
  </si>
  <si>
    <t>ANTIVERO, LUISA</t>
  </si>
  <si>
    <t>FA-B 0007-00004211</t>
  </si>
  <si>
    <t>FA-B 0007-00004212</t>
  </si>
  <si>
    <t>FA-B 0007-00004213</t>
  </si>
  <si>
    <t>FA-B 0007-00004214</t>
  </si>
  <si>
    <t>FA-B 0007-00004215</t>
  </si>
  <si>
    <t>FA-B 0007-00004216</t>
  </si>
  <si>
    <t>ANDREA SOTO</t>
  </si>
  <si>
    <t>FA-B 0007-00004217</t>
  </si>
  <si>
    <t>FA-B 0007-00004218</t>
  </si>
  <si>
    <t>SOSNIK PABLO</t>
  </si>
  <si>
    <t>FA-B 0007-00004219</t>
  </si>
  <si>
    <t>MULVILLE, CYNTHIA ALICIA</t>
  </si>
  <si>
    <t>FA-B 0007-00004220</t>
  </si>
  <si>
    <t>FA-B 0007-00004221</t>
  </si>
  <si>
    <t>FA-B 0007-00004222</t>
  </si>
  <si>
    <t>FA-B 0007-00004223</t>
  </si>
  <si>
    <t>FA-B 0007-00004224</t>
  </si>
  <si>
    <t>FA-B 0007-00004225</t>
  </si>
  <si>
    <t>GONZALEZ, MARTHA ALEJANDRA</t>
  </si>
  <si>
    <t>FA-B 0007-00004226</t>
  </si>
  <si>
    <t>MONTI, MARIA PAULA</t>
  </si>
  <si>
    <t>FA-B 0007-00004227</t>
  </si>
  <si>
    <t>JUAN PABLO MINVIELLE</t>
  </si>
  <si>
    <t>FA-B 0007-00004228</t>
  </si>
  <si>
    <t>NC-B 0007-00000134</t>
  </si>
  <si>
    <t>NC-B 0007-00000135</t>
  </si>
  <si>
    <t>NC-A 0003-00000018</t>
  </si>
  <si>
    <t>NC-A 0003-00000019</t>
  </si>
  <si>
    <t>03/04/2023</t>
  </si>
  <si>
    <t>FA-B 0005-00007644</t>
  </si>
  <si>
    <t>FA-B 0005-00007645</t>
  </si>
  <si>
    <t>FA-B 0005-00007646</t>
  </si>
  <si>
    <t>FA-B 0005-00007647</t>
  </si>
  <si>
    <t>FA-B 0005-00007648</t>
  </si>
  <si>
    <t>FA-B 0005-00007649</t>
  </si>
  <si>
    <t>FA-B 0005-00007650</t>
  </si>
  <si>
    <t>FA-B 0005-00007651</t>
  </si>
  <si>
    <t>FA-B 0005-00007652</t>
  </si>
  <si>
    <t>FA-B 0005-00007653</t>
  </si>
  <si>
    <t>FA-B 0005-00007654</t>
  </si>
  <si>
    <t>FA-B 0005-00007655</t>
  </si>
  <si>
    <t>FA-A 0006-00000332</t>
  </si>
  <si>
    <t>FA-A 0007-00001398</t>
  </si>
  <si>
    <t>FA-A 0007-00001399</t>
  </si>
  <si>
    <t>FA-A 0007-00001400</t>
  </si>
  <si>
    <t>FA-A 0007-00001401</t>
  </si>
  <si>
    <t>FA-A 0007-00001402</t>
  </si>
  <si>
    <t>FA-A 0007-00001403</t>
  </si>
  <si>
    <t>FA-B 0007-00004229</t>
  </si>
  <si>
    <t>FA-B 0007-00004230</t>
  </si>
  <si>
    <t>LOCOCO, CARMEN</t>
  </si>
  <si>
    <t>04/04/2023</t>
  </si>
  <si>
    <t>FA-B 0005-00007656</t>
  </si>
  <si>
    <t>FA-B 0005-00007657</t>
  </si>
  <si>
    <t>FA-B 0005-00007658</t>
  </si>
  <si>
    <t>FA-B 0005-00007659</t>
  </si>
  <si>
    <t>FA-B 0005-00007660</t>
  </si>
  <si>
    <t>GALLO, ANDREA</t>
  </si>
  <si>
    <t>FA-B 0005-00007661</t>
  </si>
  <si>
    <t>FA-B 0005-00007662</t>
  </si>
  <si>
    <t>FA-B 0005-00007663</t>
  </si>
  <si>
    <t>FA-B 0005-00007664</t>
  </si>
  <si>
    <t>FA-B 0005-00007665</t>
  </si>
  <si>
    <t>FA-B 0005-00007666</t>
  </si>
  <si>
    <t>FA-A 0006-00000333</t>
  </si>
  <si>
    <t>FA-A 0006-00000334</t>
  </si>
  <si>
    <t>NC-B 0007-00000136</t>
  </si>
  <si>
    <t>FA-A 0007-00001404</t>
  </si>
  <si>
    <t>FA-B 0007-00004231</t>
  </si>
  <si>
    <t>FA-B 0007-00004232</t>
  </si>
  <si>
    <t>FA-B 0007-00004233</t>
  </si>
  <si>
    <t>MAQUEIRA, ENZO SEBASTIAN</t>
  </si>
  <si>
    <t>05/04/2023</t>
  </si>
  <si>
    <t>NC-B 0005-00000111</t>
  </si>
  <si>
    <t>FA-B 0005-00007667</t>
  </si>
  <si>
    <t>FA-B 0005-00007668</t>
  </si>
  <si>
    <t>FA-B 0005-00007669</t>
  </si>
  <si>
    <t>FA-B 0005-00007670</t>
  </si>
  <si>
    <t>FA-B 0005-00007671</t>
  </si>
  <si>
    <t>FA-B 0005-00007672</t>
  </si>
  <si>
    <t>FA-B 0005-00007673</t>
  </si>
  <si>
    <t>FA-A 0006-00000335</t>
  </si>
  <si>
    <t>FA-A 0007-00001405</t>
  </si>
  <si>
    <t>FA-A 0007-00001406</t>
  </si>
  <si>
    <t>FA-A 0007-00001407</t>
  </si>
  <si>
    <t>FA-A 0007-00001408</t>
  </si>
  <si>
    <t>FA-B 0007-00004234</t>
  </si>
  <si>
    <t>CORREA RICARDO</t>
  </si>
  <si>
    <t>10/04/2023</t>
  </si>
  <si>
    <t>FA-B 0005-00007674</t>
  </si>
  <si>
    <t>FA-B 0005-00007675</t>
  </si>
  <si>
    <t>FA-B 0005-00007676</t>
  </si>
  <si>
    <t>FA-B 0005-00007677</t>
  </si>
  <si>
    <t>FA-B 0005-00007678</t>
  </si>
  <si>
    <t>FA-B 0005-00007679</t>
  </si>
  <si>
    <t>FA-B 0005-00007680</t>
  </si>
  <si>
    <t>FA-B 0005-00007681</t>
  </si>
  <si>
    <t>FA-B 0005-00007682</t>
  </si>
  <si>
    <t>FA-B 0005-00007683</t>
  </si>
  <si>
    <t>FA-A 0007-00001409</t>
  </si>
  <si>
    <t>FA-A 0007-00001410</t>
  </si>
  <si>
    <t>FA-A 0007-00001411</t>
  </si>
  <si>
    <t>FA-A 0007-00001412</t>
  </si>
  <si>
    <t>FA-B 0007-00004235</t>
  </si>
  <si>
    <t>LORENZO, MERCEDES DELFINA</t>
  </si>
  <si>
    <t>11/04/2023</t>
  </si>
  <si>
    <t>FA-B 0005-00007684</t>
  </si>
  <si>
    <t>FA-B 0005-00007685</t>
  </si>
  <si>
    <t>FA-B 0005-00007686</t>
  </si>
  <si>
    <t>FA-B 0005-00007687</t>
  </si>
  <si>
    <t>FA-B 0005-00007688</t>
  </si>
  <si>
    <t>FA-B 0005-00007689</t>
  </si>
  <si>
    <t>CORREA HERNÁN</t>
  </si>
  <si>
    <t>FA-B 0005-00007690</t>
  </si>
  <si>
    <t>FA-B 0005-00007691</t>
  </si>
  <si>
    <t>FA-B 0005-00007692</t>
  </si>
  <si>
    <t>FA-B 0005-00007693</t>
  </si>
  <si>
    <t>FA-B 0005-00007694</t>
  </si>
  <si>
    <t>FA-B 0005-00007695</t>
  </si>
  <si>
    <t>FA-B 0005-00007696</t>
  </si>
  <si>
    <t>FA-B 0007-00004236</t>
  </si>
  <si>
    <t>12/04/2023</t>
  </si>
  <si>
    <t>FA-A 0005-00000133</t>
  </si>
  <si>
    <t>Autonavi Srl</t>
  </si>
  <si>
    <t>FA-B 0005-00007697</t>
  </si>
  <si>
    <t>FA-B 0005-00007698</t>
  </si>
  <si>
    <t>FA-B 0005-00007699</t>
  </si>
  <si>
    <t>FA-B 0005-00007700</t>
  </si>
  <si>
    <t>FA-B 0005-00007701</t>
  </si>
  <si>
    <t>FA-B 0005-00007702</t>
  </si>
  <si>
    <t>FA-B 0005-00007703</t>
  </si>
  <si>
    <t>FA-B 0005-00007704</t>
  </si>
  <si>
    <t>FA-B 0005-00007705</t>
  </si>
  <si>
    <t>FA-B 0005-00007706</t>
  </si>
  <si>
    <t>FA-B 0005-00007707</t>
  </si>
  <si>
    <t>NC-A 0007-00000085</t>
  </si>
  <si>
    <t>NC-A 0007-00000086</t>
  </si>
  <si>
    <t>FA-A 0007-00001413</t>
  </si>
  <si>
    <t>FA-A 0007-00001414</t>
  </si>
  <si>
    <t>FA-A 0007-00001415</t>
  </si>
  <si>
    <t>FA-A 0007-00001416</t>
  </si>
  <si>
    <t>FA-A 0007-00001417</t>
  </si>
  <si>
    <t>FA-A 0007-00001418</t>
  </si>
  <si>
    <t>FA-B 0007-00004237</t>
  </si>
  <si>
    <t>FA-B 0007-00004238</t>
  </si>
  <si>
    <t>FA-B 0007-00004239</t>
  </si>
  <si>
    <t>COLINAS, DANIEL</t>
  </si>
  <si>
    <t>FA-B 0007-00004240</t>
  </si>
  <si>
    <t>FA-B 0007-00004241</t>
  </si>
  <si>
    <t>FA-B 0007-00004242</t>
  </si>
  <si>
    <t>FA-B 0007-00004243</t>
  </si>
  <si>
    <t>FA-B 0007-00004244</t>
  </si>
  <si>
    <t>FA-B 0007-00004245</t>
  </si>
  <si>
    <t>FA-B 0007-00004246</t>
  </si>
  <si>
    <t>ABATI, NANCY LILIANA</t>
  </si>
  <si>
    <t>FA-B 0007-00004247</t>
  </si>
  <si>
    <t>13/04/2023</t>
  </si>
  <si>
    <t>FA-B 0005-00007708</t>
  </si>
  <si>
    <t>FA-B 0005-00007709</t>
  </si>
  <si>
    <t>FA-B 0005-00007710</t>
  </si>
  <si>
    <t>FA-B 0005-00007711</t>
  </si>
  <si>
    <t>FA-B 0005-00007712</t>
  </si>
  <si>
    <t>FA-B 0005-00007713</t>
  </si>
  <si>
    <t>FA-B 0005-00007714</t>
  </si>
  <si>
    <t>FA-B 0005-00007715</t>
  </si>
  <si>
    <t>FA-B 0005-00007716</t>
  </si>
  <si>
    <t>MAUREL VERÓNICA</t>
  </si>
  <si>
    <t>FA-B 0005-00007717</t>
  </si>
  <si>
    <t>FA-B 0005-00007718</t>
  </si>
  <si>
    <t>FA-B 0005-00007719</t>
  </si>
  <si>
    <t>FA-B 0005-00007720</t>
  </si>
  <si>
    <t>FA-A 0006-00000336</t>
  </si>
  <si>
    <t>FA-B 0007-00004248</t>
  </si>
  <si>
    <t>14/04/2023</t>
  </si>
  <si>
    <t>FA-B 0005-00007721</t>
  </si>
  <si>
    <t>FA-B 0005-00007722</t>
  </si>
  <si>
    <t>GIBSON DIEGO</t>
  </si>
  <si>
    <t>FA-B 0005-00007723</t>
  </si>
  <si>
    <t>FA-B 0005-00007724</t>
  </si>
  <si>
    <t>FA-B 0005-00007725</t>
  </si>
  <si>
    <t>FA-B 0005-00007726</t>
  </si>
  <si>
    <t>FA-B 0005-00007727</t>
  </si>
  <si>
    <t>FA-B 0005-00007728</t>
  </si>
  <si>
    <t>FA-B 0005-00007729</t>
  </si>
  <si>
    <t>FA-B 0005-00007730</t>
  </si>
  <si>
    <t>FA-B 0005-00007731</t>
  </si>
  <si>
    <t>FA-B 0005-00007732</t>
  </si>
  <si>
    <t>FA-B 0005-00007733</t>
  </si>
  <si>
    <t>FA-B 0005-00007734</t>
  </si>
  <si>
    <t>FA-B 0005-00007735</t>
  </si>
  <si>
    <t>FA-B 0005-00007736</t>
  </si>
  <si>
    <t>ALFREDO VIZCARRA</t>
  </si>
  <si>
    <t>FA-A 0006-00000337</t>
  </si>
  <si>
    <t>NC-A 0007-00000087</t>
  </si>
  <si>
    <t>FA-B 0007-00004249</t>
  </si>
  <si>
    <t>Obra Social De Actores</t>
  </si>
  <si>
    <t>FA-B 0007-00004250</t>
  </si>
  <si>
    <t>FERRER JORGE</t>
  </si>
  <si>
    <t>FA-B 0007-00004251</t>
  </si>
  <si>
    <t>FA-B 0007-00004252</t>
  </si>
  <si>
    <t>FA-B 0007-00004253</t>
  </si>
  <si>
    <t>GUALTIERI TIFFANY ZOE</t>
  </si>
  <si>
    <t>FA-B 0007-00004254</t>
  </si>
  <si>
    <t>FA-B 0007-00004255</t>
  </si>
  <si>
    <t>FA-B 0007-00004256</t>
  </si>
  <si>
    <t>FA-B 0007-00004257</t>
  </si>
  <si>
    <t>TORRES, ELISABET NELIDA</t>
  </si>
  <si>
    <t>FA-B 0007-00004258</t>
  </si>
  <si>
    <t>DE SALVO, BLAS DAVID</t>
  </si>
  <si>
    <t>17/04/2023</t>
  </si>
  <si>
    <t>FA-B 0005-00007737</t>
  </si>
  <si>
    <t>FA-B 0005-00007738</t>
  </si>
  <si>
    <t>FA-B 0005-00007739</t>
  </si>
  <si>
    <t>FA-B 0005-00007740</t>
  </si>
  <si>
    <t>FA-B 0005-00007741</t>
  </si>
  <si>
    <t>FA-B 0005-00007742</t>
  </si>
  <si>
    <t>FA-B 0005-00007743</t>
  </si>
  <si>
    <t>FA-B 0005-00007744</t>
  </si>
  <si>
    <t>FA-B 0005-00007745</t>
  </si>
  <si>
    <t>FA-B 0005-00007746</t>
  </si>
  <si>
    <t>FA-B 0005-00007747</t>
  </si>
  <si>
    <t>FA-B 0005-00007748</t>
  </si>
  <si>
    <t>FA-B 0005-00007749</t>
  </si>
  <si>
    <t>FA-B 0007-00004259</t>
  </si>
  <si>
    <t>VIDAL, ALINE CATIANE</t>
  </si>
  <si>
    <t>FA-B 0007-00004260</t>
  </si>
  <si>
    <t>FA-B 0007-00004261</t>
  </si>
  <si>
    <t>FA-B 0007-00004262</t>
  </si>
  <si>
    <t>FA-B 0007-00004263</t>
  </si>
  <si>
    <t>FA-B 0007-00004264</t>
  </si>
  <si>
    <t>FA-B 0007-00004265</t>
  </si>
  <si>
    <t>FA-B 0007-00004266</t>
  </si>
  <si>
    <t>18/04/2023</t>
  </si>
  <si>
    <t>FA-B 0005-00007750</t>
  </si>
  <si>
    <t>FA-B 0005-00007751</t>
  </si>
  <si>
    <t>FA-B 0005-00007752</t>
  </si>
  <si>
    <t>FA-B 0005-00007753</t>
  </si>
  <si>
    <t>FA-B 0005-00007754</t>
  </si>
  <si>
    <t>FA-B 0005-00007755</t>
  </si>
  <si>
    <t>FA-B 0005-00007756</t>
  </si>
  <si>
    <t>FA-B 0005-00007757</t>
  </si>
  <si>
    <t>FA-B 0005-00007758</t>
  </si>
  <si>
    <t>FA-B 0005-00007759</t>
  </si>
  <si>
    <t>FA-B 0005-00007760</t>
  </si>
  <si>
    <t>FA-A 0007-00001419</t>
  </si>
  <si>
    <t>FA-A 0007-00001420</t>
  </si>
  <si>
    <t>FA-A 0007-00001421</t>
  </si>
  <si>
    <t>19/04/2023</t>
  </si>
  <si>
    <t>FA-B 0005-00007761</t>
  </si>
  <si>
    <t>FA-B 0005-00007762</t>
  </si>
  <si>
    <t>FA-B 0005-00007763</t>
  </si>
  <si>
    <t>FA-B 0005-00007764</t>
  </si>
  <si>
    <t>FA-B 0005-00007765</t>
  </si>
  <si>
    <t>FA-A 0007-00001422</t>
  </si>
  <si>
    <t>FA-A 0007-00001423</t>
  </si>
  <si>
    <t>FA-A 0007-00001424</t>
  </si>
  <si>
    <t>FA-A 0007-00001425</t>
  </si>
  <si>
    <t>FA-A 0007-00001426</t>
  </si>
  <si>
    <t>FA-A 0007-00001427</t>
  </si>
  <si>
    <t>FA-B 0007-00004267</t>
  </si>
  <si>
    <t>FA-B 0007-00004268</t>
  </si>
  <si>
    <t>PAGLIERO YANINA/ FARIAS SOFÍA</t>
  </si>
  <si>
    <t>20/04/2023</t>
  </si>
  <si>
    <t>FA-B 0005-00007766</t>
  </si>
  <si>
    <t>FA-B 0005-00007767</t>
  </si>
  <si>
    <t>FA-B 0005-00007768</t>
  </si>
  <si>
    <t>FA-A 0006-00000338</t>
  </si>
  <si>
    <t>FA-A 0007-00001428</t>
  </si>
  <si>
    <t>FA-A 0007-00001429</t>
  </si>
  <si>
    <t>FA-B 0007-00004269</t>
  </si>
  <si>
    <t>FA-B 0007-00004270</t>
  </si>
  <si>
    <t>FA-B 0007-00004271</t>
  </si>
  <si>
    <t>21/04/2023</t>
  </si>
  <si>
    <t>FA-B 0005-00007769</t>
  </si>
  <si>
    <t>FA-B 0005-00007770</t>
  </si>
  <si>
    <t>FA-B 0005-00007771</t>
  </si>
  <si>
    <t>FA-B 0005-00007772</t>
  </si>
  <si>
    <t>FA-B 0005-00007773</t>
  </si>
  <si>
    <t>FA-B 0005-00007774</t>
  </si>
  <si>
    <t>FA-B 0005-00007775</t>
  </si>
  <si>
    <t>FA-B 0005-00007776</t>
  </si>
  <si>
    <t>FA-B 0005-00007777</t>
  </si>
  <si>
    <t>FA-B 0005-00007778</t>
  </si>
  <si>
    <t>FA-B 0005-00007779</t>
  </si>
  <si>
    <t>FA-A 0006-00000339</t>
  </si>
  <si>
    <t>FA-A 0006-00000340</t>
  </si>
  <si>
    <t>FA-A 0006-00000341</t>
  </si>
  <si>
    <t>FA-B 0007-00004272</t>
  </si>
  <si>
    <t>FA-B 0007-00004273</t>
  </si>
  <si>
    <t>FA-B 0007-00004274</t>
  </si>
  <si>
    <t>FA-B 0007-00004275</t>
  </si>
  <si>
    <t>TISSONE, JOSE ERNESTO</t>
  </si>
  <si>
    <t>FA-B 0007-00004276</t>
  </si>
  <si>
    <t>FA-B 0007-00004277</t>
  </si>
  <si>
    <t>FA-B 0007-00004278</t>
  </si>
  <si>
    <t>24/04/2023</t>
  </si>
  <si>
    <t>FA-B 0005-00007780</t>
  </si>
  <si>
    <t>FA-B 0005-00007781</t>
  </si>
  <si>
    <t>FA-B 0005-00007782</t>
  </si>
  <si>
    <t>FA-B 0005-00007783</t>
  </si>
  <si>
    <t>FA-B 0005-00007784</t>
  </si>
  <si>
    <t>FA-B 0005-00007785</t>
  </si>
  <si>
    <t>FA-B 0005-00007786</t>
  </si>
  <si>
    <t>FA-B 0005-00007787</t>
  </si>
  <si>
    <t>FA-B 0005-00007788</t>
  </si>
  <si>
    <t>FA-B 0005-00007789</t>
  </si>
  <si>
    <t>FA-B 0005-00007790</t>
  </si>
  <si>
    <t>FA-B 0005-00007791</t>
  </si>
  <si>
    <t>FA-B 0007-00004279</t>
  </si>
  <si>
    <t>FA-B 0007-00004280</t>
  </si>
  <si>
    <t>FA-B 0007-00004281</t>
  </si>
  <si>
    <t>FA-B 0007-00004282</t>
  </si>
  <si>
    <t>FA-B 0007-00004283</t>
  </si>
  <si>
    <t>25/04/2023</t>
  </si>
  <si>
    <t>FA-B 0005-00007792</t>
  </si>
  <si>
    <t>FA-B 0005-00007793</t>
  </si>
  <si>
    <t>FA-B 0005-00007794</t>
  </si>
  <si>
    <t>FA-B 0005-00007795</t>
  </si>
  <si>
    <t>FA-B 0005-00007796</t>
  </si>
  <si>
    <t>FA-B 0007-00004284</t>
  </si>
  <si>
    <t>RODRIGUEZ RICARDO</t>
  </si>
  <si>
    <t>FA-B 0007-00004285</t>
  </si>
  <si>
    <t>UMBRELLO ISAMARA</t>
  </si>
  <si>
    <t>FA-B 0007-00004286</t>
  </si>
  <si>
    <t>UMBRELLO MILAGRO</t>
  </si>
  <si>
    <t>FA-B 0007-00004287</t>
  </si>
  <si>
    <t>UMBRELLO VILMA</t>
  </si>
  <si>
    <t>FA-B 0007-00004288</t>
  </si>
  <si>
    <t>FA-B 0007-00004289</t>
  </si>
  <si>
    <t>FA-B 0007-00004290</t>
  </si>
  <si>
    <t>PEREZ, GABRIELA MAGDALENA</t>
  </si>
  <si>
    <t>FA-B 0007-00004291</t>
  </si>
  <si>
    <t>FA-B 0007-00004292</t>
  </si>
  <si>
    <t>FA-B 0007-00004293</t>
  </si>
  <si>
    <t>MARCOTE, VERONICA</t>
  </si>
  <si>
    <t>FA-B 0007-00004294</t>
  </si>
  <si>
    <t>FA-B 0007-00004295</t>
  </si>
  <si>
    <t>FA-B 0007-00004296</t>
  </si>
  <si>
    <t>26/04/2023</t>
  </si>
  <si>
    <t>FA-B 0005-00007797</t>
  </si>
  <si>
    <t>FA-B 0005-00007798</t>
  </si>
  <si>
    <t>FA-B 0005-00007799</t>
  </si>
  <si>
    <t>FA-B 0005-00007800</t>
  </si>
  <si>
    <t>FA-B 0005-00007801</t>
  </si>
  <si>
    <t>FA-B 0005-00007802</t>
  </si>
  <si>
    <t>FA-B 0005-00007803</t>
  </si>
  <si>
    <t>FA-B 0005-00007804</t>
  </si>
  <si>
    <t>FA-B 0005-00007805</t>
  </si>
  <si>
    <t>FA-B 0005-00007806</t>
  </si>
  <si>
    <t>FA-B 0005-00007807</t>
  </si>
  <si>
    <t>FA-B 0005-00007808</t>
  </si>
  <si>
    <t>FA-B 0005-00007809</t>
  </si>
  <si>
    <t>FA-B 0005-00007810</t>
  </si>
  <si>
    <t>FA-B 0005-00007811</t>
  </si>
  <si>
    <t>FA-B 0005-00007812</t>
  </si>
  <si>
    <t>NC-A 0006-00000021</t>
  </si>
  <si>
    <t>NC-A 0006-00000022</t>
  </si>
  <si>
    <t>NC-A 0006-00000023</t>
  </si>
  <si>
    <t>NC-A 0006-00000024</t>
  </si>
  <si>
    <t>NC-A 0006-00000025</t>
  </si>
  <si>
    <t>NC-A 0006-00000026</t>
  </si>
  <si>
    <t>NC-A 0006-00000027</t>
  </si>
  <si>
    <t>NC-A 0006-00000028</t>
  </si>
  <si>
    <t>NC-A 0007-00000088</t>
  </si>
  <si>
    <t>NC-A 0007-00000089</t>
  </si>
  <si>
    <t>FA-B 0007-00004297</t>
  </si>
  <si>
    <t>FA-B 0007-00004298</t>
  </si>
  <si>
    <t>27/04/2023</t>
  </si>
  <si>
    <t>FA-B 0005-00007813</t>
  </si>
  <si>
    <t>FA-B 0005-00007814</t>
  </si>
  <si>
    <t>DORA RIDOLFI</t>
  </si>
  <si>
    <t>FA-B 0005-00007815</t>
  </si>
  <si>
    <t>FA-B 0005-00007816</t>
  </si>
  <si>
    <t>FA-B 0005-00007817</t>
  </si>
  <si>
    <t>FA-B 0005-00007818</t>
  </si>
  <si>
    <t>FA-B 0005-00007819</t>
  </si>
  <si>
    <t>FA-B 0007-00004299</t>
  </si>
  <si>
    <t>CASTILLO, ADRIAN ERNESTO</t>
  </si>
  <si>
    <t>FA-B 0007-00004300</t>
  </si>
  <si>
    <t>FA-B 0007-00004301</t>
  </si>
  <si>
    <t>FA-B 0007-00004302</t>
  </si>
  <si>
    <t>FA-B 0007-00004303</t>
  </si>
  <si>
    <t>FA-B 0007-00004304</t>
  </si>
  <si>
    <t>FA-B 0007-00004305</t>
  </si>
  <si>
    <t>FA-B 0007-00004306</t>
  </si>
  <si>
    <t>FA-B 0007-00004307</t>
  </si>
  <si>
    <t>FA-B 0007-00004308</t>
  </si>
  <si>
    <t>MEDINA GOMEZ NAOMI</t>
  </si>
  <si>
    <t>28/04/2023</t>
  </si>
  <si>
    <t>FA-B 0005-00007820</t>
  </si>
  <si>
    <t>FA-B 0005-00007821</t>
  </si>
  <si>
    <t>FA-B 0005-00007822</t>
  </si>
  <si>
    <t>FA-B 0005-00007823</t>
  </si>
  <si>
    <t>FA-B 0005-00007824</t>
  </si>
  <si>
    <t>02/05/2023</t>
  </si>
  <si>
    <t>FA-A 0006-00000342</t>
  </si>
  <si>
    <t>03/05/2023</t>
  </si>
  <si>
    <t>FA-A 0006-00000343</t>
  </si>
  <si>
    <t>08/05/2023</t>
  </si>
  <si>
    <t>FA-A 0006-00000344</t>
  </si>
  <si>
    <t>15/05/2023</t>
  </si>
  <si>
    <t>FA-A 0006-00000345</t>
  </si>
  <si>
    <t>19/05/2023</t>
  </si>
  <si>
    <t>FA-A 0006-00000346</t>
  </si>
  <si>
    <t>24/05/2023</t>
  </si>
  <si>
    <t>FA-A 0006-00000347</t>
  </si>
  <si>
    <t>FA-A 0007-00000002</t>
  </si>
  <si>
    <t>FA-A 0007-00001430</t>
  </si>
  <si>
    <t>La Manola Moda Srl</t>
  </si>
  <si>
    <t>FA-A 0007-00001431</t>
  </si>
  <si>
    <t>FA-A 0007-00001432</t>
  </si>
  <si>
    <t>FA-A 0007-00001433</t>
  </si>
  <si>
    <t>FA-A 0007-00001434</t>
  </si>
  <si>
    <t>FA-A 0007-00001435</t>
  </si>
  <si>
    <t>04/05/2023</t>
  </si>
  <si>
    <t>FA-A 0007-00001436</t>
  </si>
  <si>
    <t>FA-A 0007-00001437</t>
  </si>
  <si>
    <t>05/05/2023</t>
  </si>
  <si>
    <t>FA-A 0007-00001438</t>
  </si>
  <si>
    <t>FA-A 0007-00001439</t>
  </si>
  <si>
    <t>FA-A 0007-00001440</t>
  </si>
  <si>
    <t>09/05/2023</t>
  </si>
  <si>
    <t>FA-A 0007-00001441</t>
  </si>
  <si>
    <t>FA-A 0007-00001442</t>
  </si>
  <si>
    <t>FA-A 0007-00001443</t>
  </si>
  <si>
    <t>FA-A 0007-00001444</t>
  </si>
  <si>
    <t>FA-A 0007-00001445</t>
  </si>
  <si>
    <t>FA-A 0007-00001446</t>
  </si>
  <si>
    <t>FA-A 0007-00001447</t>
  </si>
  <si>
    <t>FA-A 0007-00001448</t>
  </si>
  <si>
    <t>FA-A 0007-00001449</t>
  </si>
  <si>
    <t>FA-A 0007-00001450</t>
  </si>
  <si>
    <t>FA-A 0007-00001451</t>
  </si>
  <si>
    <t>FA-A 0007-00001452</t>
  </si>
  <si>
    <t>10/05/2023</t>
  </si>
  <si>
    <t>FA-A 0007-00001453</t>
  </si>
  <si>
    <t>FA-A 0007-00001454</t>
  </si>
  <si>
    <t>FA-A 0007-00001455</t>
  </si>
  <si>
    <t>FA-A 0007-00001456</t>
  </si>
  <si>
    <t>FA-A 0007-00001457</t>
  </si>
  <si>
    <t>FA-A 0007-00001458</t>
  </si>
  <si>
    <t>11/05/2023</t>
  </si>
  <si>
    <t>FA-A 0007-00001459</t>
  </si>
  <si>
    <t>12/05/2023</t>
  </si>
  <si>
    <t>FA-A 0007-00001460</t>
  </si>
  <si>
    <t>FA-A 0007-00001461</t>
  </si>
  <si>
    <t>17/05/2023</t>
  </si>
  <si>
    <t>FA-A 0007-00001462</t>
  </si>
  <si>
    <t>FA-A 0007-00001463</t>
  </si>
  <si>
    <t>18/05/2023</t>
  </si>
  <si>
    <t>FA-A 0007-00001464</t>
  </si>
  <si>
    <t>22/05/2023</t>
  </si>
  <si>
    <t>FA-A 0007-00001465</t>
  </si>
  <si>
    <t>FA-A 0007-00001466</t>
  </si>
  <si>
    <t>FA-A 0007-00001467</t>
  </si>
  <si>
    <t>FA-B 0005-00007825</t>
  </si>
  <si>
    <t>FA-B 0005-00007826</t>
  </si>
  <si>
    <t>FA-B 0005-00007827</t>
  </si>
  <si>
    <t>FA-B 0005-00007828</t>
  </si>
  <si>
    <t>FA-B 0005-00007829</t>
  </si>
  <si>
    <t>FA-B 0005-00007830</t>
  </si>
  <si>
    <t>FA-B 0005-00007831</t>
  </si>
  <si>
    <t>FA-B 0005-00007832</t>
  </si>
  <si>
    <t>FA-B 0005-00007833</t>
  </si>
  <si>
    <t>FA-B 0005-00007834</t>
  </si>
  <si>
    <t>FA-B 0005-00007835</t>
  </si>
  <si>
    <t>FA-B 0005-00007836</t>
  </si>
  <si>
    <t>FA-B 0005-00007837</t>
  </si>
  <si>
    <t>FA-B 0005-00007838</t>
  </si>
  <si>
    <t>FA-B 0005-00007839</t>
  </si>
  <si>
    <t>FA-B 0005-00007840</t>
  </si>
  <si>
    <t>FA-B 0005-00007841</t>
  </si>
  <si>
    <t>FA-B 0005-00007842</t>
  </si>
  <si>
    <t>FA-B 0005-00007843</t>
  </si>
  <si>
    <t>FA-B 0005-00007844</t>
  </si>
  <si>
    <t>FA-B 0005-00007845</t>
  </si>
  <si>
    <t>FA-B 0005-00007846</t>
  </si>
  <si>
    <t>FA-B 0005-00007847</t>
  </si>
  <si>
    <t>FA-B 0005-00007848</t>
  </si>
  <si>
    <t>FA-B 0005-00007849</t>
  </si>
  <si>
    <t>FA-B 0005-00007850</t>
  </si>
  <si>
    <t>FA-B 0005-00007851</t>
  </si>
  <si>
    <t>FA-B 0005-00007852</t>
  </si>
  <si>
    <t>FA-B 0005-00007853</t>
  </si>
  <si>
    <t>FA-B 0005-00007854</t>
  </si>
  <si>
    <t>FA-B 0005-00007855</t>
  </si>
  <si>
    <t>FA-B 0005-00007856</t>
  </si>
  <si>
    <t>FA-B 0005-00007857</t>
  </si>
  <si>
    <t>FA-B 0005-00007858</t>
  </si>
  <si>
    <t>FA-B 0005-00007859</t>
  </si>
  <si>
    <t>FA-B 0005-00007860</t>
  </si>
  <si>
    <t>FA-B 0005-00007861</t>
  </si>
  <si>
    <t>FA-B 0005-00007862</t>
  </si>
  <si>
    <t>FA-B 0005-00007863</t>
  </si>
  <si>
    <t>FA-B 0005-00007864</t>
  </si>
  <si>
    <t>FA-B 0005-00007865</t>
  </si>
  <si>
    <t>FA-B 0005-00007866</t>
  </si>
  <si>
    <t>FA-B 0005-00007867</t>
  </si>
  <si>
    <t>FA-B 0005-00007868</t>
  </si>
  <si>
    <t>FA-B 0005-00007869</t>
  </si>
  <si>
    <t>FA-B 0005-00007870</t>
  </si>
  <si>
    <t>FA-B 0005-00007871</t>
  </si>
  <si>
    <t>FA-B 0005-00007872</t>
  </si>
  <si>
    <t>FA-B 0005-00007873</t>
  </si>
  <si>
    <t>FA-B 0005-00007874</t>
  </si>
  <si>
    <t>FA-B 0005-00007875</t>
  </si>
  <si>
    <t>FA-B 0005-00007876</t>
  </si>
  <si>
    <t>FA-B 0005-00007877</t>
  </si>
  <si>
    <t>FA-B 0005-00007878</t>
  </si>
  <si>
    <t>FA-B 0005-00007879</t>
  </si>
  <si>
    <t>FA-B 0005-00007880</t>
  </si>
  <si>
    <t>FA-B 0005-00007881</t>
  </si>
  <si>
    <t>FA-B 0005-00007882</t>
  </si>
  <si>
    <t>FA-B 0005-00007883</t>
  </si>
  <si>
    <t>FA-B 0005-00007884</t>
  </si>
  <si>
    <t>FA-B 0005-00007885</t>
  </si>
  <si>
    <t>FA-B 0005-00007886</t>
  </si>
  <si>
    <t>FA-B 0005-00007887</t>
  </si>
  <si>
    <t>FA-B 0005-00007888</t>
  </si>
  <si>
    <t>FA-B 0005-00007889</t>
  </si>
  <si>
    <t>FA-B 0005-00007890</t>
  </si>
  <si>
    <t>FA-B 0005-00007891</t>
  </si>
  <si>
    <t>FA-B 0005-00007892</t>
  </si>
  <si>
    <t>FA-B 0005-00007893</t>
  </si>
  <si>
    <t>FA-B 0005-00007894</t>
  </si>
  <si>
    <t>FA-B 0005-00007895</t>
  </si>
  <si>
    <t>FA-B 0005-00007896</t>
  </si>
  <si>
    <t>FA-B 0005-00007897</t>
  </si>
  <si>
    <t>FA-B 0005-00007898</t>
  </si>
  <si>
    <t>FA-B 0005-00007899</t>
  </si>
  <si>
    <t>FA-B 0005-00007900</t>
  </si>
  <si>
    <t>FA-B 0005-00007901</t>
  </si>
  <si>
    <t>FA-B 0005-00007902</t>
  </si>
  <si>
    <t>FA-B 0005-00007903</t>
  </si>
  <si>
    <t>FA-B 0005-00007904</t>
  </si>
  <si>
    <t>FA-B 0005-00007905</t>
  </si>
  <si>
    <t>FA-B 0005-00007906</t>
  </si>
  <si>
    <t>FA-B 0005-00007907</t>
  </si>
  <si>
    <t>FA-B 0005-00007908</t>
  </si>
  <si>
    <t>FA-B 0005-00007909</t>
  </si>
  <si>
    <t>FA-B 0005-00007910</t>
  </si>
  <si>
    <t>FA-B 0005-00007911</t>
  </si>
  <si>
    <t>FA-B 0005-00007912</t>
  </si>
  <si>
    <t>FA-B 0005-00007913</t>
  </si>
  <si>
    <t>FA-B 0005-00007914</t>
  </si>
  <si>
    <t>FA-B 0005-00007915</t>
  </si>
  <si>
    <t>FA-B 0005-00007916</t>
  </si>
  <si>
    <t>FA-B 0005-00007917</t>
  </si>
  <si>
    <t>FA-B 0005-00007918</t>
  </si>
  <si>
    <t>FA-B 0005-00007919</t>
  </si>
  <si>
    <t>FA-B 0005-00007920</t>
  </si>
  <si>
    <t>FA-B 0005-00007921</t>
  </si>
  <si>
    <t>FA-B 0005-00007922</t>
  </si>
  <si>
    <t>FA-B 0005-00007923</t>
  </si>
  <si>
    <t>FA-B 0005-00007924</t>
  </si>
  <si>
    <t>FA-B 0005-00007925</t>
  </si>
  <si>
    <t>FA-B 0005-00007926</t>
  </si>
  <si>
    <t>FA-B 0005-00007927</t>
  </si>
  <si>
    <t>FA-B 0005-00007928</t>
  </si>
  <si>
    <t>FA-B 0005-00007929</t>
  </si>
  <si>
    <t>FA-B 0005-00007930</t>
  </si>
  <si>
    <t>FA-B 0005-00007931</t>
  </si>
  <si>
    <t>FA-B 0005-00007932</t>
  </si>
  <si>
    <t>FA-B 0005-00007933</t>
  </si>
  <si>
    <t>FA-B 0005-00007934</t>
  </si>
  <si>
    <t>FA-B 0005-00007935</t>
  </si>
  <si>
    <t>FA-B 0005-00007936</t>
  </si>
  <si>
    <t>FA-B 0005-00007937</t>
  </si>
  <si>
    <t>FA-B 0005-00007938</t>
  </si>
  <si>
    <t>FA-B 0005-00007939</t>
  </si>
  <si>
    <t>FA-B 0005-00007940</t>
  </si>
  <si>
    <t>FA-B 0005-00007941</t>
  </si>
  <si>
    <t>FA-B 0005-00007942</t>
  </si>
  <si>
    <t>FA-B 0005-00007943</t>
  </si>
  <si>
    <t>FA-B 0005-00007944</t>
  </si>
  <si>
    <t>FA-B 0005-00007945</t>
  </si>
  <si>
    <t>FA-B 0005-00007946</t>
  </si>
  <si>
    <t>FA-B 0005-00007947</t>
  </si>
  <si>
    <t>FA-B 0005-00007948</t>
  </si>
  <si>
    <t>FA-B 0005-00007949</t>
  </si>
  <si>
    <t>FA-B 0005-00007950</t>
  </si>
  <si>
    <t>FA-B 0005-00007951</t>
  </si>
  <si>
    <t>FA-B 0005-00007952</t>
  </si>
  <si>
    <t>16/05/2023</t>
  </si>
  <si>
    <t>FA-B 0005-00007953</t>
  </si>
  <si>
    <t>FA-B 0005-00007954</t>
  </si>
  <si>
    <t>FA-B 0005-00007955</t>
  </si>
  <si>
    <t>FA-B 0005-00007956</t>
  </si>
  <si>
    <t>FA-B 0005-00007957</t>
  </si>
  <si>
    <t>FA-B 0005-00007958</t>
  </si>
  <si>
    <t>FA-B 0005-00007959</t>
  </si>
  <si>
    <t>FA-B 0005-00007960</t>
  </si>
  <si>
    <t>FA-B 0005-00007961</t>
  </si>
  <si>
    <t>FA-B 0005-00007962</t>
  </si>
  <si>
    <t>FA-B 0005-00007963</t>
  </si>
  <si>
    <t>FA-B 0005-00007964</t>
  </si>
  <si>
    <t>FA-B 0005-00007965</t>
  </si>
  <si>
    <t>FA-B 0005-00007966</t>
  </si>
  <si>
    <t>FA-B 0005-00007967</t>
  </si>
  <si>
    <t>FA-B 0005-00007968</t>
  </si>
  <si>
    <t>FA-B 0005-00007969</t>
  </si>
  <si>
    <t>FA-B 0005-00007970</t>
  </si>
  <si>
    <t>FA-B 0005-00007971</t>
  </si>
  <si>
    <t>FA-B 0005-00007972</t>
  </si>
  <si>
    <t>FA-B 0005-00007973</t>
  </si>
  <si>
    <t>FA-B 0005-00007974</t>
  </si>
  <si>
    <t>FA-B 0005-00007975</t>
  </si>
  <si>
    <t>FA-B 0005-00007976</t>
  </si>
  <si>
    <t>FA-B 0005-00007977</t>
  </si>
  <si>
    <t>FA-B 0005-00007978</t>
  </si>
  <si>
    <t>FA-B 0005-00007979</t>
  </si>
  <si>
    <t>FA-B 0005-00007980</t>
  </si>
  <si>
    <t>FA-B 0005-00007981</t>
  </si>
  <si>
    <t>FA-B 0005-00007982</t>
  </si>
  <si>
    <t>FA-B 0005-00007983</t>
  </si>
  <si>
    <t>FA-B 0005-00007984</t>
  </si>
  <si>
    <t>FA-B 0005-00007985</t>
  </si>
  <si>
    <t>FA-B 0005-00007986</t>
  </si>
  <si>
    <t>FA-B 0005-00007987</t>
  </si>
  <si>
    <t>FA-B 0005-00007988</t>
  </si>
  <si>
    <t>FA-B 0005-00007989</t>
  </si>
  <si>
    <t>FA-B 0005-00007990</t>
  </si>
  <si>
    <t>FA-B 0005-00007991</t>
  </si>
  <si>
    <t>FA-B 0005-00007992</t>
  </si>
  <si>
    <t>FA-B 0005-00007993</t>
  </si>
  <si>
    <t>FA-B 0005-00007994</t>
  </si>
  <si>
    <t>FA-B 0005-00007995</t>
  </si>
  <si>
    <t>FA-B 0005-00007996</t>
  </si>
  <si>
    <t>FA-B 0005-00007997</t>
  </si>
  <si>
    <t>FA-B 0005-00007998</t>
  </si>
  <si>
    <t>FA-B 0005-00007999</t>
  </si>
  <si>
    <t>FA-B 0005-00008000</t>
  </si>
  <si>
    <t>FA-B 0005-00008001</t>
  </si>
  <si>
    <t>FA-B 0005-00008002</t>
  </si>
  <si>
    <t>FA-B 0005-00008003</t>
  </si>
  <si>
    <t>FA-B 0005-00008004</t>
  </si>
  <si>
    <t>FA-B 0005-00008005</t>
  </si>
  <si>
    <t>FA-B 0005-00008006</t>
  </si>
  <si>
    <t>FA-B 0005-00008007</t>
  </si>
  <si>
    <t>FA-B 0005-00008008</t>
  </si>
  <si>
    <t>FA-B 0005-00008009</t>
  </si>
  <si>
    <t>23/05/2023</t>
  </si>
  <si>
    <t>FA-B 0005-00008010</t>
  </si>
  <si>
    <t>FA-B 0005-00008011</t>
  </si>
  <si>
    <t>FA-B 0005-00008012</t>
  </si>
  <si>
    <t>FA-B 0005-00008013</t>
  </si>
  <si>
    <t>FA-B 0005-00008014</t>
  </si>
  <si>
    <t>FA-B 0005-00008015</t>
  </si>
  <si>
    <t>FA-B 0005-00008016</t>
  </si>
  <si>
    <t>FA-B 0005-00008017</t>
  </si>
  <si>
    <t>FA-B 0005-00008018</t>
  </si>
  <si>
    <t>FA-B 0005-00008019</t>
  </si>
  <si>
    <t>FA-B 0005-00008020</t>
  </si>
  <si>
    <t>FA-B 0005-00008021</t>
  </si>
  <si>
    <t>FA-B 0005-00008022</t>
  </si>
  <si>
    <t>FA-B 0005-00008023</t>
  </si>
  <si>
    <t>FA-B 0005-00008024</t>
  </si>
  <si>
    <t>FA-B 0005-00008025</t>
  </si>
  <si>
    <t>FA-B 0005-00008026</t>
  </si>
  <si>
    <t>FA-B 0005-00008027</t>
  </si>
  <si>
    <t>FA-B 0005-00008028</t>
  </si>
  <si>
    <t>FA-B 0005-00008029</t>
  </si>
  <si>
    <t>FA-B 0005-00008030</t>
  </si>
  <si>
    <t>29/05/2023</t>
  </si>
  <si>
    <t>FA-B 0005-00008031</t>
  </si>
  <si>
    <t>FA-B 0005-00008032</t>
  </si>
  <si>
    <t>FA-B 0005-00008033</t>
  </si>
  <si>
    <t>FA-B 0005-00008034</t>
  </si>
  <si>
    <t>FA-B 0005-00008035</t>
  </si>
  <si>
    <t>FA-B 0005-00008036</t>
  </si>
  <si>
    <t>FA-B 0005-00008037</t>
  </si>
  <si>
    <t>FA-B 0005-00008038</t>
  </si>
  <si>
    <t>30/05/2023</t>
  </si>
  <si>
    <t>FA-B 0005-00008039</t>
  </si>
  <si>
    <t>FA-B 0005-00008040</t>
  </si>
  <si>
    <t>FA-B 0005-00008041</t>
  </si>
  <si>
    <t>FA-B 0005-00008042</t>
  </si>
  <si>
    <t>FA-B 0005-00008043</t>
  </si>
  <si>
    <t>FA-B 0005-00008044</t>
  </si>
  <si>
    <t>FA-B 0005-00008045</t>
  </si>
  <si>
    <t>FA-B 0005-00008046</t>
  </si>
  <si>
    <t>ARMADA SEBASTIÁN</t>
  </si>
  <si>
    <t>31/05/2023</t>
  </si>
  <si>
    <t>FA-B 0005-00008047</t>
  </si>
  <si>
    <t>FA-B 0005-00008048</t>
  </si>
  <si>
    <t>FA-B 0005-00008049</t>
  </si>
  <si>
    <t>FA-B 0005-00008050</t>
  </si>
  <si>
    <t>FA-B 0005-00008051</t>
  </si>
  <si>
    <t>FA-B 0005-00008052</t>
  </si>
  <si>
    <t>FA-B 0005-00008053</t>
  </si>
  <si>
    <t>FA-B 0005-00008054</t>
  </si>
  <si>
    <t>FA-B 0005-00008055</t>
  </si>
  <si>
    <t>FA-B 0005-00008056</t>
  </si>
  <si>
    <t>FA-B 0007-00004309</t>
  </si>
  <si>
    <t>FA-B 0007-00004310</t>
  </si>
  <si>
    <t>GALLO, NICOLAS DAMIAN</t>
  </si>
  <si>
    <t>FA-B 0007-00004311</t>
  </si>
  <si>
    <t>FA-B 0007-00004312</t>
  </si>
  <si>
    <t>FA-B 0007-00004313</t>
  </si>
  <si>
    <t>MODOLO, CRISTIAN ARIEL</t>
  </si>
  <si>
    <t>FA-B 0007-00004314</t>
  </si>
  <si>
    <t>FA-B 0007-00004315</t>
  </si>
  <si>
    <t>FA-B 0007-00004316</t>
  </si>
  <si>
    <t>FA-B 0007-00004317</t>
  </si>
  <si>
    <t>FA-B 0007-00004318</t>
  </si>
  <si>
    <t>FA-B 0007-00004319</t>
  </si>
  <si>
    <t>WIKINSKI, SILVIA INES</t>
  </si>
  <si>
    <t>FA-B 0007-00004320</t>
  </si>
  <si>
    <t>FA-B 0007-00004321</t>
  </si>
  <si>
    <t>FA-B 0007-00004322</t>
  </si>
  <si>
    <t>FA-B 0007-00004323</t>
  </si>
  <si>
    <t>FA-B 0007-00004324</t>
  </si>
  <si>
    <t>FA-B 0007-00004325</t>
  </si>
  <si>
    <t xml:space="preserve">IZZO, ADRIANA </t>
  </si>
  <si>
    <t>FA-B 0007-00004326</t>
  </si>
  <si>
    <t>FA-B 0007-00004327</t>
  </si>
  <si>
    <t>FA-B 0007-00004328</t>
  </si>
  <si>
    <t>FA-B 0007-00004329</t>
  </si>
  <si>
    <t>FA-B 0007-00004330</t>
  </si>
  <si>
    <t>FA-B 0007-00004331</t>
  </si>
  <si>
    <t>FA-B 0007-00004332</t>
  </si>
  <si>
    <t>FA-B 0007-00004333</t>
  </si>
  <si>
    <t>FA-B 0007-00004334</t>
  </si>
  <si>
    <t>FA-B 0007-00004335</t>
  </si>
  <si>
    <t>FA-B 0007-00004336</t>
  </si>
  <si>
    <t>FA-B 0007-00004337</t>
  </si>
  <si>
    <t>FA-B 0007-00004338</t>
  </si>
  <si>
    <t>FA-B 0007-00004339</t>
  </si>
  <si>
    <t>FA-B 0007-00004340</t>
  </si>
  <si>
    <t>FA-B 0007-00004341</t>
  </si>
  <si>
    <t>FA-B 0007-00004342</t>
  </si>
  <si>
    <t>Obra Social De Docentes Particulares</t>
  </si>
  <si>
    <t>FA-B 0007-00004343</t>
  </si>
  <si>
    <t>FA-B 0007-00004344</t>
  </si>
  <si>
    <t>FA-B 0007-00004345</t>
  </si>
  <si>
    <t>FA-B 0007-00004346</t>
  </si>
  <si>
    <t xml:space="preserve"> VIÑALES, HILDA NORMA</t>
  </si>
  <si>
    <t>FA-B 0007-00004347</t>
  </si>
  <si>
    <t>FA-B 0007-00004348</t>
  </si>
  <si>
    <t>FA-B 0007-00004349</t>
  </si>
  <si>
    <t>FA-B 0007-00004350</t>
  </si>
  <si>
    <t>FA-B 0007-00004351</t>
  </si>
  <si>
    <t>FA-B 0007-00004352</t>
  </si>
  <si>
    <t>FA-B 0007-00004353</t>
  </si>
  <si>
    <t>FA-B 0007-00004354</t>
  </si>
  <si>
    <t>FA-B 0007-00004355</t>
  </si>
  <si>
    <t>PERALES ALEJANDRO FABÍAN</t>
  </si>
  <si>
    <t>FA-B 0007-00004356</t>
  </si>
  <si>
    <t>FA-B 0007-00004357</t>
  </si>
  <si>
    <t>FA-B 0007-00004358</t>
  </si>
  <si>
    <t>FA-B 0007-00004359</t>
  </si>
  <si>
    <t>FA-B 0007-00004360</t>
  </si>
  <si>
    <t>FA-B 0007-00004361</t>
  </si>
  <si>
    <t>FA-B 0007-00004362</t>
  </si>
  <si>
    <t xml:space="preserve">GONZALEZ, LAURA BEATRIZ </t>
  </si>
  <si>
    <t>FA-B 0007-00004363</t>
  </si>
  <si>
    <t>FA-B 0007-00004364</t>
  </si>
  <si>
    <t>FA-B 0007-00004365</t>
  </si>
  <si>
    <t>TEVEZ OLGA</t>
  </si>
  <si>
    <t>FA-B 0007-00004366</t>
  </si>
  <si>
    <t>BLANCO LUISA</t>
  </si>
  <si>
    <t>FA-B 0007-00004367</t>
  </si>
  <si>
    <t>FA-B 0007-00004368</t>
  </si>
  <si>
    <t>FA-B 0007-00004369</t>
  </si>
  <si>
    <t>FA-B 0007-00004370</t>
  </si>
  <si>
    <t>SALLES, ANA MARIA</t>
  </si>
  <si>
    <t>FA-B 0007-00004371</t>
  </si>
  <si>
    <t>CHUANQIANG WU</t>
  </si>
  <si>
    <t>FA-B 0007-00004372</t>
  </si>
  <si>
    <t>LERENA MARÍA ROSARIO</t>
  </si>
  <si>
    <t>FA-B 0007-00004373</t>
  </si>
  <si>
    <t>MIGUEL, EDUARDO ADRIAN</t>
  </si>
  <si>
    <t>FA-B 0007-00004374</t>
  </si>
  <si>
    <t>FA-B 0007-00004375</t>
  </si>
  <si>
    <t>FA-B 0007-00004376</t>
  </si>
  <si>
    <t>PAGANOTTO, MARCELO OSCAR</t>
  </si>
  <si>
    <t>FA-B 0007-00004377</t>
  </si>
  <si>
    <t>FA-B 0007-00004378</t>
  </si>
  <si>
    <t>FA-B 0007-00004379</t>
  </si>
  <si>
    <t>REMEZZANO MATÍAS</t>
  </si>
  <si>
    <t>FA-B 0007-00004380</t>
  </si>
  <si>
    <t>FA-B 0007-00004381</t>
  </si>
  <si>
    <t>FA-B 0007-00004382</t>
  </si>
  <si>
    <t>FA-B 0007-00004383</t>
  </si>
  <si>
    <t>GALEANO ALBERTO DONATO</t>
  </si>
  <si>
    <t>FA-B 0007-00004384</t>
  </si>
  <si>
    <t>FA-B 0007-00004385</t>
  </si>
  <si>
    <t>FA-B 0007-00004386</t>
  </si>
  <si>
    <t>CRISTIAN GOLDENHORN</t>
  </si>
  <si>
    <t>FA-B 0007-00004387</t>
  </si>
  <si>
    <t>FA-B 0007-00004388</t>
  </si>
  <si>
    <t>FA-B 0007-00004389</t>
  </si>
  <si>
    <t>NC-A 0006-00000029</t>
  </si>
  <si>
    <t>NC-A 0006-00000030</t>
  </si>
  <si>
    <t>NC-A 0006-00000031</t>
  </si>
  <si>
    <t>NC-A 0006-00000032</t>
  </si>
  <si>
    <t>NC-A 0006-00000033</t>
  </si>
  <si>
    <t>NC-A 0007-00000090</t>
  </si>
  <si>
    <t>NC-A 0007-00000091</t>
  </si>
  <si>
    <t>NC-A 0007-00000092</t>
  </si>
  <si>
    <t>NC-A 0007-00000093</t>
  </si>
  <si>
    <t>NC-B 0005-00000112</t>
  </si>
  <si>
    <t>NC-B 0005-00000113</t>
  </si>
  <si>
    <t>NC-B 0005-00000114</t>
  </si>
  <si>
    <t>NC-B 0007-00000137</t>
  </si>
  <si>
    <t>NC-B 0007-00000138</t>
  </si>
  <si>
    <t>NC-B 0007-00000139</t>
  </si>
  <si>
    <t>NC-A 0003-00000020</t>
  </si>
  <si>
    <t>01/06/2023</t>
  </si>
  <si>
    <t>FA-B 0005-00008057</t>
  </si>
  <si>
    <t>FA-B 0005-00008058</t>
  </si>
  <si>
    <t>FA-B 0005-00008059</t>
  </si>
  <si>
    <t>FA-B 0005-00008060</t>
  </si>
  <si>
    <t>FA-B 0005-00008061</t>
  </si>
  <si>
    <t>FA-B 0005-00008062</t>
  </si>
  <si>
    <t>FA-B 0005-00008063</t>
  </si>
  <si>
    <t>FA-B 0005-00008064</t>
  </si>
  <si>
    <t>FA-B 0005-00008065</t>
  </si>
  <si>
    <t>FA-B 0005-00008066</t>
  </si>
  <si>
    <t>FA-A 0006-00000348</t>
  </si>
  <si>
    <t>FA-A 0007-00001468</t>
  </si>
  <si>
    <t>Creaciones Mengana</t>
  </si>
  <si>
    <t>FA-A 0007-00001469</t>
  </si>
  <si>
    <t>FA-A 0007-00001470</t>
  </si>
  <si>
    <t>FA-A 0007-00001471</t>
  </si>
  <si>
    <t>FA-A 0007-00001472</t>
  </si>
  <si>
    <t>FA-A 0007-00001473</t>
  </si>
  <si>
    <t>FA-A 0007-00001474</t>
  </si>
  <si>
    <t>FA-B 0007-00004390</t>
  </si>
  <si>
    <t>FA-B 0007-00004391</t>
  </si>
  <si>
    <t>FA-B 0007-00004392</t>
  </si>
  <si>
    <t>FA-B 0007-00004393</t>
  </si>
  <si>
    <t>GIMENEZ, SONIA GLADYS</t>
  </si>
  <si>
    <t>FA-B 0007-00004394</t>
  </si>
  <si>
    <t>RUSO BRUNO</t>
  </si>
  <si>
    <t>FA-B 0007-00004395</t>
  </si>
  <si>
    <t>TISERA, ANDRES HORACIO</t>
  </si>
  <si>
    <t>02/06/2023</t>
  </si>
  <si>
    <t>FA-B 0005-00008067</t>
  </si>
  <si>
    <t>FA-B 0005-00008068</t>
  </si>
  <si>
    <t>FA-B 0005-00008069</t>
  </si>
  <si>
    <t>FA-B 0005-00008070</t>
  </si>
  <si>
    <t>FA-B 0005-00008071</t>
  </si>
  <si>
    <t>FA-B 0005-00008072</t>
  </si>
  <si>
    <t>FA-B 0005-00008073</t>
  </si>
  <si>
    <t>FA-B 0005-00008074</t>
  </si>
  <si>
    <t>FA-B 0005-00008075</t>
  </si>
  <si>
    <t>FA-A 0006-00000349</t>
  </si>
  <si>
    <t>FA-A 0006-00000350</t>
  </si>
  <si>
    <t>FA-A 0006-00000351</t>
  </si>
  <si>
    <t>FA-A 0007-00001475</t>
  </si>
  <si>
    <t>FA-A 0007-00001476</t>
  </si>
  <si>
    <t>FA-A 0007-00001477</t>
  </si>
  <si>
    <t>FA-A 0007-00001478</t>
  </si>
  <si>
    <t>FA-A 0007-00001479</t>
  </si>
  <si>
    <t>FA-A 0007-00001480</t>
  </si>
  <si>
    <t>FA-A 0007-00001481</t>
  </si>
  <si>
    <t>FA-B 0007-00004396</t>
  </si>
  <si>
    <t>FA-B 0007-00004397</t>
  </si>
  <si>
    <t>FA-B 0007-00004398</t>
  </si>
  <si>
    <t>FA-B 0007-00004399</t>
  </si>
  <si>
    <t>05/06/2023</t>
  </si>
  <si>
    <t>FA-B 0005-00008076</t>
  </si>
  <si>
    <t>FA-B 0005-00008077</t>
  </si>
  <si>
    <t>FA-B 0005-00008078</t>
  </si>
  <si>
    <t>FA-B 0005-00008079</t>
  </si>
  <si>
    <t>FA-B 0005-00008080</t>
  </si>
  <si>
    <t>FA-B 0005-00008081</t>
  </si>
  <si>
    <t>FA-B 0005-00008082</t>
  </si>
  <si>
    <t>FA-B 0005-00008083</t>
  </si>
  <si>
    <t>FA-B 0005-00008084</t>
  </si>
  <si>
    <t>FA-B 0005-00008085</t>
  </si>
  <si>
    <t>FA-A 0007-00001482</t>
  </si>
  <si>
    <t>FA-A 0007-00001483</t>
  </si>
  <si>
    <t>FA-B 0007-00004400</t>
  </si>
  <si>
    <t>FA-B 0007-00004401</t>
  </si>
  <si>
    <t>FA-B 0007-00004402</t>
  </si>
  <si>
    <t>FA-B 0007-00004403</t>
  </si>
  <si>
    <t>FA-B 0007-00004404</t>
  </si>
  <si>
    <t>FA-B 0007-00004405</t>
  </si>
  <si>
    <t>06/06/2023</t>
  </si>
  <si>
    <t>FA-B 0005-00008086</t>
  </si>
  <si>
    <t>FA-B 0005-00008087</t>
  </si>
  <si>
    <t>FA-B 0005-00008088</t>
  </si>
  <si>
    <t>FA-B 0005-00008089</t>
  </si>
  <si>
    <t>FA-B 0005-00008090</t>
  </si>
  <si>
    <t>FA-B 0005-00008091</t>
  </si>
  <si>
    <t>FA-B 0005-00008092</t>
  </si>
  <si>
    <t>FA-B 0005-00008093</t>
  </si>
  <si>
    <t>FA-B 0005-00008094</t>
  </si>
  <si>
    <t>FA-B 0005-00008095</t>
  </si>
  <si>
    <t>FA-B 0005-00008096</t>
  </si>
  <si>
    <t>FA-A 0007-00001484</t>
  </si>
  <si>
    <t>FA-A 0007-00001485</t>
  </si>
  <si>
    <t>FA-A 0007-00001486</t>
  </si>
  <si>
    <t>FA-A 0007-00001487</t>
  </si>
  <si>
    <t>FA-A 0007-00001488</t>
  </si>
  <si>
    <t>FA-B 0007-00004406</t>
  </si>
  <si>
    <t>07/06/2023</t>
  </si>
  <si>
    <t>FA-B 0005-00008097</t>
  </si>
  <si>
    <t>FA-B 0005-00008098</t>
  </si>
  <si>
    <t>CASTRONOVO JULIÁN</t>
  </si>
  <si>
    <t>FA-B 0005-00008099</t>
  </si>
  <si>
    <t>FA-B 0005-00008100</t>
  </si>
  <si>
    <t>SILVEIRA HÉCTOR ADOLFO</t>
  </si>
  <si>
    <t>FA-B 0005-00008101</t>
  </si>
  <si>
    <t>FA-B 0005-00008102</t>
  </si>
  <si>
    <t>FA-B 0005-00008103</t>
  </si>
  <si>
    <t>FA-B 0005-00008104</t>
  </si>
  <si>
    <t>FA-B 0005-00008105</t>
  </si>
  <si>
    <t>FA-B 0005-00008106</t>
  </si>
  <si>
    <t>FA-B 0005-00008107</t>
  </si>
  <si>
    <t>FA-B 0007-00004407</t>
  </si>
  <si>
    <t>MATHOV ENRIQUE JOSE</t>
  </si>
  <si>
    <t>FA-B 0007-00004408</t>
  </si>
  <si>
    <t>08/06/2023</t>
  </si>
  <si>
    <t>NC-B 0005-00000115</t>
  </si>
  <si>
    <t>FA-B 0005-00008108</t>
  </si>
  <si>
    <t>FA-B 0005-00008109</t>
  </si>
  <si>
    <t>FA-B 0005-00008110</t>
  </si>
  <si>
    <t>FA-B 0005-00008111</t>
  </si>
  <si>
    <t>FA-B 0005-00008112</t>
  </si>
  <si>
    <t>FA-B 0005-00008113</t>
  </si>
  <si>
    <t>FA-B 0005-00008114</t>
  </si>
  <si>
    <t>FA-B 0005-00008115</t>
  </si>
  <si>
    <t>FA-B 0005-00008116</t>
  </si>
  <si>
    <t>FA-B 0005-00008117</t>
  </si>
  <si>
    <t>FA-B 0005-00008118</t>
  </si>
  <si>
    <t>FA-B 0005-00008119</t>
  </si>
  <si>
    <t>FA-B 0005-00008120</t>
  </si>
  <si>
    <t>FA-B 0005-00008121</t>
  </si>
  <si>
    <t>FA-A 0007-00001489</t>
  </si>
  <si>
    <t>FA-B 0007-00004409</t>
  </si>
  <si>
    <t>PEDRO SERGIO TORREGROSA</t>
  </si>
  <si>
    <t>FA-B 0007-00004410</t>
  </si>
  <si>
    <t>FA-B 0007-00004411</t>
  </si>
  <si>
    <t>FA-B 0007-00004412</t>
  </si>
  <si>
    <t>FA-B 0007-00004413</t>
  </si>
  <si>
    <t xml:space="preserve">PAOLA PERRIELLO </t>
  </si>
  <si>
    <t>FA-B 0007-00004414</t>
  </si>
  <si>
    <t>09/06/2023</t>
  </si>
  <si>
    <t>FA-B 0005-00008122</t>
  </si>
  <si>
    <t>FA-B 0005-00008123</t>
  </si>
  <si>
    <t>FA-B 0005-00008124</t>
  </si>
  <si>
    <t>FA-B 0005-00008125</t>
  </si>
  <si>
    <t>FA-B 0005-00008126</t>
  </si>
  <si>
    <t>FA-B 0005-00008127</t>
  </si>
  <si>
    <t>FA-B 0005-00008128</t>
  </si>
  <si>
    <t>FA-B 0005-00008129</t>
  </si>
  <si>
    <t>FA-B 0005-00008130</t>
  </si>
  <si>
    <t>FA-B 0005-00008131</t>
  </si>
  <si>
    <t>FA-B 0005-00008132</t>
  </si>
  <si>
    <t>FA-B 0005-00008133</t>
  </si>
  <si>
    <t>FA-B 0005-00008134</t>
  </si>
  <si>
    <t>FA-B 0005-00008135</t>
  </si>
  <si>
    <t>FA-A 0006-00000352</t>
  </si>
  <si>
    <t>FA-A 0007-00001490</t>
  </si>
  <si>
    <t>FA-A 0007-00001491</t>
  </si>
  <si>
    <t>FA-B 0007-00004415</t>
  </si>
  <si>
    <t>FA-B 0007-00004416</t>
  </si>
  <si>
    <t>FA-B 0007-00004417</t>
  </si>
  <si>
    <t xml:space="preserve">DOMINGUEZ, DANNA ROCIO </t>
  </si>
  <si>
    <t>FA-B 0007-00004418</t>
  </si>
  <si>
    <t>FA-B 0007-00004419</t>
  </si>
  <si>
    <t>FA-B 0007-00004420</t>
  </si>
  <si>
    <t>FA-B 0007-00004421</t>
  </si>
  <si>
    <t>12/06/2023</t>
  </si>
  <si>
    <t>FA-B 0005-00008136</t>
  </si>
  <si>
    <t>FA-B 0005-00008137</t>
  </si>
  <si>
    <t>FA-B 0005-00008138</t>
  </si>
  <si>
    <t>FA-B 0005-00008139</t>
  </si>
  <si>
    <t>FA-B 0005-00008140</t>
  </si>
  <si>
    <t>FA-B 0005-00008141</t>
  </si>
  <si>
    <t>FA-B 0005-00008142</t>
  </si>
  <si>
    <t>FA-B 0005-00008143</t>
  </si>
  <si>
    <t>FA-B 0005-00008144</t>
  </si>
  <si>
    <t>FA-B 0005-00008145</t>
  </si>
  <si>
    <t>FA-B 0005-00008146</t>
  </si>
  <si>
    <t>FA-A 0006-00000353</t>
  </si>
  <si>
    <t>FA-B 0007-00004422</t>
  </si>
  <si>
    <t>FA-B 0007-00004423</t>
  </si>
  <si>
    <t>FA-B 0007-00004424</t>
  </si>
  <si>
    <t>ROMERO TAMARA</t>
  </si>
  <si>
    <t>FA-B 0007-00004425</t>
  </si>
  <si>
    <t>13/06/2023</t>
  </si>
  <si>
    <t>FA-B 0005-00008147</t>
  </si>
  <si>
    <t>FA-B 0005-00008148</t>
  </si>
  <si>
    <t>FA-B 0005-00008149</t>
  </si>
  <si>
    <t>FA-B 0005-00008150</t>
  </si>
  <si>
    <t>FA-B 0005-00008151</t>
  </si>
  <si>
    <t>FA-B 0005-00008152</t>
  </si>
  <si>
    <t>FA-B 0005-00008153</t>
  </si>
  <si>
    <t>FA-B 0005-00008154</t>
  </si>
  <si>
    <t>FA-B 0005-00008155</t>
  </si>
  <si>
    <t>FA-A 0006-00000354</t>
  </si>
  <si>
    <t>FA-B 0007-00004426</t>
  </si>
  <si>
    <t>FA-B 0007-00004427</t>
  </si>
  <si>
    <t>14/06/2023</t>
  </si>
  <si>
    <t>FA-B 0005-00008156</t>
  </si>
  <si>
    <t>FA-B 0005-00008157</t>
  </si>
  <si>
    <t>FA-B 0005-00008158</t>
  </si>
  <si>
    <t>FA-B 0005-00008159</t>
  </si>
  <si>
    <t>FA-B 0005-00008160</t>
  </si>
  <si>
    <t>FA-B 0005-00008161</t>
  </si>
  <si>
    <t>FA-B 0005-00008162</t>
  </si>
  <si>
    <t>FA-B 0005-00008163</t>
  </si>
  <si>
    <t>NC-A 0006-00000034</t>
  </si>
  <si>
    <t>NC-A 0006-00000035</t>
  </si>
  <si>
    <t>NC-A 0006-00000036</t>
  </si>
  <si>
    <t>NC-A 0006-00000037</t>
  </si>
  <si>
    <t>FA-A 0007-00001492</t>
  </si>
  <si>
    <t>FA-B 0007-00004428</t>
  </si>
  <si>
    <t>FA-B 0007-00004429</t>
  </si>
  <si>
    <t>FA-B 0007-00004430</t>
  </si>
  <si>
    <t>FA-B 0007-00004431</t>
  </si>
  <si>
    <t>15/06/2023</t>
  </si>
  <si>
    <t>FA-B 0005-00008164</t>
  </si>
  <si>
    <t>FA-B 0005-00008165</t>
  </si>
  <si>
    <t>FA-B 0005-00008166</t>
  </si>
  <si>
    <t>FA-B 0005-00008167</t>
  </si>
  <si>
    <t>FA-B 0005-00008168</t>
  </si>
  <si>
    <t>FA-B 0005-00008169</t>
  </si>
  <si>
    <t>FA-B 0005-00008170</t>
  </si>
  <si>
    <t>FA-B 0005-00008171</t>
  </si>
  <si>
    <t>FA-B 0005-00008172</t>
  </si>
  <si>
    <t>FA-B 0005-00008173</t>
  </si>
  <si>
    <t>FA-B 0005-00008174</t>
  </si>
  <si>
    <t>FA-B 0005-00008175</t>
  </si>
  <si>
    <t>FA-B 0005-00008176</t>
  </si>
  <si>
    <t>FA-B 0005-00008177</t>
  </si>
  <si>
    <t>FA-B 0005-00008178</t>
  </si>
  <si>
    <t>FA-A 0006-00000355</t>
  </si>
  <si>
    <t>FA-A 0006-00000356</t>
  </si>
  <si>
    <t>FA-A 0006-00000357</t>
  </si>
  <si>
    <t>FA-A 0006-00000358</t>
  </si>
  <si>
    <t>NC-A 0007-00000094</t>
  </si>
  <si>
    <t>FA-A 0007-00001493</t>
  </si>
  <si>
    <t>FA-A 0007-00001494</t>
  </si>
  <si>
    <t>EGESAC S.A.</t>
  </si>
  <si>
    <t>FA-A 0007-00001495</t>
  </si>
  <si>
    <t>FA-A 0007-00001496</t>
  </si>
  <si>
    <t>FA-B 0007-00004432</t>
  </si>
  <si>
    <t>FA-B 0007-00004433</t>
  </si>
  <si>
    <t>FA-B 0007-00004434</t>
  </si>
  <si>
    <t>FA-B 0007-00004435</t>
  </si>
  <si>
    <t>FA-B 0007-00004436</t>
  </si>
  <si>
    <t>FA-B 0007-00004437</t>
  </si>
  <si>
    <t>FA-B 0007-00004438</t>
  </si>
  <si>
    <t>CORIGLIANO, LORENA ELISA</t>
  </si>
  <si>
    <t>16/06/2023</t>
  </si>
  <si>
    <t>FA-B 0005-00008179</t>
  </si>
  <si>
    <t>FA-B 0005-00008180</t>
  </si>
  <si>
    <t>FA-B 0005-00008181</t>
  </si>
  <si>
    <t>FA-B 0005-00008182</t>
  </si>
  <si>
    <t>FA-B 0005-00008183</t>
  </si>
  <si>
    <t>FA-B 0007-00004439</t>
  </si>
  <si>
    <t>FA-B 0007-00004440</t>
  </si>
  <si>
    <t>RIOS, ALBERTO SIMON</t>
  </si>
  <si>
    <t>FA-B 0007-00004441</t>
  </si>
  <si>
    <t>RUTH ABAN</t>
  </si>
  <si>
    <t>21/06/2023</t>
  </si>
  <si>
    <t>NC-B 0005-00000116</t>
  </si>
  <si>
    <t>FA-B 0005-00008184</t>
  </si>
  <si>
    <t>FA-B 0005-00008185</t>
  </si>
  <si>
    <t>FA-B 0005-00008186</t>
  </si>
  <si>
    <t>FA-B 0005-00008187</t>
  </si>
  <si>
    <t>FA-B 0005-00008188</t>
  </si>
  <si>
    <t>FA-B 0005-00008189</t>
  </si>
  <si>
    <t>FA-B 0005-00008190</t>
  </si>
  <si>
    <t>FA-B 0007-00004442</t>
  </si>
  <si>
    <t>FA-B 0007-00004443</t>
  </si>
  <si>
    <t>FA-B 0007-00004444</t>
  </si>
  <si>
    <t>22/06/2023</t>
  </si>
  <si>
    <t>FA-B 0005-00008191</t>
  </si>
  <si>
    <t>FA-B 0005-00008192</t>
  </si>
  <si>
    <t>FA-B 0005-00008193</t>
  </si>
  <si>
    <t>FA-B 0005-00008194</t>
  </si>
  <si>
    <t>FA-B 0005-00008195</t>
  </si>
  <si>
    <t>FA-B 0005-00008196</t>
  </si>
  <si>
    <t>FA-B 0005-00008197</t>
  </si>
  <si>
    <t>FA-B 0005-00008198</t>
  </si>
  <si>
    <t>NC-B 0007-00000140</t>
  </si>
  <si>
    <t>FA-B 0007-00004445</t>
  </si>
  <si>
    <t>FA-B 0007-00004446</t>
  </si>
  <si>
    <t>FA-B 0007-00004447</t>
  </si>
  <si>
    <t>FA-B 0007-00004448</t>
  </si>
  <si>
    <t>FA-B 0007-00004449</t>
  </si>
  <si>
    <t>FA-B 0007-00004450</t>
  </si>
  <si>
    <t>23/06/2023</t>
  </si>
  <si>
    <t>FA-B 0005-00008199</t>
  </si>
  <si>
    <t>FA-B 0005-00008200</t>
  </si>
  <si>
    <t>FA-B 0005-00008201</t>
  </si>
  <si>
    <t>FA-B 0005-00008202</t>
  </si>
  <si>
    <t>FA-B 0005-00008203</t>
  </si>
  <si>
    <t>FA-B 0005-00008204</t>
  </si>
  <si>
    <t>FA-B 0005-00008205</t>
  </si>
  <si>
    <t>FA-B 0007-00004451</t>
  </si>
  <si>
    <t>CARELLE ELEONORA MARTHA</t>
  </si>
  <si>
    <t>26/06/2023</t>
  </si>
  <si>
    <t>FA-B 0005-00008206</t>
  </si>
  <si>
    <t>FA-B 0005-00008207</t>
  </si>
  <si>
    <t>FA-B 0005-00008208</t>
  </si>
  <si>
    <t>FA-B 0005-00008209</t>
  </si>
  <si>
    <t>FA-B 0005-00008210</t>
  </si>
  <si>
    <t>FA-B 0005-00008211</t>
  </si>
  <si>
    <t>FA-B 0005-00008212</t>
  </si>
  <si>
    <t>GOMEZ JUAN JOSÉ</t>
  </si>
  <si>
    <t>FA-B 0005-00008213</t>
  </si>
  <si>
    <t>FA-A 0006-00000359</t>
  </si>
  <si>
    <t>FA-A 0006-00000360</t>
  </si>
  <si>
    <t>FA-A 0007-00001497</t>
  </si>
  <si>
    <t>FA-B 0007-00004452</t>
  </si>
  <si>
    <t>FA-B 0007-00004453</t>
  </si>
  <si>
    <t>FA-B 0007-00004454</t>
  </si>
  <si>
    <t>FA-B 0007-00004455</t>
  </si>
  <si>
    <t>FA-B 0007-00004456</t>
  </si>
  <si>
    <t>FA-B 0007-00004457</t>
  </si>
  <si>
    <t>FA-B 0007-00004458</t>
  </si>
  <si>
    <t>SALOMÓN VIVIANA</t>
  </si>
  <si>
    <t>27/06/2023</t>
  </si>
  <si>
    <t>NC-B 0005-00000117</t>
  </si>
  <si>
    <t>FA-B 0005-00008214</t>
  </si>
  <si>
    <t>FA-B 0005-00008215</t>
  </si>
  <si>
    <t>FA-B 0005-00008216</t>
  </si>
  <si>
    <t>FA-B 0005-00008217</t>
  </si>
  <si>
    <t>FA-B 0005-00008218</t>
  </si>
  <si>
    <t>FA-B 0005-00008219</t>
  </si>
  <si>
    <t>FA-B 0005-00008220</t>
  </si>
  <si>
    <t>FA-B 0005-00008221</t>
  </si>
  <si>
    <t>FA-B 0005-00008222</t>
  </si>
  <si>
    <t>FA-B 0005-00008223</t>
  </si>
  <si>
    <t>FA-B 0005-00008224</t>
  </si>
  <si>
    <t>FA-B 0005-00008225</t>
  </si>
  <si>
    <t>FA-B 0005-00008226</t>
  </si>
  <si>
    <t>FA-B 0005-00008227</t>
  </si>
  <si>
    <t>NC-A 0006-00000038</t>
  </si>
  <si>
    <t>FA-A 0006-00000361</t>
  </si>
  <si>
    <t>FA-A 0007-00001498</t>
  </si>
  <si>
    <t>FA-B 0007-00004459</t>
  </si>
  <si>
    <t>PEREZ, NILDA HAYDEE</t>
  </si>
  <si>
    <t>FA-B 0007-00004460</t>
  </si>
  <si>
    <t>FA-B 0007-00004461</t>
  </si>
  <si>
    <t>ADA MARÍA JOSEFA LUZ</t>
  </si>
  <si>
    <t>FA-B 0007-00004462</t>
  </si>
  <si>
    <t>FA-B 0007-00004463</t>
  </si>
  <si>
    <t>ORELLA DEL VALLE RAQUEL</t>
  </si>
  <si>
    <t>FA-B 0007-00004464</t>
  </si>
  <si>
    <t>28/06/2023</t>
  </si>
  <si>
    <t>FA-B 0005-00008228</t>
  </si>
  <si>
    <t>FA-B 0005-00008229</t>
  </si>
  <si>
    <t>FERAZZINI NILDA MABEL</t>
  </si>
  <si>
    <t>FA-B 0005-00008230</t>
  </si>
  <si>
    <t>FA-B 0005-00008231</t>
  </si>
  <si>
    <t>FA-B 0005-00008232</t>
  </si>
  <si>
    <t>FA-B 0005-00008233</t>
  </si>
  <si>
    <t>FA-B 0005-00008234</t>
  </si>
  <si>
    <t>FA-B 0005-00008235</t>
  </si>
  <si>
    <t>FA-B 0005-00008236</t>
  </si>
  <si>
    <t>FA-B 0005-00008237</t>
  </si>
  <si>
    <t>FA-B 0005-00008238</t>
  </si>
  <si>
    <t>FA-B 0005-00008239</t>
  </si>
  <si>
    <t>FA-B 0005-00008240</t>
  </si>
  <si>
    <t>FA-B 0005-00008241</t>
  </si>
  <si>
    <t>NC-A 0006-00000039</t>
  </si>
  <si>
    <t>FA-A 0006-00000362</t>
  </si>
  <si>
    <t>FA-B 0007-00004465</t>
  </si>
  <si>
    <t>FA-B 0007-00004466</t>
  </si>
  <si>
    <t>MORRONE, NORMA HAYDEE</t>
  </si>
  <si>
    <t>29/06/2023</t>
  </si>
  <si>
    <t>FA-B 0005-00008242</t>
  </si>
  <si>
    <t>FA-B 0005-00008243</t>
  </si>
  <si>
    <t>FA-B 0005-00008244</t>
  </si>
  <si>
    <t>FA-B 0005-00008245</t>
  </si>
  <si>
    <t>FA-B 0005-00008246</t>
  </si>
  <si>
    <t>FA-B 0005-00008247</t>
  </si>
  <si>
    <t>FA-B 0005-00008248</t>
  </si>
  <si>
    <t>FA-B 0005-00008249</t>
  </si>
  <si>
    <t>FA-B 0007-00004467</t>
  </si>
  <si>
    <t>30/06/2023</t>
  </si>
  <si>
    <t>FA-B 0005-00008250</t>
  </si>
  <si>
    <t>FA-B 0005-00008251</t>
  </si>
  <si>
    <t>FA-B 0005-00008252</t>
  </si>
  <si>
    <t>FA-B 0005-00008253</t>
  </si>
  <si>
    <t>FA-B 0005-00008254</t>
  </si>
  <si>
    <t>FA-B 0005-00008255</t>
  </si>
  <si>
    <t>FA-B 0005-00008256</t>
  </si>
  <si>
    <t>FA-B 0005-00008257</t>
  </si>
  <si>
    <t>FA-B 0007-00004468</t>
  </si>
  <si>
    <t>FACTURAS B</t>
  </si>
  <si>
    <t>FACTURAS A</t>
  </si>
  <si>
    <t>Tipo</t>
  </si>
  <si>
    <t>Punto de Venta</t>
  </si>
  <si>
    <t>Número Desde</t>
  </si>
  <si>
    <t>Cód. Autorización</t>
  </si>
  <si>
    <t>Tipo Doc. Receptor</t>
  </si>
  <si>
    <t>Nro. Doc. Receptor</t>
  </si>
  <si>
    <t>Denominación Receptor</t>
  </si>
  <si>
    <t>Imp. Neto Gravado</t>
  </si>
  <si>
    <t>IVA</t>
  </si>
  <si>
    <t>Imp. Total</t>
  </si>
  <si>
    <t>03/07/2023</t>
  </si>
  <si>
    <t>6 - Factura B</t>
  </si>
  <si>
    <t>CUIT</t>
  </si>
  <si>
    <t>OBRA SOCIAL DE LOS TRABAJADORES DE LA INDUSTRIA DEL GAS</t>
  </si>
  <si>
    <t>201 - Factura de Crédito Electrónica MyPyMEs (FCE) A</t>
  </si>
  <si>
    <t>3 - Nota de Crédito A</t>
  </si>
  <si>
    <t>ALEXANDER FLEMING S A</t>
  </si>
  <si>
    <t>1 - Factura A</t>
  </si>
  <si>
    <t>HC HOMECARE INTERNACION DOMICILIARIA S.A.</t>
  </si>
  <si>
    <t>AMPARO SALUD S.R.L.</t>
  </si>
  <si>
    <t>ZC SALUD SRL</t>
  </si>
  <si>
    <t>LOGIN DOOR S.A</t>
  </si>
  <si>
    <t>MEDICUS SOCIEDAD ANONIMA DE ASISTENCIA MEDICA Y CIENTIFICA</t>
  </si>
  <si>
    <t>MEDINCARE ARGENTINA S.A.</t>
  </si>
  <si>
    <t>CENTRO MEDICO AMENABAR SRL</t>
  </si>
  <si>
    <t>FUNDACION EMPRESARIA MADERERA</t>
  </si>
  <si>
    <t>ENSALUD S.A</t>
  </si>
  <si>
    <t>04/07/2023</t>
  </si>
  <si>
    <t>DNI</t>
  </si>
  <si>
    <t>OBRA SOCIAL DEL PERSONAL DE LAS TELECOMUNICACIONES DE LA REPUBLICA ARGENTINA</t>
  </si>
  <si>
    <t>MGR IMPLANTES S.A.</t>
  </si>
  <si>
    <t>05/07/2023</t>
  </si>
  <si>
    <t>ASOCIACION MUTUAL SANCOR SALUD</t>
  </si>
  <si>
    <t>203 - Nota de Crédito Electrónica MyPyMEs (FCE) A</t>
  </si>
  <si>
    <t>4 - Recibo A</t>
  </si>
  <si>
    <t>06/07/2023</t>
  </si>
  <si>
    <t>07/07/2023</t>
  </si>
  <si>
    <t>10/07/2023</t>
  </si>
  <si>
    <t>OBRA SOCIAL UNION PERSONAL DE LA UNION  DEL PERSONAL CIVIL DE LA NACION</t>
  </si>
  <si>
    <t>ALBAJARI ADRIAN ESTEBAN</t>
  </si>
  <si>
    <t>11/07/2023</t>
  </si>
  <si>
    <t>12/07/2023</t>
  </si>
  <si>
    <t>13/07/2023</t>
  </si>
  <si>
    <t>OBRA SOCIAL DEL PERSONAL DE LA INDUSTRIA DEL PLASTICO</t>
  </si>
  <si>
    <t>8 - Nota de Crédito B</t>
  </si>
  <si>
    <t>EGESAC SOCIEDAD ANONIM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</si>
  <si>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</si>
  <si>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</si>
  <si>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</si>
  <si>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</si>
  <si>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</si>
  <si>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</si>
  <si>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</si>
  <si>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OBRA SOCIAL DE LA ACTIVIDAD DE SEGUROS, REASEGUROS, CAPITALIZACION Y AHORRO Y PRESTAMO  PARA LA VIVI</t>
  </si>
  <si>
    <t>25/07/2023</t>
  </si>
  <si>
    <t>PIAGGIO PAULA ANDREA</t>
  </si>
  <si>
    <t>26/07/2023</t>
  </si>
  <si>
    <t>GALENO ASEGURADORA DE RIESGOS DEL TRABAJO SOCIEDAD ANONIMA</t>
  </si>
  <si>
    <t>27/07/2023</t>
  </si>
  <si>
    <t>28/07/2023</t>
  </si>
  <si>
    <t>LAMANNA CECILIA MARIANA</t>
  </si>
  <si>
    <t>31/07/2023</t>
  </si>
  <si>
    <t>RECIBOS "A" Emitidos por Dante - No se tomaron para las VENTAS.</t>
  </si>
  <si>
    <t>01/08/2023</t>
  </si>
  <si>
    <t>FA-B 0005-00008505</t>
  </si>
  <si>
    <t>FA-B 0005-00008506</t>
  </si>
  <si>
    <t>FA-B 0005-00008507</t>
  </si>
  <si>
    <t>FA-B 0005-00008508</t>
  </si>
  <si>
    <t>FA-B 0005-00008509</t>
  </si>
  <si>
    <t>FA-B 0005-00008510</t>
  </si>
  <si>
    <t>GALIOSTRO MARCELO FABIO</t>
  </si>
  <si>
    <t>FA-B 0005-00008511</t>
  </si>
  <si>
    <t>FA-B 0005-00008512</t>
  </si>
  <si>
    <t>FA-B 0005-00008513</t>
  </si>
  <si>
    <t>FA-B 0005-00008514</t>
  </si>
  <si>
    <t>FA-B 0007-00004531</t>
  </si>
  <si>
    <t>FA-B 0007-00004532</t>
  </si>
  <si>
    <t>02/08/2023</t>
  </si>
  <si>
    <t>FA-B 0005-00008515</t>
  </si>
  <si>
    <t>FA-B 0005-00008516</t>
  </si>
  <si>
    <t>FA-B 0005-00008517</t>
  </si>
  <si>
    <t>FA-B 0005-00008518</t>
  </si>
  <si>
    <t>FA-B 0005-00008519</t>
  </si>
  <si>
    <t>FA-B 0005-00008520</t>
  </si>
  <si>
    <t>FA-B 0005-00008521</t>
  </si>
  <si>
    <t>FA-B 0005-00008522</t>
  </si>
  <si>
    <t>FA-B 0005-00008523</t>
  </si>
  <si>
    <t>FA-A 0006-00000372</t>
  </si>
  <si>
    <t>FA-A 0007-00001546</t>
  </si>
  <si>
    <t>FA-A 0007-00001547</t>
  </si>
  <si>
    <t>FA-A 0007-00001548</t>
  </si>
  <si>
    <t>FA-A 0007-00001549</t>
  </si>
  <si>
    <t>FA-A 0007-00001550</t>
  </si>
  <si>
    <t>FA-A 0007-00001551</t>
  </si>
  <si>
    <t>FA-B 0007-00004533</t>
  </si>
  <si>
    <t>FA-B 0007-00004534</t>
  </si>
  <si>
    <t>FA-B 0007-00004535</t>
  </si>
  <si>
    <t>FA-B 0007-00004536</t>
  </si>
  <si>
    <t>FA-B 0007-00004537</t>
  </si>
  <si>
    <t>03/08/2023</t>
  </si>
  <si>
    <t>FA-B 0005-00008524</t>
  </si>
  <si>
    <t>FA-B 0005-00008525</t>
  </si>
  <si>
    <t>FA-B 0005-00008526</t>
  </si>
  <si>
    <t>FA-B 0005-00008527</t>
  </si>
  <si>
    <t>FA-B 0005-00008528</t>
  </si>
  <si>
    <t>FA-B 0005-00008529</t>
  </si>
  <si>
    <t>FA-B 0005-00008530</t>
  </si>
  <si>
    <t>FA-B 0005-00008531</t>
  </si>
  <si>
    <t>FA-B 0005-00008532</t>
  </si>
  <si>
    <t>FA-B 0005-00008533</t>
  </si>
  <si>
    <t>FA-B 0005-00008534</t>
  </si>
  <si>
    <t>FA-B 0005-00008535</t>
  </si>
  <si>
    <t>PEREYRA ELSA</t>
  </si>
  <si>
    <t>FA-B 0005-00008536</t>
  </si>
  <si>
    <t>FA-B 0005-00008537</t>
  </si>
  <si>
    <t>FA-B 0005-00008538</t>
  </si>
  <si>
    <t>FA-B 0005-00008539</t>
  </si>
  <si>
    <t>FA-B 0005-00008540</t>
  </si>
  <si>
    <t>FA-A 0006-00000373</t>
  </si>
  <si>
    <t>FA-A 0006-00000374</t>
  </si>
  <si>
    <t>FA-A 0007-00001552</t>
  </si>
  <si>
    <t>FA-A 0007-00001553</t>
  </si>
  <si>
    <t>FA-B 0007-00004538</t>
  </si>
  <si>
    <t>FA-B 0007-00004539</t>
  </si>
  <si>
    <t>04/08/2023</t>
  </si>
  <si>
    <t>FA-B 0005-00008541</t>
  </si>
  <si>
    <t>FA-B 0005-00008542</t>
  </si>
  <si>
    <t>FA-B 0005-00008543</t>
  </si>
  <si>
    <t>FA-B 0005-00008544</t>
  </si>
  <si>
    <t>FA-B 0005-00008545</t>
  </si>
  <si>
    <t>FA-B 0005-00008546</t>
  </si>
  <si>
    <t>FA-B 0005-00008547</t>
  </si>
  <si>
    <t>FA-B 0005-00008548</t>
  </si>
  <si>
    <t>FA-B 0005-00008549</t>
  </si>
  <si>
    <t>FA-B 0005-00008550</t>
  </si>
  <si>
    <t>FA-B 0005-00008551</t>
  </si>
  <si>
    <t>FA-B 0005-00008552</t>
  </si>
  <si>
    <t>FA-B 0005-00008553</t>
  </si>
  <si>
    <t>FA-B 0005-00008554</t>
  </si>
  <si>
    <t>FA-B 0005-00008555</t>
  </si>
  <si>
    <t>FA-A 0006 - 00000375</t>
  </si>
  <si>
    <t>Galeno (Alq Ambulatorios)</t>
  </si>
  <si>
    <t>FA-A 0007-00001554</t>
  </si>
  <si>
    <t>FA-B 0007-00004540</t>
  </si>
  <si>
    <t>FA-B 0007-00004541</t>
  </si>
  <si>
    <t>FA-B 0007-00004542</t>
  </si>
  <si>
    <t>FA-B 0007-00004543</t>
  </si>
  <si>
    <t>07/08/2023</t>
  </si>
  <si>
    <t>FA-B 0005-00008556</t>
  </si>
  <si>
    <t>FA-B 0005-00008557</t>
  </si>
  <si>
    <t>FA-B 0005-00008558</t>
  </si>
  <si>
    <t>FA-B 0005-00008559</t>
  </si>
  <si>
    <t>FA-B 0005-00008560</t>
  </si>
  <si>
    <t>FA-B 0005-00008561</t>
  </si>
  <si>
    <t>FA-B 0005-00008562</t>
  </si>
  <si>
    <t>FA-B 0005-00008563</t>
  </si>
  <si>
    <t>FA-B 0005-00008564</t>
  </si>
  <si>
    <t>FA-A 0007-00001555</t>
  </si>
  <si>
    <t>FA-A 0007-00001556</t>
  </si>
  <si>
    <t>FA-A 0007-00001557</t>
  </si>
  <si>
    <t>FA-A 0007-00001558</t>
  </si>
  <si>
    <t>FA-A 0007-00001559</t>
  </si>
  <si>
    <t>FA-A 0007-00001560</t>
  </si>
  <si>
    <t>FA-A 0007-00001561</t>
  </si>
  <si>
    <t>FA-A 0007-00001562</t>
  </si>
  <si>
    <t>FA-A 0007-00001563</t>
  </si>
  <si>
    <t>FA-A 0007-00001564</t>
  </si>
  <si>
    <t>FA-A 0007-00001565</t>
  </si>
  <si>
    <t>FA-A 0007-00001566</t>
  </si>
  <si>
    <t>FA-B 0007-00004544</t>
  </si>
  <si>
    <t>FA-B 0007-00004545</t>
  </si>
  <si>
    <t>FA-B 0007-00004546</t>
  </si>
  <si>
    <t>Romero Leonardo Gabriel</t>
  </si>
  <si>
    <t>FA-B 0007-00004547</t>
  </si>
  <si>
    <t>FA-B 0007-00004548</t>
  </si>
  <si>
    <t>FA-B 0007-00004549</t>
  </si>
  <si>
    <t>08/08/2023</t>
  </si>
  <si>
    <t>FA-B 0005-00008565</t>
  </si>
  <si>
    <t>FA-B 0005-00008566</t>
  </si>
  <si>
    <t>FA-B 0005-00008567</t>
  </si>
  <si>
    <t>FA-B 0005-00008568</t>
  </si>
  <si>
    <t>FA-B 0005-00008569</t>
  </si>
  <si>
    <t>FA-B 0005-00008570</t>
  </si>
  <si>
    <t>FA-B 0005-00008571</t>
  </si>
  <si>
    <t>FA-B 0005-00008572</t>
  </si>
  <si>
    <t>FA-B 0005-00008573</t>
  </si>
  <si>
    <t>FA-A 0007-00001567</t>
  </si>
  <si>
    <t>FA-A 0007-00001568</t>
  </si>
  <si>
    <t>FA-A 0007-00001569</t>
  </si>
  <si>
    <t>FA-A 0007-00001570</t>
  </si>
  <si>
    <t>FA-A 0007-00001571</t>
  </si>
  <si>
    <t>FA-A 0007-00001572</t>
  </si>
  <si>
    <t>FA-A 0007-00001573</t>
  </si>
  <si>
    <t>FA-A 0007-00001574</t>
  </si>
  <si>
    <t>FA-B 0007-00004550</t>
  </si>
  <si>
    <t>FA-B 0007-00004551</t>
  </si>
  <si>
    <t>FA-B 0007-00004552</t>
  </si>
  <si>
    <t>FA-B 0007-00004553</t>
  </si>
  <si>
    <t>FA-B 0007-00004554</t>
  </si>
  <si>
    <t>FA-B 0007-00004555</t>
  </si>
  <si>
    <t>FA-B 0007-00004556</t>
  </si>
  <si>
    <t>09/08/2023</t>
  </si>
  <si>
    <t>NC-B 0005-00000119</t>
  </si>
  <si>
    <t>FA-B 0005-00008574</t>
  </si>
  <si>
    <t>FA-B 0005-00008575</t>
  </si>
  <si>
    <t>FA-B 0005-00008576</t>
  </si>
  <si>
    <t>FA-B 0005-00008577</t>
  </si>
  <si>
    <t>FA-B 0005-00008578</t>
  </si>
  <si>
    <t>FA-B 0005-00008579</t>
  </si>
  <si>
    <t>FA-B 0005-00008580</t>
  </si>
  <si>
    <t>FA-B 0005-00008581</t>
  </si>
  <si>
    <t>FA-B 0005-00008582</t>
  </si>
  <si>
    <t>FA-B 0007-00004557</t>
  </si>
  <si>
    <t>PINTO HIDI, MAGDALENA</t>
  </si>
  <si>
    <t>FA-B 0007-00004558</t>
  </si>
  <si>
    <t>TORREZ, MARIANA ALCIRA</t>
  </si>
  <si>
    <t>FA-B 0007-00004559</t>
  </si>
  <si>
    <t xml:space="preserve">GIRINI, BETTINA PATRICIA </t>
  </si>
  <si>
    <t>FA-B 0007-00004560</t>
  </si>
  <si>
    <t>AGOSTINO MIRIAM</t>
  </si>
  <si>
    <t>FA-B 0007-00004561</t>
  </si>
  <si>
    <t>10/08/2023</t>
  </si>
  <si>
    <t>FA-A 0005-00000134</t>
  </si>
  <si>
    <t>Castellano, Georgelina Ana Luisa</t>
  </si>
  <si>
    <t>FA-B 0005-00008583</t>
  </si>
  <si>
    <t>FA-B 0005-00008584</t>
  </si>
  <si>
    <t>FA-B 0005-00008585</t>
  </si>
  <si>
    <t>FA-B 0005-00008586</t>
  </si>
  <si>
    <t>FA-B 0005-00008587</t>
  </si>
  <si>
    <t>FA-B 0005-00008588</t>
  </si>
  <si>
    <t>FA-B 0005-00008589</t>
  </si>
  <si>
    <t>FA-B 0005-00008590</t>
  </si>
  <si>
    <t>FA-B 0005-00008591</t>
  </si>
  <si>
    <t>FA-B 0005-00008592</t>
  </si>
  <si>
    <t>FA-B 0005-00008593</t>
  </si>
  <si>
    <t>FA-B 0005-00008594</t>
  </si>
  <si>
    <t>FA-A 0006-00000376</t>
  </si>
  <si>
    <t>FA-A 0006-00000377</t>
  </si>
  <si>
    <t>FA-B 0007-00004562</t>
  </si>
  <si>
    <t>FA-B 0007-00004563</t>
  </si>
  <si>
    <t>11/08/2023</t>
  </si>
  <si>
    <t>FA-B 0005-00008595</t>
  </si>
  <si>
    <t>FA-B 0005-00008596</t>
  </si>
  <si>
    <t>FA-B 0005-00008597</t>
  </si>
  <si>
    <t>FA-B 0005-00008598</t>
  </si>
  <si>
    <t>FA-B 0005-00008599</t>
  </si>
  <si>
    <t>FA-B 0005-00008600</t>
  </si>
  <si>
    <t>FA-B 0005-00008601</t>
  </si>
  <si>
    <t>FA-B 0005-00008602</t>
  </si>
  <si>
    <t>FA-B 0005-00008603</t>
  </si>
  <si>
    <t>FA-B 0005-00008604</t>
  </si>
  <si>
    <t>FA-B 0005-00008605</t>
  </si>
  <si>
    <t>FA-B 0005-00008606</t>
  </si>
  <si>
    <t>FA-B 0005-00008607</t>
  </si>
  <si>
    <t>FA-B 0005-00008608</t>
  </si>
  <si>
    <t>FA-B 0005-00008609</t>
  </si>
  <si>
    <t>FA-A 0007-00001575</t>
  </si>
  <si>
    <t>FA-B 0007-00004564</t>
  </si>
  <si>
    <t>FA-B 0007-00004565</t>
  </si>
  <si>
    <t>FA-B 0007-00004566</t>
  </si>
  <si>
    <t>BELBEY, WALTER HUGO</t>
  </si>
  <si>
    <t>FA-B 0007-00004567</t>
  </si>
  <si>
    <t>FA-B 0007-00004568</t>
  </si>
  <si>
    <t>FA-B 0007-00004569</t>
  </si>
  <si>
    <t>GOMEZ DANIEL ANTONIO</t>
  </si>
  <si>
    <t>14/08/2023</t>
  </si>
  <si>
    <t>FA-A 0005-00000135</t>
  </si>
  <si>
    <t>Frick, Carlos Alberto</t>
  </si>
  <si>
    <t>FA-B 0005-00008610</t>
  </si>
  <si>
    <t>FA-B 0005-00008611</t>
  </si>
  <si>
    <t>FA-B 0005-00008612</t>
  </si>
  <si>
    <t>FA-B 0005-00008613</t>
  </si>
  <si>
    <t>FA-B 0005-00008614</t>
  </si>
  <si>
    <t>FA-B 0005-00008615</t>
  </si>
  <si>
    <t>FA-B 0005-00008616</t>
  </si>
  <si>
    <t>FA-B 0005-00008617</t>
  </si>
  <si>
    <t>FA-B 0005-00008618</t>
  </si>
  <si>
    <t>NC-A 0006-00000042</t>
  </si>
  <si>
    <t>NC-A 0007-00000099</t>
  </si>
  <si>
    <t>FA-B 0007-00004570</t>
  </si>
  <si>
    <t>FA-B 0007-00004571</t>
  </si>
  <si>
    <t>FA-B 0007-00004572</t>
  </si>
  <si>
    <t>15/08/2023</t>
  </si>
  <si>
    <t>FA-B 0005-00008619</t>
  </si>
  <si>
    <t>FA-B 0005-00008620</t>
  </si>
  <si>
    <t>FA-B 0005-00008621</t>
  </si>
  <si>
    <t>FA-B 0005-00008622</t>
  </si>
  <si>
    <t>FA-B 0005-00008623</t>
  </si>
  <si>
    <t>FA-B 0005-00008624</t>
  </si>
  <si>
    <t>FA-B 0005-00008625</t>
  </si>
  <si>
    <t>FA-B 0005-00008626</t>
  </si>
  <si>
    <t>FA-B 0005-00008627</t>
  </si>
  <si>
    <t>FA-B 0005-00008628</t>
  </si>
  <si>
    <t>FA-B 0005-00008629</t>
  </si>
  <si>
    <t>FA-B 0005-00008630</t>
  </si>
  <si>
    <t>FA-A 0007-00001576</t>
  </si>
  <si>
    <t>FA-A 0007-00001577</t>
  </si>
  <si>
    <t>FA-A 0007-00001578</t>
  </si>
  <si>
    <t>16/08/2023</t>
  </si>
  <si>
    <t>NC-B 0005-00000120</t>
  </si>
  <si>
    <t>FA-B 0005-00008631</t>
  </si>
  <si>
    <t>FA-B 0005-00008632</t>
  </si>
  <si>
    <t>FA-B 0005-00008633</t>
  </si>
  <si>
    <t>FA-B 0005-00008634</t>
  </si>
  <si>
    <t>FA-B 0005-00008635</t>
  </si>
  <si>
    <t>FA-B 0005-00008636</t>
  </si>
  <si>
    <t>FA-B 0005-00008637</t>
  </si>
  <si>
    <t>FA-B 0005-00008638</t>
  </si>
  <si>
    <t>FA-B 0005-00008639</t>
  </si>
  <si>
    <t>FA-B 0005-00008640</t>
  </si>
  <si>
    <t>FA-B 0005-00008641</t>
  </si>
  <si>
    <t>FA-B 0005-00008642</t>
  </si>
  <si>
    <t>FA-B 0005-00008643</t>
  </si>
  <si>
    <t>FA-B 0005-00008644</t>
  </si>
  <si>
    <t>FA-B 0005-00008645</t>
  </si>
  <si>
    <t>FA-A 0007-00001579</t>
  </si>
  <si>
    <t>FA-A 0007-00001580</t>
  </si>
  <si>
    <t>FA-A 0007-00001581</t>
  </si>
  <si>
    <t>FA-A 0007-00001582</t>
  </si>
  <si>
    <t>FA-A 0007-00001583</t>
  </si>
  <si>
    <t>FA-A 0007-00001584</t>
  </si>
  <si>
    <t>FA-A 0007-00001585</t>
  </si>
  <si>
    <t>FA-B 0007-00004573</t>
  </si>
  <si>
    <t>FA-B 0007-00004574</t>
  </si>
  <si>
    <t>VARELA, RICARDO EXEQUIEL</t>
  </si>
  <si>
    <t>FA-B 0007-00004575</t>
  </si>
  <si>
    <t>INGRATTA, VANINA ALICIA PAMELA</t>
  </si>
  <si>
    <t>FA-B 0007-00004576</t>
  </si>
  <si>
    <t>KARIVALI DESPINA</t>
  </si>
  <si>
    <t>FA-B 0007-00004577</t>
  </si>
  <si>
    <t>ANALIA LIFSCHITZ</t>
  </si>
  <si>
    <t>17/08/2023</t>
  </si>
  <si>
    <t>FA-B 0005-00008646</t>
  </si>
  <si>
    <t>FA-B 0005-00008647</t>
  </si>
  <si>
    <t>FA-B 0005-00008648</t>
  </si>
  <si>
    <t>FA-B 0005-00008649</t>
  </si>
  <si>
    <t>FA-B 0005-00008650</t>
  </si>
  <si>
    <t>FA-B 0005-00008651</t>
  </si>
  <si>
    <t>FA-A 0006-00000378</t>
  </si>
  <si>
    <t>FA-A 0007-00001586</t>
  </si>
  <si>
    <t>FA-B 0007-00004578</t>
  </si>
  <si>
    <t>FA-B 0007-00004579</t>
  </si>
  <si>
    <t>FA-B 0007-00004580</t>
  </si>
  <si>
    <t>FA-B 0007-00004581</t>
  </si>
  <si>
    <t>FA-B 0007-00004582</t>
  </si>
  <si>
    <t>18/08/2023</t>
  </si>
  <si>
    <t>FA-B 0005-00008652</t>
  </si>
  <si>
    <t>FA-B 0005-00008653</t>
  </si>
  <si>
    <t>FA-B 0005-00008654</t>
  </si>
  <si>
    <t>FA-B 0005-00008655</t>
  </si>
  <si>
    <t>FA-B 0005-00008656</t>
  </si>
  <si>
    <t>FA-B 0005-00008657</t>
  </si>
  <si>
    <t>FA-B 0005-00008658</t>
  </si>
  <si>
    <t>FA-B 0005-00008659</t>
  </si>
  <si>
    <t>FA-B 0005-00008660</t>
  </si>
  <si>
    <t>FA-B 0005-00008661</t>
  </si>
  <si>
    <t>FA-A 0006-00000379</t>
  </si>
  <si>
    <t>FA-A 0007-00001587</t>
  </si>
  <si>
    <t>FA-A 0007-00001588</t>
  </si>
  <si>
    <t>NOBILI, MATIAS</t>
  </si>
  <si>
    <t>FA-A 0007-00001589</t>
  </si>
  <si>
    <t>FA-A 0007-00001590</t>
  </si>
  <si>
    <t>FA-A 0007-00001591</t>
  </si>
  <si>
    <t>FA-A 0007-00001592</t>
  </si>
  <si>
    <t>FA-B 0007-00004583</t>
  </si>
  <si>
    <t>FA-B 0007-00004584</t>
  </si>
  <si>
    <t>FA-B 0007-00004585</t>
  </si>
  <si>
    <t>FA-B 0007-00004586</t>
  </si>
  <si>
    <t>FA-B 0007-00004587</t>
  </si>
  <si>
    <t>22/08/2023</t>
  </si>
  <si>
    <t>FA-B 0005-00008662</t>
  </si>
  <si>
    <t>FA-B 0005-00008663</t>
  </si>
  <si>
    <t>FA-B 0005-00008664</t>
  </si>
  <si>
    <t>FA-B 0005-00008665</t>
  </si>
  <si>
    <t>ONOFRIO SILVIA</t>
  </si>
  <si>
    <t>FA-B 0005-00008666</t>
  </si>
  <si>
    <t>FA-B 0005-00008667</t>
  </si>
  <si>
    <t>FA-B 0005-00008668</t>
  </si>
  <si>
    <t>FA-B 0005-00008669</t>
  </si>
  <si>
    <t>FA-B 0005-00008670</t>
  </si>
  <si>
    <t>FA-B 0005-00008671</t>
  </si>
  <si>
    <t>FA-B 0005-00008672</t>
  </si>
  <si>
    <t>FA-B 0005-00008673</t>
  </si>
  <si>
    <t>FA-B 0005-00008674</t>
  </si>
  <si>
    <t>FA-B 0005-00008675</t>
  </si>
  <si>
    <t>FA-A 0006-00000380</t>
  </si>
  <si>
    <t>FA-A 0007-00001593</t>
  </si>
  <si>
    <t>FA-A 0007-00001594</t>
  </si>
  <si>
    <t>23/08/2023</t>
  </si>
  <si>
    <t>FA-B 0005-00008676</t>
  </si>
  <si>
    <t>FA-B 0005-00008677</t>
  </si>
  <si>
    <t>FA-B 0005-00008678</t>
  </si>
  <si>
    <t>FA-B 0005-00008679</t>
  </si>
  <si>
    <t>FA-B 0005-00008680</t>
  </si>
  <si>
    <t>FA-B 0005-00008681</t>
  </si>
  <si>
    <t>FA-B 0005-00008682</t>
  </si>
  <si>
    <t>FA-B 0005-00008683</t>
  </si>
  <si>
    <t>FA-B 0005-00008684</t>
  </si>
  <si>
    <t>FA-B 0005-00008685</t>
  </si>
  <si>
    <t>FA-B 0005-00008686</t>
  </si>
  <si>
    <t>FA-B 0005-00008687</t>
  </si>
  <si>
    <t>FA-B 0005-00008688</t>
  </si>
  <si>
    <t>FA-A 0007-00001595</t>
  </si>
  <si>
    <t>FA-A 0007-00001596</t>
  </si>
  <si>
    <t>FA-A 0007-00001597</t>
  </si>
  <si>
    <t>FA-A 0007-00001598</t>
  </si>
  <si>
    <t>FA-B 0007-00004588</t>
  </si>
  <si>
    <t>FA-B 0007-00004589</t>
  </si>
  <si>
    <t>SANSONE, SANDRA MONICA</t>
  </si>
  <si>
    <t>FA-B 0007-00004590</t>
  </si>
  <si>
    <t>24/08/2023</t>
  </si>
  <si>
    <t>FA-B 0005-00008689</t>
  </si>
  <si>
    <t>FA-B 0005-00008690</t>
  </si>
  <si>
    <t>FA-B 0005-00008691</t>
  </si>
  <si>
    <t>FA-B 0005-00008692</t>
  </si>
  <si>
    <t>FA-B 0005-00008693</t>
  </si>
  <si>
    <t>FA-B 0005-00008694</t>
  </si>
  <si>
    <t>FA-B 0005-00008695</t>
  </si>
  <si>
    <t>FA-B 0005-00008696</t>
  </si>
  <si>
    <t>FA-B 0005-00008697</t>
  </si>
  <si>
    <t>FA-B 0005-00008698</t>
  </si>
  <si>
    <t>FA-B 0005-00008699</t>
  </si>
  <si>
    <t>FA-B 0005-00008700</t>
  </si>
  <si>
    <t>FA-B 0005-00008701</t>
  </si>
  <si>
    <t>FA-B 0005-00008702</t>
  </si>
  <si>
    <t>FA-B 0005-00008703</t>
  </si>
  <si>
    <t>FA-B 0005-00008704</t>
  </si>
  <si>
    <t>FA-B 0007-00004591</t>
  </si>
  <si>
    <t>CAMPOS, SUSANA ESTER</t>
  </si>
  <si>
    <t>FA-B 0007-00004592</t>
  </si>
  <si>
    <t>FA-B 0007-00004593</t>
  </si>
  <si>
    <t xml:space="preserve">PIRCHIO, LIDIA INES </t>
  </si>
  <si>
    <t>FA-B 0007-00004594</t>
  </si>
  <si>
    <t>FA-B 0007-00004595</t>
  </si>
  <si>
    <t>FA-B 0007-00004596</t>
  </si>
  <si>
    <t>FA-B 0007-00004597</t>
  </si>
  <si>
    <t xml:space="preserve">PARANDELLI, HILDA </t>
  </si>
  <si>
    <t>FA-B 0007-00004598</t>
  </si>
  <si>
    <t>FA-B 0007-00004599</t>
  </si>
  <si>
    <t>25/08/2023</t>
  </si>
  <si>
    <t>FA-B 0005-00008705</t>
  </si>
  <si>
    <t>FA-B 0005-00008706</t>
  </si>
  <si>
    <t>ROVERSO FLORENCIA VANINA</t>
  </si>
  <si>
    <t>FA-B 0005-00008707</t>
  </si>
  <si>
    <t>FA-B 0005-00008708</t>
  </si>
  <si>
    <t>FA-B 0005-00008709</t>
  </si>
  <si>
    <t>FA-B 0005-00008710</t>
  </si>
  <si>
    <t>FA-B 0005-00008711</t>
  </si>
  <si>
    <t>FA-B 0005-00008712</t>
  </si>
  <si>
    <t>FA-B 0005-00008713</t>
  </si>
  <si>
    <t>FA-B 0005-00008714</t>
  </si>
  <si>
    <t>MARTA LESCANO</t>
  </si>
  <si>
    <t>FA-B 0005-00008715</t>
  </si>
  <si>
    <t>FA-B 0005-00008716</t>
  </si>
  <si>
    <t>FA-B 0005-00008717</t>
  </si>
  <si>
    <t>FA-B 0005-00008718</t>
  </si>
  <si>
    <t>FA-B 0005-00008719</t>
  </si>
  <si>
    <t>FA-B 0005-00008720</t>
  </si>
  <si>
    <t>FA-B 0005-00008721</t>
  </si>
  <si>
    <t>FA-B 0005-00008722</t>
  </si>
  <si>
    <t>FA-B 0005-00008723</t>
  </si>
  <si>
    <t>FA-B 0005-00008724</t>
  </si>
  <si>
    <t>FA-B 0005-00008725</t>
  </si>
  <si>
    <t>FA-B 0005-00008726</t>
  </si>
  <si>
    <t>FA-B 0005-00008727</t>
  </si>
  <si>
    <t>28/08/2023</t>
  </si>
  <si>
    <t>FA-B 0005-00008728</t>
  </si>
  <si>
    <t>FA-B 0005-00008729</t>
  </si>
  <si>
    <t>FA-B 0005-00008730</t>
  </si>
  <si>
    <t>FA-B 0005-00008731</t>
  </si>
  <si>
    <t>FA-B 0005-00008732</t>
  </si>
  <si>
    <t>FA-B 0005-00008733</t>
  </si>
  <si>
    <t>FA-B 0005-00008734</t>
  </si>
  <si>
    <t>FA-B 0005-00008735</t>
  </si>
  <si>
    <t>FA-B 0005-00008736</t>
  </si>
  <si>
    <t>FA-B 0005-00008737</t>
  </si>
  <si>
    <t>FA-B 0005-00008738</t>
  </si>
  <si>
    <t>FA-B 0005-00008739</t>
  </si>
  <si>
    <t>FA-B 0005-00008740</t>
  </si>
  <si>
    <t>FA-B 0005-00008741</t>
  </si>
  <si>
    <t>FA-B 0005-00008742</t>
  </si>
  <si>
    <t>FA-B 0005-00008743</t>
  </si>
  <si>
    <t>FA-B 0005-00008744</t>
  </si>
  <si>
    <t>FA-B 0005-00008745</t>
  </si>
  <si>
    <t>FA-B 0005-00008746</t>
  </si>
  <si>
    <t>FA-B 0005-00008747</t>
  </si>
  <si>
    <t>FA-B 0005-00008748</t>
  </si>
  <si>
    <t>FA-B 0005-00008749</t>
  </si>
  <si>
    <t>29/08/2023</t>
  </si>
  <si>
    <t>FA-B 0005-00008750</t>
  </si>
  <si>
    <t>FA-B 0005-00008751</t>
  </si>
  <si>
    <t>FA-B 0005-00008752</t>
  </si>
  <si>
    <t>FA-B 0005-00008753</t>
  </si>
  <si>
    <t>FA-B 0005-00008754</t>
  </si>
  <si>
    <t>FA-B 0005-00008755</t>
  </si>
  <si>
    <t>FA-B 0005-00008756</t>
  </si>
  <si>
    <t>FA-B 0005-00008757</t>
  </si>
  <si>
    <t>FA-B 0005-00008758</t>
  </si>
  <si>
    <t>FA-B 0005-00008759</t>
  </si>
  <si>
    <t>FA-B 0005-00008760</t>
  </si>
  <si>
    <t>FA-B 0005-00008761</t>
  </si>
  <si>
    <t>FA-B 0005-00008762</t>
  </si>
  <si>
    <t>FA-A 0007-00001599</t>
  </si>
  <si>
    <t>FA-A 0007-00001600</t>
  </si>
  <si>
    <t>Fundacion Fundacion Arte Ba</t>
  </si>
  <si>
    <t>FA-B 0007-00004600</t>
  </si>
  <si>
    <t xml:space="preserve">NÚÑEZ DÍAZ, MICAELA VICTORIA </t>
  </si>
  <si>
    <t>30/08/2023</t>
  </si>
  <si>
    <t>FA-A 0005-00000136</t>
  </si>
  <si>
    <t>Azinter S.A.</t>
  </si>
  <si>
    <t>FA-B 0005-00008763</t>
  </si>
  <si>
    <t>FA-B 0005-00008764</t>
  </si>
  <si>
    <t>FA-B 0005-00008765</t>
  </si>
  <si>
    <t>FA-B 0005-00008766</t>
  </si>
  <si>
    <t>FA-B 0005-00008767</t>
  </si>
  <si>
    <t>FA-B 0005-00008768</t>
  </si>
  <si>
    <t>FA-B 0005-00008769</t>
  </si>
  <si>
    <t>FA-B 0005-00008770</t>
  </si>
  <si>
    <t>FA-B 0005-00008771</t>
  </si>
  <si>
    <t>FA-B 0005-00008772</t>
  </si>
  <si>
    <t>FA-B 0005-00008773</t>
  </si>
  <si>
    <t>FA-A 0007-00001601</t>
  </si>
  <si>
    <t>FA-B 0007-00004601</t>
  </si>
  <si>
    <t>FA-B 0007-00004602</t>
  </si>
  <si>
    <t>FA-B 0007-00004603</t>
  </si>
  <si>
    <t>FA-B 0007-00004604</t>
  </si>
  <si>
    <t>LOMBARDO DE GATTO, ISABEL ROSA</t>
  </si>
  <si>
    <t>31/08/2023</t>
  </si>
  <si>
    <t>NC-B 0005-00000121</t>
  </si>
  <si>
    <t>FA-B 0005-00008774</t>
  </si>
  <si>
    <t>FA-B 0005-00008775</t>
  </si>
  <si>
    <t>FA-B 0005-00008776</t>
  </si>
  <si>
    <t>FA-B 0005-00008777</t>
  </si>
  <si>
    <t>FA-B 0005-00008778</t>
  </si>
  <si>
    <t>FA-B 0005-00008779</t>
  </si>
  <si>
    <t>FA-B 0005-00008780</t>
  </si>
  <si>
    <t>FA-B 0005-00008781</t>
  </si>
  <si>
    <t>FA-B 0005-00008782</t>
  </si>
  <si>
    <t>FA-B 0005-00008783</t>
  </si>
  <si>
    <t>FA-B 0005-00008784</t>
  </si>
  <si>
    <t>FA-B 0005-00008785</t>
  </si>
  <si>
    <t>FA-B 0005-00008786</t>
  </si>
  <si>
    <t>FA-B 0005-00008787</t>
  </si>
  <si>
    <t>FA-B 0005-00008788</t>
  </si>
  <si>
    <t>FA-B 0005-00008789</t>
  </si>
  <si>
    <t>FA-B 0005-00008790</t>
  </si>
  <si>
    <t>FA-B 0005-00008791</t>
  </si>
  <si>
    <t>FA-B 0005-00008792</t>
  </si>
  <si>
    <t>FA-B 0005-00008793</t>
  </si>
  <si>
    <t>FA-A 0006-00000381</t>
  </si>
  <si>
    <t>FA-A 0007-00001602</t>
  </si>
  <si>
    <t>FA-A 0007-00001603</t>
  </si>
  <si>
    <t>FA-A 0007-00001604</t>
  </si>
  <si>
    <t>FA-B 0007-00004605</t>
  </si>
  <si>
    <t>FA-B 0007-00004606</t>
  </si>
  <si>
    <t>FA-B 0007-00004607</t>
  </si>
  <si>
    <t>FA-B 0007-00004608</t>
  </si>
  <si>
    <t>TOTAL NETO=</t>
  </si>
  <si>
    <t>TOTAL IVA=</t>
  </si>
  <si>
    <t>SUMA DE FAC A + B</t>
  </si>
  <si>
    <t>COD201-0003-00000007</t>
  </si>
  <si>
    <t>AGREGADA</t>
  </si>
  <si>
    <t>Ventas Libro de IVA 01/09/2023 - 30/09/2023</t>
  </si>
  <si>
    <t>Ortopedia Geminis S.A.</t>
  </si>
  <si>
    <t>01/09/2023</t>
  </si>
  <si>
    <t>FA-B 0005-00008794</t>
  </si>
  <si>
    <t>FA-B 0005-00008795</t>
  </si>
  <si>
    <t>FA-B 0005-00008796</t>
  </si>
  <si>
    <t>FA-B 0005-00008797</t>
  </si>
  <si>
    <t>FA-B 0005-00008798</t>
  </si>
  <si>
    <t>FA-B 0005-00008799</t>
  </si>
  <si>
    <t>FA-B 0005-00008800</t>
  </si>
  <si>
    <t>FA-B 0005-00008801</t>
  </si>
  <si>
    <t>FA-B 0005-00008802</t>
  </si>
  <si>
    <t>FA-B 0005-00008803</t>
  </si>
  <si>
    <t>FA-B 0005-00008804</t>
  </si>
  <si>
    <t>FA-B 0005-00008805</t>
  </si>
  <si>
    <t>FA-B 0005-00008806</t>
  </si>
  <si>
    <t>FA-B 0005-00008807</t>
  </si>
  <si>
    <t>FA-B 0005-00008808</t>
  </si>
  <si>
    <t>FA-B 0005-00008809</t>
  </si>
  <si>
    <t>FA-A 0006-00000382</t>
  </si>
  <si>
    <t>FA-A 0007-00001605</t>
  </si>
  <si>
    <t>FA-A 0007-00001606</t>
  </si>
  <si>
    <t>FA-B 0007-00004609</t>
  </si>
  <si>
    <t>MONTIEL, GRACIELA</t>
  </si>
  <si>
    <t>FA-B 0007-00004610</t>
  </si>
  <si>
    <t>04/09/2023</t>
  </si>
  <si>
    <t>NC-B 0005-00000122</t>
  </si>
  <si>
    <t>FA-B 0005-00008810</t>
  </si>
  <si>
    <t>FA-B 0005-00008811</t>
  </si>
  <si>
    <t>FA-B 0005-00008812</t>
  </si>
  <si>
    <t>FA-B 0005-00008813</t>
  </si>
  <si>
    <t>FA-B 0005-00008814</t>
  </si>
  <si>
    <t>FA-B 0005-00008815</t>
  </si>
  <si>
    <t>FA-B 0005-00008816</t>
  </si>
  <si>
    <t>FA-B 0005-00008817</t>
  </si>
  <si>
    <t>FA-B 0005-00008818</t>
  </si>
  <si>
    <t>FA-B 0005-00008819</t>
  </si>
  <si>
    <t>FA-B 0005-00008820</t>
  </si>
  <si>
    <t>FA-B 0005-00008821</t>
  </si>
  <si>
    <t>FA-B 0005-00008822</t>
  </si>
  <si>
    <t>NC-A 0007-00000100</t>
  </si>
  <si>
    <t>NC-A 0007-00000101</t>
  </si>
  <si>
    <t>NC-A 0007-00000102</t>
  </si>
  <si>
    <t>NC-A 0007-00000103</t>
  </si>
  <si>
    <t>FA-A 0007-00001607</t>
  </si>
  <si>
    <t>FA-A 0007-00001608</t>
  </si>
  <si>
    <t>FA-A 0007-00001609</t>
  </si>
  <si>
    <t>FA-A 0007-00001610</t>
  </si>
  <si>
    <t>FA-A 0007-00001611</t>
  </si>
  <si>
    <t>FA-B 0007-00004611</t>
  </si>
  <si>
    <t>FA-B 0007-00004612</t>
  </si>
  <si>
    <t>FA-B 0007-00004613</t>
  </si>
  <si>
    <t>FA-B 0007-00004614</t>
  </si>
  <si>
    <t>MAZÁS, NORBERTO EDUARDO</t>
  </si>
  <si>
    <t>FA-B 0007-00004615</t>
  </si>
  <si>
    <t>GAMARRA SCAGLIA, TOMAS AUGUSTO</t>
  </si>
  <si>
    <t>05/09/2023</t>
  </si>
  <si>
    <t>FA-B 0005-00008823</t>
  </si>
  <si>
    <t>FA-B 0005-00008824</t>
  </si>
  <si>
    <t>FA-B 0005-00008825</t>
  </si>
  <si>
    <t>FA-B 0005-00008826</t>
  </si>
  <si>
    <t>FA-B 0005-00008827</t>
  </si>
  <si>
    <t>FA-B 0005-00008828</t>
  </si>
  <si>
    <t>FA-B 0005-00008829</t>
  </si>
  <si>
    <t>FA-B 0005-00008830</t>
  </si>
  <si>
    <t>FA-B 0005-00008831</t>
  </si>
  <si>
    <t>FA-B 0005-00008832</t>
  </si>
  <si>
    <t>FA-B 0005-00008833</t>
  </si>
  <si>
    <t>FA-B 0005-00008834</t>
  </si>
  <si>
    <t>FA-A 0007-00001612</t>
  </si>
  <si>
    <t>06/09/2023</t>
  </si>
  <si>
    <t>FA-A 0005-00000137</t>
  </si>
  <si>
    <t>ALBAJARI ADRIÁN</t>
  </si>
  <si>
    <t>FA-B 0005-00008835</t>
  </si>
  <si>
    <t>FA-B 0005-00008836</t>
  </si>
  <si>
    <t>FA-B 0005-00008837</t>
  </si>
  <si>
    <t>FA-B 0005-00008838</t>
  </si>
  <si>
    <t>FA-B 0005-00008839</t>
  </si>
  <si>
    <t>FA-B 0005-00008840</t>
  </si>
  <si>
    <t>FA-B 0005-00008841</t>
  </si>
  <si>
    <t>FA-B 0005-00008842</t>
  </si>
  <si>
    <t>FA-B 0005-00008843</t>
  </si>
  <si>
    <t>FA-B 0005-00008844</t>
  </si>
  <si>
    <t>FA-B 0005-00008845</t>
  </si>
  <si>
    <t>FA-B 0005-00008846</t>
  </si>
  <si>
    <t>FA-B 0005-00008847</t>
  </si>
  <si>
    <t>FA-B 0005-00008848</t>
  </si>
  <si>
    <t>FA-B 0005-00008849</t>
  </si>
  <si>
    <t>FA-B 0005-00008850</t>
  </si>
  <si>
    <t>FA-B 0005-00008851</t>
  </si>
  <si>
    <t>NC-A 0007-00000104</t>
  </si>
  <si>
    <t>FA-A 0007-00001613</t>
  </si>
  <si>
    <t>FA-A 0007-00001614</t>
  </si>
  <si>
    <t>FA-A 0007-00001615</t>
  </si>
  <si>
    <t>FA-A 0007-00001616</t>
  </si>
  <si>
    <t>FA-A 0007-00001617</t>
  </si>
  <si>
    <t>FA-B 0007-00004616</t>
  </si>
  <si>
    <t>FA-B 0007-00004617</t>
  </si>
  <si>
    <t>FA-B 0007-00004618</t>
  </si>
  <si>
    <t>FA-B 0007-00004619</t>
  </si>
  <si>
    <t>07/09/2023</t>
  </si>
  <si>
    <t>FA-B 0005-00008852</t>
  </si>
  <si>
    <t>FA-B 0005-00008853</t>
  </si>
  <si>
    <t>FA-B 0005-00008854</t>
  </si>
  <si>
    <t>FA-B 0005-00008855</t>
  </si>
  <si>
    <t>FA-B 0005-00008856</t>
  </si>
  <si>
    <t>FA-B 0005-00008857</t>
  </si>
  <si>
    <t>FA-B 0005-00008858</t>
  </si>
  <si>
    <t>FA-B 0005-00008859</t>
  </si>
  <si>
    <t>FA-B 0005-00008860</t>
  </si>
  <si>
    <t>FA-B 0005-00008861</t>
  </si>
  <si>
    <t>FA-A 0006-00000383</t>
  </si>
  <si>
    <t>FA-A 0006-00000384</t>
  </si>
  <si>
    <t>NC-B 0007-00000141</t>
  </si>
  <si>
    <t>FA-A 0007-00001618</t>
  </si>
  <si>
    <t>FA-B 0007-00004620</t>
  </si>
  <si>
    <t>FA-B 0007-00004621</t>
  </si>
  <si>
    <t>FA-B 0007-00004622</t>
  </si>
  <si>
    <t>FA-B 0007-00004623</t>
  </si>
  <si>
    <t>FA-B 0007-00004624</t>
  </si>
  <si>
    <t>FA-B 0007-00004625</t>
  </si>
  <si>
    <t>FA-B 0007-00004626</t>
  </si>
  <si>
    <t>08/09/2023</t>
  </si>
  <si>
    <t>FA-B 0005-00008862</t>
  </si>
  <si>
    <t>FA-B 0005-00008863</t>
  </si>
  <si>
    <t>FA-B 0005-00008864</t>
  </si>
  <si>
    <t>FA-B 0005-00008865</t>
  </si>
  <si>
    <t>FA-B 0005-00008866</t>
  </si>
  <si>
    <t>FA-B 0005-00008867</t>
  </si>
  <si>
    <t>FA-B 0005-00008868</t>
  </si>
  <si>
    <t>FA-B 0005-00008869</t>
  </si>
  <si>
    <t>FA-B 0005-00008870</t>
  </si>
  <si>
    <t>MAIDANA ROCÍO CARLA ISABEL</t>
  </si>
  <si>
    <t>FA-B 0005-00008871</t>
  </si>
  <si>
    <t>FA-B 0005-00008872</t>
  </si>
  <si>
    <t>FA-B 0005-00008873</t>
  </si>
  <si>
    <t>FA-B 0005-00008874</t>
  </si>
  <si>
    <t>FA-B 0005-00008875</t>
  </si>
  <si>
    <t>FA-B 0005-00008876</t>
  </si>
  <si>
    <t>FA-B 0005-00008877</t>
  </si>
  <si>
    <t>FA-B 0005-00008878</t>
  </si>
  <si>
    <t>FA-B 0005-00008879</t>
  </si>
  <si>
    <t>FA-A 0006-00000385</t>
  </si>
  <si>
    <t>FA-A 0006-00000386</t>
  </si>
  <si>
    <t>FA-A 0007-00001619</t>
  </si>
  <si>
    <t>FA-A 0007-00001620</t>
  </si>
  <si>
    <t>FA-A 0007-00001621</t>
  </si>
  <si>
    <t>FA-A 0007-00001622</t>
  </si>
  <si>
    <t>FA-A 0007-00001623</t>
  </si>
  <si>
    <t>FA-A 0007-00001624</t>
  </si>
  <si>
    <t>FA-A 0007-00001625</t>
  </si>
  <si>
    <t>FA-A 0007-00001626</t>
  </si>
  <si>
    <t>FA-A 0007-00001627</t>
  </si>
  <si>
    <t>FA-A 0007-00001628</t>
  </si>
  <si>
    <t>FA-A 0007-00001629</t>
  </si>
  <si>
    <t>FA-B 0007-00004627</t>
  </si>
  <si>
    <t>FA-B 0007-00004628</t>
  </si>
  <si>
    <t>FA-B 0007-00004629</t>
  </si>
  <si>
    <t>FA-B 0007-00004630</t>
  </si>
  <si>
    <t>FA-B 0007-00004631</t>
  </si>
  <si>
    <t>FA-B 0007-00004632</t>
  </si>
  <si>
    <t>FA-B 0007-00004633</t>
  </si>
  <si>
    <t>FA-B 0007-00004634</t>
  </si>
  <si>
    <t>ZANOTTI, ANA LAURA</t>
  </si>
  <si>
    <t>11/09/2023</t>
  </si>
  <si>
    <t>FA-B 0005-00008880</t>
  </si>
  <si>
    <t>FA-B 0005-00008881</t>
  </si>
  <si>
    <t>FA-B 0005-00008882</t>
  </si>
  <si>
    <t>FA-B 0005-00008883</t>
  </si>
  <si>
    <t>FA-B 0005-00008884</t>
  </si>
  <si>
    <t>FA-B 0005-00008885</t>
  </si>
  <si>
    <t>FA-B 0005-00008886</t>
  </si>
  <si>
    <t>FA-B 0005-00008887</t>
  </si>
  <si>
    <t>FA-B 0005-00008888</t>
  </si>
  <si>
    <t>FA-B 0005-00008889</t>
  </si>
  <si>
    <t>FA-B 0005-00008890</t>
  </si>
  <si>
    <t>FA-B 0005-00008891</t>
  </si>
  <si>
    <t>FA-B 0005-00008892</t>
  </si>
  <si>
    <t>FA-B 0005-00008893</t>
  </si>
  <si>
    <t>FA-B 0005-00008894</t>
  </si>
  <si>
    <t>NC-A 0007-00000105</t>
  </si>
  <si>
    <t>FA-A 0007-00001630</t>
  </si>
  <si>
    <t>FA-A 0007-00001631</t>
  </si>
  <si>
    <t>FA-B 0007-00004635</t>
  </si>
  <si>
    <t>FA-B 0007-00004636</t>
  </si>
  <si>
    <t>FA-B 0007-00004637</t>
  </si>
  <si>
    <t>FA-B 0007-00004638</t>
  </si>
  <si>
    <t>ROBERTO, GUSTAVO CÉSAR HERNÁN</t>
  </si>
  <si>
    <t>FA-B 0007-00004639</t>
  </si>
  <si>
    <t>FA-B 0007-00004640</t>
  </si>
  <si>
    <t>12/09/2023</t>
  </si>
  <si>
    <t>FA-B 0005-00008895</t>
  </si>
  <si>
    <t>FA-B 0005-00008896</t>
  </si>
  <si>
    <t>FA-B 0005-00008897</t>
  </si>
  <si>
    <t>FA-B 0005-00008898</t>
  </si>
  <si>
    <t>FA-B 0005-00008899</t>
  </si>
  <si>
    <t>FA-B 0005-00008900</t>
  </si>
  <si>
    <t>FA-B 0005-00008901</t>
  </si>
  <si>
    <t>FA-B 0005-00008902</t>
  </si>
  <si>
    <t>FA-B 0005-00008903</t>
  </si>
  <si>
    <t>FA-B 0005-00008904</t>
  </si>
  <si>
    <t>FA-B 0005-00008905</t>
  </si>
  <si>
    <t>FA-A 0007-00001632</t>
  </si>
  <si>
    <t>FA-A 0007-00001633</t>
  </si>
  <si>
    <t>FA-B 0007-00004641</t>
  </si>
  <si>
    <t>FA-B 0007-00004642</t>
  </si>
  <si>
    <t>FA-B 0007-00004643</t>
  </si>
  <si>
    <t>ALICIA ROCATAGLIATTA</t>
  </si>
  <si>
    <t>FA-B 0007-00004644</t>
  </si>
  <si>
    <t>FA-B 0007-00004645</t>
  </si>
  <si>
    <t>FA-B 0007-00004646</t>
  </si>
  <si>
    <t>13/09/2023</t>
  </si>
  <si>
    <t>FA-B 0005-00008906</t>
  </si>
  <si>
    <t>FA-B 0005-00008907</t>
  </si>
  <si>
    <t>FA-B 0005-00008908</t>
  </si>
  <si>
    <t>FA-B 0005-00008909</t>
  </si>
  <si>
    <t>SANTANA ANA MARIA</t>
  </si>
  <si>
    <t>FA-B 0005-00008910</t>
  </si>
  <si>
    <t>FA-B 0005-00008911</t>
  </si>
  <si>
    <t>FA-B 0005-00008912</t>
  </si>
  <si>
    <t>FA-B 0005-00008913</t>
  </si>
  <si>
    <t>FA-B 0005-00008914</t>
  </si>
  <si>
    <t>FA-B 0005-00008915</t>
  </si>
  <si>
    <t>FA-B 0005-00008916</t>
  </si>
  <si>
    <t>FA-B 0005-00008917</t>
  </si>
  <si>
    <t>FA-B 0005-00008918</t>
  </si>
  <si>
    <t>FA-B 0005-00008919</t>
  </si>
  <si>
    <t>FA-B 0005-00008920</t>
  </si>
  <si>
    <t>FA-B 0005-00008921</t>
  </si>
  <si>
    <t>PAPALEO ROMINA LAURA</t>
  </si>
  <si>
    <t>FA-B 0005-00008922</t>
  </si>
  <si>
    <t>FA-B 0005-00008923</t>
  </si>
  <si>
    <t>FA-B 0005-00008924</t>
  </si>
  <si>
    <t>FA-B 0005-00008925</t>
  </si>
  <si>
    <t>FA-A 0006-00000387</t>
  </si>
  <si>
    <t>NC-B 0007-00000142</t>
  </si>
  <si>
    <t>NC-B 0007-00000143</t>
  </si>
  <si>
    <t>FA-B 0007-00004647</t>
  </si>
  <si>
    <t>FA-B 0007-00004648</t>
  </si>
  <si>
    <t>FA-B 0007-00004649</t>
  </si>
  <si>
    <t>FA-B 0007-00004650</t>
  </si>
  <si>
    <t>14/09/2023</t>
  </si>
  <si>
    <t>FA-B 0005-00008926</t>
  </si>
  <si>
    <t>FA-B 0005-00008927</t>
  </si>
  <si>
    <t>FA-B 0005-00008928</t>
  </si>
  <si>
    <t>FA-B 0005-00008929</t>
  </si>
  <si>
    <t>FA-B 0005-00008930</t>
  </si>
  <si>
    <t>FA-B 0005-00008931</t>
  </si>
  <si>
    <t>FA-B 0005-00008932</t>
  </si>
  <si>
    <t>FA-B 0005-00008933</t>
  </si>
  <si>
    <t>FA-B 0005-00008934</t>
  </si>
  <si>
    <t>FA-B 0005-00008935</t>
  </si>
  <si>
    <t>FA-B 0005-00008936</t>
  </si>
  <si>
    <t>FA-B 0005-00008937</t>
  </si>
  <si>
    <t>FA-B 0005-00008938</t>
  </si>
  <si>
    <t>FA-B 0005-00008939</t>
  </si>
  <si>
    <t>FA-B 0005-00008940</t>
  </si>
  <si>
    <t>FA-A 0006-00000388</t>
  </si>
  <si>
    <t>FA-A 0007-00001634</t>
  </si>
  <si>
    <t>FA-A 0007-00001635</t>
  </si>
  <si>
    <t>FA-A 0007-00001636</t>
  </si>
  <si>
    <t>FA-A 0007-00001637</t>
  </si>
  <si>
    <t>FA-A 0007-00001638</t>
  </si>
  <si>
    <t>FA-A 0007-00001639</t>
  </si>
  <si>
    <t>FA-B 0007-00004651</t>
  </si>
  <si>
    <t>FA-B 0007-00004652</t>
  </si>
  <si>
    <t>FA-B 0007-00004653</t>
  </si>
  <si>
    <t>BUONAMIO ANGELA MARIA</t>
  </si>
  <si>
    <t>FA-B 0007-00004654</t>
  </si>
  <si>
    <t>FA-B 0007-00004655</t>
  </si>
  <si>
    <t>FA-B 0007-00004656</t>
  </si>
  <si>
    <t>FA-B 0007-00004657</t>
  </si>
  <si>
    <t>FA-B 0007-00004658</t>
  </si>
  <si>
    <t>15/09/2023</t>
  </si>
  <si>
    <t>FA-B 0005-00008941</t>
  </si>
  <si>
    <t>FA-B 0005-00008942</t>
  </si>
  <si>
    <t>FA-B 0005-00008943</t>
  </si>
  <si>
    <t>FA-B 0005-00008944</t>
  </si>
  <si>
    <t>FA-B 0005-00008945</t>
  </si>
  <si>
    <t>FA-B 0005-00008946</t>
  </si>
  <si>
    <t>FA-B 0005-00008947</t>
  </si>
  <si>
    <t>FA-B 0005-00008948</t>
  </si>
  <si>
    <t>FA-B 0005-00008949</t>
  </si>
  <si>
    <t>FA-B 0005-00008950</t>
  </si>
  <si>
    <t>FA-B 0005-00008951</t>
  </si>
  <si>
    <t>FA-B 0005-00008952</t>
  </si>
  <si>
    <t>FA-B 0005-00008953</t>
  </si>
  <si>
    <t>FA-B 0005-00008954</t>
  </si>
  <si>
    <t>FA-B 0005-00008955</t>
  </si>
  <si>
    <t>FA-B 0005-00008956</t>
  </si>
  <si>
    <t>CASTRO EUGENIA</t>
  </si>
  <si>
    <t>FA-B 0005-00008957</t>
  </si>
  <si>
    <t>CRUZ SILVIA</t>
  </si>
  <si>
    <t>FA-B 0005-00008958</t>
  </si>
  <si>
    <t>FA-B 0005-00008959</t>
  </si>
  <si>
    <t>NC-A 0006-00000043</t>
  </si>
  <si>
    <t>FA-A 0006-00000389</t>
  </si>
  <si>
    <t>FA-A 0006-00000390</t>
  </si>
  <si>
    <t>FA-A 0007-00001640</t>
  </si>
  <si>
    <t>FA-B 0007-00004659</t>
  </si>
  <si>
    <t>FA-B 0007-00004660</t>
  </si>
  <si>
    <t>18/09/2023</t>
  </si>
  <si>
    <t>FA-B 0005-00008960</t>
  </si>
  <si>
    <t>FA-B 0005-00008961</t>
  </si>
  <si>
    <t>FA-B 0005-00008962</t>
  </si>
  <si>
    <t>FA-B 0005-00008963</t>
  </si>
  <si>
    <t>FA-B 0005-00008964</t>
  </si>
  <si>
    <t>FA-B 0005-00008965</t>
  </si>
  <si>
    <t>FA-B 0005-00008966</t>
  </si>
  <si>
    <t>FA-B 0005-00008967</t>
  </si>
  <si>
    <t>FA-B 0005-00008968</t>
  </si>
  <si>
    <t>FA-B 0005-00008969</t>
  </si>
  <si>
    <t>FA-B 0005-00008970</t>
  </si>
  <si>
    <t>FA-B 0005-00008971</t>
  </si>
  <si>
    <t>FA-B 0005-00008972</t>
  </si>
  <si>
    <t>FA-B 0005-00008973</t>
  </si>
  <si>
    <t>FA-B 0005-00008974</t>
  </si>
  <si>
    <t>FA-B 0005-00008975</t>
  </si>
  <si>
    <t>FA-B 0005-00008976</t>
  </si>
  <si>
    <t>FA-A 0007-00001641</t>
  </si>
  <si>
    <t>FA-A 0007-00001642</t>
  </si>
  <si>
    <t>FA-B 0007-00004661</t>
  </si>
  <si>
    <t>FA-B 0007-00004662</t>
  </si>
  <si>
    <t>FA-B 0007-00004663</t>
  </si>
  <si>
    <t>FA-B 0007-00004664</t>
  </si>
  <si>
    <t>FA-B 0007-00004665</t>
  </si>
  <si>
    <t>19/09/2023</t>
  </si>
  <si>
    <t>FA-B 0005-00008977</t>
  </si>
  <si>
    <t>FA-B 0005-00008978</t>
  </si>
  <si>
    <t>FA-B 0005-00008979</t>
  </si>
  <si>
    <t>FA-B 0005-00008980</t>
  </si>
  <si>
    <t>FA-B 0005-00008981</t>
  </si>
  <si>
    <t>FA-B 0005-00008982</t>
  </si>
  <si>
    <t>FA-B 0005-00008983</t>
  </si>
  <si>
    <t>FA-B 0005-00008984</t>
  </si>
  <si>
    <t>FA-B 0005-00008985</t>
  </si>
  <si>
    <t>FA-B 0005-00008986</t>
  </si>
  <si>
    <t>FA-A 0007-00001643</t>
  </si>
  <si>
    <t>FA-A 0007-00001644</t>
  </si>
  <si>
    <t>FA-B 0007-00004666</t>
  </si>
  <si>
    <t>FA-B 0007-00004667</t>
  </si>
  <si>
    <t>20/09/2023</t>
  </si>
  <si>
    <t>FA-A 0005-00000138</t>
  </si>
  <si>
    <t>Espinosa, Raul Guillermo</t>
  </si>
  <si>
    <t>FA-B 0005-00008987</t>
  </si>
  <si>
    <t>FA-B 0005-00008988</t>
  </si>
  <si>
    <t>FA-B 0005-00008989</t>
  </si>
  <si>
    <t>FA-B 0005-00008990</t>
  </si>
  <si>
    <t>FA-B 0005-00008991</t>
  </si>
  <si>
    <t>FA-B 0005-00008992</t>
  </si>
  <si>
    <t>FA-B 0005-00008993</t>
  </si>
  <si>
    <t>FA-B 0005-00008994</t>
  </si>
  <si>
    <t>FA-B 0005-00008995</t>
  </si>
  <si>
    <t>FA-B 0005-00008996</t>
  </si>
  <si>
    <t>FA-B 0005-00008997</t>
  </si>
  <si>
    <t>FA-B 0005-00008998</t>
  </si>
  <si>
    <t>FA-A 0006-00000391</t>
  </si>
  <si>
    <t>FA-B 0007-00004668</t>
  </si>
  <si>
    <t>FA-B 0007-00004669</t>
  </si>
  <si>
    <t>FA-B 0007-00004670</t>
  </si>
  <si>
    <t>21/09/2023</t>
  </si>
  <si>
    <t>FA-B 0005-00008999</t>
  </si>
  <si>
    <t>FA-B 0005-00009000</t>
  </si>
  <si>
    <t>FA-B 0005-00009001</t>
  </si>
  <si>
    <t>FA-B 0005-00009002</t>
  </si>
  <si>
    <t>FA-B 0005-00009003</t>
  </si>
  <si>
    <t>FA-B 0005-00009004</t>
  </si>
  <si>
    <t>FA-B 0005-00009005</t>
  </si>
  <si>
    <t>FA-B 0005-00009006</t>
  </si>
  <si>
    <t>FA-B 0005-00009007</t>
  </si>
  <si>
    <t>FA-B 0005-00009008</t>
  </si>
  <si>
    <t>FA-B 0005-00009009</t>
  </si>
  <si>
    <t>FA-B 0005-00009010</t>
  </si>
  <si>
    <t>FA-B 0005-00009011</t>
  </si>
  <si>
    <t>NC-A 0007-00000106</t>
  </si>
  <si>
    <t>FA-A 0007-00001645</t>
  </si>
  <si>
    <t>FA-A 0007-00001646</t>
  </si>
  <si>
    <t>FA-B 0007-00004671</t>
  </si>
  <si>
    <t>FA-B 0007-00004672</t>
  </si>
  <si>
    <t>22/09/2023</t>
  </si>
  <si>
    <t>FA-B 0005-00009012</t>
  </si>
  <si>
    <t>LUQUE NATALIA LORENA</t>
  </si>
  <si>
    <t>FA-B 0005-00009013</t>
  </si>
  <si>
    <t>FA-B 0005-00009014</t>
  </si>
  <si>
    <t>FA-B 0005-00009015</t>
  </si>
  <si>
    <t>FA-B 0005-00009016</t>
  </si>
  <si>
    <t>FA-B 0005-00009017</t>
  </si>
  <si>
    <t>FA-B 0005-00009018</t>
  </si>
  <si>
    <t>FA-B 0005-00009019</t>
  </si>
  <si>
    <t>FA-B 0005-00009020</t>
  </si>
  <si>
    <t>FA-B 0005-00009021</t>
  </si>
  <si>
    <t>FA-B 0005-00009022</t>
  </si>
  <si>
    <t>FA-B 0005-00009023</t>
  </si>
  <si>
    <t>FA-B 0005-00009024</t>
  </si>
  <si>
    <t>ADLE MARLENE</t>
  </si>
  <si>
    <t>FA-B 0005-00009025</t>
  </si>
  <si>
    <t>FA-B 0005-00009026</t>
  </si>
  <si>
    <t>FA-B 0005-00009027</t>
  </si>
  <si>
    <t>25/09/2023</t>
  </si>
  <si>
    <t>FA-B 0005-00009028</t>
  </si>
  <si>
    <t>FA-B 0005-00009029</t>
  </si>
  <si>
    <t>FA-B 0005-00009030</t>
  </si>
  <si>
    <t>FA-B 0005-00009031</t>
  </si>
  <si>
    <t>FA-B 0005-00009032</t>
  </si>
  <si>
    <t>FA-B 0005-00009033</t>
  </si>
  <si>
    <t>FA-B 0005-00009034</t>
  </si>
  <si>
    <t>FA-B 0005-00009035</t>
  </si>
  <si>
    <t>FA-B 0005-00009036</t>
  </si>
  <si>
    <t>FA-B 0005-00009037</t>
  </si>
  <si>
    <t>FA-B 0005-00009038</t>
  </si>
  <si>
    <t>FA-A 0006-00000392</t>
  </si>
  <si>
    <t>FA-A 0007-00001647</t>
  </si>
  <si>
    <t>FA-A 0007-00001648</t>
  </si>
  <si>
    <t>FA-B 0007-00004673</t>
  </si>
  <si>
    <t>26/09/2023</t>
  </si>
  <si>
    <t>FA-B 0005-00009039</t>
  </si>
  <si>
    <t>FA-B 0005-00009040</t>
  </si>
  <si>
    <t>FA-B 0005-00009041</t>
  </si>
  <si>
    <t>FA-B 0005-00009042</t>
  </si>
  <si>
    <t>FA-B 0005-00009043</t>
  </si>
  <si>
    <t>FA-B 0005-00009044</t>
  </si>
  <si>
    <t>FA-B 0005-00009045</t>
  </si>
  <si>
    <t>FRAGA TALAVERA BENICIO TOMÁS</t>
  </si>
  <si>
    <t>FA-B 0005-00009046</t>
  </si>
  <si>
    <t>FA-B 0005-00009047</t>
  </si>
  <si>
    <t>FA-B 0005-00009048</t>
  </si>
  <si>
    <t>FA-B 0005-00009049</t>
  </si>
  <si>
    <t>NC-A 0006-00000044</t>
  </si>
  <si>
    <t>FA-A 0006-00000393</t>
  </si>
  <si>
    <t>NC-A 0007-00000107</t>
  </si>
  <si>
    <t>NC-A 0007-00000108</t>
  </si>
  <si>
    <t>NC-A 0007-00000109</t>
  </si>
  <si>
    <t>NC-A 0007-00000110</t>
  </si>
  <si>
    <t>27/09/2023</t>
  </si>
  <si>
    <t>NC-B 0005-00000123</t>
  </si>
  <si>
    <t>FA-B 0005-00009050</t>
  </si>
  <si>
    <t>FA-B 0005-00009051</t>
  </si>
  <si>
    <t>FA-B 0005-00009052</t>
  </si>
  <si>
    <t>FA-B 0005-00009053</t>
  </si>
  <si>
    <t>FA-B 0005-00009054</t>
  </si>
  <si>
    <t>FA-B 0005-00009055</t>
  </si>
  <si>
    <t>FA-B 0005-00009056</t>
  </si>
  <si>
    <t>FA-B 0005-00009057</t>
  </si>
  <si>
    <t>FA-B 0005-00009058</t>
  </si>
  <si>
    <t>FA-B 0005-00009059</t>
  </si>
  <si>
    <t>FA-B 0005-00009060</t>
  </si>
  <si>
    <t>FA-B 0005-00009061</t>
  </si>
  <si>
    <t>FA-B 0005-00009062</t>
  </si>
  <si>
    <t>LARREA MARINA</t>
  </si>
  <si>
    <t>FA-B 0005-00009063</t>
  </si>
  <si>
    <t>FA-B 0005-00009064</t>
  </si>
  <si>
    <t>FA-B 0005-00009065</t>
  </si>
  <si>
    <t>FA-B 0005-00009066</t>
  </si>
  <si>
    <t>FA-B 0005-00009067</t>
  </si>
  <si>
    <t>FA-B 0005-00009068</t>
  </si>
  <si>
    <t>FA-B 0005-00009069</t>
  </si>
  <si>
    <t>GALEANO CHRISTIAN</t>
  </si>
  <si>
    <t>FA-B 0005-00009070</t>
  </si>
  <si>
    <t>FA-B 0005-00009071</t>
  </si>
  <si>
    <t>ANDRÉS MARTINEZ GASTALDO</t>
  </si>
  <si>
    <t>FA-A 0006-00000394</t>
  </si>
  <si>
    <t>FA-A 0007-00001649</t>
  </si>
  <si>
    <t>FA-A 0007-00001650</t>
  </si>
  <si>
    <t>28/09/2023</t>
  </si>
  <si>
    <t>FA-B 0005-00009072</t>
  </si>
  <si>
    <t>FA-B 0005-00009073</t>
  </si>
  <si>
    <t>FA-B 0005-00009074</t>
  </si>
  <si>
    <t>FA-B 0005-00009075</t>
  </si>
  <si>
    <t>FA-B 0005-00009076</t>
  </si>
  <si>
    <t>FA-B 0005-00009077</t>
  </si>
  <si>
    <t>FA-B 0005-00009078</t>
  </si>
  <si>
    <t>PEREZ MARIANO</t>
  </si>
  <si>
    <t>FA-B 0005-00009079</t>
  </si>
  <si>
    <t>FA-B 0005-00009080</t>
  </si>
  <si>
    <t>29/09/2023</t>
  </si>
  <si>
    <t>FA-B 0005-00009081</t>
  </si>
  <si>
    <t>FA-B 0005-00009082</t>
  </si>
  <si>
    <t>FA-B 0005-00009083</t>
  </si>
  <si>
    <t>FA-B 0005-00009084</t>
  </si>
  <si>
    <t>ARIAS EZEQUIEL FRANCISCO JOEL</t>
  </si>
  <si>
    <t>FA-B 0005-00009085</t>
  </si>
  <si>
    <t>FA-B 0005-00009086</t>
  </si>
  <si>
    <t>FA-B 0005-00009087</t>
  </si>
  <si>
    <t>FA-B 0005-00009088</t>
  </si>
  <si>
    <t>FA-B 0005-00009089</t>
  </si>
  <si>
    <t>FA-B 0005-00009090</t>
  </si>
  <si>
    <t>FA-B 0005-00009091</t>
  </si>
  <si>
    <t>FA-A 0007-00001651</t>
  </si>
  <si>
    <t>FA-B 0007-00004674</t>
  </si>
  <si>
    <t>CLAUDIA SIMONE</t>
  </si>
  <si>
    <t xml:space="preserve">Total </t>
  </si>
  <si>
    <t>Subtotal Vtas "A"</t>
  </si>
  <si>
    <t>Subtotal Vtas "B"</t>
  </si>
  <si>
    <t>Total Ventas</t>
  </si>
  <si>
    <t>Ventas Libro de IVA 01/10/2023 - 31/10/2023</t>
  </si>
  <si>
    <t>02/10/2023</t>
  </si>
  <si>
    <t>FA-B 0005-00009092</t>
  </si>
  <si>
    <t>FOGONZA ELSA LUCIANA</t>
  </si>
  <si>
    <t>FA-B 0005-00009093</t>
  </si>
  <si>
    <t>FA-B 0005-00009094</t>
  </si>
  <si>
    <t>FA-B 0005-00009095</t>
  </si>
  <si>
    <t>FA-B 0005-00009096</t>
  </si>
  <si>
    <t>FA-B 0005-00009097</t>
  </si>
  <si>
    <t>FA-B 0005-00009098</t>
  </si>
  <si>
    <t>FA-B 0005-00009099</t>
  </si>
  <si>
    <t>FA-B 0005-00009100</t>
  </si>
  <si>
    <t>FA-B 0005-00009101</t>
  </si>
  <si>
    <t>FA-B 0005-00009102</t>
  </si>
  <si>
    <t>FA-B 0005-00009103</t>
  </si>
  <si>
    <t>FA-B 0005-00009104</t>
  </si>
  <si>
    <t>FA-B 0005-00009105</t>
  </si>
  <si>
    <t>03/10/2023</t>
  </si>
  <si>
    <t>FA-B 0005-00009106</t>
  </si>
  <si>
    <t>FA-B 0005-00009107</t>
  </si>
  <si>
    <t>FA-B 0005-00009108</t>
  </si>
  <si>
    <t>FA-B 0005-00009109</t>
  </si>
  <si>
    <t>FA-B 0005-00009110</t>
  </si>
  <si>
    <t>FA-B 0005-00009111</t>
  </si>
  <si>
    <t>FA-B 0005-00009112</t>
  </si>
  <si>
    <t>FA-B 0005-00009113</t>
  </si>
  <si>
    <t>FA-B 0005-00009114</t>
  </si>
  <si>
    <t>FA-B 0005-00009115</t>
  </si>
  <si>
    <t>FA-B 0005-00009116</t>
  </si>
  <si>
    <t>FA-B 0005-00009117</t>
  </si>
  <si>
    <t>NC-A 0007-00000111</t>
  </si>
  <si>
    <t>FA-A 0007-00001652</t>
  </si>
  <si>
    <t>FA-A 0007-00001653</t>
  </si>
  <si>
    <t>FA-A 0007-00001654</t>
  </si>
  <si>
    <t>FA-A 0007-00001655</t>
  </si>
  <si>
    <t>FA-A 0007-00001656</t>
  </si>
  <si>
    <t>FA-A 0007-00001657</t>
  </si>
  <si>
    <t>FA-A 0007-00001658</t>
  </si>
  <si>
    <t>FA-A 0007-00001659</t>
  </si>
  <si>
    <t>FA-A 0007-00001660</t>
  </si>
  <si>
    <t>FA-A 0007-00001661</t>
  </si>
  <si>
    <t>FA-A 0007-00001662</t>
  </si>
  <si>
    <t>FA-B 0007-00004675</t>
  </si>
  <si>
    <t>Najus Anibal Ruben</t>
  </si>
  <si>
    <t>FA-B 0007-00004676</t>
  </si>
  <si>
    <t>FA-B 0007-00004677</t>
  </si>
  <si>
    <t>04/10/2023</t>
  </si>
  <si>
    <t>FA-B 0005-00009118</t>
  </si>
  <si>
    <t>FA-B 0005-00009119</t>
  </si>
  <si>
    <t>FA-B 0005-00009120</t>
  </si>
  <si>
    <t>FA-B 0005-00009121</t>
  </si>
  <si>
    <t>FA-B 0005-00009122</t>
  </si>
  <si>
    <t>BYLINKO NANCY</t>
  </si>
  <si>
    <t>FA-B 0005-00009123</t>
  </si>
  <si>
    <t>FA-B 0005-00009124</t>
  </si>
  <si>
    <t>FA-B 0005-00009125</t>
  </si>
  <si>
    <t>FA-B 0005-00009126</t>
  </si>
  <si>
    <t>FA-B 0005-00009127</t>
  </si>
  <si>
    <t>FA-B 0005-00009128</t>
  </si>
  <si>
    <t>FA-B 0005-00009129</t>
  </si>
  <si>
    <t>FA-A 0007-00001663</t>
  </si>
  <si>
    <t>FA-A 0007-00001664</t>
  </si>
  <si>
    <t>FA-A 0007-00001665</t>
  </si>
  <si>
    <t>FA-A 0007-00001666</t>
  </si>
  <si>
    <t>FA-A 0007-00001667</t>
  </si>
  <si>
    <t>FA-A 0007-00001668</t>
  </si>
  <si>
    <t>FA-A 0007-00001669</t>
  </si>
  <si>
    <t>FA-A 0007-00001670</t>
  </si>
  <si>
    <t>FA-A 0007-00001671</t>
  </si>
  <si>
    <t>FA-A 0007-00001672</t>
  </si>
  <si>
    <t>FA-B 0007-00004678</t>
  </si>
  <si>
    <t>FA-B 0007-00004679</t>
  </si>
  <si>
    <t>TRISTAN SARA ADELA</t>
  </si>
  <si>
    <t>FA-B 0007-00004680</t>
  </si>
  <si>
    <t>DURAND DE CEBALLOS ROSA N</t>
  </si>
  <si>
    <t>FA-B 0007-00004681</t>
  </si>
  <si>
    <t>FA-B 0007-00004682</t>
  </si>
  <si>
    <t>05/10/2023</t>
  </si>
  <si>
    <t>FA-B 0005-00009130</t>
  </si>
  <si>
    <t>FA-B 0005-00009131</t>
  </si>
  <si>
    <t>FA-B 0005-00009132</t>
  </si>
  <si>
    <t>FA-B 0005-00009133</t>
  </si>
  <si>
    <t>FA-B 0005-00009134</t>
  </si>
  <si>
    <t>FA-B 0005-00009135</t>
  </si>
  <si>
    <t>FA-B 0005-00009136</t>
  </si>
  <si>
    <t>FA-B 0005-00009137</t>
  </si>
  <si>
    <t>GUERRERO MARÍA LORENA</t>
  </si>
  <si>
    <t>FA-B 0005-00009138</t>
  </si>
  <si>
    <t>FA-B 0005-00009139</t>
  </si>
  <si>
    <t>FA-B 0005-00009140</t>
  </si>
  <si>
    <t>FA-B 0005-00009141</t>
  </si>
  <si>
    <t>FA-B 0005-00009142</t>
  </si>
  <si>
    <t>FA-B 0005-00009143</t>
  </si>
  <si>
    <t>FA-A 0006-00000395</t>
  </si>
  <si>
    <t>FA-A 0007-00001673</t>
  </si>
  <si>
    <t>FA-A 0007-00001674</t>
  </si>
  <si>
    <t>FA-A 0007-00001675</t>
  </si>
  <si>
    <t>FA-A 0007-00001676</t>
  </si>
  <si>
    <t>FA-A 0007-00001677</t>
  </si>
  <si>
    <t>FA-A 0007-00001678</t>
  </si>
  <si>
    <t>FA-B 0007-00004683</t>
  </si>
  <si>
    <t>FA-B 0007-00004684</t>
  </si>
  <si>
    <t>FA-B 0007-00004685</t>
  </si>
  <si>
    <t>FA-B 0007-00004686</t>
  </si>
  <si>
    <t>06/10/2023</t>
  </si>
  <si>
    <t>FA-A 0006-00000396</t>
  </si>
  <si>
    <t>09/10/2023</t>
  </si>
  <si>
    <t>FA-B 0005-00009144</t>
  </si>
  <si>
    <t>FA-B 0005-00009145</t>
  </si>
  <si>
    <t>FA-B 0005-00009146</t>
  </si>
  <si>
    <t>FA-B 0005-00009147</t>
  </si>
  <si>
    <t>FA-B 0005-00009148</t>
  </si>
  <si>
    <t>FA-B 0005-00009149</t>
  </si>
  <si>
    <t>FA-B 0005-00009150</t>
  </si>
  <si>
    <t>FA-B 0005-00009151</t>
  </si>
  <si>
    <t>FA-B 0005-00009152</t>
  </si>
  <si>
    <t>FA-B 0005-00009153</t>
  </si>
  <si>
    <t>FA-B 0005-00009154</t>
  </si>
  <si>
    <t>FA-B 0005-00009155</t>
  </si>
  <si>
    <t>FA-B 0005-00009156</t>
  </si>
  <si>
    <t>FA-B 0005-00009157</t>
  </si>
  <si>
    <t>FA-B 0005-00009158</t>
  </si>
  <si>
    <t>FA-B 0005-00009159</t>
  </si>
  <si>
    <t>FA-B 0005-00009160</t>
  </si>
  <si>
    <t>FA-B 0005-00009161</t>
  </si>
  <si>
    <t>FA-B 0005-00009162</t>
  </si>
  <si>
    <t>FA-A 0007-00001679</t>
  </si>
  <si>
    <t>FA-A 0007-00001680</t>
  </si>
  <si>
    <t>FA-A 0007-00001681</t>
  </si>
  <si>
    <t>FA-A 0007-00001682</t>
  </si>
  <si>
    <t>FA-B 0007-00004687</t>
  </si>
  <si>
    <t>FA-B 0007-00004688</t>
  </si>
  <si>
    <t>MATSUO, MARGARITA NOEMI</t>
  </si>
  <si>
    <t>FA-B 0007-00004689</t>
  </si>
  <si>
    <t>FA-B 0007-00004690</t>
  </si>
  <si>
    <t>10/10/2023</t>
  </si>
  <si>
    <t>FA-B 0005-00009163</t>
  </si>
  <si>
    <t>FA-B 0005-00009164</t>
  </si>
  <si>
    <t>FA-B 0005-00009165</t>
  </si>
  <si>
    <t>FA-B 0005-00009166</t>
  </si>
  <si>
    <t>FA-B 0005-00009167</t>
  </si>
  <si>
    <t>FA-B 0005-00009168</t>
  </si>
  <si>
    <t>FA-B 0005-00009169</t>
  </si>
  <si>
    <t>FA-B 0005-00009170</t>
  </si>
  <si>
    <t>FA-B 0005-00009171</t>
  </si>
  <si>
    <t>FA-B 0005-00009172</t>
  </si>
  <si>
    <t>FA-B 0005-00009173</t>
  </si>
  <si>
    <t>FA-B 0005-00009174</t>
  </si>
  <si>
    <t>FA-B 0005-00009175</t>
  </si>
  <si>
    <t>FA-B 0005-00009176</t>
  </si>
  <si>
    <t>FA-B 0005-00009177</t>
  </si>
  <si>
    <t>FA-B 0005-00009178</t>
  </si>
  <si>
    <t>FA-B 0005-00009179</t>
  </si>
  <si>
    <t>FA-B 0005-00009180</t>
  </si>
  <si>
    <t>FA-B 0005-00009181</t>
  </si>
  <si>
    <t>FA-B 0005-00009182</t>
  </si>
  <si>
    <t>FA-B 0005-00009183</t>
  </si>
  <si>
    <t>FA-B 0005-00009184</t>
  </si>
  <si>
    <t>FA-A 0006-00000397</t>
  </si>
  <si>
    <t>FA-B 0007-00004691</t>
  </si>
  <si>
    <t>FA-B 0007-00004692</t>
  </si>
  <si>
    <t>FA-B 0007-00004693</t>
  </si>
  <si>
    <t>FA-B 0007-00004694</t>
  </si>
  <si>
    <t>FA-B 0007-00004695</t>
  </si>
  <si>
    <t>FA-B 0007-00004696</t>
  </si>
  <si>
    <t>FA-B 0007-00004697</t>
  </si>
  <si>
    <t>11/10/2023</t>
  </si>
  <si>
    <t>FA-B 0005-00009185</t>
  </si>
  <si>
    <t>FA-B 0005-00009186</t>
  </si>
  <si>
    <t>FA-B 0005-00009187</t>
  </si>
  <si>
    <t>FA-B 0005-00009188</t>
  </si>
  <si>
    <t>FA-B 0005-00009189</t>
  </si>
  <si>
    <t>FA-B 0005-00009190</t>
  </si>
  <si>
    <t>FA-B 0005-00009191</t>
  </si>
  <si>
    <t>FA-B 0005-00009192</t>
  </si>
  <si>
    <t>FA-B 0005-00009193</t>
  </si>
  <si>
    <t>FA-B 0005-00009194</t>
  </si>
  <si>
    <t>FA-B 0005-00009195</t>
  </si>
  <si>
    <t>FA-B 0005-00009196</t>
  </si>
  <si>
    <t>FA-B 0005-00009197</t>
  </si>
  <si>
    <t>FA-B 0005-00009198</t>
  </si>
  <si>
    <t>FA-B 0005-00009199</t>
  </si>
  <si>
    <t>FA-A 0006-00000398</t>
  </si>
  <si>
    <t>FA-B 0007-00004698</t>
  </si>
  <si>
    <t>FA-B 0007-00004699</t>
  </si>
  <si>
    <t>FA-B 0007-00004700</t>
  </si>
  <si>
    <t>FA-B 0007-00004701</t>
  </si>
  <si>
    <t>FA-B 0007-00004702</t>
  </si>
  <si>
    <t>FA-B 0007-00004703</t>
  </si>
  <si>
    <t>12/10/2023</t>
  </si>
  <si>
    <t>FA-B 0005-00009200</t>
  </si>
  <si>
    <t>FA-B 0005-00009201</t>
  </si>
  <si>
    <t>FA-B 0005-00009202</t>
  </si>
  <si>
    <t>FA-B 0005-00009203</t>
  </si>
  <si>
    <t>FA-B 0005-00009204</t>
  </si>
  <si>
    <t>FA-B 0005-00009205</t>
  </si>
  <si>
    <t>FA-B 0005-00009206</t>
  </si>
  <si>
    <t>FA-B 0005-00009207</t>
  </si>
  <si>
    <t>FA-B 0005-00009208</t>
  </si>
  <si>
    <t>FA-B 0005-00009209</t>
  </si>
  <si>
    <t>FA-B 0005-00009210</t>
  </si>
  <si>
    <t>FA-B 0005-00009211</t>
  </si>
  <si>
    <t>FA-B 0005-00009212</t>
  </si>
  <si>
    <t>FA-B 0007-00004704</t>
  </si>
  <si>
    <t>FA-B 0007-00004705</t>
  </si>
  <si>
    <t>FA-B 0007-00004706</t>
  </si>
  <si>
    <t>FA-B 0007-00004707</t>
  </si>
  <si>
    <t>FA-B 0007-00004708</t>
  </si>
  <si>
    <t>FA-B 0007-00004709</t>
  </si>
  <si>
    <t>FA-B 0007-00004710</t>
  </si>
  <si>
    <t>FA-B 0007-00004711</t>
  </si>
  <si>
    <t>17/10/2023</t>
  </si>
  <si>
    <t>NC-B 0005-00000124</t>
  </si>
  <si>
    <t>FA-B 0005-00009213</t>
  </si>
  <si>
    <t>FA-B 0005-00009214</t>
  </si>
  <si>
    <t>FA-B 0005-00009215</t>
  </si>
  <si>
    <t>FA-B 0005-00009216</t>
  </si>
  <si>
    <t>FA-B 0005-00009217</t>
  </si>
  <si>
    <t>FA-B 0005-00009218</t>
  </si>
  <si>
    <t>FA-B 0005-00009219</t>
  </si>
  <si>
    <t>FA-B 0005-00009220</t>
  </si>
  <si>
    <t>FA-B 0005-00009221</t>
  </si>
  <si>
    <t>FA-B 0005-00009222</t>
  </si>
  <si>
    <t>FA-B 0005-00009223</t>
  </si>
  <si>
    <t>FA-B 0005-00009224</t>
  </si>
  <si>
    <t>FA-B 0007-00004712</t>
  </si>
  <si>
    <t>FA-B 0007-00004713</t>
  </si>
  <si>
    <t>FA-B 0007-00004714</t>
  </si>
  <si>
    <t>FA-B 0007-00004715</t>
  </si>
  <si>
    <t>FA-B 0007-00004716</t>
  </si>
  <si>
    <t>FA-B 0007-00004717</t>
  </si>
  <si>
    <t>Ministerio De Desarrollo Social</t>
  </si>
  <si>
    <t>FA-B 0007-00004718</t>
  </si>
  <si>
    <t>FA-B 0007-00004719</t>
  </si>
  <si>
    <t>FA-B 0007-00004720</t>
  </si>
  <si>
    <t>18/10/2023</t>
  </si>
  <si>
    <t>FA-B 0005-00009225</t>
  </si>
  <si>
    <t>FA-B 0005-00009226</t>
  </si>
  <si>
    <t>FA-B 0005-00009227</t>
  </si>
  <si>
    <t>FA-B 0005-00009228</t>
  </si>
  <si>
    <t>FA-B 0005-00009229</t>
  </si>
  <si>
    <t>FA-B 0005-00009230</t>
  </si>
  <si>
    <t>FA-B 0005-00009231</t>
  </si>
  <si>
    <t>FA-B 0005-00009232</t>
  </si>
  <si>
    <t>FA-B 0005-00009233</t>
  </si>
  <si>
    <t>FA-B 0005-00009234</t>
  </si>
  <si>
    <t>FA-B 0005-00009235</t>
  </si>
  <si>
    <t>FA-B 0005-00009236</t>
  </si>
  <si>
    <t>FA-B 0005-00009237</t>
  </si>
  <si>
    <t>FA-B 0005-00009238</t>
  </si>
  <si>
    <t>FA-B 0005-00009239</t>
  </si>
  <si>
    <t>NC-A 0006-00000045</t>
  </si>
  <si>
    <t>NC-A 0006-00000046</t>
  </si>
  <si>
    <t>NC-A 0006-00000047</t>
  </si>
  <si>
    <t>NC-A 0007-00000112</t>
  </si>
  <si>
    <t>NC-A 0007-00000113</t>
  </si>
  <si>
    <t>FA-A 0007-00001683</t>
  </si>
  <si>
    <t>FA-B 0007-00004721</t>
  </si>
  <si>
    <t>FA-B 0007-00004722</t>
  </si>
  <si>
    <t>FA-B 0007-00004723</t>
  </si>
  <si>
    <t>19/10/2023</t>
  </si>
  <si>
    <t>FA-B 0005-00009240</t>
  </si>
  <si>
    <t>FA-B 0005-00009241</t>
  </si>
  <si>
    <t>FA-B 0005-00009242</t>
  </si>
  <si>
    <t>FA-B 0005-00009243</t>
  </si>
  <si>
    <t>FA-B 0005-00009244</t>
  </si>
  <si>
    <t>FA-B 0005-00009245</t>
  </si>
  <si>
    <t>FA-B 0005-00009246</t>
  </si>
  <si>
    <t>FA-B 0005-00009247</t>
  </si>
  <si>
    <t>FA-B 0005-00009248</t>
  </si>
  <si>
    <t>FA-B 0005-00009249</t>
  </si>
  <si>
    <t>FA-B 0005-00009250</t>
  </si>
  <si>
    <t>FA-B 0005-00009251</t>
  </si>
  <si>
    <t>FA-B 0005-00009252</t>
  </si>
  <si>
    <t>FA-B 0005-00009253</t>
  </si>
  <si>
    <t>FA-B 0005-00009254</t>
  </si>
  <si>
    <t>FA-B 0005-00009255</t>
  </si>
  <si>
    <t>FA-B 0005-00009256</t>
  </si>
  <si>
    <t>FA-B 0005-00009257</t>
  </si>
  <si>
    <t>FA-B 0005-00009258</t>
  </si>
  <si>
    <t>FA-B 0007-00004724</t>
  </si>
  <si>
    <t>20/10/2023</t>
  </si>
  <si>
    <t>FA-B 0005-00009259</t>
  </si>
  <si>
    <t>FA-B 0005-00009260</t>
  </si>
  <si>
    <t>FA-B 0005-00009261</t>
  </si>
  <si>
    <t>FA-B 0005-00009262</t>
  </si>
  <si>
    <t>FA-B 0005-00009263</t>
  </si>
  <si>
    <t>FA-B 0005-00009264</t>
  </si>
  <si>
    <t>FA-B 0005-00009265</t>
  </si>
  <si>
    <t>FA-B 0005-00009266</t>
  </si>
  <si>
    <t>FA-B 0005-00009267</t>
  </si>
  <si>
    <t>FA-B 0005-00009268</t>
  </si>
  <si>
    <t>FA-B 0005-00009269</t>
  </si>
  <si>
    <t>FA-B 0005-00009270</t>
  </si>
  <si>
    <t>FA-B 0005-00009271</t>
  </si>
  <si>
    <t>FA-B 0005-00009272</t>
  </si>
  <si>
    <t>FA-B 0005-00009273</t>
  </si>
  <si>
    <t>FA-B 0005-00009274</t>
  </si>
  <si>
    <t>FA-B 0005-00009275</t>
  </si>
  <si>
    <t>CONTESTABILE ALEJO</t>
  </si>
  <si>
    <t>FA-B 0005-00009276</t>
  </si>
  <si>
    <t>FA-B 0005-00009277</t>
  </si>
  <si>
    <t>FA-B 0005-00009278</t>
  </si>
  <si>
    <t>FA-B 0005-00009279</t>
  </si>
  <si>
    <t>FA-B 0005-00009280</t>
  </si>
  <si>
    <t>FA-B 0005-00009281</t>
  </si>
  <si>
    <t>FA-B 0005-00009282</t>
  </si>
  <si>
    <t>FA-B 0005-00009283</t>
  </si>
  <si>
    <t>FA-B 0007-00004725</t>
  </si>
  <si>
    <t>DIAZ FENICIA</t>
  </si>
  <si>
    <t>FA-B 0007-00004726</t>
  </si>
  <si>
    <t>FA-B 0007-00004727</t>
  </si>
  <si>
    <t>FA-B 0007-00004728</t>
  </si>
  <si>
    <t>23/10/2023</t>
  </si>
  <si>
    <t>FA-B 0005-00009284</t>
  </si>
  <si>
    <t>FA-B 0005-00009285</t>
  </si>
  <si>
    <t>FA-B 0005-00009286</t>
  </si>
  <si>
    <t>FA-B 0005-00009287</t>
  </si>
  <si>
    <t>FA-B 0005-00009288</t>
  </si>
  <si>
    <t>FA-B 0005-00009289</t>
  </si>
  <si>
    <t>FA-B 0005-00009290</t>
  </si>
  <si>
    <t>FA-B 0005-00009291</t>
  </si>
  <si>
    <t>FA-B 0005-00009292</t>
  </si>
  <si>
    <t>FA-A 0007-00001684</t>
  </si>
  <si>
    <t>FA-A 0007-00001685</t>
  </si>
  <si>
    <t>FA-A 0007-00001686</t>
  </si>
  <si>
    <t>FA-A 0007-00001687</t>
  </si>
  <si>
    <t>FA-B 0007-00004729</t>
  </si>
  <si>
    <t>FA-B 0007-00004730</t>
  </si>
  <si>
    <t>FA-B 0007-00004731</t>
  </si>
  <si>
    <t>FA-B 0007-00004732</t>
  </si>
  <si>
    <t>24/10/2023</t>
  </si>
  <si>
    <t>FA-B 0005-00009293</t>
  </si>
  <si>
    <t>FA-B 0005-00009294</t>
  </si>
  <si>
    <t>FA-B 0005-00009295</t>
  </si>
  <si>
    <t>FA-B 0005-00009296</t>
  </si>
  <si>
    <t>FA-B 0005-00009297</t>
  </si>
  <si>
    <t>FA-B 0005-00009298</t>
  </si>
  <si>
    <t>FA-B 0005-00009299</t>
  </si>
  <si>
    <t>FA-B 0005-00009300</t>
  </si>
  <si>
    <t>FA-B 0005-00009301</t>
  </si>
  <si>
    <t>FA-B 0005-00009302</t>
  </si>
  <si>
    <t>FA-B 0005-00009303</t>
  </si>
  <si>
    <t>FA-B 0005-00009304</t>
  </si>
  <si>
    <t>FA-B 0005-00009305</t>
  </si>
  <si>
    <t>FA-B 0005-00009306</t>
  </si>
  <si>
    <t>FA-B 0005-00009307</t>
  </si>
  <si>
    <t>FA-B 0005-00009308</t>
  </si>
  <si>
    <t>ORDOÑEZ NÉLIDA BEATRIZ</t>
  </si>
  <si>
    <t>FA-B 0005-00009309</t>
  </si>
  <si>
    <t>FA-B 0005-00009310</t>
  </si>
  <si>
    <t>FA-B 0005-00009311</t>
  </si>
  <si>
    <t>FA-B 0005-00009312</t>
  </si>
  <si>
    <t>FA-B 0005-00009313</t>
  </si>
  <si>
    <t>FA-B 0007-00004733</t>
  </si>
  <si>
    <t>FA-B 0007-00004734</t>
  </si>
  <si>
    <t>FA-B 0007-00004735</t>
  </si>
  <si>
    <t>FA-B 0007-00004736</t>
  </si>
  <si>
    <t>FA-B 0007-00004737</t>
  </si>
  <si>
    <t>FA-B 0007-00004738</t>
  </si>
  <si>
    <t>FA-B 0007-00004739</t>
  </si>
  <si>
    <t>FA-B 0007-00004740</t>
  </si>
  <si>
    <t>FA-B 0007-00004741</t>
  </si>
  <si>
    <t>FA-B 0007-00004742</t>
  </si>
  <si>
    <t>ESCOT, ALICIA INES</t>
  </si>
  <si>
    <t>FA-B 0007-00004743</t>
  </si>
  <si>
    <t>25/10/2023</t>
  </si>
  <si>
    <t>FA-B 0005-00009314</t>
  </si>
  <si>
    <t>FA-B 0005-00009315</t>
  </si>
  <si>
    <t>FA-B 0005-00009316</t>
  </si>
  <si>
    <t>FA-B 0005-00009317</t>
  </si>
  <si>
    <t>FA-B 0005-00009318</t>
  </si>
  <si>
    <t>FA-B 0005-00009319</t>
  </si>
  <si>
    <t>FA-B 0005-00009320</t>
  </si>
  <si>
    <t>FA-B 0005-00009321</t>
  </si>
  <si>
    <t>FA-B 0005-00009322</t>
  </si>
  <si>
    <t>FA-B 0005-00009323</t>
  </si>
  <si>
    <t>FA-B 0005-00009324</t>
  </si>
  <si>
    <t>FA-A 0006-00000399</t>
  </si>
  <si>
    <t>FA-A 0007-00001688</t>
  </si>
  <si>
    <t>FA-A 0007-00001689</t>
  </si>
  <si>
    <t>FA-A 0007-00001690</t>
  </si>
  <si>
    <t>FA-A 0007-00001691</t>
  </si>
  <si>
    <t>FA-B 0007-00004744</t>
  </si>
  <si>
    <t>FA-B 0007-00004745</t>
  </si>
  <si>
    <t>FA-B 0007-00004746</t>
  </si>
  <si>
    <t>FA-B 0007-00004747</t>
  </si>
  <si>
    <t>FA-B 0007-00004748</t>
  </si>
  <si>
    <t>FA-B 0007-00004749</t>
  </si>
  <si>
    <t>FA-B 0007-00004750</t>
  </si>
  <si>
    <t>FA-B 0007-00004751</t>
  </si>
  <si>
    <t>BIANCHI TERESA GERMANA</t>
  </si>
  <si>
    <t>FA-B 0007-00004752</t>
  </si>
  <si>
    <t>FA-B 0007-00004753</t>
  </si>
  <si>
    <t>FA-B 0007-00004754</t>
  </si>
  <si>
    <t xml:space="preserve">GARCIA, JOSE LUIS </t>
  </si>
  <si>
    <t>26/10/2023</t>
  </si>
  <si>
    <t>FA-B 0005-00009325</t>
  </si>
  <si>
    <t>FA-B 0005-00009326</t>
  </si>
  <si>
    <t>FA-B 0005-00009327</t>
  </si>
  <si>
    <t>FA-B 0005-00009328</t>
  </si>
  <si>
    <t>FA-B 0005-00009329</t>
  </si>
  <si>
    <t>FA-B 0005-00009330</t>
  </si>
  <si>
    <t>FA-B 0005-00009331</t>
  </si>
  <si>
    <t>FA-B 0005-00009332</t>
  </si>
  <si>
    <t>FA-B 0005-00009333</t>
  </si>
  <si>
    <t>FA-B 0005-00009334</t>
  </si>
  <si>
    <t>FA-B 0005-00009335</t>
  </si>
  <si>
    <t>FA-B 0005-00009336</t>
  </si>
  <si>
    <t>FA-A 0006-00000400</t>
  </si>
  <si>
    <t>FA-A 0006-00000401</t>
  </si>
  <si>
    <t>FA-A 0007-00001692</t>
  </si>
  <si>
    <t>FA-A 0007-00001693</t>
  </si>
  <si>
    <t>FA-B 0007-00004755</t>
  </si>
  <si>
    <t>FA-B 0007-00004756</t>
  </si>
  <si>
    <t>FA-B 0007-00004757</t>
  </si>
  <si>
    <t>RUBIN DE CELIS VILLAR, DANIEL</t>
  </si>
  <si>
    <t>27/10/2023</t>
  </si>
  <si>
    <t>NC-B 0005-00000125</t>
  </si>
  <si>
    <t>FA-B 0005-00009337</t>
  </si>
  <si>
    <t>FA-B 0005-00009338</t>
  </si>
  <si>
    <t>KEILTY FEDERICO</t>
  </si>
  <si>
    <t>FA-B 0005-00009339</t>
  </si>
  <si>
    <t>FA-B 0005-00009340</t>
  </si>
  <si>
    <t>FA-B 0005-00009341</t>
  </si>
  <si>
    <t>FA-B 0005-00009342</t>
  </si>
  <si>
    <t>CERUZZO, MARIA CRISTINA</t>
  </si>
  <si>
    <t>FA-B 0005-00009343</t>
  </si>
  <si>
    <t>FA-B 0005-00009344</t>
  </si>
  <si>
    <t>FA-B 0005-00009345</t>
  </si>
  <si>
    <t>FA-B 0005-00009346</t>
  </si>
  <si>
    <t>FA-B 0005-00009347</t>
  </si>
  <si>
    <t>DESCH, ULISES</t>
  </si>
  <si>
    <t>FA-B 0005-00009348</t>
  </si>
  <si>
    <t>FA-B 0005-00009349</t>
  </si>
  <si>
    <t>FA-B 0005-00009350</t>
  </si>
  <si>
    <t>FA-B 0005-00009351</t>
  </si>
  <si>
    <t>FA-B 0007-00004758</t>
  </si>
  <si>
    <t>FA-B 0007-00004759</t>
  </si>
  <si>
    <t>HAYDEE PIZZONI</t>
  </si>
  <si>
    <t>FA-B 0007-00004760</t>
  </si>
  <si>
    <t>GARCIA, ROMINA PAOLA</t>
  </si>
  <si>
    <t>30/10/2023</t>
  </si>
  <si>
    <t>FA-B 0005-00009352</t>
  </si>
  <si>
    <t>FA-B 0005-00009353</t>
  </si>
  <si>
    <t>FA-B 0005-00009354</t>
  </si>
  <si>
    <t>FA-B 0005-00009355</t>
  </si>
  <si>
    <t>FA-B 0005-00009356</t>
  </si>
  <si>
    <t>FA-B 0005-00009357</t>
  </si>
  <si>
    <t>FA-B 0005-00009358</t>
  </si>
  <si>
    <t>FA-B 0005-00009359</t>
  </si>
  <si>
    <t>FA-B 0005-00009360</t>
  </si>
  <si>
    <t>FA-B 0005-00009361</t>
  </si>
  <si>
    <t>FA-B 0005-00009362</t>
  </si>
  <si>
    <t>FA-B 0005-00009363</t>
  </si>
  <si>
    <t>FA-B 0005-00009364</t>
  </si>
  <si>
    <t>FA-B 0005-00009365</t>
  </si>
  <si>
    <t>FA-A 0007-00001694</t>
  </si>
  <si>
    <t>FA-A 0007-00001695</t>
  </si>
  <si>
    <t>FA-A 0007-00001696</t>
  </si>
  <si>
    <t>31/10/2023</t>
  </si>
  <si>
    <t>FA-B 0005-00009366</t>
  </si>
  <si>
    <t>GERMAN TILES</t>
  </si>
  <si>
    <t>FA-B 0005-00009367</t>
  </si>
  <si>
    <t>FA-B 0005-00009368</t>
  </si>
  <si>
    <t>FA-B 0005-00009369</t>
  </si>
  <si>
    <t>FA-B 0005-00009370</t>
  </si>
  <si>
    <t>FA-B 0005-00009371</t>
  </si>
  <si>
    <t>FA-B 0005-00009372</t>
  </si>
  <si>
    <t>NC-A 0007-00000114</t>
  </si>
  <si>
    <t>FA-A 0007-00001697</t>
  </si>
  <si>
    <t>Sc Pilar S.A.</t>
  </si>
  <si>
    <t>*no agregaron pto venta 3 de las fac B</t>
  </si>
  <si>
    <t>faltando un iva de 33816,93</t>
  </si>
  <si>
    <t>6 - Factura B 0003 - 2749</t>
  </si>
  <si>
    <t>6 - Factura B 0003 - 2750</t>
  </si>
  <si>
    <t>6 - Factura B 0003 - 2751</t>
  </si>
  <si>
    <t>6 - Factura B 0003 - 2755</t>
  </si>
  <si>
    <t>6 - Factura B 0003 - 2756</t>
  </si>
  <si>
    <t>6 - Factura B 0003 - 2752</t>
  </si>
  <si>
    <t>6 - Factura B 0003 - 2747</t>
  </si>
  <si>
    <t xml:space="preserve">6 - Factura B 0003 - 2753 </t>
  </si>
  <si>
    <t>6 - Factura B 0003 - 2745</t>
  </si>
  <si>
    <t>6 - Factura B 0003 - 2746</t>
  </si>
  <si>
    <t>6 - Factura B 0003 - 2748</t>
  </si>
  <si>
    <t>6 - Factura B 0003 - 2757</t>
  </si>
  <si>
    <t>6 - Factura B 0003 - 2754</t>
  </si>
  <si>
    <t>6 - Factura B 0003 - 2758</t>
  </si>
  <si>
    <t>Ventas Libro de IVA 01/11/2023 - 30/11/2023</t>
  </si>
  <si>
    <t>01/11/2023</t>
  </si>
  <si>
    <t>FA-B 0005-00009373</t>
  </si>
  <si>
    <t>FA-B 0005-00009374</t>
  </si>
  <si>
    <t>ESTRELLA ADRIANA LEVY</t>
  </si>
  <si>
    <t>FA-B 0005-00009375</t>
  </si>
  <si>
    <t>FA-B 0005-00009376</t>
  </si>
  <si>
    <t>FA-B 0005-00009377</t>
  </si>
  <si>
    <t>FA-B 0005-00009378</t>
  </si>
  <si>
    <t>FA-B 0005-00009379</t>
  </si>
  <si>
    <t>FA-B 0005-00009380</t>
  </si>
  <si>
    <t>FA-B 0005-00009381</t>
  </si>
  <si>
    <t>FA-B 0005-00009382</t>
  </si>
  <si>
    <t>FA-B 0005-00009383</t>
  </si>
  <si>
    <t>FA-A 0006-00000402</t>
  </si>
  <si>
    <t>FA-A 0007-00001698</t>
  </si>
  <si>
    <t>FA-A 0007-00001699</t>
  </si>
  <si>
    <t>FA-A 0007-00001700</t>
  </si>
  <si>
    <t>FA-A 0007-00001701</t>
  </si>
  <si>
    <t>FA-A 0007-00001702</t>
  </si>
  <si>
    <t>FA-A 0007-00001703</t>
  </si>
  <si>
    <t>FA-A 0007-00001704</t>
  </si>
  <si>
    <t>FA-A 0007-00001705</t>
  </si>
  <si>
    <t>FA-A 0007-00001706</t>
  </si>
  <si>
    <t>FA-B 0007-00004761</t>
  </si>
  <si>
    <t>FA-B 0007-00004762</t>
  </si>
  <si>
    <t>02/11/2023</t>
  </si>
  <si>
    <t>FA-B 0005-00009384</t>
  </si>
  <si>
    <t>FA-B 0005-00009385</t>
  </si>
  <si>
    <t>FA-B 0005-00009386</t>
  </si>
  <si>
    <t>FA-B 0005-00009387</t>
  </si>
  <si>
    <t>FA-B 0005-00009388</t>
  </si>
  <si>
    <t>FA-A 0006-00000403</t>
  </si>
  <si>
    <t>FA-A 0006-00000404</t>
  </si>
  <si>
    <t>FA-A 0006-00000405</t>
  </si>
  <si>
    <t>FA-A 0007-00001707</t>
  </si>
  <si>
    <t>FA-A 0007-00001708</t>
  </si>
  <si>
    <t>FA-A 0007-00001709</t>
  </si>
  <si>
    <t>03/11/2023</t>
  </si>
  <si>
    <t>FA-B 0005-00009389</t>
  </si>
  <si>
    <t>FA-B 0005-00009390</t>
  </si>
  <si>
    <t>FA-B 0005-00009391</t>
  </si>
  <si>
    <t>FA-B 0005-00009392</t>
  </si>
  <si>
    <t>FA-B 0005-00009393</t>
  </si>
  <si>
    <t>FA-B 0005-00009394</t>
  </si>
  <si>
    <t>FA-B 0005-00009395</t>
  </si>
  <si>
    <t>FA-B 0005-00009396</t>
  </si>
  <si>
    <t>FA-B 0005-00009397</t>
  </si>
  <si>
    <t>FA-B 0005-00009398</t>
  </si>
  <si>
    <t>FA-A 0006-00000406</t>
  </si>
  <si>
    <t>FA-A 0007-00001710</t>
  </si>
  <si>
    <t>FA-A 0007-00001711</t>
  </si>
  <si>
    <t>FA-A 0007-00001712</t>
  </si>
  <si>
    <t>FA-B 0007-00004763</t>
  </si>
  <si>
    <t>FA-B 0007-00004764</t>
  </si>
  <si>
    <t>FA-B 0007-00004765</t>
  </si>
  <si>
    <t>06/11/2023</t>
  </si>
  <si>
    <t>FA-B 0005-00009399</t>
  </si>
  <si>
    <t>FA-B 0005-00009400</t>
  </si>
  <si>
    <t>FA-B 0005-00009401</t>
  </si>
  <si>
    <t>FA-B 0005-00009402</t>
  </si>
  <si>
    <t>FA-B 0005-00009403</t>
  </si>
  <si>
    <t>FA-B 0005-00009404</t>
  </si>
  <si>
    <t>FA-B 0005-00009405</t>
  </si>
  <si>
    <t>FA-A 0006-00000407</t>
  </si>
  <si>
    <t>NC-A 0007-00000115</t>
  </si>
  <si>
    <t>FA-A 0007-00001713</t>
  </si>
  <si>
    <t>FA-A 0007-00001714</t>
  </si>
  <si>
    <t>FA-A 0007-00001715</t>
  </si>
  <si>
    <t>FA-A 0007-00001716</t>
  </si>
  <si>
    <t>FA-A 0007-00001717</t>
  </si>
  <si>
    <t>07/11/2023</t>
  </si>
  <si>
    <t>NC-B 0005-00000126</t>
  </si>
  <si>
    <t>FA-A 0005-00000139</t>
  </si>
  <si>
    <t>Lehrman, Jorge Eduardo</t>
  </si>
  <si>
    <t>FA-B 0005-00009406</t>
  </si>
  <si>
    <t>ETCHEBEHERE JERÓNIMO</t>
  </si>
  <si>
    <t>FA-B 0005-00009407</t>
  </si>
  <si>
    <t>FA-B 0005-00009408</t>
  </si>
  <si>
    <t>FA-B 0005-00009409</t>
  </si>
  <si>
    <t>FA-B 0005-00009410</t>
  </si>
  <si>
    <t>FA-B 0005-00009411</t>
  </si>
  <si>
    <t>FA-B 0005-00009412</t>
  </si>
  <si>
    <t>FA-B 0005-00009413</t>
  </si>
  <si>
    <t>FA-B 0005-00009414</t>
  </si>
  <si>
    <t>FA-B 0007-00004766</t>
  </si>
  <si>
    <t>FA-B 0007-00004767</t>
  </si>
  <si>
    <t>FA-B 0007-00004768</t>
  </si>
  <si>
    <t>FA-B 0007-00004769</t>
  </si>
  <si>
    <t>FIORI FRAVOLINI, HELENA</t>
  </si>
  <si>
    <t>08/11/2023</t>
  </si>
  <si>
    <t>FA-B 0005-00009415</t>
  </si>
  <si>
    <t>FA-B 0005-00009416</t>
  </si>
  <si>
    <t>FA-B 0005-00009417</t>
  </si>
  <si>
    <t>FA-B 0005-00009418</t>
  </si>
  <si>
    <t>FA-B 0005-00009419</t>
  </si>
  <si>
    <t>FA-B 0005-00009420</t>
  </si>
  <si>
    <t>FA-B 0005-00009421</t>
  </si>
  <si>
    <t>FA-B 0005-00009422</t>
  </si>
  <si>
    <t>FA-B 0005-00009423</t>
  </si>
  <si>
    <t>FA-B 0005-00009424</t>
  </si>
  <si>
    <t>FA-B 0005-00009425</t>
  </si>
  <si>
    <t>FA-B 0005-00009426</t>
  </si>
  <si>
    <t>FA-B 0005-00009427</t>
  </si>
  <si>
    <t>FA-B 0005-00009428</t>
  </si>
  <si>
    <t>FA-B 0005-00009429</t>
  </si>
  <si>
    <t>FA-B 0005-00009430</t>
  </si>
  <si>
    <t>FA-B 0005-00009431</t>
  </si>
  <si>
    <t>FA-B 0005-00009432</t>
  </si>
  <si>
    <t>FERNANDEZ SILVANA</t>
  </si>
  <si>
    <t>FA-B 0005-00009433</t>
  </si>
  <si>
    <t>FA-B 0005-00009434</t>
  </si>
  <si>
    <t>FA-B 0005-00009435</t>
  </si>
  <si>
    <t>FA-B 0005-00009436</t>
  </si>
  <si>
    <t>FA-B 0005-00009437</t>
  </si>
  <si>
    <t>FA-A 0006-00000408</t>
  </si>
  <si>
    <t>FA-A 0006-00000409</t>
  </si>
  <si>
    <t>FA-A 0007-00001718</t>
  </si>
  <si>
    <t>FA-B 0007-00004770</t>
  </si>
  <si>
    <t>FA-B 0007-00004771</t>
  </si>
  <si>
    <t>FA-B 0007-00004772</t>
  </si>
  <si>
    <t>FA-B 0007-00004773</t>
  </si>
  <si>
    <t>FA-B 0007-00004774</t>
  </si>
  <si>
    <t>FA-B 0007-00004775</t>
  </si>
  <si>
    <t>FA-B 0007-00004776</t>
  </si>
  <si>
    <t>FA-B 0007-00004777</t>
  </si>
  <si>
    <t>FA-B 0007-00004778</t>
  </si>
  <si>
    <t>FA-B 0007-00004779</t>
  </si>
  <si>
    <t>09/11/2023</t>
  </si>
  <si>
    <t>FA-B 0005-00009438</t>
  </si>
  <si>
    <t>FA-B 0005-00009439</t>
  </si>
  <si>
    <t>FA-B 0005-00009440</t>
  </si>
  <si>
    <t>FA-B 0005-00009441</t>
  </si>
  <si>
    <t>FA-B 0005-00009442</t>
  </si>
  <si>
    <t>FA-B 0005-00009443</t>
  </si>
  <si>
    <t>FA-B 0005-00009444</t>
  </si>
  <si>
    <t>FA-B 0005-00009445</t>
  </si>
  <si>
    <t>FA-B 0005-00009446</t>
  </si>
  <si>
    <t>FA-B 0005-00009447</t>
  </si>
  <si>
    <t>FA-B 0005-00009448</t>
  </si>
  <si>
    <t>FA-B 0005-00009449</t>
  </si>
  <si>
    <t>FA-A 0007-00001719</t>
  </si>
  <si>
    <t>FA-B 0007-00004780</t>
  </si>
  <si>
    <t>FA-B 0007-00004781</t>
  </si>
  <si>
    <t>FA-B 0007-00004782</t>
  </si>
  <si>
    <t>10/11/2023</t>
  </si>
  <si>
    <t>FA-B 0005-00009450</t>
  </si>
  <si>
    <t>FA-B 0005-00009451</t>
  </si>
  <si>
    <t>FA-B 0005-00009452</t>
  </si>
  <si>
    <t>FA-B 0005-00009453</t>
  </si>
  <si>
    <t>FA-B 0005-00009454</t>
  </si>
  <si>
    <t>FA-B 0005-00009455</t>
  </si>
  <si>
    <t>FA-B 0005-00009456</t>
  </si>
  <si>
    <t>FA-B 0005-00009457</t>
  </si>
  <si>
    <t>FA-B 0005-00009458</t>
  </si>
  <si>
    <t>FA-B 0005-00009459</t>
  </si>
  <si>
    <t>FA-B 0005-00009460</t>
  </si>
  <si>
    <t>FA-A 0007-00001720</t>
  </si>
  <si>
    <t>FA-A 0007-00001721</t>
  </si>
  <si>
    <t>FA-A 0007-00001722</t>
  </si>
  <si>
    <t>FA-B 0007-00004783</t>
  </si>
  <si>
    <t>FA-B 0007-00004784</t>
  </si>
  <si>
    <t>FA-B 0007-00004785</t>
  </si>
  <si>
    <t>FA-B 0007-00004786</t>
  </si>
  <si>
    <t>FA-B 0007-00004787</t>
  </si>
  <si>
    <t>FA-B 0007-00004788</t>
  </si>
  <si>
    <t>FA-B 0007-00004789</t>
  </si>
  <si>
    <t>FA-B 0007-00004790</t>
  </si>
  <si>
    <t>FA-B 0007-00004791</t>
  </si>
  <si>
    <t>13/11/2023</t>
  </si>
  <si>
    <t>FA-B 0005-00009461</t>
  </si>
  <si>
    <t>FA-B 0005-00009462</t>
  </si>
  <si>
    <t>FA-B 0005-00009463</t>
  </si>
  <si>
    <t>FA-B 0005-00009464</t>
  </si>
  <si>
    <t>FA-B 0005-00009465</t>
  </si>
  <si>
    <t>FA-B 0005-00009466</t>
  </si>
  <si>
    <t>FA-B 0005-00009467</t>
  </si>
  <si>
    <t>FA-B 0005-00009468</t>
  </si>
  <si>
    <t>FA-B 0005-00009469</t>
  </si>
  <si>
    <t>FA-B 0005-00009470</t>
  </si>
  <si>
    <t>FA-B 0005-00009471</t>
  </si>
  <si>
    <t>FA-B 0005-00009472</t>
  </si>
  <si>
    <t>FA-B 0005-00009473</t>
  </si>
  <si>
    <t>FA-B 0005-00009474</t>
  </si>
  <si>
    <t>FA-B 0005-00009475</t>
  </si>
  <si>
    <t>FA-B 0005-00009476</t>
  </si>
  <si>
    <t>FA-A 0006-00000410</t>
  </si>
  <si>
    <t>NC-A 0007-00000116</t>
  </si>
  <si>
    <t>NC-A 0007-00000117</t>
  </si>
  <si>
    <t>NC-A 0007-00000118</t>
  </si>
  <si>
    <t>FA-A 0007-00001723</t>
  </si>
  <si>
    <t>FA-B 0007-00004792</t>
  </si>
  <si>
    <t>FA-B 0007-00004793</t>
  </si>
  <si>
    <t>FA-B 0007-00004794</t>
  </si>
  <si>
    <t>14/11/2023</t>
  </si>
  <si>
    <t>FA-B 0005-00009477</t>
  </si>
  <si>
    <t>FA-B 0005-00009478</t>
  </si>
  <si>
    <t>FA-B 0005-00009479</t>
  </si>
  <si>
    <t>FA-B 0005-00009480</t>
  </si>
  <si>
    <t>FA-B 0005-00009481</t>
  </si>
  <si>
    <t>FA-B 0005-00009482</t>
  </si>
  <si>
    <t>FA-B 0005-00009483</t>
  </si>
  <si>
    <t>FA-B 0005-00009484</t>
  </si>
  <si>
    <t>FA-B 0005-00009485</t>
  </si>
  <si>
    <t>FA-B 0005-00009486</t>
  </si>
  <si>
    <t>PROVENZANO NATALIA</t>
  </si>
  <si>
    <t>FA-B 0005-00009487</t>
  </si>
  <si>
    <t>FA-A 0007-00001724</t>
  </si>
  <si>
    <t>FA-A 0007-00001725</t>
  </si>
  <si>
    <t>FA-A 0007-00001726</t>
  </si>
  <si>
    <t>FA-A 0007-00001727</t>
  </si>
  <si>
    <t>FA-A 0007-00001728</t>
  </si>
  <si>
    <t>FA-A 0007-00001729</t>
  </si>
  <si>
    <t>FA-A 0007-00001730</t>
  </si>
  <si>
    <t>FA-A 0007-00001731</t>
  </si>
  <si>
    <t>FA-A 0007-00001732</t>
  </si>
  <si>
    <t>FA-A 0007-00001733</t>
  </si>
  <si>
    <t>FA-A 0007-00001734</t>
  </si>
  <si>
    <t>FA-A 0007-00001735</t>
  </si>
  <si>
    <t>FA-A 0007-00001736</t>
  </si>
  <si>
    <t>FA-B 0007-00004795</t>
  </si>
  <si>
    <t>FA-B 0007-00004796</t>
  </si>
  <si>
    <t>15/11/2023</t>
  </si>
  <si>
    <t>FA-B 0005-00009488</t>
  </si>
  <si>
    <t>FA-B 0005-00009489</t>
  </si>
  <si>
    <t>FA-B 0005-00009490</t>
  </si>
  <si>
    <t>FA-B 0007-00004797</t>
  </si>
  <si>
    <t>FA-B 0007-00004798</t>
  </si>
  <si>
    <t>16/11/2023</t>
  </si>
  <si>
    <t>FA-B 0005-00009491</t>
  </si>
  <si>
    <t>FA-B 0005-00009492</t>
  </si>
  <si>
    <t>FA-B 0005-00009493</t>
  </si>
  <si>
    <t>FA-B 0005-00009494</t>
  </si>
  <si>
    <t>FA-B 0005-00009495</t>
  </si>
  <si>
    <t>FA-A 0007-00001737</t>
  </si>
  <si>
    <t>17/11/2023</t>
  </si>
  <si>
    <t>NC-B 0005-00000127</t>
  </si>
  <si>
    <t>FA-B 0005-00009496</t>
  </si>
  <si>
    <t>FA-B 0005-00009497</t>
  </si>
  <si>
    <t>FA-B 0005-00009498</t>
  </si>
  <si>
    <t>FA-B 0005-00009499</t>
  </si>
  <si>
    <t>FA-B 0005-00009500</t>
  </si>
  <si>
    <t>FA-B 0005-00009501</t>
  </si>
  <si>
    <t>FA-B 0005-00009502</t>
  </si>
  <si>
    <t>FA-B 0005-00009503</t>
  </si>
  <si>
    <t>FA-B 0005-00009504</t>
  </si>
  <si>
    <t>FA-B 0005-00009505</t>
  </si>
  <si>
    <t>FA-B 0005-00009506</t>
  </si>
  <si>
    <t>LISANDRO ACUÑA</t>
  </si>
  <si>
    <t>FA-B 0005-00009507</t>
  </si>
  <si>
    <t>FA-A 0006-00000411</t>
  </si>
  <si>
    <t>21/11/2023</t>
  </si>
  <si>
    <t>FA-A 0005-00000140</t>
  </si>
  <si>
    <t>Ld. Distribuidora Larrea S.A.</t>
  </si>
  <si>
    <t>FA-B 0005-00009508</t>
  </si>
  <si>
    <t>FA-B 0005-00009509</t>
  </si>
  <si>
    <t>FA-B 0005-00009510</t>
  </si>
  <si>
    <t>FA-B 0005-00009511</t>
  </si>
  <si>
    <t>FA-B 0005-00009512</t>
  </si>
  <si>
    <t>FA-B 0005-00009513</t>
  </si>
  <si>
    <t>FA-B 0005-00009514</t>
  </si>
  <si>
    <t>FA-B 0005-00009515</t>
  </si>
  <si>
    <t>FA-B 0005-00009516</t>
  </si>
  <si>
    <t>FA-B 0005-00009517</t>
  </si>
  <si>
    <t>FA-B 0005-00009518</t>
  </si>
  <si>
    <t>FA-B 0005-00009519</t>
  </si>
  <si>
    <t>FA-B 0005-00009520</t>
  </si>
  <si>
    <t>FA-B 0005-00009521</t>
  </si>
  <si>
    <t>FA-B 0005-00009522</t>
  </si>
  <si>
    <t>FA-B 0005-00009523</t>
  </si>
  <si>
    <t>FA-A 0007-00001738</t>
  </si>
  <si>
    <t>Pricewaterhousecoopers Service Delivery Center (Argentina) S.R.L.</t>
  </si>
  <si>
    <t>22/11/2023</t>
  </si>
  <si>
    <t>FA-B 0005-00009524</t>
  </si>
  <si>
    <t>FA-B 0005-00009525</t>
  </si>
  <si>
    <t>FA-B 0005-00009526</t>
  </si>
  <si>
    <t>FA-B 0005-00009527</t>
  </si>
  <si>
    <t>FA-B 0005-00009528</t>
  </si>
  <si>
    <t>FA-B 0005-00009529</t>
  </si>
  <si>
    <t>FA-B 0005-00009530</t>
  </si>
  <si>
    <t>FA-B 0005-00009531</t>
  </si>
  <si>
    <t>FA-B 0005-00009532</t>
  </si>
  <si>
    <t>FA-B 0007-00004799</t>
  </si>
  <si>
    <t>FA-B 0007-00004800</t>
  </si>
  <si>
    <t>FA-B 0007-00004801</t>
  </si>
  <si>
    <t>FA-B 0007-00004802</t>
  </si>
  <si>
    <t>FA-B 0007-00004803</t>
  </si>
  <si>
    <t>FA-B 0007-00004804</t>
  </si>
  <si>
    <t>FA-B 0007-00004805</t>
  </si>
  <si>
    <t>23/11/2023</t>
  </si>
  <si>
    <t>FA-B 0005-00009533</t>
  </si>
  <si>
    <t>FA-B 0005-00009534</t>
  </si>
  <si>
    <t>FA-B 0005-00009535</t>
  </si>
  <si>
    <t>FA-B 0005-00009536</t>
  </si>
  <si>
    <t>FA-B 0005-00009537</t>
  </si>
  <si>
    <t>FA-B 0005-00009538</t>
  </si>
  <si>
    <t>FA-B 0005-00009539</t>
  </si>
  <si>
    <t>FA-B 0005-00009540</t>
  </si>
  <si>
    <t>FA-B 0005-00009541</t>
  </si>
  <si>
    <t>FA-B 0005-00009542</t>
  </si>
  <si>
    <t>FA-A 0006-00000412</t>
  </si>
  <si>
    <t>24/11/2023</t>
  </si>
  <si>
    <t>FA-B 0005-00009543</t>
  </si>
  <si>
    <t>FA-B 0005-00009544</t>
  </si>
  <si>
    <t>FA-B 0005-00009545</t>
  </si>
  <si>
    <t>FA-B 0005-00009546</t>
  </si>
  <si>
    <t>FA-B 0005-00009547</t>
  </si>
  <si>
    <t>FA-B 0005-00009548</t>
  </si>
  <si>
    <t>FA-B 0005-00009549</t>
  </si>
  <si>
    <t>FA-B 0005-00009550</t>
  </si>
  <si>
    <t>FA-B 0005-00009551</t>
  </si>
  <si>
    <t>FA-B 0005-00009552</t>
  </si>
  <si>
    <t>FA-B 0005-00009553</t>
  </si>
  <si>
    <t>NC-A 0007-00000119</t>
  </si>
  <si>
    <t>FA-A 0007-00001739</t>
  </si>
  <si>
    <t>FA-A 0007-00001740</t>
  </si>
  <si>
    <t>FA-A 0007-00001741</t>
  </si>
  <si>
    <t>FA-B 0007-00004806</t>
  </si>
  <si>
    <t>FA-B 0007-00004807</t>
  </si>
  <si>
    <t>FA-B 0007-00004808</t>
  </si>
  <si>
    <t>FA-B 0007-00004809</t>
  </si>
  <si>
    <t>SINDICATO DE TRABAJADORES JUDICIALES DE LA CIUDAD AUTONOMA DE BUENOS AIRES</t>
  </si>
  <si>
    <t>FA-B 0007-00004810</t>
  </si>
  <si>
    <t>FA-B 0007-00004811</t>
  </si>
  <si>
    <t>27/11/2023</t>
  </si>
  <si>
    <t>FA-B 0005-00009554</t>
  </si>
  <si>
    <t>FA-B 0005-00009555</t>
  </si>
  <si>
    <t>FA-B 0005-00009556</t>
  </si>
  <si>
    <t>FA-B 0005-00009557</t>
  </si>
  <si>
    <t>FA-B 0005-00009558</t>
  </si>
  <si>
    <t>FA-B 0005-00009559</t>
  </si>
  <si>
    <t>FA-B 0005-00009560</t>
  </si>
  <si>
    <t>FA-B 0005-00009561</t>
  </si>
  <si>
    <t>FA-B 0005-00009562</t>
  </si>
  <si>
    <t>FA-B 0005-00009563</t>
  </si>
  <si>
    <t>FA-B 0005-00009564</t>
  </si>
  <si>
    <t>FA-B 0005-00009565</t>
  </si>
  <si>
    <t>FA-B 0005-00009566</t>
  </si>
  <si>
    <t>FA-A 0007-00001742</t>
  </si>
  <si>
    <t>28/11/2023</t>
  </si>
  <si>
    <t>FA-B 0005-00009567</t>
  </si>
  <si>
    <t>FA-B 0005-00009568</t>
  </si>
  <si>
    <t>FA-B 0005-00009569</t>
  </si>
  <si>
    <t>FA-B 0005-00009570</t>
  </si>
  <si>
    <t>FA-B 0005-00009571</t>
  </si>
  <si>
    <t>FA-B 0005-00009572</t>
  </si>
  <si>
    <t>FA-B 0005-00009573</t>
  </si>
  <si>
    <t>FA-B 0005-00009574</t>
  </si>
  <si>
    <t>FA-B 0005-00009575</t>
  </si>
  <si>
    <t>FA-B 0005-00009576</t>
  </si>
  <si>
    <t>FA-B 0005-00009577</t>
  </si>
  <si>
    <t>FA-B 0005-00009578</t>
  </si>
  <si>
    <t>FA-B 0005-00009579</t>
  </si>
  <si>
    <t>FA-B 0005-00009580</t>
  </si>
  <si>
    <t>RAMOS ALICIA GENOVEVA</t>
  </si>
  <si>
    <t>FA-B 0005-00009581</t>
  </si>
  <si>
    <t>29/11/2023</t>
  </si>
  <si>
    <t>FA-B 0005-00009582</t>
  </si>
  <si>
    <t>NC-B 0007-00000144</t>
  </si>
  <si>
    <t>FA-B 0007-00004812</t>
  </si>
  <si>
    <t>FA-B 0007-00004813</t>
  </si>
  <si>
    <t>FA-B 0007-00004814</t>
  </si>
  <si>
    <t>FA-B 0007-00004815</t>
  </si>
  <si>
    <t>FA-B 0007-00004816</t>
  </si>
  <si>
    <t>FA-B 0007-00004817</t>
  </si>
  <si>
    <t>FA-B 0007-00004818</t>
  </si>
  <si>
    <t>30/11/2023</t>
  </si>
  <si>
    <t>FA-B 0005-00009583</t>
  </si>
  <si>
    <t>FA-B 0005-00009584</t>
  </si>
  <si>
    <t>FA-B 0005-00009585</t>
  </si>
  <si>
    <t>FA-B 0005-00009586</t>
  </si>
  <si>
    <t>FA-B 0005-00009587</t>
  </si>
  <si>
    <t>FA-B 0005-00009588</t>
  </si>
  <si>
    <t>FA-B 0005-00009589</t>
  </si>
  <si>
    <t>FA-B 0005-00009590</t>
  </si>
  <si>
    <t>FA-B 0005-00009591</t>
  </si>
  <si>
    <t>01/12/2023</t>
  </si>
  <si>
    <t>FA-B 0005-00009592</t>
  </si>
  <si>
    <t>FA-B 0005-00009593</t>
  </si>
  <si>
    <t>FA-B 0005-00009594</t>
  </si>
  <si>
    <t>04/12/2023</t>
  </si>
  <si>
    <t>FA-B 0005-00009595</t>
  </si>
  <si>
    <t>FA-B 0005-00009596</t>
  </si>
  <si>
    <t>FA-B 0005-00009597</t>
  </si>
  <si>
    <t>FA-B 0005-00009598</t>
  </si>
  <si>
    <t>FA-B 0005-00009599</t>
  </si>
  <si>
    <t>FA-B 0005-00009600</t>
  </si>
  <si>
    <t>FA-B 0005-00009601</t>
  </si>
  <si>
    <t>FA-B 0005-00009602</t>
  </si>
  <si>
    <t>ALDANA AGUSTINA ARRENDAL</t>
  </si>
  <si>
    <t>FA-B 0005-00009603</t>
  </si>
  <si>
    <t>FA-B 0005-00009604</t>
  </si>
  <si>
    <t>MUSCHITIELLO MARIA AGUSTINA</t>
  </si>
  <si>
    <t>FA-B 0005-00009605</t>
  </si>
  <si>
    <t>FA-B 0005-00009606</t>
  </si>
  <si>
    <t>FA-B 0005-00009607</t>
  </si>
  <si>
    <t>FA-B 0005-00009608</t>
  </si>
  <si>
    <t>05/12/2023</t>
  </si>
  <si>
    <t>FA-B 0005-00009609</t>
  </si>
  <si>
    <t>FA-B 0005-00009610</t>
  </si>
  <si>
    <t>FA-B 0005-00009611</t>
  </si>
  <si>
    <t>FA-B 0005-00009612</t>
  </si>
  <si>
    <t>ACOSTA EMANUEL</t>
  </si>
  <si>
    <t>FA-B 0005-00009613</t>
  </si>
  <si>
    <t>FA-B 0005-00009614</t>
  </si>
  <si>
    <t>FA-B 0005-00009615</t>
  </si>
  <si>
    <t>FA-B 0005-00009616</t>
  </si>
  <si>
    <t>FA-B 0005-00009617</t>
  </si>
  <si>
    <t>FA-B 0005-00009618</t>
  </si>
  <si>
    <t>FA-B 0005-00009619</t>
  </si>
  <si>
    <t>FA-B 0005-00009620</t>
  </si>
  <si>
    <t>FA-B 0005-00009621</t>
  </si>
  <si>
    <t>FA-B 0005-00009622</t>
  </si>
  <si>
    <t>FA-B 0005-00009623</t>
  </si>
  <si>
    <t>FA-B 0005-00009624</t>
  </si>
  <si>
    <t>FA-B 0005-00009625</t>
  </si>
  <si>
    <t>FA-A 0006-00000413</t>
  </si>
  <si>
    <t>FA-A 0006-00000414</t>
  </si>
  <si>
    <t>FA-A 0007-00001743</t>
  </si>
  <si>
    <t>FA-A 0007-00001744</t>
  </si>
  <si>
    <t>FA-A 0007-00001745</t>
  </si>
  <si>
    <t>FA-B 0007-00004819</t>
  </si>
  <si>
    <t>06/12/2023</t>
  </si>
  <si>
    <t>FA-B 0005-00009626</t>
  </si>
  <si>
    <t>FA-B 0005-00009627</t>
  </si>
  <si>
    <t>FA-B 0005-00009628</t>
  </si>
  <si>
    <t>FA-B 0005-00009629</t>
  </si>
  <si>
    <t>FA-B 0005-00009630</t>
  </si>
  <si>
    <t>FA-B 0005-00009631</t>
  </si>
  <si>
    <t>NC-A 0007-00000120</t>
  </si>
  <si>
    <t>FA-A 0007-00001746</t>
  </si>
  <si>
    <t>FA-A 0007-00001747</t>
  </si>
  <si>
    <t>FA-A 0007-00001748</t>
  </si>
  <si>
    <t>FA-A 0007-00001749</t>
  </si>
  <si>
    <t>FA-A 0007-00001750</t>
  </si>
  <si>
    <t>FA-A 0007-00001751</t>
  </si>
  <si>
    <t>FA-A 0007-00001752</t>
  </si>
  <si>
    <t>FA-A 0007-00001753</t>
  </si>
  <si>
    <t>FA-A 0007-00001754</t>
  </si>
  <si>
    <t>FA-A 0007-00001755</t>
  </si>
  <si>
    <t>FA-B 0007-00004820</t>
  </si>
  <si>
    <t>FA-B 0007-00004821</t>
  </si>
  <si>
    <t>FA-B 0007-00004822</t>
  </si>
  <si>
    <t>FA-B 0007-00004823</t>
  </si>
  <si>
    <t>FA-B 0007-00004824</t>
  </si>
  <si>
    <t>FA-B 0007-00004825</t>
  </si>
  <si>
    <t>FA-B 0007-00004826</t>
  </si>
  <si>
    <t>FA-B 0007-00004827</t>
  </si>
  <si>
    <t>FA-B 0007-00004828</t>
  </si>
  <si>
    <t>FA-B 0007-00004829</t>
  </si>
  <si>
    <t>FA-B 0007-00004830</t>
  </si>
  <si>
    <t>07/12/2023</t>
  </si>
  <si>
    <t>FA-B 0005-00009632</t>
  </si>
  <si>
    <t>FA-B 0005-00009633</t>
  </si>
  <si>
    <t>FA-B 0005-00009634</t>
  </si>
  <si>
    <t>FA-B 0005-00009635</t>
  </si>
  <si>
    <t>FA-B 0005-00009636</t>
  </si>
  <si>
    <t>FA-B 0005-00009637</t>
  </si>
  <si>
    <t>FA-B 0005-00009638</t>
  </si>
  <si>
    <t>FA-B 0005-00009639</t>
  </si>
  <si>
    <t>FA-B 0005-00009640</t>
  </si>
  <si>
    <t>FA-B 0005-00009641</t>
  </si>
  <si>
    <t>FA-B 0005-00009642</t>
  </si>
  <si>
    <t>FA-B 0005-00009643</t>
  </si>
  <si>
    <t>FA-B 0005-00009644</t>
  </si>
  <si>
    <t>NC-A 0006-00000048</t>
  </si>
  <si>
    <t>FA-A 0006-00000415</t>
  </si>
  <si>
    <t>FA-A 0006-00000416</t>
  </si>
  <si>
    <t>FA-A 0006-00000417</t>
  </si>
  <si>
    <t>FA-B 0007-00004831</t>
  </si>
  <si>
    <t>11/12/2023</t>
  </si>
  <si>
    <t>FA-B 0005-00009645</t>
  </si>
  <si>
    <t>FA-B 0005-00009646</t>
  </si>
  <si>
    <t>FA-B 0005-00009647</t>
  </si>
  <si>
    <t>FA-B 0005-00009648</t>
  </si>
  <si>
    <t>FA-B 0005-00009649</t>
  </si>
  <si>
    <t>FA-B 0005-00009650</t>
  </si>
  <si>
    <t>FA-B 0005-00009651</t>
  </si>
  <si>
    <t>BARRAGUE MARCELO</t>
  </si>
  <si>
    <t>FA-B 0005-00009652</t>
  </si>
  <si>
    <t>ORELLANA RAFAEL</t>
  </si>
  <si>
    <t>FA-B 0005-00009653</t>
  </si>
  <si>
    <t>FA-B 0005-00009654</t>
  </si>
  <si>
    <t>FA-B 0005-00009655</t>
  </si>
  <si>
    <t>12/12/2023</t>
  </si>
  <si>
    <t>FA-B 0005-00009656</t>
  </si>
  <si>
    <t>FA-B 0005-00009657</t>
  </si>
  <si>
    <t>FA-B 0005-00009658</t>
  </si>
  <si>
    <t>FA-B 0005-00009659</t>
  </si>
  <si>
    <t>FA-B 0005-00009660</t>
  </si>
  <si>
    <t>FA-B 0005-00009661</t>
  </si>
  <si>
    <t>FA-B 0005-00009662</t>
  </si>
  <si>
    <t>FA-B 0005-00009663</t>
  </si>
  <si>
    <t>FA-B 0005-00009664</t>
  </si>
  <si>
    <t>FA-B 0005-00009665</t>
  </si>
  <si>
    <t>FA-B 0005-00009666</t>
  </si>
  <si>
    <t>FA-B 0005-00009667</t>
  </si>
  <si>
    <t>FA-A 0006-00000418</t>
  </si>
  <si>
    <t>FA-A 0007-00001756</t>
  </si>
  <si>
    <t>FA-A 0007-00001757</t>
  </si>
  <si>
    <t>FA-A 0007-00001758</t>
  </si>
  <si>
    <t>FA-A 0007-00001759</t>
  </si>
  <si>
    <t>FA-A 0007-00001760</t>
  </si>
  <si>
    <t>13/12/2023</t>
  </si>
  <si>
    <t>FA-B 0005-00009668</t>
  </si>
  <si>
    <t>FA-B 0005-00009669</t>
  </si>
  <si>
    <t>FA-B 0005-00009670</t>
  </si>
  <si>
    <t>FA-B 0005-00009671</t>
  </si>
  <si>
    <t>FA-B 0005-00009672</t>
  </si>
  <si>
    <t>FA-A 0006-00000419</t>
  </si>
  <si>
    <t>FA-A 0007-00001761</t>
  </si>
  <si>
    <t>FA-B 0007-00004832</t>
  </si>
  <si>
    <t>FA-B 0007-00004833</t>
  </si>
  <si>
    <t>FA-B 0007-00004834</t>
  </si>
  <si>
    <t>FA-B 0007-00004835</t>
  </si>
  <si>
    <t>FA-B 0007-00004836</t>
  </si>
  <si>
    <t>FA-B 0007-00004837</t>
  </si>
  <si>
    <t>FA-B 0007-00004838</t>
  </si>
  <si>
    <t>FA-B 0007-00004839</t>
  </si>
  <si>
    <t>FA-B 0007-00004840</t>
  </si>
  <si>
    <t>FA-B 0007-00004841</t>
  </si>
  <si>
    <t>14/12/2023</t>
  </si>
  <si>
    <t>FA-B 0005-00009673</t>
  </si>
  <si>
    <t>FA-B 0005-00009674</t>
  </si>
  <si>
    <t>FA-B 0005-00009675</t>
  </si>
  <si>
    <t>FA-B 0005-00009676</t>
  </si>
  <si>
    <t>FA-B 0005-00009677</t>
  </si>
  <si>
    <t>FA-B 0005-00009678</t>
  </si>
  <si>
    <t>FA-B 0005-00009679</t>
  </si>
  <si>
    <t>FA-B 0005-00009680</t>
  </si>
  <si>
    <t>FA-B 0005-00009681</t>
  </si>
  <si>
    <t>FA-B 0005-00009682</t>
  </si>
  <si>
    <t>NC-A 0006-00000049</t>
  </si>
  <si>
    <t>NC-A 0006-00000050</t>
  </si>
  <si>
    <t>NC-A 0007-00000121</t>
  </si>
  <si>
    <t>NC-A 0007-00000122</t>
  </si>
  <si>
    <t>15/12/2023</t>
  </si>
  <si>
    <t>FA-B 0005-00009683</t>
  </si>
  <si>
    <t>FA-B 0005-00009684</t>
  </si>
  <si>
    <t>FA-B 0005-00009685</t>
  </si>
  <si>
    <t>FA-B 0005-00009686</t>
  </si>
  <si>
    <t>FA-B 0005-00009687</t>
  </si>
  <si>
    <t>FA-B 0005-00009688</t>
  </si>
  <si>
    <t>FA-B 0005-00009689</t>
  </si>
  <si>
    <t>FA-B 0005-00009690</t>
  </si>
  <si>
    <t>FA-B 0005-00009691</t>
  </si>
  <si>
    <t>FA-A 0006-00000420</t>
  </si>
  <si>
    <t>FA-A 0006-00000421</t>
  </si>
  <si>
    <t>FA-A 0007-00001762</t>
  </si>
  <si>
    <t>FA-A 0007-00001763</t>
  </si>
  <si>
    <t>FA-A 0007-00001764</t>
  </si>
  <si>
    <t>18/12/2023</t>
  </si>
  <si>
    <t>FA-B 0005-00009692</t>
  </si>
  <si>
    <t>FA-B 0005-00009693</t>
  </si>
  <si>
    <t>FA-B 0005-00009694</t>
  </si>
  <si>
    <t>FA-B 0005-00009695</t>
  </si>
  <si>
    <t>FA-B 0005-00009696</t>
  </si>
  <si>
    <t>FA-B 0005-00009697</t>
  </si>
  <si>
    <t>FA-B 0005-00009698</t>
  </si>
  <si>
    <t>FA-A 0007-00001765</t>
  </si>
  <si>
    <t>FA-B 0007-00004842</t>
  </si>
  <si>
    <t>FA-B 0007-00004843</t>
  </si>
  <si>
    <t>FA-B 0007-00004844</t>
  </si>
  <si>
    <t>19/12/2023</t>
  </si>
  <si>
    <t>FA-B 0005-00009699</t>
  </si>
  <si>
    <t>FA-B 0005-00009700</t>
  </si>
  <si>
    <t>FA-B 0005-00009701</t>
  </si>
  <si>
    <t>FA-B 0005-00009702</t>
  </si>
  <si>
    <t>FA-B 0005-00009703</t>
  </si>
  <si>
    <t>FA-B 0005-00009704</t>
  </si>
  <si>
    <t>FA-B 0005-00009705</t>
  </si>
  <si>
    <t>FA-B 0005-00009706</t>
  </si>
  <si>
    <t>FA-B 0005-00009707</t>
  </si>
  <si>
    <t>FA-B 0005-00009708</t>
  </si>
  <si>
    <t>FA-B 0005-00009709</t>
  </si>
  <si>
    <t>FA-B 0007-00004845</t>
  </si>
  <si>
    <t>FA-B 0007-00004846</t>
  </si>
  <si>
    <t>FA-B 0007-00004847</t>
  </si>
  <si>
    <t>FA-B 0007-00004848</t>
  </si>
  <si>
    <t>20/12/2023</t>
  </si>
  <si>
    <t>FA-B 0005-00009710</t>
  </si>
  <si>
    <t>FA-B 0005-00009711</t>
  </si>
  <si>
    <t>FA-B 0005-00009712</t>
  </si>
  <si>
    <t>FA-B 0005-00009713</t>
  </si>
  <si>
    <t>FA-B 0005-00009714</t>
  </si>
  <si>
    <t>FA-B 0005-00009715</t>
  </si>
  <si>
    <t>FA-B 0005-00009716</t>
  </si>
  <si>
    <t>FA-A 0007-00001766</t>
  </si>
  <si>
    <t>FA-B 0007-00004849</t>
  </si>
  <si>
    <t>FA-B 0007-00004850</t>
  </si>
  <si>
    <t>FA-B 0007-00004851</t>
  </si>
  <si>
    <t>FA-B 0007-00004852</t>
  </si>
  <si>
    <t>FA-B 0007-00004853</t>
  </si>
  <si>
    <t>FA-B 0007-00004854</t>
  </si>
  <si>
    <t>FA-B 0007-00004855</t>
  </si>
  <si>
    <t>FA-B 0007-00004856</t>
  </si>
  <si>
    <t>FA-B 0007-00004857</t>
  </si>
  <si>
    <t>FA-B 0007-00004858</t>
  </si>
  <si>
    <t>FA-B 0007-00004859</t>
  </si>
  <si>
    <t>FA-B 0007-00004860</t>
  </si>
  <si>
    <t>FA-B 0007-00004861</t>
  </si>
  <si>
    <t>FA-B 0007-00004862</t>
  </si>
  <si>
    <t>FA-B 0007-00004863</t>
  </si>
  <si>
    <t>FA-B 0007-00004864</t>
  </si>
  <si>
    <t>FA-B 0007-00004865</t>
  </si>
  <si>
    <t>PINO, ANA PAULA</t>
  </si>
  <si>
    <t>FA-B 0007-00004866</t>
  </si>
  <si>
    <t>21/12/2023</t>
  </si>
  <si>
    <t>FA-B 0005-00009717</t>
  </si>
  <si>
    <t>FA-B 0005-00009718</t>
  </si>
  <si>
    <t>FA-B 0005-00009719</t>
  </si>
  <si>
    <t>FA-B 0005-00009720</t>
  </si>
  <si>
    <t>FA-B 0005-00009721</t>
  </si>
  <si>
    <t>FA-B 0005-00009722</t>
  </si>
  <si>
    <t>FA-B 0005-00009723</t>
  </si>
  <si>
    <t>FA-B 0005-00009724</t>
  </si>
  <si>
    <t>FA-A 0007-00001767</t>
  </si>
  <si>
    <t>FA-B 0007-00004867</t>
  </si>
  <si>
    <t>22/12/2023</t>
  </si>
  <si>
    <t>FA-B 0005-00009725</t>
  </si>
  <si>
    <t>FA-B 0005-00009726</t>
  </si>
  <si>
    <t>FA-B 0005-00009727</t>
  </si>
  <si>
    <t>FA-B 0005-00009728</t>
  </si>
  <si>
    <t>FA-B 0005-00009729</t>
  </si>
  <si>
    <t>FA-B 0005-00009730</t>
  </si>
  <si>
    <t>FA-B 0005-00009731</t>
  </si>
  <si>
    <t>FA-B 0005-00009732</t>
  </si>
  <si>
    <t>FA-B 0005-00009733</t>
  </si>
  <si>
    <t>FA-B 0005-00009734</t>
  </si>
  <si>
    <t>FA-B 0005-00009735</t>
  </si>
  <si>
    <t>FA-B 0005-00009736</t>
  </si>
  <si>
    <t>FA-B 0005-00009737</t>
  </si>
  <si>
    <t>FA-A 0007-00001768</t>
  </si>
  <si>
    <t>26/12/2023</t>
  </si>
  <si>
    <t>FA-B 0005-00009738</t>
  </si>
  <si>
    <t>FA-B 0005-00009739</t>
  </si>
  <si>
    <t>FA-B 0005-00009740</t>
  </si>
  <si>
    <t>FA-B 0005-00009741</t>
  </si>
  <si>
    <t>GUALLAN RICARDO</t>
  </si>
  <si>
    <t>FA-B 0005-00009742</t>
  </si>
  <si>
    <t>FA-B 0005-00009743</t>
  </si>
  <si>
    <t>FA-B 0005-00009744</t>
  </si>
  <si>
    <t>FA-B 0005-00009745</t>
  </si>
  <si>
    <t>FA-B 0005-00009746</t>
  </si>
  <si>
    <t>FA-B 0005-00009747</t>
  </si>
  <si>
    <t>FA-B 0005-00009748</t>
  </si>
  <si>
    <t>FA-B 0005-00009749</t>
  </si>
  <si>
    <t>27/12/2023</t>
  </si>
  <si>
    <t>NC-B 0005-00000128</t>
  </si>
  <si>
    <t>FA-B 0005-00009750</t>
  </si>
  <si>
    <t>FA-B 0005-00009751</t>
  </si>
  <si>
    <t>FA-B 0005-00009752</t>
  </si>
  <si>
    <t>FA-B 0005-00009753</t>
  </si>
  <si>
    <t>FA-B 0005-00009754</t>
  </si>
  <si>
    <t>FA-B 0005-00009755</t>
  </si>
  <si>
    <t>FA-B 0005-00009756</t>
  </si>
  <si>
    <t>FA-B 0005-00009757</t>
  </si>
  <si>
    <t>NC-B 0007-00000145</t>
  </si>
  <si>
    <t>FA-B 0007-00004868</t>
  </si>
  <si>
    <t>FA-B 0007-00004869</t>
  </si>
  <si>
    <t>FA-B 0007-00004870</t>
  </si>
  <si>
    <t>FA-B 0007-00004871</t>
  </si>
  <si>
    <t>FA-B 0007-00004872</t>
  </si>
  <si>
    <t>FA-B 0007-00004873</t>
  </si>
  <si>
    <t>FA-B 0007-00004874</t>
  </si>
  <si>
    <t>FA-B 0007-00004875</t>
  </si>
  <si>
    <t>FA-B 0007-00004876</t>
  </si>
  <si>
    <t>FA-B 0007-00004877</t>
  </si>
  <si>
    <t>FA-B 0007-00004878</t>
  </si>
  <si>
    <t>28/12/2023</t>
  </si>
  <si>
    <t>FA-B 0005-00009758</t>
  </si>
  <si>
    <t>FA-B 0005-00009759</t>
  </si>
  <si>
    <t>FA-B 0005-00009760</t>
  </si>
  <si>
    <t>FA-B 0005-00009761</t>
  </si>
  <si>
    <t>FA-B 0005-00009762</t>
  </si>
  <si>
    <t>FA-B 0005-00009763</t>
  </si>
  <si>
    <t>FA-B 0007-00004879</t>
  </si>
  <si>
    <t>29/12/2023</t>
  </si>
  <si>
    <t>FA-B 0005-00009764</t>
  </si>
  <si>
    <t>FA-B 0005-00009765</t>
  </si>
  <si>
    <t>FA-B 0005-00009766</t>
  </si>
  <si>
    <t>FA-B 0005-00009767</t>
  </si>
  <si>
    <t>FA-B 0005-00009768</t>
  </si>
  <si>
    <t>FA-B 0005-00009769</t>
  </si>
  <si>
    <t>FA-B 0005-00009770</t>
  </si>
  <si>
    <t>FA-B 0005-00009771</t>
  </si>
  <si>
    <t>FA-B 0007-00004880</t>
  </si>
  <si>
    <t>FA-B 0007-00004881</t>
  </si>
  <si>
    <t>Ventas Libro de IVA 01/12/2023 - 31/12/2023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</si>
</sst>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€_-;\-* #,##0.00\ _€_-;_-* &quot;-&quot;??\ _€_-;_-@_-"/>
    <numFmt numFmtId="165" formatCode="0.00_ ;\-0.00\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name val="Arial"/>
      <family val="2"/>
    </font>
    <font>
      <b/>
      <sz val="10"/>
      <color indexed="9"/>
      <name val="Arial"/>
      <family val="2"/>
    </font>
    <font>
      <sz val="8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9C0006"/>
      <name val="Calibri"/>
      <family val="2"/>
      <scheme val="minor"/>
    </font>
    <font>
      <sz val="8"/>
      <name val="FreeSans"/>
      <family val="2"/>
    </font>
    <font>
      <b/>
      <sz val="14"/>
      <color rgb="FF006100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8"/>
      </top>
      <bottom/>
      <diagonal/>
    </border>
    <border>
      <left style="thin">
        <color theme="6"/>
      </left>
      <right/>
      <top style="hair">
        <color indexed="8"/>
      </top>
      <bottom/>
      <diagonal/>
    </border>
    <border>
      <left/>
      <right style="thin">
        <color theme="6"/>
      </right>
      <top style="hair">
        <color indexed="8"/>
      </top>
      <bottom/>
      <diagonal/>
    </border>
    <border>
      <left style="thin">
        <color theme="6"/>
      </left>
      <right/>
      <top style="hair">
        <color indexed="8"/>
      </top>
      <bottom style="thin">
        <color theme="6"/>
      </bottom>
      <diagonal/>
    </border>
    <border>
      <left/>
      <right/>
      <top style="hair">
        <color indexed="8"/>
      </top>
      <bottom style="thin">
        <color theme="6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/>
      <top style="thin">
        <color indexed="64"/>
      </top>
      <bottom/>
      <diagonal/>
    </border>
    <border>
      <left/>
      <right style="thin">
        <color theme="6"/>
      </right>
      <top style="thin">
        <color indexed="64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 style="thin">
        <color theme="1"/>
      </right>
      <top style="double">
        <color theme="1"/>
      </top>
      <bottom/>
      <diagonal/>
    </border>
    <border>
      <left style="thin">
        <color theme="1"/>
      </left>
      <right style="thin">
        <color theme="1"/>
      </right>
      <top style="double">
        <color theme="1"/>
      </top>
      <bottom/>
      <diagonal/>
    </border>
    <border>
      <left style="thin">
        <color theme="1"/>
      </left>
      <right/>
      <top style="double">
        <color theme="1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2" fillId="7" borderId="0" applyNumberFormat="0" applyBorder="0" applyAlignment="0" applyProtection="0"/>
  </cellStyleXfs>
  <cellXfs count="178">
    <xf numFmtId="0" fontId="0" fillId="0" borderId="0" xfId="0"/>
    <xf numFmtId="0" fontId="2" fillId="2" borderId="1" xfId="2" applyBorder="1"/>
    <xf numFmtId="164" fontId="2" fillId="2" borderId="1" xfId="1" applyFont="1" applyFill="1" applyBorder="1"/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164" fontId="3" fillId="0" borderId="1" xfId="1" applyFont="1" applyBorder="1" applyAlignment="1">
      <alignment horizontal="right" vertical="center"/>
    </xf>
    <xf numFmtId="164" fontId="3" fillId="0" borderId="1" xfId="1" applyFont="1" applyBorder="1"/>
    <xf numFmtId="0" fontId="3" fillId="3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164" fontId="3" fillId="3" borderId="1" xfId="1" applyFont="1" applyFill="1" applyBorder="1" applyAlignment="1">
      <alignment horizontal="right" vertical="center"/>
    </xf>
    <xf numFmtId="164" fontId="3" fillId="3" borderId="1" xfId="1" applyFont="1" applyFill="1" applyBorder="1"/>
    <xf numFmtId="0" fontId="4" fillId="0" borderId="0" xfId="0" applyFont="1"/>
    <xf numFmtId="164" fontId="2" fillId="2" borderId="1" xfId="1" applyFont="1" applyFill="1" applyBorder="1" applyAlignment="1">
      <alignment horizontal="right" vertical="center"/>
    </xf>
    <xf numFmtId="164" fontId="3" fillId="0" borderId="1" xfId="1" applyFont="1" applyFill="1" applyBorder="1"/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/>
    <xf numFmtId="164" fontId="3" fillId="4" borderId="1" xfId="1" applyFont="1" applyFill="1" applyBorder="1" applyAlignment="1">
      <alignment horizontal="right" vertical="center"/>
    </xf>
    <xf numFmtId="164" fontId="3" fillId="4" borderId="1" xfId="1" applyFont="1" applyFill="1" applyBorder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left"/>
    </xf>
    <xf numFmtId="49" fontId="3" fillId="4" borderId="0" xfId="0" applyNumberFormat="1" applyFont="1" applyFill="1" applyAlignment="1">
      <alignment horizontal="left"/>
    </xf>
    <xf numFmtId="0" fontId="3" fillId="4" borderId="0" xfId="0" applyFont="1" applyFill="1"/>
    <xf numFmtId="164" fontId="3" fillId="4" borderId="0" xfId="1" applyFont="1" applyFill="1" applyBorder="1" applyAlignment="1">
      <alignment horizontal="right" vertical="center"/>
    </xf>
    <xf numFmtId="164" fontId="3" fillId="4" borderId="0" xfId="1" applyFont="1" applyFill="1" applyBorder="1"/>
    <xf numFmtId="0" fontId="3" fillId="4" borderId="3" xfId="0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left"/>
    </xf>
    <xf numFmtId="0" fontId="3" fillId="4" borderId="3" xfId="0" applyFont="1" applyFill="1" applyBorder="1"/>
    <xf numFmtId="164" fontId="3" fillId="4" borderId="3" xfId="1" applyFont="1" applyFill="1" applyBorder="1" applyAlignment="1">
      <alignment horizontal="right" vertical="center"/>
    </xf>
    <xf numFmtId="164" fontId="3" fillId="4" borderId="3" xfId="1" applyFont="1" applyFill="1" applyBorder="1"/>
    <xf numFmtId="0" fontId="3" fillId="4" borderId="8" xfId="0" applyFont="1" applyFill="1" applyBorder="1" applyAlignment="1">
      <alignment horizontal="left"/>
    </xf>
    <xf numFmtId="49" fontId="3" fillId="4" borderId="8" xfId="0" applyNumberFormat="1" applyFont="1" applyFill="1" applyBorder="1" applyAlignment="1">
      <alignment horizontal="left"/>
    </xf>
    <xf numFmtId="0" fontId="3" fillId="4" borderId="8" xfId="0" applyFont="1" applyFill="1" applyBorder="1"/>
    <xf numFmtId="164" fontId="3" fillId="4" borderId="8" xfId="1" applyFont="1" applyFill="1" applyBorder="1" applyAlignment="1">
      <alignment horizontal="right" vertical="center"/>
    </xf>
    <xf numFmtId="164" fontId="3" fillId="4" borderId="8" xfId="1" applyFont="1" applyFill="1" applyBorder="1"/>
    <xf numFmtId="164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/>
    <xf numFmtId="2" fontId="3" fillId="0" borderId="0" xfId="0" applyNumberFormat="1" applyFont="1" applyAlignment="1">
      <alignment horizontal="right" vertical="center"/>
    </xf>
    <xf numFmtId="0" fontId="3" fillId="0" borderId="10" xfId="0" applyFont="1" applyBorder="1" applyAlignment="1">
      <alignment horizontal="left"/>
    </xf>
    <xf numFmtId="49" fontId="3" fillId="0" borderId="10" xfId="0" applyNumberFormat="1" applyFont="1" applyBorder="1" applyAlignment="1">
      <alignment horizontal="left"/>
    </xf>
    <xf numFmtId="0" fontId="3" fillId="0" borderId="10" xfId="0" applyFont="1" applyBorder="1"/>
    <xf numFmtId="2" fontId="3" fillId="0" borderId="10" xfId="0" applyNumberFormat="1" applyFont="1" applyBorder="1" applyAlignment="1">
      <alignment horizontal="right" vertical="center"/>
    </xf>
    <xf numFmtId="0" fontId="4" fillId="0" borderId="10" xfId="0" applyFont="1" applyBorder="1"/>
    <xf numFmtId="164" fontId="0" fillId="0" borderId="0" xfId="1" applyFont="1"/>
    <xf numFmtId="164" fontId="3" fillId="0" borderId="10" xfId="1" applyFont="1" applyBorder="1"/>
    <xf numFmtId="164" fontId="3" fillId="0" borderId="0" xfId="1" applyFont="1" applyBorder="1"/>
    <xf numFmtId="49" fontId="3" fillId="0" borderId="0" xfId="0" applyNumberFormat="1" applyFont="1" applyAlignment="1">
      <alignment horizontal="left"/>
    </xf>
    <xf numFmtId="0" fontId="3" fillId="5" borderId="10" xfId="0" applyFont="1" applyFill="1" applyBorder="1" applyAlignment="1">
      <alignment horizontal="left"/>
    </xf>
    <xf numFmtId="49" fontId="3" fillId="5" borderId="10" xfId="0" applyNumberFormat="1" applyFont="1" applyFill="1" applyBorder="1" applyAlignment="1">
      <alignment horizontal="left"/>
    </xf>
    <xf numFmtId="0" fontId="3" fillId="5" borderId="10" xfId="0" applyFont="1" applyFill="1" applyBorder="1"/>
    <xf numFmtId="2" fontId="3" fillId="5" borderId="10" xfId="0" applyNumberFormat="1" applyFont="1" applyFill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0" xfId="0" applyNumberFormat="1" applyFont="1" applyBorder="1" applyAlignment="1">
      <alignment horizontal="left"/>
    </xf>
    <xf numFmtId="164" fontId="6" fillId="2" borderId="1" xfId="1" applyFont="1" applyFill="1" applyBorder="1" applyAlignment="1">
      <alignment horizontal="right" vertical="center"/>
    </xf>
    <xf numFmtId="2" fontId="7" fillId="0" borderId="10" xfId="0" applyNumberFormat="1" applyFont="1" applyBorder="1" applyAlignment="1">
      <alignment horizontal="right" vertical="center"/>
    </xf>
    <xf numFmtId="2" fontId="7" fillId="0" borderId="0" xfId="0" applyNumberFormat="1" applyFont="1" applyAlignment="1">
      <alignment horizontal="right" vertical="center"/>
    </xf>
    <xf numFmtId="0" fontId="7" fillId="0" borderId="0" xfId="0" applyFont="1"/>
    <xf numFmtId="0" fontId="6" fillId="2" borderId="16" xfId="2" applyFont="1" applyBorder="1"/>
    <xf numFmtId="0" fontId="6" fillId="2" borderId="17" xfId="2" applyFont="1" applyBorder="1"/>
    <xf numFmtId="0" fontId="3" fillId="0" borderId="18" xfId="0" applyFont="1" applyBorder="1" applyAlignment="1">
      <alignment horizontal="left"/>
    </xf>
    <xf numFmtId="49" fontId="3" fillId="0" borderId="15" xfId="0" applyNumberFormat="1" applyFont="1" applyBorder="1" applyAlignment="1">
      <alignment horizontal="left"/>
    </xf>
    <xf numFmtId="0" fontId="3" fillId="0" borderId="15" xfId="0" applyFont="1" applyBorder="1"/>
    <xf numFmtId="164" fontId="3" fillId="0" borderId="15" xfId="1" applyFont="1" applyBorder="1" applyAlignment="1">
      <alignment horizontal="right" vertical="center"/>
    </xf>
    <xf numFmtId="164" fontId="3" fillId="0" borderId="15" xfId="1" applyFont="1" applyBorder="1"/>
    <xf numFmtId="164" fontId="3" fillId="0" borderId="19" xfId="1" applyFont="1" applyBorder="1" applyAlignment="1">
      <alignment horizontal="right" vertical="center"/>
    </xf>
    <xf numFmtId="0" fontId="3" fillId="0" borderId="11" xfId="0" applyFont="1" applyBorder="1" applyAlignment="1">
      <alignment horizontal="left"/>
    </xf>
    <xf numFmtId="164" fontId="3" fillId="0" borderId="10" xfId="1" applyFont="1" applyBorder="1" applyAlignment="1">
      <alignment horizontal="right" vertical="center"/>
    </xf>
    <xf numFmtId="164" fontId="3" fillId="0" borderId="12" xfId="1" applyFont="1" applyBorder="1" applyAlignment="1">
      <alignment horizontal="right" vertical="center"/>
    </xf>
    <xf numFmtId="0" fontId="7" fillId="0" borderId="13" xfId="0" applyFont="1" applyBorder="1" applyAlignment="1">
      <alignment horizontal="left"/>
    </xf>
    <xf numFmtId="49" fontId="7" fillId="0" borderId="14" xfId="0" applyNumberFormat="1" applyFont="1" applyBorder="1" applyAlignment="1">
      <alignment horizontal="left"/>
    </xf>
    <xf numFmtId="0" fontId="7" fillId="0" borderId="14" xfId="0" applyFont="1" applyBorder="1"/>
    <xf numFmtId="164" fontId="8" fillId="2" borderId="14" xfId="0" applyNumberFormat="1" applyFont="1" applyFill="1" applyBorder="1" applyAlignment="1">
      <alignment horizontal="right" vertical="center"/>
    </xf>
    <xf numFmtId="0" fontId="9" fillId="2" borderId="20" xfId="2" applyFont="1" applyBorder="1" applyAlignment="1">
      <alignment horizontal="left"/>
    </xf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0" fontId="11" fillId="6" borderId="0" xfId="0" applyFont="1" applyFill="1"/>
    <xf numFmtId="0" fontId="10" fillId="6" borderId="0" xfId="0" applyFont="1" applyFill="1"/>
    <xf numFmtId="164" fontId="0" fillId="0" borderId="0" xfId="1" applyFont="1" applyFill="1" applyBorder="1"/>
    <xf numFmtId="49" fontId="0" fillId="0" borderId="0" xfId="0" applyNumberFormat="1"/>
    <xf numFmtId="164" fontId="0" fillId="6" borderId="0" xfId="0" applyNumberFormat="1" applyFill="1"/>
    <xf numFmtId="164" fontId="0" fillId="6" borderId="0" xfId="1" applyFont="1" applyFill="1" applyBorder="1"/>
    <xf numFmtId="0" fontId="8" fillId="7" borderId="0" xfId="3" applyFont="1"/>
    <xf numFmtId="164" fontId="0" fillId="4" borderId="0" xfId="1" applyFont="1" applyFill="1" applyBorder="1"/>
    <xf numFmtId="164" fontId="0" fillId="8" borderId="0" xfId="0" applyNumberFormat="1" applyFill="1"/>
    <xf numFmtId="2" fontId="6" fillId="2" borderId="1" xfId="2" applyNumberFormat="1" applyFont="1" applyBorder="1" applyAlignment="1">
      <alignment horizontal="right" vertical="center"/>
    </xf>
    <xf numFmtId="0" fontId="3" fillId="0" borderId="21" xfId="0" applyFont="1" applyBorder="1" applyAlignment="1">
      <alignment horizontal="left"/>
    </xf>
    <xf numFmtId="2" fontId="3" fillId="0" borderId="22" xfId="0" applyNumberFormat="1" applyFont="1" applyBorder="1" applyAlignment="1">
      <alignment horizontal="right" vertical="center"/>
    </xf>
    <xf numFmtId="0" fontId="2" fillId="2" borderId="23" xfId="2" applyBorder="1"/>
    <xf numFmtId="0" fontId="2" fillId="2" borderId="24" xfId="2" applyBorder="1"/>
    <xf numFmtId="0" fontId="2" fillId="2" borderId="25" xfId="2" applyBorder="1"/>
    <xf numFmtId="0" fontId="3" fillId="0" borderId="26" xfId="0" applyFont="1" applyBorder="1" applyAlignment="1">
      <alignment horizontal="left"/>
    </xf>
    <xf numFmtId="49" fontId="3" fillId="0" borderId="17" xfId="0" applyNumberFormat="1" applyFont="1" applyBorder="1" applyAlignment="1">
      <alignment horizontal="left"/>
    </xf>
    <xf numFmtId="0" fontId="3" fillId="0" borderId="17" xfId="0" applyFont="1" applyBorder="1"/>
    <xf numFmtId="2" fontId="3" fillId="0" borderId="17" xfId="0" applyNumberFormat="1" applyFont="1" applyBorder="1" applyAlignment="1">
      <alignment horizontal="right" vertical="center"/>
    </xf>
    <xf numFmtId="2" fontId="3" fillId="0" borderId="16" xfId="0" applyNumberFormat="1" applyFont="1" applyBorder="1" applyAlignment="1">
      <alignment horizontal="right" vertical="center"/>
    </xf>
    <xf numFmtId="0" fontId="6" fillId="2" borderId="24" xfId="2" applyFont="1" applyBorder="1"/>
    <xf numFmtId="0" fontId="0" fillId="9" borderId="0" xfId="0" applyFill="1"/>
    <xf numFmtId="2" fontId="0" fillId="9" borderId="0" xfId="0" applyNumberFormat="1" applyFill="1"/>
    <xf numFmtId="0" fontId="0" fillId="10" borderId="0" xfId="0" applyFill="1"/>
    <xf numFmtId="0" fontId="10" fillId="11" borderId="0" xfId="0" applyFont="1" applyFill="1"/>
    <xf numFmtId="0" fontId="3" fillId="12" borderId="21" xfId="0" applyFont="1" applyFill="1" applyBorder="1" applyAlignment="1">
      <alignment horizontal="left"/>
    </xf>
    <xf numFmtId="49" fontId="3" fillId="12" borderId="1" xfId="0" applyNumberFormat="1" applyFont="1" applyFill="1" applyBorder="1" applyAlignment="1">
      <alignment horizontal="left"/>
    </xf>
    <xf numFmtId="0" fontId="3" fillId="12" borderId="1" xfId="0" applyFont="1" applyFill="1" applyBorder="1"/>
    <xf numFmtId="2" fontId="3" fillId="12" borderId="1" xfId="0" applyNumberFormat="1" applyFont="1" applyFill="1" applyBorder="1" applyAlignment="1">
      <alignment horizontal="right" vertical="center"/>
    </xf>
    <xf numFmtId="2" fontId="3" fillId="12" borderId="22" xfId="0" applyNumberFormat="1" applyFont="1" applyFill="1" applyBorder="1" applyAlignment="1">
      <alignment horizontal="right" vertical="center"/>
    </xf>
    <xf numFmtId="164" fontId="0" fillId="10" borderId="0" xfId="1" applyFont="1" applyFill="1"/>
    <xf numFmtId="0" fontId="13" fillId="0" borderId="0" xfId="0" applyFont="1"/>
    <xf numFmtId="0" fontId="14" fillId="2" borderId="0" xfId="2" applyFont="1"/>
    <xf numFmtId="0" fontId="14" fillId="2" borderId="0" xfId="2" applyFont="1" applyAlignment="1">
      <alignment horizontal="left"/>
    </xf>
    <xf numFmtId="0" fontId="6" fillId="2" borderId="1" xfId="2" applyFont="1" applyBorder="1"/>
    <xf numFmtId="164" fontId="0" fillId="0" borderId="0" xfId="1" applyFont="1" applyAlignment="1">
      <alignment horizontal="center"/>
    </xf>
    <xf numFmtId="164" fontId="6" fillId="2" borderId="1" xfId="1" applyFont="1" applyFill="1" applyBorder="1" applyAlignment="1">
      <alignment horizontal="center"/>
    </xf>
    <xf numFmtId="164" fontId="3" fillId="0" borderId="10" xfId="1" applyFont="1" applyBorder="1" applyAlignment="1">
      <alignment horizontal="center" vertical="center"/>
    </xf>
    <xf numFmtId="164" fontId="3" fillId="0" borderId="10" xfId="1" applyFont="1" applyBorder="1" applyAlignment="1">
      <alignment horizontal="center"/>
    </xf>
    <xf numFmtId="164" fontId="3" fillId="0" borderId="0" xfId="1" applyFont="1" applyBorder="1" applyAlignment="1">
      <alignment horizontal="center" vertical="center"/>
    </xf>
    <xf numFmtId="164" fontId="6" fillId="2" borderId="10" xfId="1" applyFont="1" applyFill="1" applyBorder="1" applyAlignment="1">
      <alignment horizontal="center" vertical="center"/>
    </xf>
    <xf numFmtId="0" fontId="10" fillId="0" borderId="1" xfId="0" applyFont="1" applyBorder="1"/>
    <xf numFmtId="164" fontId="10" fillId="0" borderId="1" xfId="1" applyFont="1" applyBorder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left"/>
    </xf>
    <xf numFmtId="49" fontId="16" fillId="0" borderId="0" xfId="0" applyNumberFormat="1" applyFont="1" applyAlignment="1">
      <alignment horizontal="right"/>
    </xf>
    <xf numFmtId="0" fontId="2" fillId="2" borderId="28" xfId="2" applyBorder="1"/>
    <xf numFmtId="0" fontId="3" fillId="3" borderId="10" xfId="0" applyFont="1" applyFill="1" applyBorder="1" applyAlignment="1">
      <alignment horizontal="left"/>
    </xf>
    <xf numFmtId="49" fontId="3" fillId="3" borderId="10" xfId="0" applyNumberFormat="1" applyFont="1" applyFill="1" applyBorder="1" applyAlignment="1">
      <alignment horizontal="left"/>
    </xf>
    <xf numFmtId="0" fontId="3" fillId="3" borderId="10" xfId="0" applyFont="1" applyFill="1" applyBorder="1"/>
    <xf numFmtId="164" fontId="2" fillId="2" borderId="28" xfId="1" applyFont="1" applyFill="1" applyBorder="1"/>
    <xf numFmtId="164" fontId="3" fillId="3" borderId="10" xfId="1" applyFont="1" applyFill="1" applyBorder="1"/>
    <xf numFmtId="164" fontId="6" fillId="2" borderId="0" xfId="1" applyFont="1" applyFill="1" applyBorder="1" applyAlignment="1">
      <alignment horizontal="right" vertical="center"/>
    </xf>
    <xf numFmtId="49" fontId="3" fillId="4" borderId="10" xfId="0" applyNumberFormat="1" applyFont="1" applyFill="1" applyBorder="1" applyAlignment="1">
      <alignment horizontal="left"/>
    </xf>
    <xf numFmtId="164" fontId="3" fillId="3" borderId="10" xfId="1" applyFont="1" applyFill="1" applyBorder="1" applyAlignment="1">
      <alignment horizontal="right" vertical="center"/>
    </xf>
    <xf numFmtId="0" fontId="17" fillId="0" borderId="10" xfId="0" applyFont="1" applyBorder="1" applyAlignment="1">
      <alignment horizontal="left"/>
    </xf>
    <xf numFmtId="0" fontId="17" fillId="0" borderId="10" xfId="0" applyFont="1" applyBorder="1"/>
    <xf numFmtId="164" fontId="17" fillId="0" borderId="10" xfId="1" applyFont="1" applyBorder="1" applyAlignment="1">
      <alignment horizontal="right" vertical="center"/>
    </xf>
    <xf numFmtId="164" fontId="17" fillId="0" borderId="10" xfId="1" applyFont="1" applyBorder="1"/>
    <xf numFmtId="4" fontId="6" fillId="2" borderId="0" xfId="2" applyNumberFormat="1" applyFont="1" applyBorder="1" applyAlignment="1">
      <alignment horizontal="right" vertical="center"/>
    </xf>
    <xf numFmtId="0" fontId="0" fillId="14" borderId="0" xfId="0" applyFill="1"/>
    <xf numFmtId="0" fontId="0" fillId="11" borderId="0" xfId="0" applyFill="1"/>
    <xf numFmtId="4" fontId="6" fillId="2" borderId="1" xfId="2" applyNumberFormat="1" applyFont="1" applyBorder="1" applyAlignment="1">
      <alignment horizontal="right" vertical="center"/>
    </xf>
    <xf numFmtId="0" fontId="10" fillId="3" borderId="1" xfId="0" applyFont="1" applyFill="1" applyBorder="1"/>
    <xf numFmtId="164" fontId="10" fillId="3" borderId="1" xfId="1" applyFont="1" applyFill="1" applyBorder="1" applyAlignment="1">
      <alignment horizontal="center"/>
    </xf>
    <xf numFmtId="0" fontId="0" fillId="4" borderId="1" xfId="0" applyFill="1" applyBorder="1"/>
    <xf numFmtId="0" fontId="0" fillId="15" borderId="29" xfId="0" applyFont="1" applyFill="1" applyBorder="1"/>
    <xf numFmtId="0" fontId="0" fillId="0" borderId="29" xfId="0" applyFont="1" applyBorder="1"/>
    <xf numFmtId="0" fontId="0" fillId="15" borderId="30" xfId="0" applyFont="1" applyFill="1" applyBorder="1"/>
    <xf numFmtId="0" fontId="0" fillId="0" borderId="30" xfId="0" applyFont="1" applyBorder="1"/>
    <xf numFmtId="0" fontId="18" fillId="16" borderId="32" xfId="0" applyFont="1" applyFill="1" applyBorder="1"/>
    <xf numFmtId="0" fontId="18" fillId="16" borderId="33" xfId="0" applyFont="1" applyFill="1" applyBorder="1"/>
    <xf numFmtId="0" fontId="0" fillId="0" borderId="35" xfId="0" applyFont="1" applyBorder="1"/>
    <xf numFmtId="0" fontId="0" fillId="0" borderId="36" xfId="0" applyFont="1" applyBorder="1"/>
    <xf numFmtId="0" fontId="15" fillId="11" borderId="0" xfId="0" applyFont="1" applyFill="1"/>
    <xf numFmtId="0" fontId="16" fillId="11" borderId="0" xfId="0" applyFont="1" applyFill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0" xfId="0" applyFill="1" applyAlignment="1">
      <alignment horizontal="center" wrapText="1"/>
    </xf>
    <xf numFmtId="0" fontId="10" fillId="13" borderId="27" xfId="2" applyFont="1" applyFill="1" applyBorder="1" applyAlignment="1">
      <alignment horizontal="center"/>
    </xf>
    <xf numFmtId="164" fontId="18" fillId="16" borderId="33" xfId="1" applyFont="1" applyFill="1" applyBorder="1"/>
    <xf numFmtId="164" fontId="18" fillId="16" borderId="34" xfId="1" applyFont="1" applyFill="1" applyBorder="1"/>
    <xf numFmtId="164" fontId="0" fillId="15" borderId="29" xfId="1" applyFont="1" applyFill="1" applyBorder="1"/>
    <xf numFmtId="164" fontId="0" fillId="15" borderId="31" xfId="1" applyFont="1" applyFill="1" applyBorder="1"/>
    <xf numFmtId="164" fontId="0" fillId="0" borderId="29" xfId="1" applyFont="1" applyBorder="1"/>
    <xf numFmtId="164" fontId="0" fillId="0" borderId="31" xfId="1" applyFont="1" applyBorder="1"/>
    <xf numFmtId="164" fontId="0" fillId="0" borderId="36" xfId="1" applyFont="1" applyBorder="1"/>
    <xf numFmtId="164" fontId="0" fillId="0" borderId="37" xfId="1" applyFont="1" applyBorder="1"/>
    <xf numFmtId="164" fontId="10" fillId="0" borderId="1" xfId="1" applyFont="1" applyBorder="1"/>
    <xf numFmtId="164" fontId="10" fillId="3" borderId="1" xfId="1" applyFont="1" applyFill="1" applyBorder="1"/>
  </cellXfs>
  <cellStyles count="4">
    <cellStyle name="Bueno" xfId="2" builtinId="26"/>
    <cellStyle name="Incorrecto" xfId="3" builtinId="27"/>
    <cellStyle name="Millares" xfId="1" builtinId="3"/>
    <cellStyle name="Normal" xfId="0" builtinId="0"/>
  </cellStyles>
  <dxfs count="84"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medium">
          <color theme="1"/>
        </bottom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border outline="0">
        <left style="thin">
          <color theme="1"/>
        </left>
        <right style="thin">
          <color theme="1"/>
        </right>
        <top style="medium">
          <color theme="1"/>
        </top>
        <bottom style="medium">
          <color theme="1"/>
        </bottom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numFmt numFmtId="2" formatCode="0.00"/>
      <fill>
        <patternFill patternType="solid">
          <fgColor indexed="64"/>
          <bgColor rgb="FFC6EFCE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 style="hair">
          <color indexed="8"/>
        </top>
        <bottom/>
        <vertical/>
        <horizontal/>
      </border>
    </dxf>
    <dxf>
      <border outline="0">
        <top style="hair">
          <color indexed="8"/>
        </top>
      </border>
    </dxf>
    <dxf>
      <border outline="0">
        <bottom style="hair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border outline="0">
        <bottom style="hair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numFmt numFmtId="2" formatCode="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scheme val="minor"/>
      </font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FFE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3:N78" totalsRowShown="0" headerRowDxfId="83" dataDxfId="81" headerRowBorderDxfId="82" tableBorderDxfId="80" totalsRowBorderDxfId="79" headerRowCellStyle="Bueno">
  <autoFilter ref="A3:N78"/>
  <sortState ref="A4:N77">
    <sortCondition ref="B4:B77"/>
  </sortState>
  <tableColumns count="14">
    <tableColumn id="1" name="Fecha" dataDxfId="78"/>
    <tableColumn id="2" name="Comprobante" dataDxfId="77"/>
    <tableColumn id="3" name="Nombre" dataDxfId="76"/>
    <tableColumn id="4" name="Cond. IVA" dataDxfId="75"/>
    <tableColumn id="5" name="CUIT o Doc." dataDxfId="74"/>
    <tableColumn id="6" name="Gravado" dataDxfId="73"/>
    <tableColumn id="7" name="No Gravado" dataDxfId="72"/>
    <tableColumn id="8" name="IVA 2,5%" dataDxfId="71"/>
    <tableColumn id="9" name="IVA 5%" dataDxfId="70"/>
    <tableColumn id="10" name="IVA 10.5%" dataDxfId="69"/>
    <tableColumn id="11" name="IVA 21%" dataDxfId="68"/>
    <tableColumn id="12" name="IVA 27%" dataDxfId="67"/>
    <tableColumn id="13" name="Otros Imp" dataDxfId="66"/>
    <tableColumn id="14" name="Total Compr." dataDxfId="6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83:N454" totalsRowCount="1" headerRowDxfId="64" dataDxfId="62" headerRowBorderDxfId="63" tableBorderDxfId="61" totalsRowBorderDxfId="60" headerRowCellStyle="Bueno">
  <autoFilter ref="A83:N453"/>
  <tableColumns count="14">
    <tableColumn id="1" name="Fecha" dataDxfId="59" totalsRowDxfId="58"/>
    <tableColumn id="2" name="Comprobante" dataDxfId="57" totalsRowDxfId="56"/>
    <tableColumn id="3" name="Nombre" dataDxfId="55" totalsRowDxfId="54"/>
    <tableColumn id="4" name="Cond. IVA" dataDxfId="53" totalsRowDxfId="52"/>
    <tableColumn id="5" name="CUIT o Doc." dataDxfId="51" totalsRowDxfId="50"/>
    <tableColumn id="6" name="Gravado" totalsRowFunction="sum" dataDxfId="49" totalsRowDxfId="48" dataCellStyle="Bueno"/>
    <tableColumn id="7" name="No Gravado" dataDxfId="47" totalsRowDxfId="46" dataCellStyle="Bueno"/>
    <tableColumn id="8" name="IVA 2,5%" dataDxfId="45" totalsRowDxfId="44" dataCellStyle="Bueno"/>
    <tableColumn id="9" name="IVA 5%" dataDxfId="43" totalsRowDxfId="42" dataCellStyle="Bueno"/>
    <tableColumn id="10" name="IVA 10.5%" dataDxfId="41" totalsRowDxfId="40" dataCellStyle="Bueno"/>
    <tableColumn id="11" name="IVA 21%" totalsRowFunction="custom" dataDxfId="39" totalsRowDxfId="38" dataCellStyle="Bueno">
      <totalsRowFormula>SUBTOTAL(109,Tabla2[IVA 21%])+0.08</totalsRowFormula>
    </tableColumn>
    <tableColumn id="12" name="IVA 27%" dataDxfId="37" totalsRowDxfId="36" dataCellStyle="Bueno"/>
    <tableColumn id="13" name="Otros Imp" dataDxfId="35" totalsRowDxfId="34" dataCellStyle="Bueno"/>
    <tableColumn id="14" name="Total Compr." dataDxfId="33" totalsRowDxfId="32" dataCellStyle="Bueno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A5:M449" totalsRowShown="0" dataDxfId="30" headerRowBorderDxfId="31" tableBorderDxfId="29" totalsRowBorderDxfId="28" headerRowCellStyle="Bueno">
  <autoFilter ref="A5:M449"/>
  <sortState ref="A6:M435">
    <sortCondition ref="B6:B435"/>
  </sortState>
  <tableColumns count="13">
    <tableColumn id="1" name="Fecha" dataDxfId="27"/>
    <tableColumn id="2" name="Comprobante" dataDxfId="26"/>
    <tableColumn id="3" name="Nombre" dataDxfId="25"/>
    <tableColumn id="4" name="Cond. IVA" dataDxfId="24"/>
    <tableColumn id="5" name="CUIT o Doc." dataDxfId="23"/>
    <tableColumn id="6" name="Gravado" dataDxfId="22" dataCellStyle="Millares"/>
    <tableColumn id="7" name="No Gravado" dataDxfId="21" dataCellStyle="Millares"/>
    <tableColumn id="9" name="IVA 5%" dataDxfId="20" dataCellStyle="Millares"/>
    <tableColumn id="10" name="IVA 10.5%" dataDxfId="19" dataCellStyle="Millares"/>
    <tableColumn id="11" name="IVA 21%" dataDxfId="18" dataCellStyle="Millares"/>
    <tableColumn id="12" name="IVA 27%" dataDxfId="17" dataCellStyle="Millares"/>
    <tableColumn id="13" name="Otros Imp" dataDxfId="16" dataCellStyle="Millares"/>
    <tableColumn id="14" name="Total Compr." dataDxfId="15" dataCellStyle="Millare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id="6" name="Tabla17" displayName="Tabla17" ref="A4:N349" totalsRowShown="0" headerRowDxfId="14">
  <autoFilter ref="A4:N349"/>
  <sortState ref="A5:N349">
    <sortCondition ref="B5:B349"/>
  </sortState>
  <tableColumns count="14">
    <tableColumn id="1" name="Fecha"/>
    <tableColumn id="2" name="Comprobante"/>
    <tableColumn id="3" name="Nombre"/>
    <tableColumn id="4" name="Cond. IVA"/>
    <tableColumn id="5" name="CUIT o Doc."/>
    <tableColumn id="6" name="Gravado"/>
    <tableColumn id="7" name="No Gravado" totalsRowDxfId="13" dataCellStyle="Millares"/>
    <tableColumn id="8" name="IVA 2,5%" totalsRowDxfId="12" dataCellStyle="Millares"/>
    <tableColumn id="9" name="IVA 5%" totalsRowDxfId="11" dataCellStyle="Millares"/>
    <tableColumn id="10" name="IVA 10.5%" totalsRowDxfId="10" dataCellStyle="Millares"/>
    <tableColumn id="11" name="IVA 21%" totalsRowDxfId="9" dataCellStyle="Millares"/>
    <tableColumn id="12" name="IVA 27%" totalsRowDxfId="8" dataCellStyle="Millares"/>
    <tableColumn id="13" name="Otros Imp" totalsRowDxfId="7" dataCellStyle="Millares"/>
    <tableColumn id="14" name="Total Compr." totalsRowDxfId="6" dataCellStyle="Millare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A5:N251" totalsRowShown="0" headerRowDxfId="5" headerRowBorderDxfId="4" tableBorderDxfId="3">
  <autoFilter ref="A5:N251"/>
  <tableColumns count="14">
    <tableColumn id="1" name="Fecha"/>
    <tableColumn id="2" name="Comprobante"/>
    <tableColumn id="3" name="Nombre"/>
    <tableColumn id="4" name="Cond. IVA"/>
    <tableColumn id="5" name="CUIT o Doc."/>
    <tableColumn id="6" name="Gravado" dataCellStyle="Millares"/>
    <tableColumn id="7" name="No Gravado" dataCellStyle="Millares"/>
    <tableColumn id="8" name="IVA 2,5%" dataCellStyle="Millares"/>
    <tableColumn id="9" name="IVA 5%" dataCellStyle="Millares"/>
    <tableColumn id="10" name="IVA 10.5%" dataCellStyle="Millares"/>
    <tableColumn id="11" name="IVA 21%" dataCellStyle="Millares"/>
    <tableColumn id="12" name="IVA 27%" dataCellStyle="Millares"/>
    <tableColumn id="13" name="Otros Imp" dataCellStyle="Millares"/>
    <tableColumn id="14" name="Total Compr." dataCellStyle="Millares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id="7" name="Tabla7" displayName="Tabla7" ref="A253:N295" totalsRowShown="0" headerRowDxfId="2" headerRowBorderDxfId="1" tableBorderDxfId="0">
  <autoFilter ref="A253:N295"/>
  <tableColumns count="14">
    <tableColumn id="1" name="Fecha"/>
    <tableColumn id="2" name="Comprobante"/>
    <tableColumn id="3" name="Nombre"/>
    <tableColumn id="4" name="Cond. IVA"/>
    <tableColumn id="5" name="CUIT o Doc."/>
    <tableColumn id="6" name="Gravado" dataCellStyle="Millares"/>
    <tableColumn id="7" name="No Gravado" dataCellStyle="Millares"/>
    <tableColumn id="8" name="IVA 2,5%" dataCellStyle="Millares"/>
    <tableColumn id="9" name="IVA 5%" dataCellStyle="Millares"/>
    <tableColumn id="10" name="IVA 10.5%" dataCellStyle="Millares"/>
    <tableColumn id="11" name="IVA 21%" dataCellStyle="Millares"/>
    <tableColumn id="12" name="IVA 27%" dataCellStyle="Millares"/>
    <tableColumn id="13" name="Otros Imp" dataCellStyle="Millares"/>
    <tableColumn id="14" name="Total Compr." dataCellStyle="Millar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18"/>
  <sheetViews>
    <sheetView topLeftCell="B1" zoomScale="90" zoomScaleNormal="90" workbookViewId="0">
      <selection activeCell="O319" sqref="O319"/>
    </sheetView>
  </sheetViews>
  <sheetFormatPr baseColWidth="10" defaultColWidth="8.85546875" defaultRowHeight="15"/>
  <cols>
    <col min="3" max="3" width="43.85546875" customWidth="1"/>
    <col min="4" max="4" width="54.42578125" customWidth="1"/>
    <col min="5" max="5" width="19.7109375" bestFit="1" customWidth="1"/>
    <col min="6" max="6" width="11.7109375" bestFit="1" customWidth="1"/>
    <col min="7" max="7" width="16.5703125" bestFit="1" customWidth="1"/>
    <col min="12" max="12" width="19.5703125" customWidth="1"/>
    <col min="14" max="14" width="10.42578125" bestFit="1" customWidth="1"/>
    <col min="15" max="15" width="16.5703125" bestFit="1" customWidth="1"/>
  </cols>
  <sheetData>
    <row r="2" spans="2: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</row>
    <row r="3" spans="2:15">
      <c r="B3" s="3" t="s">
        <v>14</v>
      </c>
      <c r="C3" s="4" t="s">
        <v>15</v>
      </c>
      <c r="D3" s="5" t="s">
        <v>16</v>
      </c>
      <c r="E3" s="5" t="s">
        <v>17</v>
      </c>
      <c r="F3" s="5">
        <v>30522428163</v>
      </c>
      <c r="G3" s="6">
        <v>572975.21</v>
      </c>
      <c r="H3" s="6">
        <v>0</v>
      </c>
      <c r="I3" s="7">
        <v>0</v>
      </c>
      <c r="J3" s="7">
        <v>0</v>
      </c>
      <c r="K3" s="7">
        <v>0</v>
      </c>
      <c r="L3" s="7">
        <v>120324.8</v>
      </c>
      <c r="M3" s="7">
        <v>0</v>
      </c>
      <c r="N3" s="6">
        <v>0</v>
      </c>
      <c r="O3" s="6">
        <v>693300.01</v>
      </c>
    </row>
    <row r="4" spans="2:15">
      <c r="B4" s="3" t="s">
        <v>14</v>
      </c>
      <c r="C4" s="4" t="s">
        <v>18</v>
      </c>
      <c r="D4" s="5" t="s">
        <v>16</v>
      </c>
      <c r="E4" s="5" t="s">
        <v>17</v>
      </c>
      <c r="F4" s="5">
        <v>30522428163</v>
      </c>
      <c r="G4" s="6">
        <v>3912603.3</v>
      </c>
      <c r="H4" s="6">
        <v>0</v>
      </c>
      <c r="I4" s="7">
        <v>0</v>
      </c>
      <c r="J4" s="7">
        <v>0</v>
      </c>
      <c r="K4" s="7">
        <v>0</v>
      </c>
      <c r="L4" s="7">
        <v>821646.7</v>
      </c>
      <c r="M4" s="7">
        <v>0</v>
      </c>
      <c r="N4" s="6">
        <v>0</v>
      </c>
      <c r="O4" s="6">
        <v>4734250</v>
      </c>
    </row>
    <row r="5" spans="2:15">
      <c r="B5" s="3" t="s">
        <v>14</v>
      </c>
      <c r="C5" s="4" t="s">
        <v>19</v>
      </c>
      <c r="D5" s="5" t="s">
        <v>16</v>
      </c>
      <c r="E5" s="5" t="s">
        <v>17</v>
      </c>
      <c r="F5" s="5">
        <v>30522428163</v>
      </c>
      <c r="G5" s="6">
        <v>3431404.95</v>
      </c>
      <c r="H5" s="6">
        <v>0</v>
      </c>
      <c r="I5" s="7">
        <v>0</v>
      </c>
      <c r="J5" s="7">
        <v>0</v>
      </c>
      <c r="K5" s="7">
        <v>0</v>
      </c>
      <c r="L5" s="7">
        <v>720595.05</v>
      </c>
      <c r="M5" s="7">
        <v>0</v>
      </c>
      <c r="N5" s="6">
        <v>0</v>
      </c>
      <c r="O5" s="6">
        <v>4152000</v>
      </c>
    </row>
    <row r="6" spans="2:15">
      <c r="B6" s="3" t="s">
        <v>14</v>
      </c>
      <c r="C6" s="4" t="s">
        <v>20</v>
      </c>
      <c r="D6" s="5" t="s">
        <v>16</v>
      </c>
      <c r="E6" s="5" t="s">
        <v>17</v>
      </c>
      <c r="F6" s="5">
        <v>30522428163</v>
      </c>
      <c r="G6" s="6">
        <v>3191818.18</v>
      </c>
      <c r="H6" s="6">
        <v>0</v>
      </c>
      <c r="I6" s="7">
        <v>0</v>
      </c>
      <c r="J6" s="7">
        <v>0</v>
      </c>
      <c r="K6" s="7">
        <v>0</v>
      </c>
      <c r="L6" s="7">
        <v>670281.82000000007</v>
      </c>
      <c r="M6" s="7">
        <v>0</v>
      </c>
      <c r="N6" s="6">
        <v>0</v>
      </c>
      <c r="O6" s="6">
        <v>3862100</v>
      </c>
    </row>
    <row r="7" spans="2:15">
      <c r="B7" s="3" t="s">
        <v>14</v>
      </c>
      <c r="C7" s="4" t="s">
        <v>21</v>
      </c>
      <c r="D7" s="5" t="s">
        <v>16</v>
      </c>
      <c r="E7" s="5" t="s">
        <v>17</v>
      </c>
      <c r="F7" s="5">
        <v>30522428163</v>
      </c>
      <c r="G7" s="6">
        <v>1222231.42</v>
      </c>
      <c r="H7" s="6">
        <v>0</v>
      </c>
      <c r="I7" s="7">
        <v>0</v>
      </c>
      <c r="J7" s="7">
        <v>0</v>
      </c>
      <c r="K7" s="7">
        <v>0</v>
      </c>
      <c r="L7" s="7">
        <v>256668.58</v>
      </c>
      <c r="M7" s="7">
        <v>0</v>
      </c>
      <c r="N7" s="6">
        <v>0</v>
      </c>
      <c r="O7" s="6">
        <v>1478900</v>
      </c>
    </row>
    <row r="8" spans="2:15">
      <c r="B8" s="3" t="s">
        <v>14</v>
      </c>
      <c r="C8" s="4" t="s">
        <v>22</v>
      </c>
      <c r="D8" s="5" t="s">
        <v>16</v>
      </c>
      <c r="E8" s="5" t="s">
        <v>17</v>
      </c>
      <c r="F8" s="5">
        <v>30522428163</v>
      </c>
      <c r="G8" s="6">
        <v>3561983.48</v>
      </c>
      <c r="H8" s="6">
        <v>0</v>
      </c>
      <c r="I8" s="7">
        <v>0</v>
      </c>
      <c r="J8" s="7">
        <v>0</v>
      </c>
      <c r="K8" s="7">
        <v>0</v>
      </c>
      <c r="L8" s="7">
        <v>748016.53</v>
      </c>
      <c r="M8" s="7">
        <v>0</v>
      </c>
      <c r="N8" s="6">
        <v>0</v>
      </c>
      <c r="O8" s="6">
        <v>4310000.01</v>
      </c>
    </row>
    <row r="9" spans="2:15">
      <c r="B9" s="3" t="s">
        <v>14</v>
      </c>
      <c r="C9" s="4" t="s">
        <v>23</v>
      </c>
      <c r="D9" s="5" t="s">
        <v>16</v>
      </c>
      <c r="E9" s="5" t="s">
        <v>17</v>
      </c>
      <c r="F9" s="5">
        <v>30522428163</v>
      </c>
      <c r="G9" s="6">
        <v>644628.1</v>
      </c>
      <c r="H9" s="6">
        <v>0</v>
      </c>
      <c r="I9" s="7">
        <v>0</v>
      </c>
      <c r="J9" s="7">
        <v>0</v>
      </c>
      <c r="K9" s="7">
        <v>0</v>
      </c>
      <c r="L9" s="7">
        <v>135371.9</v>
      </c>
      <c r="M9" s="7">
        <v>0</v>
      </c>
      <c r="N9" s="6">
        <v>0</v>
      </c>
      <c r="O9" s="6">
        <v>780000</v>
      </c>
    </row>
    <row r="10" spans="2:15">
      <c r="B10" s="3" t="s">
        <v>24</v>
      </c>
      <c r="C10" s="4" t="s">
        <v>25</v>
      </c>
      <c r="D10" s="5" t="s">
        <v>16</v>
      </c>
      <c r="E10" s="5" t="s">
        <v>17</v>
      </c>
      <c r="F10" s="5">
        <v>30522428163</v>
      </c>
      <c r="G10" s="6">
        <v>282144.11</v>
      </c>
      <c r="H10" s="6">
        <v>0</v>
      </c>
      <c r="I10" s="7">
        <v>0</v>
      </c>
      <c r="J10" s="7">
        <v>0</v>
      </c>
      <c r="K10" s="7">
        <v>0</v>
      </c>
      <c r="L10" s="7">
        <v>59250.26</v>
      </c>
      <c r="M10" s="7">
        <v>0</v>
      </c>
      <c r="N10" s="6">
        <v>0</v>
      </c>
      <c r="O10" s="6">
        <v>341394.37</v>
      </c>
    </row>
    <row r="11" spans="2:15">
      <c r="B11" s="3" t="s">
        <v>24</v>
      </c>
      <c r="C11" s="4" t="s">
        <v>26</v>
      </c>
      <c r="D11" s="5" t="s">
        <v>16</v>
      </c>
      <c r="E11" s="5" t="s">
        <v>17</v>
      </c>
      <c r="F11" s="5">
        <v>30522428163</v>
      </c>
      <c r="G11" s="6">
        <v>2002632.49</v>
      </c>
      <c r="H11" s="6">
        <v>0</v>
      </c>
      <c r="I11" s="7">
        <v>0</v>
      </c>
      <c r="J11" s="7">
        <v>0</v>
      </c>
      <c r="K11" s="7">
        <v>0</v>
      </c>
      <c r="L11" s="7">
        <v>420552.82</v>
      </c>
      <c r="M11" s="7">
        <v>0</v>
      </c>
      <c r="N11" s="6">
        <v>0</v>
      </c>
      <c r="O11" s="6">
        <v>2423185.31</v>
      </c>
    </row>
    <row r="12" spans="2:15">
      <c r="B12" s="3" t="s">
        <v>27</v>
      </c>
      <c r="C12" s="4" t="s">
        <v>28</v>
      </c>
      <c r="D12" s="5" t="s">
        <v>16</v>
      </c>
      <c r="E12" s="5" t="s">
        <v>17</v>
      </c>
      <c r="F12" s="5">
        <v>30522428163</v>
      </c>
      <c r="G12" s="6">
        <v>2885702.49</v>
      </c>
      <c r="H12" s="6">
        <v>0</v>
      </c>
      <c r="I12" s="7">
        <v>0</v>
      </c>
      <c r="J12" s="7">
        <v>0</v>
      </c>
      <c r="K12" s="7">
        <v>0</v>
      </c>
      <c r="L12" s="7">
        <v>605997.51</v>
      </c>
      <c r="M12" s="7">
        <v>0</v>
      </c>
      <c r="N12" s="6">
        <v>0</v>
      </c>
      <c r="O12" s="6">
        <v>3491700</v>
      </c>
    </row>
    <row r="13" spans="2:15">
      <c r="B13" s="3" t="s">
        <v>29</v>
      </c>
      <c r="C13" s="4" t="s">
        <v>30</v>
      </c>
      <c r="D13" s="5" t="s">
        <v>16</v>
      </c>
      <c r="E13" s="5" t="s">
        <v>17</v>
      </c>
      <c r="F13" s="5">
        <v>30522428163</v>
      </c>
      <c r="G13" s="6">
        <v>2835454.52</v>
      </c>
      <c r="H13" s="6">
        <v>0</v>
      </c>
      <c r="I13" s="7">
        <v>0</v>
      </c>
      <c r="J13" s="7">
        <v>0</v>
      </c>
      <c r="K13" s="7">
        <v>0</v>
      </c>
      <c r="L13" s="7">
        <v>595445.44000000006</v>
      </c>
      <c r="M13" s="7">
        <v>0</v>
      </c>
      <c r="N13" s="6">
        <v>0</v>
      </c>
      <c r="O13" s="6">
        <v>3430899.96</v>
      </c>
    </row>
    <row r="14" spans="2:15">
      <c r="B14" s="3" t="s">
        <v>31</v>
      </c>
      <c r="C14" s="4" t="s">
        <v>32</v>
      </c>
      <c r="D14" s="5" t="s">
        <v>33</v>
      </c>
      <c r="E14" s="5" t="s">
        <v>17</v>
      </c>
      <c r="F14" s="5">
        <v>30683032227</v>
      </c>
      <c r="G14" s="6">
        <v>574586.77</v>
      </c>
      <c r="H14" s="6">
        <v>0</v>
      </c>
      <c r="I14" s="7">
        <v>0</v>
      </c>
      <c r="J14" s="7">
        <v>0</v>
      </c>
      <c r="K14" s="7">
        <v>0</v>
      </c>
      <c r="L14" s="7">
        <v>120663.23</v>
      </c>
      <c r="M14" s="7">
        <v>0</v>
      </c>
      <c r="N14" s="6">
        <v>0</v>
      </c>
      <c r="O14" s="6">
        <v>695250</v>
      </c>
    </row>
    <row r="15" spans="2:15">
      <c r="B15" s="3" t="s">
        <v>34</v>
      </c>
      <c r="C15" s="4" t="s">
        <v>35</v>
      </c>
      <c r="D15" s="5" t="s">
        <v>16</v>
      </c>
      <c r="E15" s="5" t="s">
        <v>17</v>
      </c>
      <c r="F15" s="5">
        <v>30522428163</v>
      </c>
      <c r="G15" s="6">
        <v>1985950.42</v>
      </c>
      <c r="H15" s="6">
        <v>0</v>
      </c>
      <c r="I15" s="7">
        <v>0</v>
      </c>
      <c r="J15" s="7">
        <v>0</v>
      </c>
      <c r="K15" s="7">
        <v>0</v>
      </c>
      <c r="L15" s="7">
        <v>417049.57</v>
      </c>
      <c r="M15" s="7">
        <v>0</v>
      </c>
      <c r="N15" s="6">
        <v>0</v>
      </c>
      <c r="O15" s="6">
        <v>2402999.9900000002</v>
      </c>
    </row>
    <row r="16" spans="2:15">
      <c r="B16" s="3" t="s">
        <v>34</v>
      </c>
      <c r="C16" s="4" t="s">
        <v>36</v>
      </c>
      <c r="D16" s="5" t="s">
        <v>16</v>
      </c>
      <c r="E16" s="5" t="s">
        <v>17</v>
      </c>
      <c r="F16" s="5">
        <v>30522428163</v>
      </c>
      <c r="G16" s="6">
        <v>384958.68</v>
      </c>
      <c r="H16" s="6">
        <v>0</v>
      </c>
      <c r="I16" s="7">
        <v>0</v>
      </c>
      <c r="J16" s="7">
        <v>0</v>
      </c>
      <c r="K16" s="7">
        <v>0</v>
      </c>
      <c r="L16" s="7">
        <v>80841.320000000007</v>
      </c>
      <c r="M16" s="7">
        <v>0</v>
      </c>
      <c r="N16" s="6">
        <v>0</v>
      </c>
      <c r="O16" s="6">
        <v>465800</v>
      </c>
    </row>
    <row r="17" spans="2:15">
      <c r="B17" s="3" t="s">
        <v>37</v>
      </c>
      <c r="C17" s="4" t="s">
        <v>38</v>
      </c>
      <c r="D17" s="5" t="s">
        <v>16</v>
      </c>
      <c r="E17" s="5" t="s">
        <v>17</v>
      </c>
      <c r="F17" s="5">
        <v>30522428163</v>
      </c>
      <c r="G17" s="6">
        <v>3717955.38</v>
      </c>
      <c r="H17" s="6">
        <v>0</v>
      </c>
      <c r="I17" s="7">
        <v>0</v>
      </c>
      <c r="J17" s="7">
        <v>0</v>
      </c>
      <c r="K17" s="7">
        <v>0</v>
      </c>
      <c r="L17" s="7">
        <v>780770.63</v>
      </c>
      <c r="M17" s="7">
        <v>0</v>
      </c>
      <c r="N17" s="6">
        <v>0</v>
      </c>
      <c r="O17" s="6">
        <v>4498726.01</v>
      </c>
    </row>
    <row r="18" spans="2:15">
      <c r="B18" s="3" t="s">
        <v>39</v>
      </c>
      <c r="C18" s="4" t="s">
        <v>40</v>
      </c>
      <c r="D18" s="5" t="s">
        <v>16</v>
      </c>
      <c r="E18" s="5" t="s">
        <v>17</v>
      </c>
      <c r="F18" s="5">
        <v>30522428163</v>
      </c>
      <c r="G18" s="6">
        <v>2990082.65</v>
      </c>
      <c r="H18" s="6">
        <v>0</v>
      </c>
      <c r="I18" s="7">
        <v>0</v>
      </c>
      <c r="J18" s="7">
        <v>0</v>
      </c>
      <c r="K18" s="7">
        <v>0</v>
      </c>
      <c r="L18" s="7">
        <v>627917.35</v>
      </c>
      <c r="M18" s="7">
        <v>0</v>
      </c>
      <c r="N18" s="6">
        <v>0</v>
      </c>
      <c r="O18" s="6">
        <v>3618000</v>
      </c>
    </row>
    <row r="19" spans="2:15">
      <c r="B19" s="3" t="s">
        <v>41</v>
      </c>
      <c r="C19" s="4" t="s">
        <v>42</v>
      </c>
      <c r="D19" s="5" t="s">
        <v>33</v>
      </c>
      <c r="E19" s="5" t="s">
        <v>17</v>
      </c>
      <c r="F19" s="5">
        <v>30683032227</v>
      </c>
      <c r="G19" s="6">
        <v>361561.98</v>
      </c>
      <c r="H19" s="6">
        <v>0</v>
      </c>
      <c r="I19" s="7">
        <v>0</v>
      </c>
      <c r="J19" s="7">
        <v>0</v>
      </c>
      <c r="K19" s="7">
        <v>0</v>
      </c>
      <c r="L19" s="7">
        <v>75928.009999999995</v>
      </c>
      <c r="M19" s="7">
        <v>0</v>
      </c>
      <c r="N19" s="6">
        <v>0</v>
      </c>
      <c r="O19" s="6">
        <v>437489.99</v>
      </c>
    </row>
    <row r="20" spans="2:15">
      <c r="B20" s="3" t="s">
        <v>41</v>
      </c>
      <c r="C20" s="4" t="s">
        <v>43</v>
      </c>
      <c r="D20" s="5" t="s">
        <v>16</v>
      </c>
      <c r="E20" s="5" t="s">
        <v>17</v>
      </c>
      <c r="F20" s="5">
        <v>30522428163</v>
      </c>
      <c r="G20" s="6">
        <v>1532148.76</v>
      </c>
      <c r="H20" s="6">
        <v>0</v>
      </c>
      <c r="I20" s="7">
        <v>0</v>
      </c>
      <c r="J20" s="7">
        <v>0</v>
      </c>
      <c r="K20" s="7">
        <v>0</v>
      </c>
      <c r="L20" s="7">
        <v>321751.25</v>
      </c>
      <c r="M20" s="7">
        <v>0</v>
      </c>
      <c r="N20" s="6">
        <v>0</v>
      </c>
      <c r="O20" s="6">
        <v>1853900.01</v>
      </c>
    </row>
    <row r="21" spans="2:15">
      <c r="B21" s="3" t="s">
        <v>44</v>
      </c>
      <c r="C21" s="4" t="s">
        <v>45</v>
      </c>
      <c r="D21" s="5" t="s">
        <v>16</v>
      </c>
      <c r="E21" s="5" t="s">
        <v>17</v>
      </c>
      <c r="F21" s="5">
        <v>30522428163</v>
      </c>
      <c r="G21" s="6">
        <v>870909.09</v>
      </c>
      <c r="H21" s="6">
        <v>0</v>
      </c>
      <c r="I21" s="7">
        <v>0</v>
      </c>
      <c r="J21" s="7">
        <v>0</v>
      </c>
      <c r="K21" s="7">
        <v>0</v>
      </c>
      <c r="L21" s="7">
        <v>182890.91</v>
      </c>
      <c r="M21" s="7">
        <v>0</v>
      </c>
      <c r="N21" s="6">
        <v>0</v>
      </c>
      <c r="O21" s="6">
        <v>1053800</v>
      </c>
    </row>
    <row r="22" spans="2:15">
      <c r="B22" s="3" t="s">
        <v>14</v>
      </c>
      <c r="C22" s="4" t="s">
        <v>46</v>
      </c>
      <c r="D22" s="5" t="s">
        <v>33</v>
      </c>
      <c r="E22" s="5" t="s">
        <v>17</v>
      </c>
      <c r="F22" s="5">
        <v>30683032227</v>
      </c>
      <c r="G22" s="6">
        <v>26776.86</v>
      </c>
      <c r="H22" s="6">
        <v>0</v>
      </c>
      <c r="I22" s="7">
        <v>0</v>
      </c>
      <c r="J22" s="7">
        <v>0</v>
      </c>
      <c r="K22" s="7">
        <v>0</v>
      </c>
      <c r="L22" s="7">
        <v>5623.14</v>
      </c>
      <c r="M22" s="7">
        <v>0</v>
      </c>
      <c r="N22" s="6">
        <v>0</v>
      </c>
      <c r="O22" s="6">
        <v>32400</v>
      </c>
    </row>
    <row r="23" spans="2:15">
      <c r="B23" s="3" t="s">
        <v>14</v>
      </c>
      <c r="C23" s="4" t="s">
        <v>47</v>
      </c>
      <c r="D23" s="5" t="s">
        <v>33</v>
      </c>
      <c r="E23" s="5" t="s">
        <v>17</v>
      </c>
      <c r="F23" s="5">
        <v>30683032227</v>
      </c>
      <c r="G23" s="6">
        <v>125619.83</v>
      </c>
      <c r="H23" s="6">
        <v>0</v>
      </c>
      <c r="I23" s="7">
        <v>0</v>
      </c>
      <c r="J23" s="7">
        <v>0</v>
      </c>
      <c r="K23" s="7">
        <v>0</v>
      </c>
      <c r="L23" s="7">
        <v>26380.16</v>
      </c>
      <c r="M23" s="7">
        <v>0</v>
      </c>
      <c r="N23" s="6">
        <v>0</v>
      </c>
      <c r="O23" s="6">
        <v>151999.99</v>
      </c>
    </row>
    <row r="24" spans="2:15">
      <c r="B24" s="3" t="s">
        <v>24</v>
      </c>
      <c r="C24" s="4" t="s">
        <v>48</v>
      </c>
      <c r="D24" s="5" t="s">
        <v>16</v>
      </c>
      <c r="E24" s="5" t="s">
        <v>17</v>
      </c>
      <c r="F24" s="5">
        <v>30522428163</v>
      </c>
      <c r="G24" s="6">
        <v>8640.69</v>
      </c>
      <c r="H24" s="6">
        <v>0</v>
      </c>
      <c r="I24" s="7">
        <v>0</v>
      </c>
      <c r="J24" s="7">
        <v>0</v>
      </c>
      <c r="K24" s="7">
        <v>0</v>
      </c>
      <c r="L24" s="7">
        <v>1814.54</v>
      </c>
      <c r="M24" s="7">
        <v>0</v>
      </c>
      <c r="N24" s="6">
        <v>0</v>
      </c>
      <c r="O24" s="6">
        <v>10455.23</v>
      </c>
    </row>
    <row r="25" spans="2:15">
      <c r="B25" s="3" t="s">
        <v>24</v>
      </c>
      <c r="C25" s="4" t="s">
        <v>49</v>
      </c>
      <c r="D25" s="5" t="s">
        <v>16</v>
      </c>
      <c r="E25" s="5" t="s">
        <v>17</v>
      </c>
      <c r="F25" s="5">
        <v>30522428163</v>
      </c>
      <c r="G25" s="6">
        <v>207437.22</v>
      </c>
      <c r="H25" s="6">
        <v>0</v>
      </c>
      <c r="I25" s="7">
        <v>0</v>
      </c>
      <c r="J25" s="7">
        <v>0</v>
      </c>
      <c r="K25" s="7">
        <v>0</v>
      </c>
      <c r="L25" s="7">
        <v>43561.82</v>
      </c>
      <c r="M25" s="7">
        <v>0</v>
      </c>
      <c r="N25" s="6">
        <v>0</v>
      </c>
      <c r="O25" s="6">
        <v>250999.04000000001</v>
      </c>
    </row>
    <row r="26" spans="2:15">
      <c r="B26" s="3" t="s">
        <v>50</v>
      </c>
      <c r="C26" s="4" t="s">
        <v>51</v>
      </c>
      <c r="D26" s="5" t="s">
        <v>33</v>
      </c>
      <c r="E26" s="5" t="s">
        <v>17</v>
      </c>
      <c r="F26" s="5">
        <v>30683032227</v>
      </c>
      <c r="G26" s="6">
        <v>156497.44</v>
      </c>
      <c r="H26" s="6">
        <v>0</v>
      </c>
      <c r="I26" s="7">
        <v>0</v>
      </c>
      <c r="J26" s="7">
        <v>0</v>
      </c>
      <c r="K26" s="7">
        <v>0</v>
      </c>
      <c r="L26" s="7">
        <v>32864.46</v>
      </c>
      <c r="M26" s="7">
        <v>0</v>
      </c>
      <c r="N26" s="6">
        <v>0</v>
      </c>
      <c r="O26" s="6">
        <v>189361.9</v>
      </c>
    </row>
    <row r="27" spans="2:15">
      <c r="B27" s="3" t="s">
        <v>50</v>
      </c>
      <c r="C27" s="4" t="s">
        <v>52</v>
      </c>
      <c r="D27" s="5" t="s">
        <v>33</v>
      </c>
      <c r="E27" s="5" t="s">
        <v>17</v>
      </c>
      <c r="F27" s="5">
        <v>30683032227</v>
      </c>
      <c r="G27" s="6">
        <v>17739.98</v>
      </c>
      <c r="H27" s="6">
        <v>0</v>
      </c>
      <c r="I27" s="7">
        <v>0</v>
      </c>
      <c r="J27" s="7">
        <v>0</v>
      </c>
      <c r="K27" s="7">
        <v>0</v>
      </c>
      <c r="L27" s="7">
        <v>3725.4</v>
      </c>
      <c r="M27" s="7">
        <v>0</v>
      </c>
      <c r="N27" s="6">
        <v>0</v>
      </c>
      <c r="O27" s="6">
        <v>21465.38</v>
      </c>
    </row>
    <row r="28" spans="2:15">
      <c r="B28" s="3" t="s">
        <v>50</v>
      </c>
      <c r="C28" s="4" t="s">
        <v>53</v>
      </c>
      <c r="D28" s="5" t="s">
        <v>54</v>
      </c>
      <c r="E28" s="5" t="s">
        <v>17</v>
      </c>
      <c r="F28" s="5">
        <v>20241549403</v>
      </c>
      <c r="G28" s="6">
        <v>15454.54</v>
      </c>
      <c r="H28" s="6">
        <v>0</v>
      </c>
      <c r="I28" s="7">
        <v>0</v>
      </c>
      <c r="J28" s="7">
        <v>0</v>
      </c>
      <c r="K28" s="7">
        <v>0</v>
      </c>
      <c r="L28" s="7">
        <v>3245.46</v>
      </c>
      <c r="M28" s="7">
        <v>0</v>
      </c>
      <c r="N28" s="6">
        <v>0</v>
      </c>
      <c r="O28" s="6">
        <v>18700</v>
      </c>
    </row>
    <row r="29" spans="2:15">
      <c r="B29" s="3" t="s">
        <v>55</v>
      </c>
      <c r="C29" s="4" t="s">
        <v>56</v>
      </c>
      <c r="D29" s="5" t="s">
        <v>57</v>
      </c>
      <c r="E29" s="5" t="s">
        <v>17</v>
      </c>
      <c r="F29" s="5">
        <v>30715186655</v>
      </c>
      <c r="G29" s="6">
        <v>50468.32</v>
      </c>
      <c r="H29" s="6">
        <v>0</v>
      </c>
      <c r="I29" s="7">
        <v>0</v>
      </c>
      <c r="J29" s="7">
        <v>0</v>
      </c>
      <c r="K29" s="7">
        <v>0</v>
      </c>
      <c r="L29" s="7">
        <v>10598.35</v>
      </c>
      <c r="M29" s="7">
        <v>0</v>
      </c>
      <c r="N29" s="6">
        <v>0</v>
      </c>
      <c r="O29" s="6">
        <v>61066.67</v>
      </c>
    </row>
    <row r="30" spans="2:15">
      <c r="B30" s="3" t="s">
        <v>55</v>
      </c>
      <c r="C30" s="4" t="s">
        <v>58</v>
      </c>
      <c r="D30" s="5" t="s">
        <v>57</v>
      </c>
      <c r="E30" s="5" t="s">
        <v>17</v>
      </c>
      <c r="F30" s="5">
        <v>30715186655</v>
      </c>
      <c r="G30" s="6">
        <v>3190.08</v>
      </c>
      <c r="H30" s="6">
        <v>0</v>
      </c>
      <c r="I30" s="7">
        <v>0</v>
      </c>
      <c r="J30" s="7">
        <v>0</v>
      </c>
      <c r="K30" s="7">
        <v>0</v>
      </c>
      <c r="L30" s="7">
        <v>669.92</v>
      </c>
      <c r="M30" s="7">
        <v>0</v>
      </c>
      <c r="N30" s="6">
        <v>0</v>
      </c>
      <c r="O30" s="6">
        <v>3860</v>
      </c>
    </row>
    <row r="31" spans="2:15">
      <c r="B31" s="3" t="s">
        <v>55</v>
      </c>
      <c r="C31" s="4" t="s">
        <v>59</v>
      </c>
      <c r="D31" s="5" t="s">
        <v>60</v>
      </c>
      <c r="E31" s="5" t="s">
        <v>17</v>
      </c>
      <c r="F31" s="5">
        <v>30710538014</v>
      </c>
      <c r="G31" s="6">
        <v>25619.83</v>
      </c>
      <c r="H31" s="6">
        <v>0</v>
      </c>
      <c r="I31" s="7">
        <v>0</v>
      </c>
      <c r="J31" s="7">
        <v>0</v>
      </c>
      <c r="K31" s="7">
        <v>0</v>
      </c>
      <c r="L31" s="7">
        <v>5380.16</v>
      </c>
      <c r="M31" s="7">
        <v>0</v>
      </c>
      <c r="N31" s="6">
        <v>0</v>
      </c>
      <c r="O31" s="6">
        <v>30999.99</v>
      </c>
    </row>
    <row r="32" spans="2:15">
      <c r="B32" s="3" t="s">
        <v>55</v>
      </c>
      <c r="C32" s="4" t="s">
        <v>61</v>
      </c>
      <c r="D32" s="5" t="s">
        <v>62</v>
      </c>
      <c r="E32" s="5" t="s">
        <v>17</v>
      </c>
      <c r="F32" s="5">
        <v>30713669004</v>
      </c>
      <c r="G32" s="6">
        <v>11735.54</v>
      </c>
      <c r="H32" s="6">
        <v>0</v>
      </c>
      <c r="I32" s="7">
        <v>0</v>
      </c>
      <c r="J32" s="7">
        <v>0</v>
      </c>
      <c r="K32" s="7">
        <v>0</v>
      </c>
      <c r="L32" s="7">
        <v>2464.46</v>
      </c>
      <c r="M32" s="7">
        <v>0</v>
      </c>
      <c r="N32" s="6">
        <v>0</v>
      </c>
      <c r="O32" s="6">
        <v>14200</v>
      </c>
    </row>
    <row r="33" spans="2:15">
      <c r="B33" s="3" t="s">
        <v>55</v>
      </c>
      <c r="C33" s="4" t="s">
        <v>63</v>
      </c>
      <c r="D33" s="5" t="s">
        <v>64</v>
      </c>
      <c r="E33" s="5" t="s">
        <v>17</v>
      </c>
      <c r="F33" s="5">
        <v>30546771314</v>
      </c>
      <c r="G33" s="6">
        <v>18611.57</v>
      </c>
      <c r="H33" s="6">
        <v>0</v>
      </c>
      <c r="I33" s="7">
        <v>0</v>
      </c>
      <c r="J33" s="7">
        <v>0</v>
      </c>
      <c r="K33" s="7">
        <v>0</v>
      </c>
      <c r="L33" s="7">
        <v>3908.43</v>
      </c>
      <c r="M33" s="7">
        <v>0</v>
      </c>
      <c r="N33" s="6">
        <v>0</v>
      </c>
      <c r="O33" s="6">
        <v>22520</v>
      </c>
    </row>
    <row r="34" spans="2:15">
      <c r="B34" s="3" t="s">
        <v>55</v>
      </c>
      <c r="C34" s="4" t="s">
        <v>65</v>
      </c>
      <c r="D34" s="5" t="s">
        <v>66</v>
      </c>
      <c r="E34" s="5" t="s">
        <v>17</v>
      </c>
      <c r="F34" s="5">
        <v>30710961790</v>
      </c>
      <c r="G34" s="6">
        <v>40440.770000000004</v>
      </c>
      <c r="H34" s="6">
        <v>0</v>
      </c>
      <c r="I34" s="7">
        <v>0</v>
      </c>
      <c r="J34" s="7">
        <v>0</v>
      </c>
      <c r="K34" s="7">
        <v>0</v>
      </c>
      <c r="L34" s="7">
        <v>8492.56</v>
      </c>
      <c r="M34" s="7">
        <v>0</v>
      </c>
      <c r="N34" s="6">
        <v>0</v>
      </c>
      <c r="O34" s="6">
        <v>48933.33</v>
      </c>
    </row>
    <row r="35" spans="2:15">
      <c r="B35" s="3" t="s">
        <v>55</v>
      </c>
      <c r="C35" s="4" t="s">
        <v>67</v>
      </c>
      <c r="D35" s="5" t="s">
        <v>68</v>
      </c>
      <c r="E35" s="5" t="s">
        <v>17</v>
      </c>
      <c r="F35" s="5">
        <v>30711244383</v>
      </c>
      <c r="G35" s="6">
        <v>9834.7100000000009</v>
      </c>
      <c r="H35" s="6">
        <v>0</v>
      </c>
      <c r="I35" s="7">
        <v>0</v>
      </c>
      <c r="J35" s="7">
        <v>0</v>
      </c>
      <c r="K35" s="7">
        <v>0</v>
      </c>
      <c r="L35" s="7">
        <v>2065.29</v>
      </c>
      <c r="M35" s="7">
        <v>0</v>
      </c>
      <c r="N35" s="6">
        <v>0</v>
      </c>
      <c r="O35" s="6">
        <v>11900</v>
      </c>
    </row>
    <row r="36" spans="2:15">
      <c r="B36" s="3" t="s">
        <v>55</v>
      </c>
      <c r="C36" s="4" t="s">
        <v>69</v>
      </c>
      <c r="D36" s="5" t="s">
        <v>70</v>
      </c>
      <c r="E36" s="5" t="s">
        <v>17</v>
      </c>
      <c r="F36" s="5">
        <v>30645337979</v>
      </c>
      <c r="G36" s="6">
        <v>9090.91</v>
      </c>
      <c r="H36" s="6">
        <v>0</v>
      </c>
      <c r="I36" s="7">
        <v>0</v>
      </c>
      <c r="J36" s="7">
        <v>0</v>
      </c>
      <c r="K36" s="7">
        <v>0</v>
      </c>
      <c r="L36" s="7">
        <v>1909.09</v>
      </c>
      <c r="M36" s="7">
        <v>0</v>
      </c>
      <c r="N36" s="6">
        <v>0</v>
      </c>
      <c r="O36" s="6">
        <v>11000</v>
      </c>
    </row>
    <row r="37" spans="2:15">
      <c r="B37" s="3" t="s">
        <v>55</v>
      </c>
      <c r="C37" s="4" t="s">
        <v>71</v>
      </c>
      <c r="D37" s="5" t="s">
        <v>72</v>
      </c>
      <c r="E37" s="5" t="s">
        <v>17</v>
      </c>
      <c r="F37" s="5">
        <v>30657418877</v>
      </c>
      <c r="G37" s="6">
        <v>2314.0500000000002</v>
      </c>
      <c r="H37" s="6">
        <v>0</v>
      </c>
      <c r="I37" s="7">
        <v>0</v>
      </c>
      <c r="J37" s="7">
        <v>0</v>
      </c>
      <c r="K37" s="7">
        <v>0</v>
      </c>
      <c r="L37" s="7">
        <v>485.95</v>
      </c>
      <c r="M37" s="7">
        <v>0</v>
      </c>
      <c r="N37" s="6">
        <v>0</v>
      </c>
      <c r="O37" s="6">
        <v>2800</v>
      </c>
    </row>
    <row r="38" spans="2:15">
      <c r="B38" s="3" t="s">
        <v>55</v>
      </c>
      <c r="C38" s="4" t="s">
        <v>73</v>
      </c>
      <c r="D38" s="5" t="s">
        <v>74</v>
      </c>
      <c r="E38" s="5" t="s">
        <v>17</v>
      </c>
      <c r="F38" s="5">
        <v>30707612971</v>
      </c>
      <c r="G38" s="6">
        <v>7603.31</v>
      </c>
      <c r="H38" s="6">
        <v>0</v>
      </c>
      <c r="I38" s="7">
        <v>0</v>
      </c>
      <c r="J38" s="7">
        <v>0</v>
      </c>
      <c r="K38" s="7">
        <v>0</v>
      </c>
      <c r="L38" s="7">
        <v>1596.7</v>
      </c>
      <c r="M38" s="7">
        <v>0</v>
      </c>
      <c r="N38" s="6">
        <v>0</v>
      </c>
      <c r="O38" s="6">
        <v>9200.01</v>
      </c>
    </row>
    <row r="39" spans="2:15">
      <c r="B39" s="3" t="s">
        <v>27</v>
      </c>
      <c r="C39" s="4" t="s">
        <v>75</v>
      </c>
      <c r="D39" s="5" t="s">
        <v>76</v>
      </c>
      <c r="E39" s="5" t="s">
        <v>17</v>
      </c>
      <c r="F39" s="5">
        <v>30500053522</v>
      </c>
      <c r="G39" s="6">
        <v>42046.11</v>
      </c>
      <c r="H39" s="6">
        <v>0</v>
      </c>
      <c r="I39" s="7">
        <v>0</v>
      </c>
      <c r="J39" s="7">
        <v>0</v>
      </c>
      <c r="K39" s="7">
        <v>0</v>
      </c>
      <c r="L39" s="15">
        <v>8829.69</v>
      </c>
      <c r="M39" s="7">
        <v>0</v>
      </c>
      <c r="N39" s="6">
        <v>0</v>
      </c>
      <c r="O39" s="6">
        <v>50875.8</v>
      </c>
    </row>
    <row r="40" spans="2:15">
      <c r="B40" s="3" t="s">
        <v>27</v>
      </c>
      <c r="C40" s="4" t="s">
        <v>77</v>
      </c>
      <c r="D40" s="5" t="s">
        <v>76</v>
      </c>
      <c r="E40" s="5" t="s">
        <v>17</v>
      </c>
      <c r="F40" s="5">
        <v>30500053522</v>
      </c>
      <c r="G40" s="6">
        <v>42066.11</v>
      </c>
      <c r="H40" s="6">
        <v>0</v>
      </c>
      <c r="I40" s="7">
        <v>0</v>
      </c>
      <c r="J40" s="7">
        <v>0</v>
      </c>
      <c r="K40" s="7">
        <v>0</v>
      </c>
      <c r="L40" s="7">
        <v>8833.89</v>
      </c>
      <c r="M40" s="7">
        <v>0</v>
      </c>
      <c r="N40" s="6">
        <v>0</v>
      </c>
      <c r="O40" s="6">
        <v>50900</v>
      </c>
    </row>
    <row r="41" spans="2:15">
      <c r="B41" s="3" t="s">
        <v>78</v>
      </c>
      <c r="C41" s="4" t="s">
        <v>79</v>
      </c>
      <c r="D41" s="5" t="s">
        <v>80</v>
      </c>
      <c r="E41" s="5" t="s">
        <v>17</v>
      </c>
      <c r="F41" s="5">
        <v>30608716390</v>
      </c>
      <c r="G41" s="6">
        <v>619.84</v>
      </c>
      <c r="H41" s="6">
        <v>0</v>
      </c>
      <c r="I41" s="7">
        <v>0</v>
      </c>
      <c r="J41" s="7">
        <v>0</v>
      </c>
      <c r="K41" s="7">
        <v>0</v>
      </c>
      <c r="L41" s="7">
        <v>130.17000000000002</v>
      </c>
      <c r="M41" s="7">
        <v>0</v>
      </c>
      <c r="N41" s="6">
        <v>0</v>
      </c>
      <c r="O41" s="6">
        <v>750.01</v>
      </c>
    </row>
    <row r="42" spans="2:15">
      <c r="B42" s="3" t="s">
        <v>78</v>
      </c>
      <c r="C42" s="4" t="s">
        <v>81</v>
      </c>
      <c r="D42" s="5" t="s">
        <v>80</v>
      </c>
      <c r="E42" s="5" t="s">
        <v>17</v>
      </c>
      <c r="F42" s="5">
        <v>30608716390</v>
      </c>
      <c r="G42" s="6">
        <v>1239.67</v>
      </c>
      <c r="H42" s="6">
        <v>0</v>
      </c>
      <c r="I42" s="7">
        <v>0</v>
      </c>
      <c r="J42" s="7">
        <v>0</v>
      </c>
      <c r="K42" s="7">
        <v>0</v>
      </c>
      <c r="L42" s="7">
        <v>260.33</v>
      </c>
      <c r="M42" s="7">
        <v>0</v>
      </c>
      <c r="N42" s="6">
        <v>0</v>
      </c>
      <c r="O42" s="6">
        <v>1500</v>
      </c>
    </row>
    <row r="43" spans="2:15">
      <c r="B43" s="3" t="s">
        <v>78</v>
      </c>
      <c r="C43" s="4" t="s">
        <v>82</v>
      </c>
      <c r="D43" s="5" t="s">
        <v>80</v>
      </c>
      <c r="E43" s="5" t="s">
        <v>17</v>
      </c>
      <c r="F43" s="5">
        <v>30608716390</v>
      </c>
      <c r="G43" s="6">
        <v>1239.67</v>
      </c>
      <c r="H43" s="6">
        <v>0</v>
      </c>
      <c r="I43" s="7">
        <v>0</v>
      </c>
      <c r="J43" s="7">
        <v>0</v>
      </c>
      <c r="K43" s="7">
        <v>0</v>
      </c>
      <c r="L43" s="7">
        <v>260.33</v>
      </c>
      <c r="M43" s="7">
        <v>0</v>
      </c>
      <c r="N43" s="6">
        <v>0</v>
      </c>
      <c r="O43" s="6">
        <v>1500</v>
      </c>
    </row>
    <row r="44" spans="2:15">
      <c r="B44" s="3" t="s">
        <v>78</v>
      </c>
      <c r="C44" s="4" t="s">
        <v>83</v>
      </c>
      <c r="D44" s="5" t="s">
        <v>84</v>
      </c>
      <c r="E44" s="5" t="s">
        <v>17</v>
      </c>
      <c r="F44" s="5">
        <v>30709016012</v>
      </c>
      <c r="G44" s="6">
        <v>7107.44</v>
      </c>
      <c r="H44" s="6">
        <v>0</v>
      </c>
      <c r="I44" s="7">
        <v>0</v>
      </c>
      <c r="J44" s="7">
        <v>0</v>
      </c>
      <c r="K44" s="7">
        <v>0</v>
      </c>
      <c r="L44" s="7">
        <v>1492.56</v>
      </c>
      <c r="M44" s="7">
        <v>0</v>
      </c>
      <c r="N44" s="6">
        <v>0</v>
      </c>
      <c r="O44" s="6">
        <v>8600</v>
      </c>
    </row>
    <row r="45" spans="2:15">
      <c r="B45" s="3" t="s">
        <v>29</v>
      </c>
      <c r="C45" s="4" t="s">
        <v>85</v>
      </c>
      <c r="D45" s="5" t="s">
        <v>80</v>
      </c>
      <c r="E45" s="5" t="s">
        <v>17</v>
      </c>
      <c r="F45" s="5">
        <v>30608716390</v>
      </c>
      <c r="G45" s="6">
        <v>1735.53</v>
      </c>
      <c r="H45" s="6">
        <v>0</v>
      </c>
      <c r="I45" s="7">
        <v>0</v>
      </c>
      <c r="J45" s="7">
        <v>0</v>
      </c>
      <c r="K45" s="7">
        <v>0</v>
      </c>
      <c r="L45" s="7">
        <v>364.46</v>
      </c>
      <c r="M45" s="7">
        <v>0</v>
      </c>
      <c r="N45" s="6">
        <v>0</v>
      </c>
      <c r="O45" s="6">
        <v>2099.9900000000002</v>
      </c>
    </row>
    <row r="46" spans="2:15">
      <c r="B46" s="3" t="s">
        <v>29</v>
      </c>
      <c r="C46" s="4" t="s">
        <v>86</v>
      </c>
      <c r="D46" s="5" t="s">
        <v>80</v>
      </c>
      <c r="E46" s="5" t="s">
        <v>17</v>
      </c>
      <c r="F46" s="5">
        <v>30608716390</v>
      </c>
      <c r="G46" s="6">
        <v>2644.63</v>
      </c>
      <c r="H46" s="6">
        <v>0</v>
      </c>
      <c r="I46" s="7">
        <v>0</v>
      </c>
      <c r="J46" s="7">
        <v>0</v>
      </c>
      <c r="K46" s="7">
        <v>0</v>
      </c>
      <c r="L46" s="7">
        <v>555.37</v>
      </c>
      <c r="M46" s="7">
        <v>0</v>
      </c>
      <c r="N46" s="6">
        <v>0</v>
      </c>
      <c r="O46" s="6">
        <v>3200</v>
      </c>
    </row>
    <row r="47" spans="2:15">
      <c r="B47" s="3" t="s">
        <v>29</v>
      </c>
      <c r="C47" s="4" t="s">
        <v>87</v>
      </c>
      <c r="D47" s="5" t="s">
        <v>80</v>
      </c>
      <c r="E47" s="5" t="s">
        <v>17</v>
      </c>
      <c r="F47" s="5">
        <v>30608716390</v>
      </c>
      <c r="G47" s="6">
        <v>1735.53</v>
      </c>
      <c r="H47" s="6">
        <v>0</v>
      </c>
      <c r="I47" s="7">
        <v>0</v>
      </c>
      <c r="J47" s="7">
        <v>0</v>
      </c>
      <c r="K47" s="7">
        <v>0</v>
      </c>
      <c r="L47" s="7">
        <v>364.46</v>
      </c>
      <c r="M47" s="7">
        <v>0</v>
      </c>
      <c r="N47" s="6">
        <v>0</v>
      </c>
      <c r="O47" s="6">
        <v>2099.9900000000002</v>
      </c>
    </row>
    <row r="48" spans="2:15">
      <c r="B48" s="3" t="s">
        <v>29</v>
      </c>
      <c r="C48" s="4" t="s">
        <v>88</v>
      </c>
      <c r="D48" s="5" t="s">
        <v>80</v>
      </c>
      <c r="E48" s="5" t="s">
        <v>17</v>
      </c>
      <c r="F48" s="5">
        <v>30608716390</v>
      </c>
      <c r="G48" s="6">
        <v>5289.26</v>
      </c>
      <c r="H48" s="6">
        <v>0</v>
      </c>
      <c r="I48" s="7">
        <v>0</v>
      </c>
      <c r="J48" s="7">
        <v>0</v>
      </c>
      <c r="K48" s="7">
        <v>0</v>
      </c>
      <c r="L48" s="7">
        <v>1110.74</v>
      </c>
      <c r="M48" s="7">
        <v>0</v>
      </c>
      <c r="N48" s="6">
        <v>0</v>
      </c>
      <c r="O48" s="6">
        <v>6400</v>
      </c>
    </row>
    <row r="49" spans="2:15">
      <c r="B49" s="3" t="s">
        <v>29</v>
      </c>
      <c r="C49" s="4" t="s">
        <v>89</v>
      </c>
      <c r="D49" s="5" t="s">
        <v>80</v>
      </c>
      <c r="E49" s="5" t="s">
        <v>17</v>
      </c>
      <c r="F49" s="5">
        <v>30608716390</v>
      </c>
      <c r="G49" s="6">
        <v>1239.67</v>
      </c>
      <c r="H49" s="6">
        <v>0</v>
      </c>
      <c r="I49" s="7">
        <v>0</v>
      </c>
      <c r="J49" s="7">
        <v>0</v>
      </c>
      <c r="K49" s="7">
        <v>0</v>
      </c>
      <c r="L49" s="7">
        <v>260.33</v>
      </c>
      <c r="M49" s="7">
        <v>0</v>
      </c>
      <c r="N49" s="6">
        <v>0</v>
      </c>
      <c r="O49" s="6">
        <v>1500</v>
      </c>
    </row>
    <row r="50" spans="2:15">
      <c r="B50" s="3" t="s">
        <v>90</v>
      </c>
      <c r="C50" s="4" t="s">
        <v>91</v>
      </c>
      <c r="D50" s="5" t="s">
        <v>76</v>
      </c>
      <c r="E50" s="5" t="s">
        <v>17</v>
      </c>
      <c r="F50" s="5">
        <v>30500053522</v>
      </c>
      <c r="G50" s="6">
        <v>2892.56</v>
      </c>
      <c r="H50" s="6">
        <v>0</v>
      </c>
      <c r="I50" s="7">
        <v>0</v>
      </c>
      <c r="J50" s="7">
        <v>0</v>
      </c>
      <c r="K50" s="7">
        <v>0</v>
      </c>
      <c r="L50" s="7">
        <v>607.44000000000005</v>
      </c>
      <c r="M50" s="7">
        <v>0</v>
      </c>
      <c r="N50" s="6">
        <v>0</v>
      </c>
      <c r="O50" s="6">
        <v>3500</v>
      </c>
    </row>
    <row r="51" spans="2:15">
      <c r="B51" s="3" t="s">
        <v>90</v>
      </c>
      <c r="C51" s="4" t="s">
        <v>92</v>
      </c>
      <c r="D51" s="5" t="s">
        <v>76</v>
      </c>
      <c r="E51" s="5" t="s">
        <v>17</v>
      </c>
      <c r="F51" s="5">
        <v>30500053522</v>
      </c>
      <c r="G51" s="6">
        <v>1983.48</v>
      </c>
      <c r="H51" s="6">
        <v>0</v>
      </c>
      <c r="I51" s="7">
        <v>0</v>
      </c>
      <c r="J51" s="7">
        <v>0</v>
      </c>
      <c r="K51" s="7">
        <v>0</v>
      </c>
      <c r="L51" s="7">
        <v>416.53</v>
      </c>
      <c r="M51" s="7">
        <v>0</v>
      </c>
      <c r="N51" s="6">
        <v>0</v>
      </c>
      <c r="O51" s="6">
        <v>2400.0100000000002</v>
      </c>
    </row>
    <row r="52" spans="2:15">
      <c r="B52" s="3" t="s">
        <v>31</v>
      </c>
      <c r="C52" s="4" t="s">
        <v>93</v>
      </c>
      <c r="D52" s="5" t="s">
        <v>80</v>
      </c>
      <c r="E52" s="5" t="s">
        <v>17</v>
      </c>
      <c r="F52" s="5">
        <v>30608716390</v>
      </c>
      <c r="G52" s="6">
        <v>1239.6600000000001</v>
      </c>
      <c r="H52" s="6">
        <v>0</v>
      </c>
      <c r="I52" s="7">
        <v>0</v>
      </c>
      <c r="J52" s="7">
        <v>0</v>
      </c>
      <c r="K52" s="7">
        <v>0</v>
      </c>
      <c r="L52" s="7">
        <v>260.32</v>
      </c>
      <c r="M52" s="7">
        <v>0</v>
      </c>
      <c r="N52" s="6">
        <v>0</v>
      </c>
      <c r="O52" s="6">
        <v>1499.98</v>
      </c>
    </row>
    <row r="53" spans="2:15">
      <c r="B53" s="3" t="s">
        <v>94</v>
      </c>
      <c r="C53" s="4" t="s">
        <v>95</v>
      </c>
      <c r="D53" s="5" t="s">
        <v>80</v>
      </c>
      <c r="E53" s="5" t="s">
        <v>17</v>
      </c>
      <c r="F53" s="5">
        <v>30608716390</v>
      </c>
      <c r="G53" s="6">
        <v>826.45</v>
      </c>
      <c r="H53" s="6">
        <v>0</v>
      </c>
      <c r="I53" s="7">
        <v>0</v>
      </c>
      <c r="J53" s="7">
        <v>0</v>
      </c>
      <c r="K53" s="7">
        <v>0</v>
      </c>
      <c r="L53" s="7">
        <v>173.55</v>
      </c>
      <c r="M53" s="7">
        <v>0</v>
      </c>
      <c r="N53" s="6">
        <v>0</v>
      </c>
      <c r="O53" s="6">
        <v>1000</v>
      </c>
    </row>
    <row r="54" spans="2:15">
      <c r="B54" s="3" t="s">
        <v>94</v>
      </c>
      <c r="C54" s="4" t="s">
        <v>96</v>
      </c>
      <c r="D54" s="5" t="s">
        <v>54</v>
      </c>
      <c r="E54" s="5" t="s">
        <v>17</v>
      </c>
      <c r="F54" s="5">
        <v>20241549403</v>
      </c>
      <c r="G54" s="6">
        <v>6446.28</v>
      </c>
      <c r="H54" s="6">
        <v>0</v>
      </c>
      <c r="I54" s="7">
        <v>0</v>
      </c>
      <c r="J54" s="7">
        <v>0</v>
      </c>
      <c r="K54" s="7">
        <v>0</v>
      </c>
      <c r="L54" s="7">
        <v>1353.72</v>
      </c>
      <c r="M54" s="7">
        <v>0</v>
      </c>
      <c r="N54" s="6">
        <v>0</v>
      </c>
      <c r="O54" s="6">
        <v>7800</v>
      </c>
    </row>
    <row r="55" spans="2:15">
      <c r="B55" s="3" t="s">
        <v>37</v>
      </c>
      <c r="C55" s="4" t="s">
        <v>97</v>
      </c>
      <c r="D55" s="5" t="s">
        <v>98</v>
      </c>
      <c r="E55" s="5" t="s">
        <v>17</v>
      </c>
      <c r="F55" s="5">
        <v>30707118454</v>
      </c>
      <c r="G55" s="6">
        <v>413.23</v>
      </c>
      <c r="H55" s="6">
        <v>0</v>
      </c>
      <c r="I55" s="7">
        <v>0</v>
      </c>
      <c r="J55" s="7">
        <v>0</v>
      </c>
      <c r="K55" s="7">
        <v>0</v>
      </c>
      <c r="L55" s="7">
        <v>86.78</v>
      </c>
      <c r="M55" s="7">
        <v>0</v>
      </c>
      <c r="N55" s="6">
        <v>0</v>
      </c>
      <c r="O55" s="6">
        <v>500.01</v>
      </c>
    </row>
    <row r="56" spans="2:15">
      <c r="B56" s="3" t="s">
        <v>99</v>
      </c>
      <c r="C56" s="4" t="s">
        <v>100</v>
      </c>
      <c r="D56" s="5" t="s">
        <v>101</v>
      </c>
      <c r="E56" s="5" t="s">
        <v>17</v>
      </c>
      <c r="F56" s="5">
        <v>27182477368</v>
      </c>
      <c r="G56" s="6">
        <v>27272.76</v>
      </c>
      <c r="H56" s="6">
        <v>0</v>
      </c>
      <c r="I56" s="7">
        <v>0</v>
      </c>
      <c r="J56" s="7">
        <v>0</v>
      </c>
      <c r="K56" s="7">
        <v>0</v>
      </c>
      <c r="L56" s="7">
        <v>5727.28</v>
      </c>
      <c r="M56" s="7">
        <v>0</v>
      </c>
      <c r="N56" s="6">
        <v>0</v>
      </c>
      <c r="O56" s="6">
        <v>33000.04</v>
      </c>
    </row>
    <row r="57" spans="2:15">
      <c r="B57" s="3" t="s">
        <v>102</v>
      </c>
      <c r="C57" s="4" t="s">
        <v>103</v>
      </c>
      <c r="D57" s="5" t="s">
        <v>80</v>
      </c>
      <c r="E57" s="5" t="s">
        <v>17</v>
      </c>
      <c r="F57" s="5">
        <v>30608716390</v>
      </c>
      <c r="G57" s="6">
        <v>1115.7</v>
      </c>
      <c r="H57" s="6">
        <v>0</v>
      </c>
      <c r="I57" s="7">
        <v>0</v>
      </c>
      <c r="J57" s="7">
        <v>0</v>
      </c>
      <c r="K57" s="7">
        <v>0</v>
      </c>
      <c r="L57" s="7">
        <v>234.3</v>
      </c>
      <c r="M57" s="7">
        <v>0</v>
      </c>
      <c r="N57" s="6">
        <v>0</v>
      </c>
      <c r="O57" s="6">
        <v>1350</v>
      </c>
    </row>
    <row r="58" spans="2:15">
      <c r="B58" s="3" t="s">
        <v>104</v>
      </c>
      <c r="C58" s="4" t="s">
        <v>105</v>
      </c>
      <c r="D58" s="5" t="s">
        <v>16</v>
      </c>
      <c r="E58" s="5" t="s">
        <v>17</v>
      </c>
      <c r="F58" s="5">
        <v>30522428163</v>
      </c>
      <c r="G58" s="6">
        <v>16033.06</v>
      </c>
      <c r="H58" s="6">
        <v>0</v>
      </c>
      <c r="I58" s="7">
        <v>0</v>
      </c>
      <c r="J58" s="7">
        <v>0</v>
      </c>
      <c r="K58" s="7">
        <v>0</v>
      </c>
      <c r="L58" s="7">
        <v>3366.94</v>
      </c>
      <c r="M58" s="7">
        <v>0</v>
      </c>
      <c r="N58" s="6">
        <v>0</v>
      </c>
      <c r="O58" s="6">
        <v>19400</v>
      </c>
    </row>
    <row r="59" spans="2:15">
      <c r="B59" s="3" t="s">
        <v>39</v>
      </c>
      <c r="C59" s="4" t="s">
        <v>106</v>
      </c>
      <c r="D59" s="5" t="s">
        <v>16</v>
      </c>
      <c r="E59" s="5" t="s">
        <v>17</v>
      </c>
      <c r="F59" s="5">
        <v>30522428163</v>
      </c>
      <c r="G59" s="6">
        <v>142355.37</v>
      </c>
      <c r="H59" s="6">
        <v>0</v>
      </c>
      <c r="I59" s="7">
        <v>0</v>
      </c>
      <c r="J59" s="7">
        <v>0</v>
      </c>
      <c r="K59" s="7">
        <v>0</v>
      </c>
      <c r="L59" s="7">
        <v>29894.63</v>
      </c>
      <c r="M59" s="7">
        <v>0</v>
      </c>
      <c r="N59" s="6">
        <v>0</v>
      </c>
      <c r="O59" s="6">
        <v>172250</v>
      </c>
    </row>
    <row r="60" spans="2:15">
      <c r="B60" s="3" t="s">
        <v>39</v>
      </c>
      <c r="C60" s="4" t="s">
        <v>107</v>
      </c>
      <c r="D60" s="5" t="s">
        <v>64</v>
      </c>
      <c r="E60" s="5" t="s">
        <v>17</v>
      </c>
      <c r="F60" s="5">
        <v>30546771314</v>
      </c>
      <c r="G60" s="6">
        <v>114049.59</v>
      </c>
      <c r="H60" s="6">
        <v>0</v>
      </c>
      <c r="I60" s="7">
        <v>0</v>
      </c>
      <c r="J60" s="7">
        <v>0</v>
      </c>
      <c r="K60" s="7">
        <v>0</v>
      </c>
      <c r="L60" s="7">
        <v>23950.41</v>
      </c>
      <c r="M60" s="7">
        <v>0</v>
      </c>
      <c r="N60" s="6">
        <v>0</v>
      </c>
      <c r="O60" s="6">
        <v>138000</v>
      </c>
    </row>
    <row r="61" spans="2:15">
      <c r="B61" s="3" t="s">
        <v>41</v>
      </c>
      <c r="C61" s="4" t="s">
        <v>108</v>
      </c>
      <c r="D61" s="5" t="s">
        <v>109</v>
      </c>
      <c r="E61" s="5" t="s">
        <v>17</v>
      </c>
      <c r="F61" s="5">
        <v>20298546451</v>
      </c>
      <c r="G61" s="6">
        <v>6776.86</v>
      </c>
      <c r="H61" s="6">
        <v>0</v>
      </c>
      <c r="I61" s="7">
        <v>0</v>
      </c>
      <c r="J61" s="7">
        <v>0</v>
      </c>
      <c r="K61" s="7">
        <v>0</v>
      </c>
      <c r="L61" s="7">
        <v>1423.14</v>
      </c>
      <c r="M61" s="7">
        <v>0</v>
      </c>
      <c r="N61" s="6">
        <v>0</v>
      </c>
      <c r="O61" s="6">
        <v>8200</v>
      </c>
    </row>
    <row r="62" spans="2:15">
      <c r="B62" s="3" t="s">
        <v>41</v>
      </c>
      <c r="C62" s="4" t="s">
        <v>110</v>
      </c>
      <c r="D62" s="5" t="s">
        <v>80</v>
      </c>
      <c r="E62" s="5" t="s">
        <v>17</v>
      </c>
      <c r="F62" s="5">
        <v>30608716390</v>
      </c>
      <c r="G62" s="6">
        <v>1239.67</v>
      </c>
      <c r="H62" s="6">
        <v>0</v>
      </c>
      <c r="I62" s="7">
        <v>0</v>
      </c>
      <c r="J62" s="7">
        <v>0</v>
      </c>
      <c r="K62" s="7">
        <v>0</v>
      </c>
      <c r="L62" s="7">
        <v>260.33</v>
      </c>
      <c r="M62" s="7">
        <v>0</v>
      </c>
      <c r="N62" s="6">
        <v>0</v>
      </c>
      <c r="O62" s="6">
        <v>1500</v>
      </c>
    </row>
    <row r="63" spans="2:15">
      <c r="B63" s="3" t="s">
        <v>111</v>
      </c>
      <c r="C63" s="4" t="s">
        <v>112</v>
      </c>
      <c r="D63" s="5" t="s">
        <v>113</v>
      </c>
      <c r="E63" s="5" t="s">
        <v>17</v>
      </c>
      <c r="F63" s="5">
        <v>27232051677</v>
      </c>
      <c r="G63" s="6">
        <v>4214.88</v>
      </c>
      <c r="H63" s="6">
        <v>0</v>
      </c>
      <c r="I63" s="7">
        <v>0</v>
      </c>
      <c r="J63" s="7">
        <v>0</v>
      </c>
      <c r="K63" s="7">
        <v>0</v>
      </c>
      <c r="L63" s="7">
        <v>885.12</v>
      </c>
      <c r="M63" s="7">
        <v>0</v>
      </c>
      <c r="N63" s="6">
        <v>0</v>
      </c>
      <c r="O63" s="6">
        <v>5100</v>
      </c>
    </row>
    <row r="64" spans="2:15">
      <c r="B64" s="3" t="s">
        <v>114</v>
      </c>
      <c r="C64" s="4" t="s">
        <v>115</v>
      </c>
      <c r="D64" s="5" t="s">
        <v>98</v>
      </c>
      <c r="E64" s="5" t="s">
        <v>17</v>
      </c>
      <c r="F64" s="5">
        <v>30707118454</v>
      </c>
      <c r="G64" s="6">
        <v>3471.07</v>
      </c>
      <c r="H64" s="6">
        <v>0</v>
      </c>
      <c r="I64" s="7">
        <v>0</v>
      </c>
      <c r="J64" s="7">
        <v>0</v>
      </c>
      <c r="K64" s="7">
        <v>0</v>
      </c>
      <c r="L64" s="7">
        <v>728.92</v>
      </c>
      <c r="M64" s="7">
        <v>0</v>
      </c>
      <c r="N64" s="6">
        <v>0</v>
      </c>
      <c r="O64" s="6">
        <v>4199.99</v>
      </c>
    </row>
    <row r="65" spans="2:20">
      <c r="B65" s="3" t="s">
        <v>44</v>
      </c>
      <c r="C65" s="4" t="s">
        <v>116</v>
      </c>
      <c r="D65" s="5" t="s">
        <v>117</v>
      </c>
      <c r="E65" s="5" t="s">
        <v>17</v>
      </c>
      <c r="F65" s="5">
        <v>30711289778</v>
      </c>
      <c r="G65" s="6">
        <v>14876.04</v>
      </c>
      <c r="H65" s="6">
        <v>0</v>
      </c>
      <c r="I65" s="7">
        <v>0</v>
      </c>
      <c r="J65" s="7">
        <v>0</v>
      </c>
      <c r="K65" s="7">
        <v>0</v>
      </c>
      <c r="L65" s="7">
        <v>3123.96</v>
      </c>
      <c r="M65" s="7">
        <v>0</v>
      </c>
      <c r="N65" s="6">
        <v>0</v>
      </c>
      <c r="O65" s="6">
        <v>18000</v>
      </c>
    </row>
    <row r="66" spans="2:20" ht="15.75" thickBot="1">
      <c r="B66" s="3" t="s">
        <v>27</v>
      </c>
      <c r="C66" s="4" t="s">
        <v>118</v>
      </c>
      <c r="D66" s="5" t="s">
        <v>76</v>
      </c>
      <c r="E66" s="5" t="s">
        <v>17</v>
      </c>
      <c r="F66" s="5">
        <v>30500053522</v>
      </c>
      <c r="G66" s="6">
        <v>-42046.11</v>
      </c>
      <c r="H66" s="6">
        <v>0</v>
      </c>
      <c r="I66" s="7">
        <v>0</v>
      </c>
      <c r="J66" s="7">
        <v>0</v>
      </c>
      <c r="K66" s="7">
        <v>0</v>
      </c>
      <c r="L66" s="7">
        <v>-8829.69</v>
      </c>
      <c r="M66" s="7">
        <v>0</v>
      </c>
      <c r="N66" s="6">
        <v>0</v>
      </c>
      <c r="O66" s="6">
        <v>-50875.8</v>
      </c>
    </row>
    <row r="67" spans="2:20">
      <c r="B67" s="8" t="s">
        <v>102</v>
      </c>
      <c r="C67" s="9" t="s">
        <v>119</v>
      </c>
      <c r="D67" s="10" t="s">
        <v>120</v>
      </c>
      <c r="E67" s="10" t="s">
        <v>17</v>
      </c>
      <c r="F67" s="10">
        <v>30522428163</v>
      </c>
      <c r="G67" s="11">
        <v>-13281.05</v>
      </c>
      <c r="H67" s="11">
        <v>0</v>
      </c>
      <c r="I67" s="12">
        <v>0</v>
      </c>
      <c r="J67" s="12">
        <v>0</v>
      </c>
      <c r="K67" s="12">
        <v>0</v>
      </c>
      <c r="L67" s="12">
        <v>-2789.02</v>
      </c>
      <c r="M67" s="12">
        <v>0</v>
      </c>
      <c r="N67" s="11">
        <v>0</v>
      </c>
      <c r="O67" s="11">
        <v>-16070.09</v>
      </c>
      <c r="Q67" s="157" t="s">
        <v>437</v>
      </c>
      <c r="R67" s="158"/>
      <c r="S67" s="158"/>
      <c r="T67" s="159"/>
    </row>
    <row r="68" spans="2:20">
      <c r="B68" s="8" t="s">
        <v>102</v>
      </c>
      <c r="C68" s="9" t="s">
        <v>119</v>
      </c>
      <c r="D68" s="10" t="s">
        <v>120</v>
      </c>
      <c r="E68" s="10" t="s">
        <v>17</v>
      </c>
      <c r="F68" s="10">
        <v>30522428163</v>
      </c>
      <c r="G68" s="11">
        <v>-63062.81</v>
      </c>
      <c r="H68" s="11">
        <v>0</v>
      </c>
      <c r="I68" s="12">
        <v>0</v>
      </c>
      <c r="J68" s="12">
        <v>0</v>
      </c>
      <c r="K68" s="12">
        <v>0</v>
      </c>
      <c r="L68" s="12">
        <v>-13243.19</v>
      </c>
      <c r="M68" s="12">
        <v>0</v>
      </c>
      <c r="N68" s="11">
        <v>0</v>
      </c>
      <c r="O68" s="11">
        <v>-76305.990000000005</v>
      </c>
      <c r="Q68" s="160"/>
      <c r="R68" s="161"/>
      <c r="S68" s="161"/>
      <c r="T68" s="162"/>
    </row>
    <row r="69" spans="2:20">
      <c r="B69" s="8" t="s">
        <v>102</v>
      </c>
      <c r="C69" s="9" t="s">
        <v>119</v>
      </c>
      <c r="D69" s="10" t="s">
        <v>120</v>
      </c>
      <c r="E69" s="10" t="s">
        <v>17</v>
      </c>
      <c r="F69" s="10">
        <v>30522428163</v>
      </c>
      <c r="G69" s="11">
        <v>-164834.71</v>
      </c>
      <c r="H69" s="11">
        <v>0</v>
      </c>
      <c r="I69" s="12">
        <v>0</v>
      </c>
      <c r="J69" s="12">
        <v>0</v>
      </c>
      <c r="K69" s="12">
        <v>0</v>
      </c>
      <c r="L69" s="12">
        <v>-34615.29</v>
      </c>
      <c r="M69" s="12">
        <v>0</v>
      </c>
      <c r="N69" s="11">
        <v>0</v>
      </c>
      <c r="O69" s="11">
        <v>-199450</v>
      </c>
      <c r="Q69" s="160"/>
      <c r="R69" s="161"/>
      <c r="S69" s="161"/>
      <c r="T69" s="162"/>
    </row>
    <row r="70" spans="2:20" ht="15.75" thickBot="1">
      <c r="B70" s="8" t="s">
        <v>102</v>
      </c>
      <c r="C70" s="9" t="s">
        <v>119</v>
      </c>
      <c r="D70" s="10" t="s">
        <v>120</v>
      </c>
      <c r="E70" s="10" t="s">
        <v>17</v>
      </c>
      <c r="F70" s="10">
        <v>30522428163</v>
      </c>
      <c r="G70" s="11">
        <v>-480165.29</v>
      </c>
      <c r="H70" s="11">
        <v>0</v>
      </c>
      <c r="I70" s="12">
        <v>0</v>
      </c>
      <c r="J70" s="12">
        <v>0</v>
      </c>
      <c r="K70" s="12">
        <v>0</v>
      </c>
      <c r="L70" s="12">
        <v>-100834.71</v>
      </c>
      <c r="M70" s="12">
        <v>0</v>
      </c>
      <c r="N70" s="11">
        <v>0</v>
      </c>
      <c r="O70" s="11">
        <v>-581000</v>
      </c>
      <c r="Q70" s="163"/>
      <c r="R70" s="164"/>
      <c r="S70" s="164"/>
      <c r="T70" s="165"/>
    </row>
    <row r="71" spans="2:20" s="22" customFormat="1" ht="15.75" thickBot="1">
      <c r="B71" s="34"/>
      <c r="C71" s="35"/>
      <c r="D71" s="36"/>
      <c r="E71" s="36"/>
      <c r="F71" s="36"/>
      <c r="G71" s="37">
        <f>SUM(G3:G70)</f>
        <v>37387587.779999994</v>
      </c>
      <c r="H71" s="37"/>
      <c r="I71" s="38"/>
      <c r="J71" s="38"/>
      <c r="K71" s="38"/>
      <c r="L71" s="38">
        <f>SUM(L3:L70)</f>
        <v>7851393.370000001</v>
      </c>
      <c r="M71" s="38"/>
      <c r="N71" s="37"/>
      <c r="O71" s="37">
        <f>SUM(O3:O70)</f>
        <v>45238981.139999986</v>
      </c>
      <c r="Q71" s="23"/>
      <c r="R71" s="23"/>
      <c r="S71" s="23"/>
      <c r="T71" s="23"/>
    </row>
    <row r="72" spans="2:20" s="22" customFormat="1">
      <c r="B72" s="24"/>
      <c r="C72" s="25"/>
      <c r="D72" s="26"/>
      <c r="E72" s="26"/>
      <c r="F72" s="26"/>
      <c r="G72" s="27"/>
      <c r="H72" s="27"/>
      <c r="I72" s="28"/>
      <c r="J72" s="28"/>
      <c r="K72" s="28"/>
      <c r="L72" s="28"/>
      <c r="M72" s="28"/>
      <c r="N72" s="27"/>
      <c r="O72" s="27"/>
      <c r="Q72" s="23"/>
      <c r="R72" s="23"/>
      <c r="S72" s="23"/>
      <c r="T72" s="23"/>
    </row>
    <row r="73" spans="2:20" s="22" customFormat="1">
      <c r="B73" s="24"/>
      <c r="C73" s="25"/>
      <c r="D73" s="26"/>
      <c r="E73" s="26"/>
      <c r="F73" s="26"/>
      <c r="G73" s="27"/>
      <c r="H73" s="27"/>
      <c r="I73" s="28"/>
      <c r="J73" s="28"/>
      <c r="K73" s="28"/>
      <c r="L73" s="28"/>
      <c r="M73" s="28"/>
      <c r="N73" s="27"/>
      <c r="O73" s="27"/>
      <c r="Q73" s="23"/>
      <c r="R73" s="23"/>
      <c r="S73" s="23"/>
      <c r="T73" s="23"/>
    </row>
    <row r="74" spans="2:20" s="22" customFormat="1">
      <c r="B74" s="24"/>
      <c r="C74" s="25"/>
      <c r="D74" s="26"/>
      <c r="E74" s="26"/>
      <c r="F74" s="26"/>
      <c r="G74" s="27"/>
      <c r="H74" s="27"/>
      <c r="I74" s="28"/>
      <c r="J74" s="28"/>
      <c r="K74" s="28"/>
      <c r="L74" s="28"/>
      <c r="M74" s="28"/>
      <c r="N74" s="27"/>
      <c r="O74" s="27"/>
      <c r="Q74" s="23"/>
      <c r="R74" s="23"/>
      <c r="S74" s="23"/>
      <c r="T74" s="23"/>
    </row>
    <row r="75" spans="2:20" s="22" customFormat="1" ht="15.75" thickBot="1">
      <c r="B75" s="24"/>
      <c r="C75" s="25"/>
      <c r="D75" s="26"/>
      <c r="E75" s="26"/>
      <c r="F75" s="26"/>
      <c r="G75" s="27"/>
      <c r="H75" s="27"/>
      <c r="I75" s="28"/>
      <c r="J75" s="28"/>
      <c r="K75" s="28"/>
      <c r="L75" s="28"/>
      <c r="M75" s="28"/>
      <c r="N75" s="27"/>
      <c r="O75" s="27"/>
      <c r="Q75" s="23"/>
      <c r="R75" s="23"/>
      <c r="S75" s="23"/>
      <c r="T75" s="23"/>
    </row>
    <row r="76" spans="2:20">
      <c r="B76" s="29"/>
      <c r="C76" s="30"/>
      <c r="D76" s="31"/>
      <c r="E76" s="31"/>
      <c r="F76" s="31"/>
      <c r="G76" s="32"/>
      <c r="H76" s="32"/>
      <c r="I76" s="33"/>
      <c r="J76" s="33"/>
      <c r="K76" s="33"/>
      <c r="L76" s="33"/>
      <c r="M76" s="33"/>
      <c r="N76" s="32"/>
      <c r="O76" s="32"/>
      <c r="Q76" s="16"/>
      <c r="R76" s="16"/>
      <c r="S76" s="16"/>
      <c r="T76" s="16"/>
    </row>
    <row r="77" spans="2:20">
      <c r="B77" s="17"/>
      <c r="C77" s="18"/>
      <c r="D77" s="19"/>
      <c r="E77" s="19"/>
      <c r="F77" s="19"/>
      <c r="G77" s="20"/>
      <c r="H77" s="20"/>
      <c r="I77" s="21"/>
      <c r="J77" s="21"/>
      <c r="K77" s="21"/>
      <c r="L77" s="21"/>
      <c r="M77" s="21"/>
      <c r="N77" s="20"/>
      <c r="O77" s="20"/>
      <c r="Q77" s="16"/>
      <c r="R77" s="16"/>
      <c r="S77" s="16"/>
      <c r="T77" s="16"/>
    </row>
    <row r="78" spans="2:20">
      <c r="B78" s="3" t="s">
        <v>14</v>
      </c>
      <c r="C78" s="4" t="s">
        <v>121</v>
      </c>
      <c r="D78" s="5" t="s">
        <v>122</v>
      </c>
      <c r="E78" s="5" t="s">
        <v>123</v>
      </c>
      <c r="F78" s="5" t="s">
        <v>124</v>
      </c>
      <c r="G78" s="6">
        <v>6942.15</v>
      </c>
      <c r="H78" s="6">
        <v>0</v>
      </c>
      <c r="I78" s="7">
        <v>0</v>
      </c>
      <c r="J78" s="7">
        <v>0</v>
      </c>
      <c r="K78" s="7">
        <v>0</v>
      </c>
      <c r="L78" s="7">
        <v>1457.85</v>
      </c>
      <c r="M78" s="7">
        <v>0</v>
      </c>
      <c r="N78" s="6">
        <v>0</v>
      </c>
      <c r="O78" s="6">
        <v>8400</v>
      </c>
    </row>
    <row r="79" spans="2:20">
      <c r="B79" s="3" t="s">
        <v>14</v>
      </c>
      <c r="C79" s="4" t="s">
        <v>125</v>
      </c>
      <c r="D79" s="5" t="s">
        <v>122</v>
      </c>
      <c r="E79" s="5" t="s">
        <v>123</v>
      </c>
      <c r="F79" s="5" t="s">
        <v>124</v>
      </c>
      <c r="G79" s="6">
        <v>3471.07</v>
      </c>
      <c r="H79" s="6">
        <v>0</v>
      </c>
      <c r="I79" s="7">
        <v>0</v>
      </c>
      <c r="J79" s="7">
        <v>0</v>
      </c>
      <c r="K79" s="7">
        <v>0</v>
      </c>
      <c r="L79" s="7">
        <v>728.93</v>
      </c>
      <c r="M79" s="7">
        <v>0</v>
      </c>
      <c r="N79" s="6">
        <v>0</v>
      </c>
      <c r="O79" s="6">
        <v>4200</v>
      </c>
    </row>
    <row r="80" spans="2:20">
      <c r="B80" s="3" t="s">
        <v>14</v>
      </c>
      <c r="C80" s="4" t="s">
        <v>126</v>
      </c>
      <c r="D80" s="5" t="s">
        <v>122</v>
      </c>
      <c r="E80" s="5" t="s">
        <v>123</v>
      </c>
      <c r="F80" s="5" t="s">
        <v>124</v>
      </c>
      <c r="G80" s="6">
        <v>4710.74</v>
      </c>
      <c r="H80" s="6">
        <v>0</v>
      </c>
      <c r="I80" s="7">
        <v>0</v>
      </c>
      <c r="J80" s="7">
        <v>0</v>
      </c>
      <c r="K80" s="7">
        <v>0</v>
      </c>
      <c r="L80" s="7">
        <v>989.26</v>
      </c>
      <c r="M80" s="7">
        <v>0</v>
      </c>
      <c r="N80" s="6">
        <v>0</v>
      </c>
      <c r="O80" s="6">
        <v>5700</v>
      </c>
    </row>
    <row r="81" spans="2:15">
      <c r="B81" s="3" t="s">
        <v>14</v>
      </c>
      <c r="C81" s="4" t="s">
        <v>127</v>
      </c>
      <c r="D81" s="5" t="s">
        <v>122</v>
      </c>
      <c r="E81" s="5" t="s">
        <v>123</v>
      </c>
      <c r="F81" s="5" t="s">
        <v>124</v>
      </c>
      <c r="G81" s="6">
        <v>3719.01</v>
      </c>
      <c r="H81" s="6">
        <v>0</v>
      </c>
      <c r="I81" s="7">
        <v>0</v>
      </c>
      <c r="J81" s="7">
        <v>0</v>
      </c>
      <c r="K81" s="7">
        <v>0</v>
      </c>
      <c r="L81" s="7">
        <v>780.99</v>
      </c>
      <c r="M81" s="7">
        <v>0</v>
      </c>
      <c r="N81" s="6">
        <v>0</v>
      </c>
      <c r="O81" s="6">
        <v>4500</v>
      </c>
    </row>
    <row r="82" spans="2:15">
      <c r="B82" s="3" t="s">
        <v>14</v>
      </c>
      <c r="C82" s="4" t="s">
        <v>128</v>
      </c>
      <c r="D82" s="5" t="s">
        <v>122</v>
      </c>
      <c r="E82" s="5" t="s">
        <v>123</v>
      </c>
      <c r="F82" s="5" t="s">
        <v>124</v>
      </c>
      <c r="G82" s="6">
        <v>1528.93</v>
      </c>
      <c r="H82" s="6">
        <v>0</v>
      </c>
      <c r="I82" s="7">
        <v>0</v>
      </c>
      <c r="J82" s="7">
        <v>0</v>
      </c>
      <c r="K82" s="7">
        <v>0</v>
      </c>
      <c r="L82" s="7">
        <v>321.07</v>
      </c>
      <c r="M82" s="7">
        <v>0</v>
      </c>
      <c r="N82" s="6">
        <v>0</v>
      </c>
      <c r="O82" s="6">
        <v>1850</v>
      </c>
    </row>
    <row r="83" spans="2:15">
      <c r="B83" s="3" t="s">
        <v>14</v>
      </c>
      <c r="C83" s="4" t="s">
        <v>129</v>
      </c>
      <c r="D83" s="5" t="s">
        <v>122</v>
      </c>
      <c r="E83" s="5" t="s">
        <v>123</v>
      </c>
      <c r="F83" s="5" t="s">
        <v>124</v>
      </c>
      <c r="G83" s="6">
        <v>2933.88</v>
      </c>
      <c r="H83" s="6">
        <v>0</v>
      </c>
      <c r="I83" s="7">
        <v>0</v>
      </c>
      <c r="J83" s="7">
        <v>0</v>
      </c>
      <c r="K83" s="7">
        <v>0</v>
      </c>
      <c r="L83" s="7">
        <v>616.12</v>
      </c>
      <c r="M83" s="7">
        <v>0</v>
      </c>
      <c r="N83" s="6">
        <v>0</v>
      </c>
      <c r="O83" s="6">
        <v>3550</v>
      </c>
    </row>
    <row r="84" spans="2:15">
      <c r="B84" s="3" t="s">
        <v>14</v>
      </c>
      <c r="C84" s="4" t="s">
        <v>130</v>
      </c>
      <c r="D84" s="5" t="s">
        <v>122</v>
      </c>
      <c r="E84" s="5" t="s">
        <v>123</v>
      </c>
      <c r="F84" s="5" t="s">
        <v>124</v>
      </c>
      <c r="G84" s="6">
        <v>5867.77</v>
      </c>
      <c r="H84" s="6">
        <v>0</v>
      </c>
      <c r="I84" s="7">
        <v>0</v>
      </c>
      <c r="J84" s="7">
        <v>0</v>
      </c>
      <c r="K84" s="7">
        <v>0</v>
      </c>
      <c r="L84" s="7">
        <v>1232.23</v>
      </c>
      <c r="M84" s="7">
        <v>0</v>
      </c>
      <c r="N84" s="6">
        <v>0</v>
      </c>
      <c r="O84" s="6">
        <v>7100</v>
      </c>
    </row>
    <row r="85" spans="2:15">
      <c r="B85" s="3" t="s">
        <v>14</v>
      </c>
      <c r="C85" s="4" t="s">
        <v>131</v>
      </c>
      <c r="D85" s="5" t="s">
        <v>122</v>
      </c>
      <c r="E85" s="5" t="s">
        <v>123</v>
      </c>
      <c r="F85" s="5" t="s">
        <v>124</v>
      </c>
      <c r="G85" s="6">
        <v>7438.02</v>
      </c>
      <c r="H85" s="6">
        <v>0</v>
      </c>
      <c r="I85" s="7">
        <v>0</v>
      </c>
      <c r="J85" s="7">
        <v>0</v>
      </c>
      <c r="K85" s="7">
        <v>0</v>
      </c>
      <c r="L85" s="7">
        <v>1561.98</v>
      </c>
      <c r="M85" s="7">
        <v>0</v>
      </c>
      <c r="N85" s="6">
        <v>0</v>
      </c>
      <c r="O85" s="6">
        <v>9000</v>
      </c>
    </row>
    <row r="86" spans="2:15">
      <c r="B86" s="3" t="s">
        <v>14</v>
      </c>
      <c r="C86" s="4" t="s">
        <v>132</v>
      </c>
      <c r="D86" s="5" t="s">
        <v>122</v>
      </c>
      <c r="E86" s="5" t="s">
        <v>123</v>
      </c>
      <c r="F86" s="5" t="s">
        <v>124</v>
      </c>
      <c r="G86" s="6">
        <v>10495.87</v>
      </c>
      <c r="H86" s="6">
        <v>0</v>
      </c>
      <c r="I86" s="7">
        <v>0</v>
      </c>
      <c r="J86" s="7">
        <v>0</v>
      </c>
      <c r="K86" s="7">
        <v>0</v>
      </c>
      <c r="L86" s="7">
        <v>2204.13</v>
      </c>
      <c r="M86" s="7">
        <v>0</v>
      </c>
      <c r="N86" s="6">
        <v>0</v>
      </c>
      <c r="O86" s="6">
        <v>12700</v>
      </c>
    </row>
    <row r="87" spans="2:15">
      <c r="B87" s="3" t="s">
        <v>14</v>
      </c>
      <c r="C87" s="4" t="s">
        <v>133</v>
      </c>
      <c r="D87" s="5" t="s">
        <v>122</v>
      </c>
      <c r="E87" s="5" t="s">
        <v>123</v>
      </c>
      <c r="F87" s="5" t="s">
        <v>124</v>
      </c>
      <c r="G87" s="6">
        <v>9049.59</v>
      </c>
      <c r="H87" s="6">
        <v>0</v>
      </c>
      <c r="I87" s="7">
        <v>0</v>
      </c>
      <c r="J87" s="7">
        <v>0</v>
      </c>
      <c r="K87" s="7">
        <v>0</v>
      </c>
      <c r="L87" s="7">
        <v>1900.41</v>
      </c>
      <c r="M87" s="7">
        <v>0</v>
      </c>
      <c r="N87" s="6">
        <v>0</v>
      </c>
      <c r="O87" s="6">
        <v>10950</v>
      </c>
    </row>
    <row r="88" spans="2:15">
      <c r="B88" s="3" t="s">
        <v>24</v>
      </c>
      <c r="C88" s="4" t="s">
        <v>134</v>
      </c>
      <c r="D88" s="5" t="s">
        <v>122</v>
      </c>
      <c r="E88" s="5" t="s">
        <v>123</v>
      </c>
      <c r="F88" s="5" t="s">
        <v>124</v>
      </c>
      <c r="G88" s="6">
        <v>8347.11</v>
      </c>
      <c r="H88" s="6">
        <v>0</v>
      </c>
      <c r="I88" s="7">
        <v>0</v>
      </c>
      <c r="J88" s="7">
        <v>0</v>
      </c>
      <c r="K88" s="7">
        <v>0</v>
      </c>
      <c r="L88" s="7">
        <v>1752.89</v>
      </c>
      <c r="M88" s="7">
        <v>0</v>
      </c>
      <c r="N88" s="6">
        <v>0</v>
      </c>
      <c r="O88" s="6">
        <v>10100</v>
      </c>
    </row>
    <row r="89" spans="2:15">
      <c r="B89" s="3" t="s">
        <v>24</v>
      </c>
      <c r="C89" s="4" t="s">
        <v>135</v>
      </c>
      <c r="D89" s="5" t="s">
        <v>122</v>
      </c>
      <c r="E89" s="5" t="s">
        <v>123</v>
      </c>
      <c r="F89" s="5" t="s">
        <v>124</v>
      </c>
      <c r="G89" s="6">
        <v>19876.03</v>
      </c>
      <c r="H89" s="6">
        <v>0</v>
      </c>
      <c r="I89" s="7">
        <v>0</v>
      </c>
      <c r="J89" s="7">
        <v>0</v>
      </c>
      <c r="K89" s="7">
        <v>0</v>
      </c>
      <c r="L89" s="7">
        <v>4173.97</v>
      </c>
      <c r="M89" s="7">
        <v>0</v>
      </c>
      <c r="N89" s="6">
        <v>0</v>
      </c>
      <c r="O89" s="6">
        <v>24050</v>
      </c>
    </row>
    <row r="90" spans="2:15">
      <c r="B90" s="3" t="s">
        <v>24</v>
      </c>
      <c r="C90" s="4" t="s">
        <v>136</v>
      </c>
      <c r="D90" s="5" t="s">
        <v>122</v>
      </c>
      <c r="E90" s="5" t="s">
        <v>123</v>
      </c>
      <c r="F90" s="5" t="s">
        <v>124</v>
      </c>
      <c r="G90" s="6">
        <v>6363.64</v>
      </c>
      <c r="H90" s="6">
        <v>0</v>
      </c>
      <c r="I90" s="7">
        <v>0</v>
      </c>
      <c r="J90" s="7">
        <v>0</v>
      </c>
      <c r="K90" s="7">
        <v>0</v>
      </c>
      <c r="L90" s="7">
        <v>1336.36</v>
      </c>
      <c r="M90" s="7">
        <v>0</v>
      </c>
      <c r="N90" s="6">
        <v>0</v>
      </c>
      <c r="O90" s="6">
        <v>7700</v>
      </c>
    </row>
    <row r="91" spans="2:15">
      <c r="B91" s="3" t="s">
        <v>24</v>
      </c>
      <c r="C91" s="4" t="s">
        <v>137</v>
      </c>
      <c r="D91" s="5" t="s">
        <v>122</v>
      </c>
      <c r="E91" s="5" t="s">
        <v>123</v>
      </c>
      <c r="F91" s="5" t="s">
        <v>124</v>
      </c>
      <c r="G91" s="6">
        <v>3471.07</v>
      </c>
      <c r="H91" s="6">
        <v>0</v>
      </c>
      <c r="I91" s="7">
        <v>0</v>
      </c>
      <c r="J91" s="7">
        <v>0</v>
      </c>
      <c r="K91" s="7">
        <v>0</v>
      </c>
      <c r="L91" s="7">
        <v>728.93</v>
      </c>
      <c r="M91" s="7">
        <v>0</v>
      </c>
      <c r="N91" s="6">
        <v>0</v>
      </c>
      <c r="O91" s="6">
        <v>4200</v>
      </c>
    </row>
    <row r="92" spans="2:15">
      <c r="B92" s="3" t="s">
        <v>24</v>
      </c>
      <c r="C92" s="4" t="s">
        <v>138</v>
      </c>
      <c r="D92" s="5" t="s">
        <v>122</v>
      </c>
      <c r="E92" s="5" t="s">
        <v>123</v>
      </c>
      <c r="F92" s="5" t="s">
        <v>124</v>
      </c>
      <c r="G92" s="6">
        <v>3140.5</v>
      </c>
      <c r="H92" s="6">
        <v>0</v>
      </c>
      <c r="I92" s="7">
        <v>0</v>
      </c>
      <c r="J92" s="7">
        <v>0</v>
      </c>
      <c r="K92" s="7">
        <v>0</v>
      </c>
      <c r="L92" s="7">
        <v>659.5</v>
      </c>
      <c r="M92" s="7">
        <v>0</v>
      </c>
      <c r="N92" s="6">
        <v>0</v>
      </c>
      <c r="O92" s="6">
        <v>3800</v>
      </c>
    </row>
    <row r="93" spans="2:15">
      <c r="B93" s="3" t="s">
        <v>50</v>
      </c>
      <c r="C93" s="4" t="s">
        <v>139</v>
      </c>
      <c r="D93" s="5" t="s">
        <v>122</v>
      </c>
      <c r="E93" s="5" t="s">
        <v>123</v>
      </c>
      <c r="F93" s="5" t="s">
        <v>124</v>
      </c>
      <c r="G93" s="6">
        <v>5785.12</v>
      </c>
      <c r="H93" s="6">
        <v>0</v>
      </c>
      <c r="I93" s="7">
        <v>0</v>
      </c>
      <c r="J93" s="7">
        <v>0</v>
      </c>
      <c r="K93" s="7">
        <v>0</v>
      </c>
      <c r="L93" s="7">
        <v>1214.8800000000001</v>
      </c>
      <c r="M93" s="7">
        <v>0</v>
      </c>
      <c r="N93" s="6">
        <v>0</v>
      </c>
      <c r="O93" s="6">
        <v>7000</v>
      </c>
    </row>
    <row r="94" spans="2:15">
      <c r="B94" s="3" t="s">
        <v>50</v>
      </c>
      <c r="C94" s="4" t="s">
        <v>140</v>
      </c>
      <c r="D94" s="5" t="s">
        <v>122</v>
      </c>
      <c r="E94" s="5" t="s">
        <v>123</v>
      </c>
      <c r="F94" s="5" t="s">
        <v>124</v>
      </c>
      <c r="G94" s="6">
        <v>4462.8100000000004</v>
      </c>
      <c r="H94" s="6">
        <v>0</v>
      </c>
      <c r="I94" s="7">
        <v>0</v>
      </c>
      <c r="J94" s="7">
        <v>0</v>
      </c>
      <c r="K94" s="7">
        <v>0</v>
      </c>
      <c r="L94" s="7">
        <v>937.19</v>
      </c>
      <c r="M94" s="7">
        <v>0</v>
      </c>
      <c r="N94" s="6">
        <v>0</v>
      </c>
      <c r="O94" s="6">
        <v>5400</v>
      </c>
    </row>
    <row r="95" spans="2:15">
      <c r="B95" s="3" t="s">
        <v>50</v>
      </c>
      <c r="C95" s="4" t="s">
        <v>141</v>
      </c>
      <c r="D95" s="5" t="s">
        <v>122</v>
      </c>
      <c r="E95" s="5" t="s">
        <v>123</v>
      </c>
      <c r="F95" s="5" t="s">
        <v>124</v>
      </c>
      <c r="G95" s="6">
        <v>8264.4600000000009</v>
      </c>
      <c r="H95" s="6">
        <v>0</v>
      </c>
      <c r="I95" s="7">
        <v>0</v>
      </c>
      <c r="J95" s="7">
        <v>0</v>
      </c>
      <c r="K95" s="7">
        <v>0</v>
      </c>
      <c r="L95" s="7">
        <v>1735.54</v>
      </c>
      <c r="M95" s="7">
        <v>0</v>
      </c>
      <c r="N95" s="6">
        <v>0</v>
      </c>
      <c r="O95" s="6">
        <v>10000</v>
      </c>
    </row>
    <row r="96" spans="2:15">
      <c r="B96" s="3" t="s">
        <v>55</v>
      </c>
      <c r="C96" s="4" t="s">
        <v>142</v>
      </c>
      <c r="D96" s="5" t="s">
        <v>122</v>
      </c>
      <c r="E96" s="5" t="s">
        <v>123</v>
      </c>
      <c r="F96" s="5" t="s">
        <v>124</v>
      </c>
      <c r="G96" s="6">
        <v>6611.57</v>
      </c>
      <c r="H96" s="6">
        <v>0</v>
      </c>
      <c r="I96" s="7">
        <v>0</v>
      </c>
      <c r="J96" s="7">
        <v>0</v>
      </c>
      <c r="K96" s="7">
        <v>0</v>
      </c>
      <c r="L96" s="7">
        <v>1388.43</v>
      </c>
      <c r="M96" s="7">
        <v>0</v>
      </c>
      <c r="N96" s="6">
        <v>0</v>
      </c>
      <c r="O96" s="6">
        <v>8000</v>
      </c>
    </row>
    <row r="97" spans="2:15">
      <c r="B97" s="3" t="s">
        <v>55</v>
      </c>
      <c r="C97" s="4" t="s">
        <v>143</v>
      </c>
      <c r="D97" s="5" t="s">
        <v>122</v>
      </c>
      <c r="E97" s="5" t="s">
        <v>123</v>
      </c>
      <c r="F97" s="5" t="s">
        <v>124</v>
      </c>
      <c r="G97" s="6">
        <v>1859.5</v>
      </c>
      <c r="H97" s="6">
        <v>0</v>
      </c>
      <c r="I97" s="7">
        <v>0</v>
      </c>
      <c r="J97" s="7">
        <v>0</v>
      </c>
      <c r="K97" s="7">
        <v>0</v>
      </c>
      <c r="L97" s="7">
        <v>390.5</v>
      </c>
      <c r="M97" s="7">
        <v>0</v>
      </c>
      <c r="N97" s="6">
        <v>0</v>
      </c>
      <c r="O97" s="6">
        <v>2250</v>
      </c>
    </row>
    <row r="98" spans="2:15">
      <c r="B98" s="3" t="s">
        <v>55</v>
      </c>
      <c r="C98" s="4" t="s">
        <v>144</v>
      </c>
      <c r="D98" s="5" t="s">
        <v>122</v>
      </c>
      <c r="E98" s="5" t="s">
        <v>123</v>
      </c>
      <c r="F98" s="5" t="s">
        <v>124</v>
      </c>
      <c r="G98" s="6">
        <v>4214.88</v>
      </c>
      <c r="H98" s="6">
        <v>0</v>
      </c>
      <c r="I98" s="7">
        <v>0</v>
      </c>
      <c r="J98" s="7">
        <v>0</v>
      </c>
      <c r="K98" s="7">
        <v>0</v>
      </c>
      <c r="L98" s="7">
        <v>885.12</v>
      </c>
      <c r="M98" s="7">
        <v>0</v>
      </c>
      <c r="N98" s="6">
        <v>0</v>
      </c>
      <c r="O98" s="6">
        <v>5100</v>
      </c>
    </row>
    <row r="99" spans="2:15">
      <c r="B99" s="3" t="s">
        <v>55</v>
      </c>
      <c r="C99" s="4" t="s">
        <v>145</v>
      </c>
      <c r="D99" s="5" t="s">
        <v>122</v>
      </c>
      <c r="E99" s="5" t="s">
        <v>123</v>
      </c>
      <c r="F99" s="5" t="s">
        <v>124</v>
      </c>
      <c r="G99" s="6">
        <v>5867.77</v>
      </c>
      <c r="H99" s="6">
        <v>0</v>
      </c>
      <c r="I99" s="7">
        <v>0</v>
      </c>
      <c r="J99" s="7">
        <v>0</v>
      </c>
      <c r="K99" s="7">
        <v>0</v>
      </c>
      <c r="L99" s="7">
        <v>1232.23</v>
      </c>
      <c r="M99" s="7">
        <v>0</v>
      </c>
      <c r="N99" s="6">
        <v>0</v>
      </c>
      <c r="O99" s="6">
        <v>7100</v>
      </c>
    </row>
    <row r="100" spans="2:15">
      <c r="B100" s="3" t="s">
        <v>55</v>
      </c>
      <c r="C100" s="4" t="s">
        <v>146</v>
      </c>
      <c r="D100" s="5" t="s">
        <v>122</v>
      </c>
      <c r="E100" s="5" t="s">
        <v>123</v>
      </c>
      <c r="F100" s="5" t="s">
        <v>124</v>
      </c>
      <c r="G100" s="6">
        <v>8842.98</v>
      </c>
      <c r="H100" s="6">
        <v>0</v>
      </c>
      <c r="I100" s="7">
        <v>0</v>
      </c>
      <c r="J100" s="7">
        <v>0</v>
      </c>
      <c r="K100" s="7">
        <v>0</v>
      </c>
      <c r="L100" s="7">
        <v>1857.02</v>
      </c>
      <c r="M100" s="7">
        <v>0</v>
      </c>
      <c r="N100" s="6">
        <v>0</v>
      </c>
      <c r="O100" s="6">
        <v>10700</v>
      </c>
    </row>
    <row r="101" spans="2:15">
      <c r="B101" s="3" t="s">
        <v>27</v>
      </c>
      <c r="C101" s="4" t="s">
        <v>147</v>
      </c>
      <c r="D101" s="5" t="s">
        <v>122</v>
      </c>
      <c r="E101" s="5" t="s">
        <v>123</v>
      </c>
      <c r="F101" s="5" t="s">
        <v>124</v>
      </c>
      <c r="G101" s="6">
        <v>5867.77</v>
      </c>
      <c r="H101" s="6">
        <v>0</v>
      </c>
      <c r="I101" s="7">
        <v>0</v>
      </c>
      <c r="J101" s="7">
        <v>0</v>
      </c>
      <c r="K101" s="7">
        <v>0</v>
      </c>
      <c r="L101" s="7">
        <v>1232.23</v>
      </c>
      <c r="M101" s="7">
        <v>0</v>
      </c>
      <c r="N101" s="6">
        <v>0</v>
      </c>
      <c r="O101" s="6">
        <v>7100</v>
      </c>
    </row>
    <row r="102" spans="2:15">
      <c r="B102" s="3" t="s">
        <v>27</v>
      </c>
      <c r="C102" s="4" t="s">
        <v>148</v>
      </c>
      <c r="D102" s="5" t="s">
        <v>122</v>
      </c>
      <c r="E102" s="5" t="s">
        <v>123</v>
      </c>
      <c r="F102" s="5" t="s">
        <v>124</v>
      </c>
      <c r="G102" s="6">
        <v>4958.68</v>
      </c>
      <c r="H102" s="6">
        <v>0</v>
      </c>
      <c r="I102" s="7">
        <v>0</v>
      </c>
      <c r="J102" s="7">
        <v>0</v>
      </c>
      <c r="K102" s="7">
        <v>0</v>
      </c>
      <c r="L102" s="7">
        <v>1041.32</v>
      </c>
      <c r="M102" s="7">
        <v>0</v>
      </c>
      <c r="N102" s="6">
        <v>0</v>
      </c>
      <c r="O102" s="6">
        <v>6000</v>
      </c>
    </row>
    <row r="103" spans="2:15">
      <c r="B103" s="3" t="s">
        <v>27</v>
      </c>
      <c r="C103" s="4" t="s">
        <v>149</v>
      </c>
      <c r="D103" s="5" t="s">
        <v>122</v>
      </c>
      <c r="E103" s="5" t="s">
        <v>123</v>
      </c>
      <c r="F103" s="5" t="s">
        <v>124</v>
      </c>
      <c r="G103" s="6">
        <v>3553.72</v>
      </c>
      <c r="H103" s="6">
        <v>0</v>
      </c>
      <c r="I103" s="7">
        <v>0</v>
      </c>
      <c r="J103" s="7">
        <v>0</v>
      </c>
      <c r="K103" s="7">
        <v>0</v>
      </c>
      <c r="L103" s="7">
        <v>746.28</v>
      </c>
      <c r="M103" s="7">
        <v>0</v>
      </c>
      <c r="N103" s="6">
        <v>0</v>
      </c>
      <c r="O103" s="6">
        <v>4300</v>
      </c>
    </row>
    <row r="104" spans="2:15">
      <c r="B104" s="3" t="s">
        <v>27</v>
      </c>
      <c r="C104" s="4" t="s">
        <v>150</v>
      </c>
      <c r="D104" s="5" t="s">
        <v>122</v>
      </c>
      <c r="E104" s="5" t="s">
        <v>123</v>
      </c>
      <c r="F104" s="5" t="s">
        <v>124</v>
      </c>
      <c r="G104" s="6">
        <v>7231.4</v>
      </c>
      <c r="H104" s="6">
        <v>0</v>
      </c>
      <c r="I104" s="7">
        <v>0</v>
      </c>
      <c r="J104" s="7">
        <v>0</v>
      </c>
      <c r="K104" s="7">
        <v>0</v>
      </c>
      <c r="L104" s="7">
        <v>1518.6</v>
      </c>
      <c r="M104" s="7">
        <v>0</v>
      </c>
      <c r="N104" s="6">
        <v>0</v>
      </c>
      <c r="O104" s="6">
        <v>8750</v>
      </c>
    </row>
    <row r="105" spans="2:15">
      <c r="B105" s="3" t="s">
        <v>27</v>
      </c>
      <c r="C105" s="4" t="s">
        <v>151</v>
      </c>
      <c r="D105" s="5" t="s">
        <v>122</v>
      </c>
      <c r="E105" s="5" t="s">
        <v>123</v>
      </c>
      <c r="F105" s="5" t="s">
        <v>124</v>
      </c>
      <c r="G105" s="6">
        <v>16280.99</v>
      </c>
      <c r="H105" s="6">
        <v>0</v>
      </c>
      <c r="I105" s="7">
        <v>0</v>
      </c>
      <c r="J105" s="7">
        <v>0</v>
      </c>
      <c r="K105" s="7">
        <v>0</v>
      </c>
      <c r="L105" s="7">
        <v>3419.01</v>
      </c>
      <c r="M105" s="7">
        <v>0</v>
      </c>
      <c r="N105" s="6">
        <v>0</v>
      </c>
      <c r="O105" s="6">
        <v>19700</v>
      </c>
    </row>
    <row r="106" spans="2:15">
      <c r="B106" s="3" t="s">
        <v>27</v>
      </c>
      <c r="C106" s="4" t="s">
        <v>152</v>
      </c>
      <c r="D106" s="5" t="s">
        <v>153</v>
      </c>
      <c r="E106" s="5" t="s">
        <v>123</v>
      </c>
      <c r="F106" s="5" t="s">
        <v>124</v>
      </c>
      <c r="G106" s="6">
        <v>4008.26</v>
      </c>
      <c r="H106" s="6">
        <v>0</v>
      </c>
      <c r="I106" s="7">
        <v>0</v>
      </c>
      <c r="J106" s="7">
        <v>0</v>
      </c>
      <c r="K106" s="7">
        <v>0</v>
      </c>
      <c r="L106" s="7">
        <v>841.74</v>
      </c>
      <c r="M106" s="7">
        <v>0</v>
      </c>
      <c r="N106" s="6">
        <v>0</v>
      </c>
      <c r="O106" s="6">
        <v>4850</v>
      </c>
    </row>
    <row r="107" spans="2:15">
      <c r="B107" s="3" t="s">
        <v>78</v>
      </c>
      <c r="C107" s="4" t="s">
        <v>154</v>
      </c>
      <c r="D107" s="5" t="s">
        <v>122</v>
      </c>
      <c r="E107" s="5" t="s">
        <v>123</v>
      </c>
      <c r="F107" s="5" t="s">
        <v>124</v>
      </c>
      <c r="G107" s="6">
        <v>6942.15</v>
      </c>
      <c r="H107" s="6">
        <v>0</v>
      </c>
      <c r="I107" s="7">
        <v>0</v>
      </c>
      <c r="J107" s="7">
        <v>0</v>
      </c>
      <c r="K107" s="7">
        <v>0</v>
      </c>
      <c r="L107" s="7">
        <v>1457.85</v>
      </c>
      <c r="M107" s="7">
        <v>0</v>
      </c>
      <c r="N107" s="6">
        <v>0</v>
      </c>
      <c r="O107" s="6">
        <v>8400</v>
      </c>
    </row>
    <row r="108" spans="2:15">
      <c r="B108" s="3" t="s">
        <v>78</v>
      </c>
      <c r="C108" s="4" t="s">
        <v>155</v>
      </c>
      <c r="D108" s="5" t="s">
        <v>122</v>
      </c>
      <c r="E108" s="5" t="s">
        <v>123</v>
      </c>
      <c r="F108" s="5" t="s">
        <v>124</v>
      </c>
      <c r="G108" s="6">
        <v>5454.54</v>
      </c>
      <c r="H108" s="6">
        <v>0</v>
      </c>
      <c r="I108" s="7">
        <v>0</v>
      </c>
      <c r="J108" s="7">
        <v>0</v>
      </c>
      <c r="K108" s="7">
        <v>0</v>
      </c>
      <c r="L108" s="7">
        <v>1145.46</v>
      </c>
      <c r="M108" s="7">
        <v>0</v>
      </c>
      <c r="N108" s="6">
        <v>0</v>
      </c>
      <c r="O108" s="6">
        <v>6600</v>
      </c>
    </row>
    <row r="109" spans="2:15">
      <c r="B109" s="3" t="s">
        <v>78</v>
      </c>
      <c r="C109" s="4" t="s">
        <v>156</v>
      </c>
      <c r="D109" s="5" t="s">
        <v>122</v>
      </c>
      <c r="E109" s="5" t="s">
        <v>123</v>
      </c>
      <c r="F109" s="5" t="s">
        <v>124</v>
      </c>
      <c r="G109" s="6">
        <v>1818.18</v>
      </c>
      <c r="H109" s="6">
        <v>0</v>
      </c>
      <c r="I109" s="7">
        <v>0</v>
      </c>
      <c r="J109" s="7">
        <v>0</v>
      </c>
      <c r="K109" s="7">
        <v>0</v>
      </c>
      <c r="L109" s="7">
        <v>381.82</v>
      </c>
      <c r="M109" s="7">
        <v>0</v>
      </c>
      <c r="N109" s="6">
        <v>0</v>
      </c>
      <c r="O109" s="6">
        <v>2200</v>
      </c>
    </row>
    <row r="110" spans="2:15">
      <c r="B110" s="3" t="s">
        <v>78</v>
      </c>
      <c r="C110" s="4" t="s">
        <v>157</v>
      </c>
      <c r="D110" s="5" t="s">
        <v>122</v>
      </c>
      <c r="E110" s="5" t="s">
        <v>123</v>
      </c>
      <c r="F110" s="5" t="s">
        <v>124</v>
      </c>
      <c r="G110" s="6">
        <v>4214.88</v>
      </c>
      <c r="H110" s="6">
        <v>0</v>
      </c>
      <c r="I110" s="7">
        <v>0</v>
      </c>
      <c r="J110" s="7">
        <v>0</v>
      </c>
      <c r="K110" s="7">
        <v>0</v>
      </c>
      <c r="L110" s="7">
        <v>885.12</v>
      </c>
      <c r="M110" s="7">
        <v>0</v>
      </c>
      <c r="N110" s="6">
        <v>0</v>
      </c>
      <c r="O110" s="6">
        <v>5100</v>
      </c>
    </row>
    <row r="111" spans="2:15">
      <c r="B111" s="3" t="s">
        <v>78</v>
      </c>
      <c r="C111" s="4" t="s">
        <v>158</v>
      </c>
      <c r="D111" s="5" t="s">
        <v>122</v>
      </c>
      <c r="E111" s="5" t="s">
        <v>123</v>
      </c>
      <c r="F111" s="5" t="s">
        <v>124</v>
      </c>
      <c r="G111" s="6">
        <v>6198.35</v>
      </c>
      <c r="H111" s="6">
        <v>0</v>
      </c>
      <c r="I111" s="7">
        <v>0</v>
      </c>
      <c r="J111" s="7">
        <v>0</v>
      </c>
      <c r="K111" s="7">
        <v>0</v>
      </c>
      <c r="L111" s="7">
        <v>1301.6500000000001</v>
      </c>
      <c r="M111" s="7">
        <v>0</v>
      </c>
      <c r="N111" s="6">
        <v>0</v>
      </c>
      <c r="O111" s="6">
        <v>7500</v>
      </c>
    </row>
    <row r="112" spans="2:15">
      <c r="B112" s="3" t="s">
        <v>78</v>
      </c>
      <c r="C112" s="4" t="s">
        <v>159</v>
      </c>
      <c r="D112" s="5" t="s">
        <v>122</v>
      </c>
      <c r="E112" s="5" t="s">
        <v>123</v>
      </c>
      <c r="F112" s="5" t="s">
        <v>124</v>
      </c>
      <c r="G112" s="6">
        <v>7603.31</v>
      </c>
      <c r="H112" s="6">
        <v>0</v>
      </c>
      <c r="I112" s="7">
        <v>0</v>
      </c>
      <c r="J112" s="7">
        <v>0</v>
      </c>
      <c r="K112" s="7">
        <v>0</v>
      </c>
      <c r="L112" s="7">
        <v>1596.69</v>
      </c>
      <c r="M112" s="7">
        <v>0</v>
      </c>
      <c r="N112" s="6">
        <v>0</v>
      </c>
      <c r="O112" s="6">
        <v>9200</v>
      </c>
    </row>
    <row r="113" spans="2:15">
      <c r="B113" s="3" t="s">
        <v>78</v>
      </c>
      <c r="C113" s="4" t="s">
        <v>160</v>
      </c>
      <c r="D113" s="5" t="s">
        <v>122</v>
      </c>
      <c r="E113" s="5" t="s">
        <v>123</v>
      </c>
      <c r="F113" s="5" t="s">
        <v>124</v>
      </c>
      <c r="G113" s="6">
        <v>2809.92</v>
      </c>
      <c r="H113" s="6">
        <v>0</v>
      </c>
      <c r="I113" s="7">
        <v>0</v>
      </c>
      <c r="J113" s="7">
        <v>0</v>
      </c>
      <c r="K113" s="7">
        <v>0</v>
      </c>
      <c r="L113" s="7">
        <v>590.08000000000004</v>
      </c>
      <c r="M113" s="7">
        <v>0</v>
      </c>
      <c r="N113" s="6">
        <v>0</v>
      </c>
      <c r="O113" s="6">
        <v>3400</v>
      </c>
    </row>
    <row r="114" spans="2:15">
      <c r="B114" s="3" t="s">
        <v>29</v>
      </c>
      <c r="C114" s="4" t="s">
        <v>161</v>
      </c>
      <c r="D114" s="5" t="s">
        <v>122</v>
      </c>
      <c r="E114" s="5" t="s">
        <v>123</v>
      </c>
      <c r="F114" s="5" t="s">
        <v>124</v>
      </c>
      <c r="G114" s="6">
        <v>4214.88</v>
      </c>
      <c r="H114" s="6">
        <v>0</v>
      </c>
      <c r="I114" s="7">
        <v>0</v>
      </c>
      <c r="J114" s="7">
        <v>0</v>
      </c>
      <c r="K114" s="7">
        <v>0</v>
      </c>
      <c r="L114" s="7">
        <v>885.12</v>
      </c>
      <c r="M114" s="7">
        <v>0</v>
      </c>
      <c r="N114" s="6">
        <v>0</v>
      </c>
      <c r="O114" s="6">
        <v>5100</v>
      </c>
    </row>
    <row r="115" spans="2:15">
      <c r="B115" s="3" t="s">
        <v>29</v>
      </c>
      <c r="C115" s="4" t="s">
        <v>162</v>
      </c>
      <c r="D115" s="5" t="s">
        <v>122</v>
      </c>
      <c r="E115" s="5" t="s">
        <v>123</v>
      </c>
      <c r="F115" s="5" t="s">
        <v>124</v>
      </c>
      <c r="G115" s="6">
        <v>1611.57</v>
      </c>
      <c r="H115" s="6">
        <v>0</v>
      </c>
      <c r="I115" s="7">
        <v>0</v>
      </c>
      <c r="J115" s="7">
        <v>0</v>
      </c>
      <c r="K115" s="7">
        <v>0</v>
      </c>
      <c r="L115" s="7">
        <v>338.43</v>
      </c>
      <c r="M115" s="7">
        <v>0</v>
      </c>
      <c r="N115" s="6">
        <v>0</v>
      </c>
      <c r="O115" s="6">
        <v>1950</v>
      </c>
    </row>
    <row r="116" spans="2:15">
      <c r="B116" s="3" t="s">
        <v>29</v>
      </c>
      <c r="C116" s="4" t="s">
        <v>163</v>
      </c>
      <c r="D116" s="5" t="s">
        <v>122</v>
      </c>
      <c r="E116" s="5" t="s">
        <v>123</v>
      </c>
      <c r="F116" s="5" t="s">
        <v>124</v>
      </c>
      <c r="G116" s="6">
        <v>5867.77</v>
      </c>
      <c r="H116" s="6">
        <v>0</v>
      </c>
      <c r="I116" s="7">
        <v>0</v>
      </c>
      <c r="J116" s="7">
        <v>0</v>
      </c>
      <c r="K116" s="7">
        <v>0</v>
      </c>
      <c r="L116" s="7">
        <v>1232.23</v>
      </c>
      <c r="M116" s="7">
        <v>0</v>
      </c>
      <c r="N116" s="6">
        <v>0</v>
      </c>
      <c r="O116" s="6">
        <v>7100</v>
      </c>
    </row>
    <row r="117" spans="2:15">
      <c r="B117" s="3" t="s">
        <v>29</v>
      </c>
      <c r="C117" s="4" t="s">
        <v>164</v>
      </c>
      <c r="D117" s="5" t="s">
        <v>122</v>
      </c>
      <c r="E117" s="5" t="s">
        <v>123</v>
      </c>
      <c r="F117" s="5" t="s">
        <v>124</v>
      </c>
      <c r="G117" s="6">
        <v>1611.57</v>
      </c>
      <c r="H117" s="6">
        <v>0</v>
      </c>
      <c r="I117" s="7">
        <v>0</v>
      </c>
      <c r="J117" s="7">
        <v>0</v>
      </c>
      <c r="K117" s="7">
        <v>0</v>
      </c>
      <c r="L117" s="7">
        <v>338.43</v>
      </c>
      <c r="M117" s="7">
        <v>0</v>
      </c>
      <c r="N117" s="6">
        <v>0</v>
      </c>
      <c r="O117" s="6">
        <v>1950</v>
      </c>
    </row>
    <row r="118" spans="2:15">
      <c r="B118" s="3" t="s">
        <v>29</v>
      </c>
      <c r="C118" s="4" t="s">
        <v>165</v>
      </c>
      <c r="D118" s="5" t="s">
        <v>122</v>
      </c>
      <c r="E118" s="5" t="s">
        <v>123</v>
      </c>
      <c r="F118" s="5" t="s">
        <v>124</v>
      </c>
      <c r="G118" s="6">
        <v>3223.14</v>
      </c>
      <c r="H118" s="6">
        <v>0</v>
      </c>
      <c r="I118" s="7">
        <v>0</v>
      </c>
      <c r="J118" s="7">
        <v>0</v>
      </c>
      <c r="K118" s="7">
        <v>0</v>
      </c>
      <c r="L118" s="7">
        <v>676.86</v>
      </c>
      <c r="M118" s="7">
        <v>0</v>
      </c>
      <c r="N118" s="6">
        <v>0</v>
      </c>
      <c r="O118" s="6">
        <v>3900</v>
      </c>
    </row>
    <row r="119" spans="2:15">
      <c r="B119" s="3" t="s">
        <v>29</v>
      </c>
      <c r="C119" s="4" t="s">
        <v>166</v>
      </c>
      <c r="D119" s="5" t="s">
        <v>122</v>
      </c>
      <c r="E119" s="5" t="s">
        <v>123</v>
      </c>
      <c r="F119" s="5" t="s">
        <v>124</v>
      </c>
      <c r="G119" s="6">
        <v>7851.24</v>
      </c>
      <c r="H119" s="6">
        <v>0</v>
      </c>
      <c r="I119" s="7">
        <v>0</v>
      </c>
      <c r="J119" s="7">
        <v>0</v>
      </c>
      <c r="K119" s="7">
        <v>0</v>
      </c>
      <c r="L119" s="7">
        <v>1648.76</v>
      </c>
      <c r="M119" s="7">
        <v>0</v>
      </c>
      <c r="N119" s="6">
        <v>0</v>
      </c>
      <c r="O119" s="6">
        <v>9500</v>
      </c>
    </row>
    <row r="120" spans="2:15">
      <c r="B120" s="3" t="s">
        <v>29</v>
      </c>
      <c r="C120" s="4" t="s">
        <v>167</v>
      </c>
      <c r="D120" s="5" t="s">
        <v>122</v>
      </c>
      <c r="E120" s="5" t="s">
        <v>123</v>
      </c>
      <c r="F120" s="5" t="s">
        <v>124</v>
      </c>
      <c r="G120" s="6">
        <v>495.87</v>
      </c>
      <c r="H120" s="6">
        <v>0</v>
      </c>
      <c r="I120" s="7">
        <v>0</v>
      </c>
      <c r="J120" s="7">
        <v>0</v>
      </c>
      <c r="K120" s="7">
        <v>0</v>
      </c>
      <c r="L120" s="7">
        <v>104.13</v>
      </c>
      <c r="M120" s="7">
        <v>0</v>
      </c>
      <c r="N120" s="6">
        <v>0</v>
      </c>
      <c r="O120" s="6">
        <v>600</v>
      </c>
    </row>
    <row r="121" spans="2:15">
      <c r="B121" s="3" t="s">
        <v>29</v>
      </c>
      <c r="C121" s="4" t="s">
        <v>168</v>
      </c>
      <c r="D121" s="5" t="s">
        <v>122</v>
      </c>
      <c r="E121" s="5" t="s">
        <v>123</v>
      </c>
      <c r="F121" s="5" t="s">
        <v>124</v>
      </c>
      <c r="G121" s="6">
        <v>7024.79</v>
      </c>
      <c r="H121" s="6">
        <v>0</v>
      </c>
      <c r="I121" s="7">
        <v>0</v>
      </c>
      <c r="J121" s="7">
        <v>0</v>
      </c>
      <c r="K121" s="7">
        <v>0</v>
      </c>
      <c r="L121" s="7">
        <v>1475.21</v>
      </c>
      <c r="M121" s="7">
        <v>0</v>
      </c>
      <c r="N121" s="6">
        <v>0</v>
      </c>
      <c r="O121" s="6">
        <v>8500</v>
      </c>
    </row>
    <row r="122" spans="2:15">
      <c r="B122" s="3" t="s">
        <v>29</v>
      </c>
      <c r="C122" s="4" t="s">
        <v>169</v>
      </c>
      <c r="D122" s="5" t="s">
        <v>122</v>
      </c>
      <c r="E122" s="5" t="s">
        <v>123</v>
      </c>
      <c r="F122" s="5" t="s">
        <v>124</v>
      </c>
      <c r="G122" s="6">
        <v>8925.6200000000008</v>
      </c>
      <c r="H122" s="6">
        <v>0</v>
      </c>
      <c r="I122" s="7">
        <v>0</v>
      </c>
      <c r="J122" s="7">
        <v>0</v>
      </c>
      <c r="K122" s="7">
        <v>0</v>
      </c>
      <c r="L122" s="7">
        <v>1874.38</v>
      </c>
      <c r="M122" s="7">
        <v>0</v>
      </c>
      <c r="N122" s="6">
        <v>0</v>
      </c>
      <c r="O122" s="6">
        <v>10800</v>
      </c>
    </row>
    <row r="123" spans="2:15">
      <c r="B123" s="3" t="s">
        <v>90</v>
      </c>
      <c r="C123" s="4" t="s">
        <v>170</v>
      </c>
      <c r="D123" s="5" t="s">
        <v>122</v>
      </c>
      <c r="E123" s="5" t="s">
        <v>123</v>
      </c>
      <c r="F123" s="5" t="s">
        <v>124</v>
      </c>
      <c r="G123" s="6">
        <v>8347.11</v>
      </c>
      <c r="H123" s="6">
        <v>0</v>
      </c>
      <c r="I123" s="7">
        <v>0</v>
      </c>
      <c r="J123" s="7">
        <v>0</v>
      </c>
      <c r="K123" s="7">
        <v>0</v>
      </c>
      <c r="L123" s="7">
        <v>1752.89</v>
      </c>
      <c r="M123" s="7">
        <v>0</v>
      </c>
      <c r="N123" s="6">
        <v>0</v>
      </c>
      <c r="O123" s="6">
        <v>10100</v>
      </c>
    </row>
    <row r="124" spans="2:15">
      <c r="B124" s="3" t="s">
        <v>90</v>
      </c>
      <c r="C124" s="4" t="s">
        <v>171</v>
      </c>
      <c r="D124" s="5" t="s">
        <v>122</v>
      </c>
      <c r="E124" s="5" t="s">
        <v>123</v>
      </c>
      <c r="F124" s="5" t="s">
        <v>124</v>
      </c>
      <c r="G124" s="6">
        <v>4090.9100000000003</v>
      </c>
      <c r="H124" s="6">
        <v>0</v>
      </c>
      <c r="I124" s="7">
        <v>0</v>
      </c>
      <c r="J124" s="7">
        <v>0</v>
      </c>
      <c r="K124" s="7">
        <v>0</v>
      </c>
      <c r="L124" s="7">
        <v>859.09</v>
      </c>
      <c r="M124" s="7">
        <v>0</v>
      </c>
      <c r="N124" s="6">
        <v>0</v>
      </c>
      <c r="O124" s="6">
        <v>4950</v>
      </c>
    </row>
    <row r="125" spans="2:15">
      <c r="B125" s="3" t="s">
        <v>90</v>
      </c>
      <c r="C125" s="4" t="s">
        <v>172</v>
      </c>
      <c r="D125" s="5" t="s">
        <v>122</v>
      </c>
      <c r="E125" s="5" t="s">
        <v>123</v>
      </c>
      <c r="F125" s="5" t="s">
        <v>124</v>
      </c>
      <c r="G125" s="6">
        <v>1652.89</v>
      </c>
      <c r="H125" s="6">
        <v>0</v>
      </c>
      <c r="I125" s="7">
        <v>0</v>
      </c>
      <c r="J125" s="7">
        <v>0</v>
      </c>
      <c r="K125" s="7">
        <v>0</v>
      </c>
      <c r="L125" s="7">
        <v>347.11</v>
      </c>
      <c r="M125" s="7">
        <v>0</v>
      </c>
      <c r="N125" s="6">
        <v>0</v>
      </c>
      <c r="O125" s="6">
        <v>2000</v>
      </c>
    </row>
    <row r="126" spans="2:15">
      <c r="B126" s="3" t="s">
        <v>90</v>
      </c>
      <c r="C126" s="4" t="s">
        <v>173</v>
      </c>
      <c r="D126" s="5" t="s">
        <v>122</v>
      </c>
      <c r="E126" s="5" t="s">
        <v>123</v>
      </c>
      <c r="F126" s="5" t="s">
        <v>124</v>
      </c>
      <c r="G126" s="6">
        <v>10661.16</v>
      </c>
      <c r="H126" s="6">
        <v>0</v>
      </c>
      <c r="I126" s="7">
        <v>0</v>
      </c>
      <c r="J126" s="7">
        <v>0</v>
      </c>
      <c r="K126" s="7">
        <v>0</v>
      </c>
      <c r="L126" s="7">
        <v>2238.84</v>
      </c>
      <c r="M126" s="7">
        <v>0</v>
      </c>
      <c r="N126" s="6">
        <v>0</v>
      </c>
      <c r="O126" s="6">
        <v>12900</v>
      </c>
    </row>
    <row r="127" spans="2:15">
      <c r="B127" s="3" t="s">
        <v>90</v>
      </c>
      <c r="C127" s="4" t="s">
        <v>174</v>
      </c>
      <c r="D127" s="5" t="s">
        <v>122</v>
      </c>
      <c r="E127" s="5" t="s">
        <v>123</v>
      </c>
      <c r="F127" s="5" t="s">
        <v>124</v>
      </c>
      <c r="G127" s="6">
        <v>5537.19</v>
      </c>
      <c r="H127" s="6">
        <v>0</v>
      </c>
      <c r="I127" s="7">
        <v>0</v>
      </c>
      <c r="J127" s="7">
        <v>0</v>
      </c>
      <c r="K127" s="7">
        <v>0</v>
      </c>
      <c r="L127" s="7">
        <v>1162.81</v>
      </c>
      <c r="M127" s="7">
        <v>0</v>
      </c>
      <c r="N127" s="6">
        <v>0</v>
      </c>
      <c r="O127" s="6">
        <v>6700</v>
      </c>
    </row>
    <row r="128" spans="2:15">
      <c r="B128" s="3" t="s">
        <v>90</v>
      </c>
      <c r="C128" s="4" t="s">
        <v>175</v>
      </c>
      <c r="D128" s="5" t="s">
        <v>122</v>
      </c>
      <c r="E128" s="5" t="s">
        <v>123</v>
      </c>
      <c r="F128" s="5" t="s">
        <v>124</v>
      </c>
      <c r="G128" s="6">
        <v>6239.67</v>
      </c>
      <c r="H128" s="6">
        <v>0</v>
      </c>
      <c r="I128" s="7">
        <v>0</v>
      </c>
      <c r="J128" s="7">
        <v>0</v>
      </c>
      <c r="K128" s="7">
        <v>0</v>
      </c>
      <c r="L128" s="7">
        <v>1310.33</v>
      </c>
      <c r="M128" s="7">
        <v>0</v>
      </c>
      <c r="N128" s="6">
        <v>0</v>
      </c>
      <c r="O128" s="6">
        <v>7550</v>
      </c>
    </row>
    <row r="129" spans="2:15">
      <c r="B129" s="3" t="s">
        <v>31</v>
      </c>
      <c r="C129" s="4" t="s">
        <v>176</v>
      </c>
      <c r="D129" s="5" t="s">
        <v>122</v>
      </c>
      <c r="E129" s="5" t="s">
        <v>123</v>
      </c>
      <c r="F129" s="5" t="s">
        <v>124</v>
      </c>
      <c r="G129" s="6">
        <v>13801.65</v>
      </c>
      <c r="H129" s="6">
        <v>0</v>
      </c>
      <c r="I129" s="7">
        <v>0</v>
      </c>
      <c r="J129" s="7">
        <v>0</v>
      </c>
      <c r="K129" s="7">
        <v>0</v>
      </c>
      <c r="L129" s="7">
        <v>2898.35</v>
      </c>
      <c r="M129" s="7">
        <v>0</v>
      </c>
      <c r="N129" s="6">
        <v>0</v>
      </c>
      <c r="O129" s="6">
        <v>16700</v>
      </c>
    </row>
    <row r="130" spans="2:15">
      <c r="B130" s="3" t="s">
        <v>31</v>
      </c>
      <c r="C130" s="4" t="s">
        <v>177</v>
      </c>
      <c r="D130" s="5" t="s">
        <v>122</v>
      </c>
      <c r="E130" s="5" t="s">
        <v>123</v>
      </c>
      <c r="F130" s="5" t="s">
        <v>124</v>
      </c>
      <c r="G130" s="6">
        <v>3305.79</v>
      </c>
      <c r="H130" s="6">
        <v>0</v>
      </c>
      <c r="I130" s="7">
        <v>0</v>
      </c>
      <c r="J130" s="7">
        <v>0</v>
      </c>
      <c r="K130" s="7">
        <v>0</v>
      </c>
      <c r="L130" s="7">
        <v>694.21</v>
      </c>
      <c r="M130" s="7">
        <v>0</v>
      </c>
      <c r="N130" s="6">
        <v>0</v>
      </c>
      <c r="O130" s="6">
        <v>4000</v>
      </c>
    </row>
    <row r="131" spans="2:15">
      <c r="B131" s="3" t="s">
        <v>31</v>
      </c>
      <c r="C131" s="4" t="s">
        <v>178</v>
      </c>
      <c r="D131" s="5" t="s">
        <v>122</v>
      </c>
      <c r="E131" s="5" t="s">
        <v>123</v>
      </c>
      <c r="F131" s="5" t="s">
        <v>124</v>
      </c>
      <c r="G131" s="6">
        <v>6446.28</v>
      </c>
      <c r="H131" s="6">
        <v>0</v>
      </c>
      <c r="I131" s="7">
        <v>0</v>
      </c>
      <c r="J131" s="7">
        <v>0</v>
      </c>
      <c r="K131" s="7">
        <v>0</v>
      </c>
      <c r="L131" s="7">
        <v>1353.72</v>
      </c>
      <c r="M131" s="7">
        <v>0</v>
      </c>
      <c r="N131" s="6">
        <v>0</v>
      </c>
      <c r="O131" s="6">
        <v>7800</v>
      </c>
    </row>
    <row r="132" spans="2:15">
      <c r="B132" s="3" t="s">
        <v>31</v>
      </c>
      <c r="C132" s="4" t="s">
        <v>179</v>
      </c>
      <c r="D132" s="5" t="s">
        <v>122</v>
      </c>
      <c r="E132" s="5" t="s">
        <v>123</v>
      </c>
      <c r="F132" s="5" t="s">
        <v>124</v>
      </c>
      <c r="G132" s="6">
        <v>5371.9</v>
      </c>
      <c r="H132" s="6">
        <v>0</v>
      </c>
      <c r="I132" s="7">
        <v>0</v>
      </c>
      <c r="J132" s="7">
        <v>0</v>
      </c>
      <c r="K132" s="7">
        <v>0</v>
      </c>
      <c r="L132" s="7">
        <v>1128.1000000000001</v>
      </c>
      <c r="M132" s="7">
        <v>0</v>
      </c>
      <c r="N132" s="6">
        <v>0</v>
      </c>
      <c r="O132" s="6">
        <v>6500</v>
      </c>
    </row>
    <row r="133" spans="2:15">
      <c r="B133" s="3" t="s">
        <v>31</v>
      </c>
      <c r="C133" s="4" t="s">
        <v>180</v>
      </c>
      <c r="D133" s="5" t="s">
        <v>122</v>
      </c>
      <c r="E133" s="5" t="s">
        <v>123</v>
      </c>
      <c r="F133" s="5" t="s">
        <v>124</v>
      </c>
      <c r="G133" s="6">
        <v>24380.17</v>
      </c>
      <c r="H133" s="6">
        <v>0</v>
      </c>
      <c r="I133" s="7">
        <v>0</v>
      </c>
      <c r="J133" s="7">
        <v>0</v>
      </c>
      <c r="K133" s="7">
        <v>0</v>
      </c>
      <c r="L133" s="7">
        <v>5119.83</v>
      </c>
      <c r="M133" s="7">
        <v>0</v>
      </c>
      <c r="N133" s="6">
        <v>0</v>
      </c>
      <c r="O133" s="6">
        <v>29500</v>
      </c>
    </row>
    <row r="134" spans="2:15">
      <c r="B134" s="3" t="s">
        <v>31</v>
      </c>
      <c r="C134" s="4" t="s">
        <v>181</v>
      </c>
      <c r="D134" s="5" t="s">
        <v>122</v>
      </c>
      <c r="E134" s="5" t="s">
        <v>123</v>
      </c>
      <c r="F134" s="5" t="s">
        <v>124</v>
      </c>
      <c r="G134" s="6">
        <v>4008.26</v>
      </c>
      <c r="H134" s="6">
        <v>0</v>
      </c>
      <c r="I134" s="7">
        <v>0</v>
      </c>
      <c r="J134" s="7">
        <v>0</v>
      </c>
      <c r="K134" s="7">
        <v>0</v>
      </c>
      <c r="L134" s="7">
        <v>841.74</v>
      </c>
      <c r="M134" s="7">
        <v>0</v>
      </c>
      <c r="N134" s="6">
        <v>0</v>
      </c>
      <c r="O134" s="6">
        <v>4850</v>
      </c>
    </row>
    <row r="135" spans="2:15">
      <c r="B135" s="3" t="s">
        <v>31</v>
      </c>
      <c r="C135" s="4" t="s">
        <v>182</v>
      </c>
      <c r="D135" s="5" t="s">
        <v>122</v>
      </c>
      <c r="E135" s="5" t="s">
        <v>123</v>
      </c>
      <c r="F135" s="5" t="s">
        <v>124</v>
      </c>
      <c r="G135" s="6">
        <v>8429.75</v>
      </c>
      <c r="H135" s="6">
        <v>0</v>
      </c>
      <c r="I135" s="7">
        <v>0</v>
      </c>
      <c r="J135" s="7">
        <v>0</v>
      </c>
      <c r="K135" s="7">
        <v>0</v>
      </c>
      <c r="L135" s="7">
        <v>1770.25</v>
      </c>
      <c r="M135" s="7">
        <v>0</v>
      </c>
      <c r="N135" s="6">
        <v>0</v>
      </c>
      <c r="O135" s="6">
        <v>10200</v>
      </c>
    </row>
    <row r="136" spans="2:15">
      <c r="B136" s="3" t="s">
        <v>31</v>
      </c>
      <c r="C136" s="4" t="s">
        <v>183</v>
      </c>
      <c r="D136" s="5" t="s">
        <v>122</v>
      </c>
      <c r="E136" s="5" t="s">
        <v>123</v>
      </c>
      <c r="F136" s="5" t="s">
        <v>124</v>
      </c>
      <c r="G136" s="6">
        <v>1818.18</v>
      </c>
      <c r="H136" s="6">
        <v>0</v>
      </c>
      <c r="I136" s="7">
        <v>0</v>
      </c>
      <c r="J136" s="7">
        <v>0</v>
      </c>
      <c r="K136" s="7">
        <v>0</v>
      </c>
      <c r="L136" s="7">
        <v>381.82</v>
      </c>
      <c r="M136" s="7">
        <v>0</v>
      </c>
      <c r="N136" s="6">
        <v>0</v>
      </c>
      <c r="O136" s="6">
        <v>2200</v>
      </c>
    </row>
    <row r="137" spans="2:15">
      <c r="B137" s="3" t="s">
        <v>184</v>
      </c>
      <c r="C137" s="4" t="s">
        <v>185</v>
      </c>
      <c r="D137" s="5" t="s">
        <v>122</v>
      </c>
      <c r="E137" s="5" t="s">
        <v>123</v>
      </c>
      <c r="F137" s="5" t="s">
        <v>124</v>
      </c>
      <c r="G137" s="6">
        <v>3223.14</v>
      </c>
      <c r="H137" s="6">
        <v>0</v>
      </c>
      <c r="I137" s="7">
        <v>0</v>
      </c>
      <c r="J137" s="7">
        <v>0</v>
      </c>
      <c r="K137" s="7">
        <v>0</v>
      </c>
      <c r="L137" s="7">
        <v>676.86</v>
      </c>
      <c r="M137" s="7">
        <v>0</v>
      </c>
      <c r="N137" s="6">
        <v>0</v>
      </c>
      <c r="O137" s="6">
        <v>3900</v>
      </c>
    </row>
    <row r="138" spans="2:15">
      <c r="B138" s="3" t="s">
        <v>184</v>
      </c>
      <c r="C138" s="4" t="s">
        <v>186</v>
      </c>
      <c r="D138" s="5" t="s">
        <v>122</v>
      </c>
      <c r="E138" s="5" t="s">
        <v>123</v>
      </c>
      <c r="F138" s="5" t="s">
        <v>124</v>
      </c>
      <c r="G138" s="6">
        <v>2314.0500000000002</v>
      </c>
      <c r="H138" s="6">
        <v>0</v>
      </c>
      <c r="I138" s="7">
        <v>0</v>
      </c>
      <c r="J138" s="7">
        <v>0</v>
      </c>
      <c r="K138" s="7">
        <v>0</v>
      </c>
      <c r="L138" s="7">
        <v>485.95</v>
      </c>
      <c r="M138" s="7">
        <v>0</v>
      </c>
      <c r="N138" s="6">
        <v>0</v>
      </c>
      <c r="O138" s="6">
        <v>2800</v>
      </c>
    </row>
    <row r="139" spans="2:15">
      <c r="B139" s="3" t="s">
        <v>184</v>
      </c>
      <c r="C139" s="4" t="s">
        <v>187</v>
      </c>
      <c r="D139" s="5" t="s">
        <v>122</v>
      </c>
      <c r="E139" s="5" t="s">
        <v>123</v>
      </c>
      <c r="F139" s="5" t="s">
        <v>124</v>
      </c>
      <c r="G139" s="6">
        <v>3595.04</v>
      </c>
      <c r="H139" s="6">
        <v>0</v>
      </c>
      <c r="I139" s="7">
        <v>0</v>
      </c>
      <c r="J139" s="7">
        <v>0</v>
      </c>
      <c r="K139" s="7">
        <v>0</v>
      </c>
      <c r="L139" s="7">
        <v>754.96</v>
      </c>
      <c r="M139" s="7">
        <v>0</v>
      </c>
      <c r="N139" s="6">
        <v>0</v>
      </c>
      <c r="O139" s="6">
        <v>4350</v>
      </c>
    </row>
    <row r="140" spans="2:15">
      <c r="B140" s="3" t="s">
        <v>184</v>
      </c>
      <c r="C140" s="4" t="s">
        <v>188</v>
      </c>
      <c r="D140" s="5" t="s">
        <v>122</v>
      </c>
      <c r="E140" s="5" t="s">
        <v>123</v>
      </c>
      <c r="F140" s="5" t="s">
        <v>124</v>
      </c>
      <c r="G140" s="6">
        <v>7024.79</v>
      </c>
      <c r="H140" s="6">
        <v>0</v>
      </c>
      <c r="I140" s="7">
        <v>0</v>
      </c>
      <c r="J140" s="7">
        <v>0</v>
      </c>
      <c r="K140" s="7">
        <v>0</v>
      </c>
      <c r="L140" s="7">
        <v>1475.21</v>
      </c>
      <c r="M140" s="7">
        <v>0</v>
      </c>
      <c r="N140" s="6">
        <v>0</v>
      </c>
      <c r="O140" s="6">
        <v>8500</v>
      </c>
    </row>
    <row r="141" spans="2:15">
      <c r="B141" s="3" t="s">
        <v>184</v>
      </c>
      <c r="C141" s="4" t="s">
        <v>189</v>
      </c>
      <c r="D141" s="5" t="s">
        <v>122</v>
      </c>
      <c r="E141" s="5" t="s">
        <v>123</v>
      </c>
      <c r="F141" s="5" t="s">
        <v>124</v>
      </c>
      <c r="G141" s="6">
        <v>1487.6</v>
      </c>
      <c r="H141" s="6">
        <v>0</v>
      </c>
      <c r="I141" s="7">
        <v>0</v>
      </c>
      <c r="J141" s="7">
        <v>0</v>
      </c>
      <c r="K141" s="7">
        <v>0</v>
      </c>
      <c r="L141" s="7">
        <v>312.40000000000003</v>
      </c>
      <c r="M141" s="7">
        <v>0</v>
      </c>
      <c r="N141" s="6">
        <v>0</v>
      </c>
      <c r="O141" s="6">
        <v>1800</v>
      </c>
    </row>
    <row r="142" spans="2:15">
      <c r="B142" s="3" t="s">
        <v>34</v>
      </c>
      <c r="C142" s="4" t="s">
        <v>190</v>
      </c>
      <c r="D142" s="5" t="s">
        <v>122</v>
      </c>
      <c r="E142" s="5" t="s">
        <v>123</v>
      </c>
      <c r="F142" s="5" t="s">
        <v>124</v>
      </c>
      <c r="G142" s="6">
        <v>7024.79</v>
      </c>
      <c r="H142" s="6">
        <v>0</v>
      </c>
      <c r="I142" s="7">
        <v>0</v>
      </c>
      <c r="J142" s="7">
        <v>0</v>
      </c>
      <c r="K142" s="7">
        <v>0</v>
      </c>
      <c r="L142" s="7">
        <v>1475.21</v>
      </c>
      <c r="M142" s="7">
        <v>0</v>
      </c>
      <c r="N142" s="6">
        <v>0</v>
      </c>
      <c r="O142" s="6">
        <v>8500</v>
      </c>
    </row>
    <row r="143" spans="2:15">
      <c r="B143" s="3" t="s">
        <v>34</v>
      </c>
      <c r="C143" s="4" t="s">
        <v>191</v>
      </c>
      <c r="D143" s="5" t="s">
        <v>122</v>
      </c>
      <c r="E143" s="5" t="s">
        <v>123</v>
      </c>
      <c r="F143" s="5" t="s">
        <v>124</v>
      </c>
      <c r="G143" s="6">
        <v>4214.88</v>
      </c>
      <c r="H143" s="6">
        <v>0</v>
      </c>
      <c r="I143" s="7">
        <v>0</v>
      </c>
      <c r="J143" s="7">
        <v>0</v>
      </c>
      <c r="K143" s="7">
        <v>0</v>
      </c>
      <c r="L143" s="7">
        <v>885.12</v>
      </c>
      <c r="M143" s="7">
        <v>0</v>
      </c>
      <c r="N143" s="6">
        <v>0</v>
      </c>
      <c r="O143" s="6">
        <v>5100</v>
      </c>
    </row>
    <row r="144" spans="2:15">
      <c r="B144" s="3" t="s">
        <v>34</v>
      </c>
      <c r="C144" s="4" t="s">
        <v>192</v>
      </c>
      <c r="D144" s="5" t="s">
        <v>122</v>
      </c>
      <c r="E144" s="5" t="s">
        <v>123</v>
      </c>
      <c r="F144" s="5" t="s">
        <v>124</v>
      </c>
      <c r="G144" s="6">
        <v>826.45</v>
      </c>
      <c r="H144" s="6">
        <v>0</v>
      </c>
      <c r="I144" s="7">
        <v>0</v>
      </c>
      <c r="J144" s="7">
        <v>0</v>
      </c>
      <c r="K144" s="7">
        <v>0</v>
      </c>
      <c r="L144" s="7">
        <v>173.55</v>
      </c>
      <c r="M144" s="7">
        <v>0</v>
      </c>
      <c r="N144" s="6">
        <v>0</v>
      </c>
      <c r="O144" s="6">
        <v>1000</v>
      </c>
    </row>
    <row r="145" spans="2:15">
      <c r="B145" s="3" t="s">
        <v>34</v>
      </c>
      <c r="C145" s="4" t="s">
        <v>193</v>
      </c>
      <c r="D145" s="5" t="s">
        <v>122</v>
      </c>
      <c r="E145" s="5" t="s">
        <v>123</v>
      </c>
      <c r="F145" s="5" t="s">
        <v>124</v>
      </c>
      <c r="G145" s="6">
        <v>4214.88</v>
      </c>
      <c r="H145" s="6">
        <v>0</v>
      </c>
      <c r="I145" s="7">
        <v>0</v>
      </c>
      <c r="J145" s="7">
        <v>0</v>
      </c>
      <c r="K145" s="7">
        <v>0</v>
      </c>
      <c r="L145" s="7">
        <v>885.12</v>
      </c>
      <c r="M145" s="7">
        <v>0</v>
      </c>
      <c r="N145" s="6">
        <v>0</v>
      </c>
      <c r="O145" s="6">
        <v>5100</v>
      </c>
    </row>
    <row r="146" spans="2:15">
      <c r="B146" s="3" t="s">
        <v>34</v>
      </c>
      <c r="C146" s="4" t="s">
        <v>194</v>
      </c>
      <c r="D146" s="5" t="s">
        <v>122</v>
      </c>
      <c r="E146" s="5" t="s">
        <v>123</v>
      </c>
      <c r="F146" s="5" t="s">
        <v>124</v>
      </c>
      <c r="G146" s="6">
        <v>10661.16</v>
      </c>
      <c r="H146" s="6">
        <v>0</v>
      </c>
      <c r="I146" s="7">
        <v>0</v>
      </c>
      <c r="J146" s="7">
        <v>0</v>
      </c>
      <c r="K146" s="7">
        <v>0</v>
      </c>
      <c r="L146" s="7">
        <v>2238.84</v>
      </c>
      <c r="M146" s="7">
        <v>0</v>
      </c>
      <c r="N146" s="6">
        <v>0</v>
      </c>
      <c r="O146" s="6">
        <v>12900</v>
      </c>
    </row>
    <row r="147" spans="2:15">
      <c r="B147" s="3" t="s">
        <v>34</v>
      </c>
      <c r="C147" s="4" t="s">
        <v>195</v>
      </c>
      <c r="D147" s="5" t="s">
        <v>122</v>
      </c>
      <c r="E147" s="5" t="s">
        <v>123</v>
      </c>
      <c r="F147" s="5" t="s">
        <v>124</v>
      </c>
      <c r="G147" s="6">
        <v>9586.7800000000007</v>
      </c>
      <c r="H147" s="6">
        <v>0</v>
      </c>
      <c r="I147" s="7">
        <v>0</v>
      </c>
      <c r="J147" s="7">
        <v>0</v>
      </c>
      <c r="K147" s="7">
        <v>0</v>
      </c>
      <c r="L147" s="7">
        <v>2013.22</v>
      </c>
      <c r="M147" s="7">
        <v>0</v>
      </c>
      <c r="N147" s="6">
        <v>0</v>
      </c>
      <c r="O147" s="6">
        <v>11600</v>
      </c>
    </row>
    <row r="148" spans="2:15">
      <c r="B148" s="3" t="s">
        <v>34</v>
      </c>
      <c r="C148" s="4" t="s">
        <v>196</v>
      </c>
      <c r="D148" s="5" t="s">
        <v>122</v>
      </c>
      <c r="E148" s="5" t="s">
        <v>123</v>
      </c>
      <c r="F148" s="5" t="s">
        <v>124</v>
      </c>
      <c r="G148" s="6">
        <v>5785.12</v>
      </c>
      <c r="H148" s="6">
        <v>0</v>
      </c>
      <c r="I148" s="7">
        <v>0</v>
      </c>
      <c r="J148" s="7">
        <v>0</v>
      </c>
      <c r="K148" s="7">
        <v>0</v>
      </c>
      <c r="L148" s="7">
        <v>1214.8800000000001</v>
      </c>
      <c r="M148" s="7">
        <v>0</v>
      </c>
      <c r="N148" s="6">
        <v>0</v>
      </c>
      <c r="O148" s="6">
        <v>7000</v>
      </c>
    </row>
    <row r="149" spans="2:15">
      <c r="B149" s="3" t="s">
        <v>34</v>
      </c>
      <c r="C149" s="4" t="s">
        <v>197</v>
      </c>
      <c r="D149" s="5" t="s">
        <v>122</v>
      </c>
      <c r="E149" s="5" t="s">
        <v>123</v>
      </c>
      <c r="F149" s="5" t="s">
        <v>124</v>
      </c>
      <c r="G149" s="6">
        <v>6776.86</v>
      </c>
      <c r="H149" s="6">
        <v>0</v>
      </c>
      <c r="I149" s="7">
        <v>0</v>
      </c>
      <c r="J149" s="7">
        <v>0</v>
      </c>
      <c r="K149" s="7">
        <v>0</v>
      </c>
      <c r="L149" s="7">
        <v>1423.14</v>
      </c>
      <c r="M149" s="7">
        <v>0</v>
      </c>
      <c r="N149" s="6">
        <v>0</v>
      </c>
      <c r="O149" s="6">
        <v>8200</v>
      </c>
    </row>
    <row r="150" spans="2:15">
      <c r="B150" s="3" t="s">
        <v>34</v>
      </c>
      <c r="C150" s="4" t="s">
        <v>198</v>
      </c>
      <c r="D150" s="5" t="s">
        <v>122</v>
      </c>
      <c r="E150" s="5" t="s">
        <v>123</v>
      </c>
      <c r="F150" s="5" t="s">
        <v>124</v>
      </c>
      <c r="G150" s="6">
        <v>3305.79</v>
      </c>
      <c r="H150" s="6">
        <v>0</v>
      </c>
      <c r="I150" s="7">
        <v>0</v>
      </c>
      <c r="J150" s="7">
        <v>0</v>
      </c>
      <c r="K150" s="7">
        <v>0</v>
      </c>
      <c r="L150" s="7">
        <v>694.21</v>
      </c>
      <c r="M150" s="7">
        <v>0</v>
      </c>
      <c r="N150" s="6">
        <v>0</v>
      </c>
      <c r="O150" s="6">
        <v>4000</v>
      </c>
    </row>
    <row r="151" spans="2:15">
      <c r="B151" s="3" t="s">
        <v>34</v>
      </c>
      <c r="C151" s="4" t="s">
        <v>199</v>
      </c>
      <c r="D151" s="5" t="s">
        <v>122</v>
      </c>
      <c r="E151" s="5" t="s">
        <v>123</v>
      </c>
      <c r="F151" s="5" t="s">
        <v>124</v>
      </c>
      <c r="G151" s="6">
        <v>10909.09</v>
      </c>
      <c r="H151" s="6">
        <v>0</v>
      </c>
      <c r="I151" s="7">
        <v>0</v>
      </c>
      <c r="J151" s="7">
        <v>0</v>
      </c>
      <c r="K151" s="7">
        <v>0</v>
      </c>
      <c r="L151" s="7">
        <v>2290.91</v>
      </c>
      <c r="M151" s="7">
        <v>0</v>
      </c>
      <c r="N151" s="6">
        <v>0</v>
      </c>
      <c r="O151" s="6">
        <v>13200</v>
      </c>
    </row>
    <row r="152" spans="2:15">
      <c r="B152" s="3" t="s">
        <v>34</v>
      </c>
      <c r="C152" s="4" t="s">
        <v>200</v>
      </c>
      <c r="D152" s="5" t="s">
        <v>122</v>
      </c>
      <c r="E152" s="5" t="s">
        <v>123</v>
      </c>
      <c r="F152" s="5" t="s">
        <v>124</v>
      </c>
      <c r="G152" s="6">
        <v>3181.82</v>
      </c>
      <c r="H152" s="6">
        <v>0</v>
      </c>
      <c r="I152" s="7">
        <v>0</v>
      </c>
      <c r="J152" s="7">
        <v>0</v>
      </c>
      <c r="K152" s="7">
        <v>0</v>
      </c>
      <c r="L152" s="7">
        <v>668.18</v>
      </c>
      <c r="M152" s="7">
        <v>0</v>
      </c>
      <c r="N152" s="6">
        <v>0</v>
      </c>
      <c r="O152" s="6">
        <v>3850</v>
      </c>
    </row>
    <row r="153" spans="2:15">
      <c r="B153" s="3" t="s">
        <v>94</v>
      </c>
      <c r="C153" s="4" t="s">
        <v>201</v>
      </c>
      <c r="D153" s="5" t="s">
        <v>122</v>
      </c>
      <c r="E153" s="5" t="s">
        <v>123</v>
      </c>
      <c r="F153" s="5" t="s">
        <v>124</v>
      </c>
      <c r="G153" s="6">
        <v>7355.37</v>
      </c>
      <c r="H153" s="6">
        <v>0</v>
      </c>
      <c r="I153" s="7">
        <v>0</v>
      </c>
      <c r="J153" s="7">
        <v>0</v>
      </c>
      <c r="K153" s="7">
        <v>0</v>
      </c>
      <c r="L153" s="7">
        <v>1544.63</v>
      </c>
      <c r="M153" s="7">
        <v>0</v>
      </c>
      <c r="N153" s="6">
        <v>0</v>
      </c>
      <c r="O153" s="6">
        <v>8900</v>
      </c>
    </row>
    <row r="154" spans="2:15">
      <c r="B154" s="3" t="s">
        <v>94</v>
      </c>
      <c r="C154" s="4" t="s">
        <v>202</v>
      </c>
      <c r="D154" s="5" t="s">
        <v>122</v>
      </c>
      <c r="E154" s="5" t="s">
        <v>123</v>
      </c>
      <c r="F154" s="5" t="s">
        <v>124</v>
      </c>
      <c r="G154" s="6">
        <v>6363.64</v>
      </c>
      <c r="H154" s="6">
        <v>0</v>
      </c>
      <c r="I154" s="7">
        <v>0</v>
      </c>
      <c r="J154" s="7">
        <v>0</v>
      </c>
      <c r="K154" s="7">
        <v>0</v>
      </c>
      <c r="L154" s="7">
        <v>1336.36</v>
      </c>
      <c r="M154" s="7">
        <v>0</v>
      </c>
      <c r="N154" s="6">
        <v>0</v>
      </c>
      <c r="O154" s="6">
        <v>7700</v>
      </c>
    </row>
    <row r="155" spans="2:15">
      <c r="B155" s="3" t="s">
        <v>94</v>
      </c>
      <c r="C155" s="4" t="s">
        <v>203</v>
      </c>
      <c r="D155" s="5" t="s">
        <v>122</v>
      </c>
      <c r="E155" s="5" t="s">
        <v>123</v>
      </c>
      <c r="F155" s="5" t="s">
        <v>124</v>
      </c>
      <c r="G155" s="6">
        <v>4958.68</v>
      </c>
      <c r="H155" s="6">
        <v>0</v>
      </c>
      <c r="I155" s="7">
        <v>0</v>
      </c>
      <c r="J155" s="7">
        <v>0</v>
      </c>
      <c r="K155" s="7">
        <v>0</v>
      </c>
      <c r="L155" s="7">
        <v>1041.32</v>
      </c>
      <c r="M155" s="7">
        <v>0</v>
      </c>
      <c r="N155" s="6">
        <v>0</v>
      </c>
      <c r="O155" s="6">
        <v>6000</v>
      </c>
    </row>
    <row r="156" spans="2:15">
      <c r="B156" s="3" t="s">
        <v>94</v>
      </c>
      <c r="C156" s="4" t="s">
        <v>204</v>
      </c>
      <c r="D156" s="5" t="s">
        <v>122</v>
      </c>
      <c r="E156" s="5" t="s">
        <v>123</v>
      </c>
      <c r="F156" s="5" t="s">
        <v>124</v>
      </c>
      <c r="G156" s="6">
        <v>6776.86</v>
      </c>
      <c r="H156" s="6">
        <v>0</v>
      </c>
      <c r="I156" s="7">
        <v>0</v>
      </c>
      <c r="J156" s="7">
        <v>0</v>
      </c>
      <c r="K156" s="7">
        <v>0</v>
      </c>
      <c r="L156" s="7">
        <v>1423.14</v>
      </c>
      <c r="M156" s="7">
        <v>0</v>
      </c>
      <c r="N156" s="6">
        <v>0</v>
      </c>
      <c r="O156" s="6">
        <v>8200</v>
      </c>
    </row>
    <row r="157" spans="2:15">
      <c r="B157" s="3" t="s">
        <v>94</v>
      </c>
      <c r="C157" s="4" t="s">
        <v>205</v>
      </c>
      <c r="D157" s="5" t="s">
        <v>122</v>
      </c>
      <c r="E157" s="5" t="s">
        <v>123</v>
      </c>
      <c r="F157" s="5" t="s">
        <v>124</v>
      </c>
      <c r="G157" s="6">
        <v>5247.93</v>
      </c>
      <c r="H157" s="6">
        <v>0</v>
      </c>
      <c r="I157" s="7">
        <v>0</v>
      </c>
      <c r="J157" s="7">
        <v>0</v>
      </c>
      <c r="K157" s="7">
        <v>0</v>
      </c>
      <c r="L157" s="7">
        <v>1102.07</v>
      </c>
      <c r="M157" s="7">
        <v>0</v>
      </c>
      <c r="N157" s="6">
        <v>0</v>
      </c>
      <c r="O157" s="6">
        <v>6350</v>
      </c>
    </row>
    <row r="158" spans="2:15">
      <c r="B158" s="3" t="s">
        <v>94</v>
      </c>
      <c r="C158" s="4" t="s">
        <v>206</v>
      </c>
      <c r="D158" s="5" t="s">
        <v>122</v>
      </c>
      <c r="E158" s="5" t="s">
        <v>123</v>
      </c>
      <c r="F158" s="5" t="s">
        <v>124</v>
      </c>
      <c r="G158" s="6">
        <v>578.51</v>
      </c>
      <c r="H158" s="6">
        <v>0</v>
      </c>
      <c r="I158" s="7">
        <v>0</v>
      </c>
      <c r="J158" s="7">
        <v>0</v>
      </c>
      <c r="K158" s="7">
        <v>0</v>
      </c>
      <c r="L158" s="7">
        <v>121.49</v>
      </c>
      <c r="M158" s="7">
        <v>0</v>
      </c>
      <c r="N158" s="6">
        <v>0</v>
      </c>
      <c r="O158" s="6">
        <v>700</v>
      </c>
    </row>
    <row r="159" spans="2:15">
      <c r="B159" s="3" t="s">
        <v>94</v>
      </c>
      <c r="C159" s="4" t="s">
        <v>207</v>
      </c>
      <c r="D159" s="5" t="s">
        <v>122</v>
      </c>
      <c r="E159" s="5" t="s">
        <v>123</v>
      </c>
      <c r="F159" s="5" t="s">
        <v>124</v>
      </c>
      <c r="G159" s="6">
        <v>7272.73</v>
      </c>
      <c r="H159" s="6">
        <v>0</v>
      </c>
      <c r="I159" s="7">
        <v>0</v>
      </c>
      <c r="J159" s="7">
        <v>0</v>
      </c>
      <c r="K159" s="7">
        <v>0</v>
      </c>
      <c r="L159" s="7">
        <v>1527.27</v>
      </c>
      <c r="M159" s="7">
        <v>0</v>
      </c>
      <c r="N159" s="6">
        <v>0</v>
      </c>
      <c r="O159" s="6">
        <v>8800</v>
      </c>
    </row>
    <row r="160" spans="2:15">
      <c r="B160" s="3" t="s">
        <v>94</v>
      </c>
      <c r="C160" s="4" t="s">
        <v>208</v>
      </c>
      <c r="D160" s="5" t="s">
        <v>122</v>
      </c>
      <c r="E160" s="5" t="s">
        <v>123</v>
      </c>
      <c r="F160" s="5" t="s">
        <v>124</v>
      </c>
      <c r="G160" s="6">
        <v>2685.95</v>
      </c>
      <c r="H160" s="6">
        <v>0</v>
      </c>
      <c r="I160" s="7">
        <v>0</v>
      </c>
      <c r="J160" s="7">
        <v>0</v>
      </c>
      <c r="K160" s="7">
        <v>0</v>
      </c>
      <c r="L160" s="7">
        <v>564.05000000000007</v>
      </c>
      <c r="M160" s="7">
        <v>0</v>
      </c>
      <c r="N160" s="6">
        <v>0</v>
      </c>
      <c r="O160" s="6">
        <v>3250</v>
      </c>
    </row>
    <row r="161" spans="2:15">
      <c r="B161" s="3" t="s">
        <v>94</v>
      </c>
      <c r="C161" s="4" t="s">
        <v>209</v>
      </c>
      <c r="D161" s="5" t="s">
        <v>122</v>
      </c>
      <c r="E161" s="5" t="s">
        <v>123</v>
      </c>
      <c r="F161" s="5" t="s">
        <v>124</v>
      </c>
      <c r="G161" s="6">
        <v>10991.74</v>
      </c>
      <c r="H161" s="6">
        <v>0</v>
      </c>
      <c r="I161" s="7">
        <v>0</v>
      </c>
      <c r="J161" s="7">
        <v>0</v>
      </c>
      <c r="K161" s="7">
        <v>0</v>
      </c>
      <c r="L161" s="7">
        <v>2308.2600000000002</v>
      </c>
      <c r="M161" s="7">
        <v>0</v>
      </c>
      <c r="N161" s="6">
        <v>0</v>
      </c>
      <c r="O161" s="6">
        <v>13300</v>
      </c>
    </row>
    <row r="162" spans="2:15">
      <c r="B162" s="3" t="s">
        <v>94</v>
      </c>
      <c r="C162" s="4" t="s">
        <v>210</v>
      </c>
      <c r="D162" s="5" t="s">
        <v>122</v>
      </c>
      <c r="E162" s="5" t="s">
        <v>123</v>
      </c>
      <c r="F162" s="5" t="s">
        <v>124</v>
      </c>
      <c r="G162" s="6">
        <v>2851.24</v>
      </c>
      <c r="H162" s="6">
        <v>0</v>
      </c>
      <c r="I162" s="7">
        <v>0</v>
      </c>
      <c r="J162" s="7">
        <v>0</v>
      </c>
      <c r="K162" s="7">
        <v>0</v>
      </c>
      <c r="L162" s="7">
        <v>598.76</v>
      </c>
      <c r="M162" s="7">
        <v>0</v>
      </c>
      <c r="N162" s="6">
        <v>0</v>
      </c>
      <c r="O162" s="6">
        <v>3450</v>
      </c>
    </row>
    <row r="163" spans="2:15">
      <c r="B163" s="3" t="s">
        <v>94</v>
      </c>
      <c r="C163" s="4" t="s">
        <v>211</v>
      </c>
      <c r="D163" s="5" t="s">
        <v>122</v>
      </c>
      <c r="E163" s="5" t="s">
        <v>123</v>
      </c>
      <c r="F163" s="5" t="s">
        <v>124</v>
      </c>
      <c r="G163" s="6">
        <v>5867.77</v>
      </c>
      <c r="H163" s="6">
        <v>0</v>
      </c>
      <c r="I163" s="7">
        <v>0</v>
      </c>
      <c r="J163" s="7">
        <v>0</v>
      </c>
      <c r="K163" s="7">
        <v>0</v>
      </c>
      <c r="L163" s="7">
        <v>1232.23</v>
      </c>
      <c r="M163" s="7">
        <v>0</v>
      </c>
      <c r="N163" s="6">
        <v>0</v>
      </c>
      <c r="O163" s="6">
        <v>7100</v>
      </c>
    </row>
    <row r="164" spans="2:15">
      <c r="B164" s="3" t="s">
        <v>37</v>
      </c>
      <c r="C164" s="4" t="s">
        <v>212</v>
      </c>
      <c r="D164" s="5" t="s">
        <v>122</v>
      </c>
      <c r="E164" s="5" t="s">
        <v>123</v>
      </c>
      <c r="F164" s="5" t="s">
        <v>124</v>
      </c>
      <c r="G164" s="6">
        <v>1611.57</v>
      </c>
      <c r="H164" s="6">
        <v>0</v>
      </c>
      <c r="I164" s="7">
        <v>0</v>
      </c>
      <c r="J164" s="7">
        <v>0</v>
      </c>
      <c r="K164" s="7">
        <v>0</v>
      </c>
      <c r="L164" s="7">
        <v>338.43</v>
      </c>
      <c r="M164" s="7">
        <v>0</v>
      </c>
      <c r="N164" s="6">
        <v>0</v>
      </c>
      <c r="O164" s="6">
        <v>1950</v>
      </c>
    </row>
    <row r="165" spans="2:15">
      <c r="B165" s="3" t="s">
        <v>37</v>
      </c>
      <c r="C165" s="4" t="s">
        <v>213</v>
      </c>
      <c r="D165" s="5" t="s">
        <v>122</v>
      </c>
      <c r="E165" s="5" t="s">
        <v>123</v>
      </c>
      <c r="F165" s="5" t="s">
        <v>124</v>
      </c>
      <c r="G165" s="6">
        <v>1611.57</v>
      </c>
      <c r="H165" s="6">
        <v>0</v>
      </c>
      <c r="I165" s="7">
        <v>0</v>
      </c>
      <c r="J165" s="7">
        <v>0</v>
      </c>
      <c r="K165" s="7">
        <v>0</v>
      </c>
      <c r="L165" s="7">
        <v>338.43</v>
      </c>
      <c r="M165" s="7">
        <v>0</v>
      </c>
      <c r="N165" s="6">
        <v>0</v>
      </c>
      <c r="O165" s="6">
        <v>1950</v>
      </c>
    </row>
    <row r="166" spans="2:15">
      <c r="B166" s="3" t="s">
        <v>99</v>
      </c>
      <c r="C166" s="4" t="s">
        <v>214</v>
      </c>
      <c r="D166" s="5" t="s">
        <v>122</v>
      </c>
      <c r="E166" s="5" t="s">
        <v>123</v>
      </c>
      <c r="F166" s="5" t="s">
        <v>124</v>
      </c>
      <c r="G166" s="6">
        <v>2107.44</v>
      </c>
      <c r="H166" s="6">
        <v>0</v>
      </c>
      <c r="I166" s="7">
        <v>0</v>
      </c>
      <c r="J166" s="7">
        <v>0</v>
      </c>
      <c r="K166" s="7">
        <v>0</v>
      </c>
      <c r="L166" s="7">
        <v>442.56</v>
      </c>
      <c r="M166" s="7">
        <v>0</v>
      </c>
      <c r="N166" s="6">
        <v>0</v>
      </c>
      <c r="O166" s="6">
        <v>2550</v>
      </c>
    </row>
    <row r="167" spans="2:15">
      <c r="B167" s="3" t="s">
        <v>99</v>
      </c>
      <c r="C167" s="4" t="s">
        <v>215</v>
      </c>
      <c r="D167" s="5" t="s">
        <v>122</v>
      </c>
      <c r="E167" s="5" t="s">
        <v>123</v>
      </c>
      <c r="F167" s="5" t="s">
        <v>124</v>
      </c>
      <c r="G167" s="6">
        <v>2892.56</v>
      </c>
      <c r="H167" s="6">
        <v>0</v>
      </c>
      <c r="I167" s="7">
        <v>0</v>
      </c>
      <c r="J167" s="7">
        <v>0</v>
      </c>
      <c r="K167" s="7">
        <v>0</v>
      </c>
      <c r="L167" s="7">
        <v>607.44000000000005</v>
      </c>
      <c r="M167" s="7">
        <v>0</v>
      </c>
      <c r="N167" s="6">
        <v>0</v>
      </c>
      <c r="O167" s="6">
        <v>3500</v>
      </c>
    </row>
    <row r="168" spans="2:15">
      <c r="B168" s="3" t="s">
        <v>99</v>
      </c>
      <c r="C168" s="4" t="s">
        <v>216</v>
      </c>
      <c r="D168" s="5" t="s">
        <v>122</v>
      </c>
      <c r="E168" s="5" t="s">
        <v>123</v>
      </c>
      <c r="F168" s="5" t="s">
        <v>124</v>
      </c>
      <c r="G168" s="6">
        <v>6694.21</v>
      </c>
      <c r="H168" s="6">
        <v>0</v>
      </c>
      <c r="I168" s="7">
        <v>0</v>
      </c>
      <c r="J168" s="7">
        <v>0</v>
      </c>
      <c r="K168" s="7">
        <v>0</v>
      </c>
      <c r="L168" s="7">
        <v>1405.79</v>
      </c>
      <c r="M168" s="7">
        <v>0</v>
      </c>
      <c r="N168" s="6">
        <v>0</v>
      </c>
      <c r="O168" s="6">
        <v>8100</v>
      </c>
    </row>
    <row r="169" spans="2:15">
      <c r="B169" s="3" t="s">
        <v>99</v>
      </c>
      <c r="C169" s="4" t="s">
        <v>217</v>
      </c>
      <c r="D169" s="5" t="s">
        <v>122</v>
      </c>
      <c r="E169" s="5" t="s">
        <v>123</v>
      </c>
      <c r="F169" s="5" t="s">
        <v>124</v>
      </c>
      <c r="G169" s="6">
        <v>5289.26</v>
      </c>
      <c r="H169" s="6">
        <v>0</v>
      </c>
      <c r="I169" s="7">
        <v>0</v>
      </c>
      <c r="J169" s="7">
        <v>0</v>
      </c>
      <c r="K169" s="7">
        <v>0</v>
      </c>
      <c r="L169" s="7">
        <v>1110.74</v>
      </c>
      <c r="M169" s="7">
        <v>0</v>
      </c>
      <c r="N169" s="6">
        <v>0</v>
      </c>
      <c r="O169" s="6">
        <v>6400</v>
      </c>
    </row>
    <row r="170" spans="2:15">
      <c r="B170" s="3" t="s">
        <v>102</v>
      </c>
      <c r="C170" s="4" t="s">
        <v>218</v>
      </c>
      <c r="D170" s="5" t="s">
        <v>122</v>
      </c>
      <c r="E170" s="5" t="s">
        <v>123</v>
      </c>
      <c r="F170" s="5" t="s">
        <v>124</v>
      </c>
      <c r="G170" s="6">
        <v>1983.47</v>
      </c>
      <c r="H170" s="6">
        <v>0</v>
      </c>
      <c r="I170" s="7">
        <v>0</v>
      </c>
      <c r="J170" s="7">
        <v>0</v>
      </c>
      <c r="K170" s="7">
        <v>0</v>
      </c>
      <c r="L170" s="7">
        <v>416.53</v>
      </c>
      <c r="M170" s="7">
        <v>0</v>
      </c>
      <c r="N170" s="6">
        <v>0</v>
      </c>
      <c r="O170" s="6">
        <v>2400</v>
      </c>
    </row>
    <row r="171" spans="2:15">
      <c r="B171" s="3" t="s">
        <v>102</v>
      </c>
      <c r="C171" s="4" t="s">
        <v>219</v>
      </c>
      <c r="D171" s="5" t="s">
        <v>122</v>
      </c>
      <c r="E171" s="5" t="s">
        <v>123</v>
      </c>
      <c r="F171" s="5" t="s">
        <v>124</v>
      </c>
      <c r="G171" s="6">
        <v>1983.47</v>
      </c>
      <c r="H171" s="6">
        <v>0</v>
      </c>
      <c r="I171" s="7">
        <v>0</v>
      </c>
      <c r="J171" s="7">
        <v>0</v>
      </c>
      <c r="K171" s="7">
        <v>0</v>
      </c>
      <c r="L171" s="7">
        <v>416.53</v>
      </c>
      <c r="M171" s="7">
        <v>0</v>
      </c>
      <c r="N171" s="6">
        <v>0</v>
      </c>
      <c r="O171" s="6">
        <v>2400</v>
      </c>
    </row>
    <row r="172" spans="2:15">
      <c r="B172" s="3" t="s">
        <v>102</v>
      </c>
      <c r="C172" s="4" t="s">
        <v>220</v>
      </c>
      <c r="D172" s="5" t="s">
        <v>122</v>
      </c>
      <c r="E172" s="5" t="s">
        <v>123</v>
      </c>
      <c r="F172" s="5" t="s">
        <v>124</v>
      </c>
      <c r="G172" s="6">
        <v>7851.24</v>
      </c>
      <c r="H172" s="6">
        <v>0</v>
      </c>
      <c r="I172" s="7">
        <v>0</v>
      </c>
      <c r="J172" s="7">
        <v>0</v>
      </c>
      <c r="K172" s="7">
        <v>0</v>
      </c>
      <c r="L172" s="7">
        <v>1648.76</v>
      </c>
      <c r="M172" s="7">
        <v>0</v>
      </c>
      <c r="N172" s="6">
        <v>0</v>
      </c>
      <c r="O172" s="6">
        <v>9500</v>
      </c>
    </row>
    <row r="173" spans="2:15">
      <c r="B173" s="3" t="s">
        <v>102</v>
      </c>
      <c r="C173" s="4" t="s">
        <v>221</v>
      </c>
      <c r="D173" s="5" t="s">
        <v>122</v>
      </c>
      <c r="E173" s="5" t="s">
        <v>123</v>
      </c>
      <c r="F173" s="5" t="s">
        <v>124</v>
      </c>
      <c r="G173" s="6">
        <v>2066.12</v>
      </c>
      <c r="H173" s="6">
        <v>0</v>
      </c>
      <c r="I173" s="7">
        <v>0</v>
      </c>
      <c r="J173" s="7">
        <v>0</v>
      </c>
      <c r="K173" s="7">
        <v>0</v>
      </c>
      <c r="L173" s="7">
        <v>433.88</v>
      </c>
      <c r="M173" s="7">
        <v>0</v>
      </c>
      <c r="N173" s="6">
        <v>0</v>
      </c>
      <c r="O173" s="6">
        <v>2500</v>
      </c>
    </row>
    <row r="174" spans="2:15">
      <c r="B174" s="3" t="s">
        <v>102</v>
      </c>
      <c r="C174" s="4" t="s">
        <v>222</v>
      </c>
      <c r="D174" s="5" t="s">
        <v>122</v>
      </c>
      <c r="E174" s="5" t="s">
        <v>123</v>
      </c>
      <c r="F174" s="5" t="s">
        <v>124</v>
      </c>
      <c r="G174" s="6">
        <v>5785.12</v>
      </c>
      <c r="H174" s="6">
        <v>0</v>
      </c>
      <c r="I174" s="7">
        <v>0</v>
      </c>
      <c r="J174" s="7">
        <v>0</v>
      </c>
      <c r="K174" s="7">
        <v>0</v>
      </c>
      <c r="L174" s="7">
        <v>1214.8800000000001</v>
      </c>
      <c r="M174" s="7">
        <v>0</v>
      </c>
      <c r="N174" s="6">
        <v>0</v>
      </c>
      <c r="O174" s="6">
        <v>7000</v>
      </c>
    </row>
    <row r="175" spans="2:15">
      <c r="B175" s="3" t="s">
        <v>102</v>
      </c>
      <c r="C175" s="4" t="s">
        <v>223</v>
      </c>
      <c r="D175" s="5" t="s">
        <v>122</v>
      </c>
      <c r="E175" s="5" t="s">
        <v>123</v>
      </c>
      <c r="F175" s="5" t="s">
        <v>124</v>
      </c>
      <c r="G175" s="6">
        <v>4214.88</v>
      </c>
      <c r="H175" s="6">
        <v>0</v>
      </c>
      <c r="I175" s="7">
        <v>0</v>
      </c>
      <c r="J175" s="7">
        <v>0</v>
      </c>
      <c r="K175" s="7">
        <v>0</v>
      </c>
      <c r="L175" s="7">
        <v>885.12</v>
      </c>
      <c r="M175" s="7">
        <v>0</v>
      </c>
      <c r="N175" s="6">
        <v>0</v>
      </c>
      <c r="O175" s="6">
        <v>5100</v>
      </c>
    </row>
    <row r="176" spans="2:15">
      <c r="B176" s="3" t="s">
        <v>224</v>
      </c>
      <c r="C176" s="4" t="s">
        <v>225</v>
      </c>
      <c r="D176" s="5" t="s">
        <v>122</v>
      </c>
      <c r="E176" s="5" t="s">
        <v>123</v>
      </c>
      <c r="F176" s="5" t="s">
        <v>124</v>
      </c>
      <c r="G176" s="6">
        <v>2066.12</v>
      </c>
      <c r="H176" s="6">
        <v>0</v>
      </c>
      <c r="I176" s="7">
        <v>0</v>
      </c>
      <c r="J176" s="7">
        <v>0</v>
      </c>
      <c r="K176" s="7">
        <v>0</v>
      </c>
      <c r="L176" s="7">
        <v>433.88</v>
      </c>
      <c r="M176" s="7">
        <v>0</v>
      </c>
      <c r="N176" s="6">
        <v>0</v>
      </c>
      <c r="O176" s="6">
        <v>2500</v>
      </c>
    </row>
    <row r="177" spans="2:15">
      <c r="B177" s="3" t="s">
        <v>224</v>
      </c>
      <c r="C177" s="4" t="s">
        <v>226</v>
      </c>
      <c r="D177" s="5" t="s">
        <v>122</v>
      </c>
      <c r="E177" s="5" t="s">
        <v>123</v>
      </c>
      <c r="F177" s="5" t="s">
        <v>124</v>
      </c>
      <c r="G177" s="6">
        <v>2024.79</v>
      </c>
      <c r="H177" s="6">
        <v>0</v>
      </c>
      <c r="I177" s="7">
        <v>0</v>
      </c>
      <c r="J177" s="7">
        <v>0</v>
      </c>
      <c r="K177" s="7">
        <v>0</v>
      </c>
      <c r="L177" s="7">
        <v>425.21</v>
      </c>
      <c r="M177" s="7">
        <v>0</v>
      </c>
      <c r="N177" s="6">
        <v>0</v>
      </c>
      <c r="O177" s="6">
        <v>2450</v>
      </c>
    </row>
    <row r="178" spans="2:15">
      <c r="B178" s="3" t="s">
        <v>224</v>
      </c>
      <c r="C178" s="4" t="s">
        <v>227</v>
      </c>
      <c r="D178" s="5" t="s">
        <v>122</v>
      </c>
      <c r="E178" s="5" t="s">
        <v>123</v>
      </c>
      <c r="F178" s="5" t="s">
        <v>124</v>
      </c>
      <c r="G178" s="6">
        <v>5206.6099999999997</v>
      </c>
      <c r="H178" s="6">
        <v>0</v>
      </c>
      <c r="I178" s="7">
        <v>0</v>
      </c>
      <c r="J178" s="7">
        <v>0</v>
      </c>
      <c r="K178" s="7">
        <v>0</v>
      </c>
      <c r="L178" s="7">
        <v>1093.3900000000001</v>
      </c>
      <c r="M178" s="7">
        <v>0</v>
      </c>
      <c r="N178" s="6">
        <v>0</v>
      </c>
      <c r="O178" s="6">
        <v>6300</v>
      </c>
    </row>
    <row r="179" spans="2:15">
      <c r="B179" s="3" t="s">
        <v>224</v>
      </c>
      <c r="C179" s="4" t="s">
        <v>228</v>
      </c>
      <c r="D179" s="5" t="s">
        <v>122</v>
      </c>
      <c r="E179" s="5" t="s">
        <v>123</v>
      </c>
      <c r="F179" s="5" t="s">
        <v>124</v>
      </c>
      <c r="G179" s="6">
        <v>8429.75</v>
      </c>
      <c r="H179" s="6">
        <v>0</v>
      </c>
      <c r="I179" s="7">
        <v>0</v>
      </c>
      <c r="J179" s="7">
        <v>0</v>
      </c>
      <c r="K179" s="7">
        <v>0</v>
      </c>
      <c r="L179" s="7">
        <v>1770.25</v>
      </c>
      <c r="M179" s="7">
        <v>0</v>
      </c>
      <c r="N179" s="6">
        <v>0</v>
      </c>
      <c r="O179" s="6">
        <v>10200</v>
      </c>
    </row>
    <row r="180" spans="2:15">
      <c r="B180" s="3" t="s">
        <v>224</v>
      </c>
      <c r="C180" s="4" t="s">
        <v>229</v>
      </c>
      <c r="D180" s="5" t="s">
        <v>122</v>
      </c>
      <c r="E180" s="5" t="s">
        <v>123</v>
      </c>
      <c r="F180" s="5" t="s">
        <v>124</v>
      </c>
      <c r="G180" s="6">
        <v>6694.21</v>
      </c>
      <c r="H180" s="6">
        <v>0</v>
      </c>
      <c r="I180" s="7">
        <v>0</v>
      </c>
      <c r="J180" s="7">
        <v>0</v>
      </c>
      <c r="K180" s="7">
        <v>0</v>
      </c>
      <c r="L180" s="7">
        <v>1405.79</v>
      </c>
      <c r="M180" s="7">
        <v>0</v>
      </c>
      <c r="N180" s="6">
        <v>0</v>
      </c>
      <c r="O180" s="6">
        <v>8100</v>
      </c>
    </row>
    <row r="181" spans="2:15">
      <c r="B181" s="3" t="s">
        <v>224</v>
      </c>
      <c r="C181" s="4" t="s">
        <v>230</v>
      </c>
      <c r="D181" s="5" t="s">
        <v>122</v>
      </c>
      <c r="E181" s="5" t="s">
        <v>123</v>
      </c>
      <c r="F181" s="5" t="s">
        <v>124</v>
      </c>
      <c r="G181" s="6">
        <v>4132.2300000000005</v>
      </c>
      <c r="H181" s="6">
        <v>0</v>
      </c>
      <c r="I181" s="7">
        <v>0</v>
      </c>
      <c r="J181" s="7">
        <v>0</v>
      </c>
      <c r="K181" s="7">
        <v>0</v>
      </c>
      <c r="L181" s="7">
        <v>867.77</v>
      </c>
      <c r="M181" s="7">
        <v>0</v>
      </c>
      <c r="N181" s="6">
        <v>0</v>
      </c>
      <c r="O181" s="6">
        <v>5000</v>
      </c>
    </row>
    <row r="182" spans="2:15">
      <c r="B182" s="3" t="s">
        <v>224</v>
      </c>
      <c r="C182" s="4" t="s">
        <v>231</v>
      </c>
      <c r="D182" s="5" t="s">
        <v>122</v>
      </c>
      <c r="E182" s="5" t="s">
        <v>123</v>
      </c>
      <c r="F182" s="5" t="s">
        <v>124</v>
      </c>
      <c r="G182" s="6">
        <v>4214.88</v>
      </c>
      <c r="H182" s="6">
        <v>0</v>
      </c>
      <c r="I182" s="7">
        <v>0</v>
      </c>
      <c r="J182" s="7">
        <v>0</v>
      </c>
      <c r="K182" s="7">
        <v>0</v>
      </c>
      <c r="L182" s="7">
        <v>885.12</v>
      </c>
      <c r="M182" s="7">
        <v>0</v>
      </c>
      <c r="N182" s="6">
        <v>0</v>
      </c>
      <c r="O182" s="6">
        <v>5100</v>
      </c>
    </row>
    <row r="183" spans="2:15">
      <c r="B183" s="3" t="s">
        <v>224</v>
      </c>
      <c r="C183" s="4" t="s">
        <v>232</v>
      </c>
      <c r="D183" s="5" t="s">
        <v>122</v>
      </c>
      <c r="E183" s="5" t="s">
        <v>123</v>
      </c>
      <c r="F183" s="5" t="s">
        <v>124</v>
      </c>
      <c r="G183" s="6">
        <v>6239.67</v>
      </c>
      <c r="H183" s="6">
        <v>0</v>
      </c>
      <c r="I183" s="7">
        <v>0</v>
      </c>
      <c r="J183" s="7">
        <v>0</v>
      </c>
      <c r="K183" s="7">
        <v>0</v>
      </c>
      <c r="L183" s="7">
        <v>1310.33</v>
      </c>
      <c r="M183" s="7">
        <v>0</v>
      </c>
      <c r="N183" s="6">
        <v>0</v>
      </c>
      <c r="O183" s="6">
        <v>7550</v>
      </c>
    </row>
    <row r="184" spans="2:15">
      <c r="B184" s="3" t="s">
        <v>224</v>
      </c>
      <c r="C184" s="4" t="s">
        <v>233</v>
      </c>
      <c r="D184" s="5" t="s">
        <v>122</v>
      </c>
      <c r="E184" s="5" t="s">
        <v>123</v>
      </c>
      <c r="F184" s="5" t="s">
        <v>124</v>
      </c>
      <c r="G184" s="6">
        <v>2066.12</v>
      </c>
      <c r="H184" s="6">
        <v>0</v>
      </c>
      <c r="I184" s="7">
        <v>0</v>
      </c>
      <c r="J184" s="7">
        <v>0</v>
      </c>
      <c r="K184" s="7">
        <v>0</v>
      </c>
      <c r="L184" s="7">
        <v>433.88</v>
      </c>
      <c r="M184" s="7">
        <v>0</v>
      </c>
      <c r="N184" s="6">
        <v>0</v>
      </c>
      <c r="O184" s="6">
        <v>2500</v>
      </c>
    </row>
    <row r="185" spans="2:15">
      <c r="B185" s="3" t="s">
        <v>104</v>
      </c>
      <c r="C185" s="4" t="s">
        <v>234</v>
      </c>
      <c r="D185" s="5" t="s">
        <v>122</v>
      </c>
      <c r="E185" s="5" t="s">
        <v>123</v>
      </c>
      <c r="F185" s="5" t="s">
        <v>124</v>
      </c>
      <c r="G185" s="6">
        <v>950.41</v>
      </c>
      <c r="H185" s="6">
        <v>0</v>
      </c>
      <c r="I185" s="7">
        <v>0</v>
      </c>
      <c r="J185" s="7">
        <v>0</v>
      </c>
      <c r="K185" s="7">
        <v>0</v>
      </c>
      <c r="L185" s="7">
        <v>199.59</v>
      </c>
      <c r="M185" s="7">
        <v>0</v>
      </c>
      <c r="N185" s="6">
        <v>0</v>
      </c>
      <c r="O185" s="6">
        <v>1150</v>
      </c>
    </row>
    <row r="186" spans="2:15">
      <c r="B186" s="3" t="s">
        <v>104</v>
      </c>
      <c r="C186" s="4" t="s">
        <v>235</v>
      </c>
      <c r="D186" s="5" t="s">
        <v>122</v>
      </c>
      <c r="E186" s="5" t="s">
        <v>123</v>
      </c>
      <c r="F186" s="5" t="s">
        <v>124</v>
      </c>
      <c r="G186" s="6">
        <v>2066.12</v>
      </c>
      <c r="H186" s="6">
        <v>0</v>
      </c>
      <c r="I186" s="7">
        <v>0</v>
      </c>
      <c r="J186" s="7">
        <v>0</v>
      </c>
      <c r="K186" s="7">
        <v>0</v>
      </c>
      <c r="L186" s="7">
        <v>433.88</v>
      </c>
      <c r="M186" s="7">
        <v>0</v>
      </c>
      <c r="N186" s="6">
        <v>0</v>
      </c>
      <c r="O186" s="6">
        <v>2500</v>
      </c>
    </row>
    <row r="187" spans="2:15">
      <c r="B187" s="3" t="s">
        <v>104</v>
      </c>
      <c r="C187" s="4" t="s">
        <v>236</v>
      </c>
      <c r="D187" s="5" t="s">
        <v>122</v>
      </c>
      <c r="E187" s="5" t="s">
        <v>123</v>
      </c>
      <c r="F187" s="5" t="s">
        <v>124</v>
      </c>
      <c r="G187" s="6">
        <v>4214.88</v>
      </c>
      <c r="H187" s="6">
        <v>0</v>
      </c>
      <c r="I187" s="7">
        <v>0</v>
      </c>
      <c r="J187" s="7">
        <v>0</v>
      </c>
      <c r="K187" s="7">
        <v>0</v>
      </c>
      <c r="L187" s="7">
        <v>885.12</v>
      </c>
      <c r="M187" s="7">
        <v>0</v>
      </c>
      <c r="N187" s="6">
        <v>0</v>
      </c>
      <c r="O187" s="6">
        <v>5100</v>
      </c>
    </row>
    <row r="188" spans="2:15">
      <c r="B188" s="3" t="s">
        <v>104</v>
      </c>
      <c r="C188" s="4" t="s">
        <v>237</v>
      </c>
      <c r="D188" s="5" t="s">
        <v>122</v>
      </c>
      <c r="E188" s="5" t="s">
        <v>123</v>
      </c>
      <c r="F188" s="5" t="s">
        <v>124</v>
      </c>
      <c r="G188" s="6">
        <v>6776.86</v>
      </c>
      <c r="H188" s="6">
        <v>0</v>
      </c>
      <c r="I188" s="7">
        <v>0</v>
      </c>
      <c r="J188" s="7">
        <v>0</v>
      </c>
      <c r="K188" s="7">
        <v>0</v>
      </c>
      <c r="L188" s="7">
        <v>1423.14</v>
      </c>
      <c r="M188" s="7">
        <v>0</v>
      </c>
      <c r="N188" s="6">
        <v>0</v>
      </c>
      <c r="O188" s="6">
        <v>8200</v>
      </c>
    </row>
    <row r="189" spans="2:15">
      <c r="B189" s="3" t="s">
        <v>104</v>
      </c>
      <c r="C189" s="4" t="s">
        <v>238</v>
      </c>
      <c r="D189" s="5" t="s">
        <v>122</v>
      </c>
      <c r="E189" s="5" t="s">
        <v>123</v>
      </c>
      <c r="F189" s="5" t="s">
        <v>124</v>
      </c>
      <c r="G189" s="6">
        <v>5330.58</v>
      </c>
      <c r="H189" s="6">
        <v>0</v>
      </c>
      <c r="I189" s="7">
        <v>0</v>
      </c>
      <c r="J189" s="7">
        <v>0</v>
      </c>
      <c r="K189" s="7">
        <v>0</v>
      </c>
      <c r="L189" s="7">
        <v>1119.42</v>
      </c>
      <c r="M189" s="7">
        <v>0</v>
      </c>
      <c r="N189" s="6">
        <v>0</v>
      </c>
      <c r="O189" s="6">
        <v>6450</v>
      </c>
    </row>
    <row r="190" spans="2:15">
      <c r="B190" s="3" t="s">
        <v>104</v>
      </c>
      <c r="C190" s="4" t="s">
        <v>239</v>
      </c>
      <c r="D190" s="5" t="s">
        <v>122</v>
      </c>
      <c r="E190" s="5" t="s">
        <v>123</v>
      </c>
      <c r="F190" s="5" t="s">
        <v>124</v>
      </c>
      <c r="G190" s="6">
        <v>2479.34</v>
      </c>
      <c r="H190" s="6">
        <v>0</v>
      </c>
      <c r="I190" s="7">
        <v>0</v>
      </c>
      <c r="J190" s="7">
        <v>0</v>
      </c>
      <c r="K190" s="7">
        <v>0</v>
      </c>
      <c r="L190" s="7">
        <v>520.66</v>
      </c>
      <c r="M190" s="7">
        <v>0</v>
      </c>
      <c r="N190" s="6">
        <v>0</v>
      </c>
      <c r="O190" s="6">
        <v>3000</v>
      </c>
    </row>
    <row r="191" spans="2:15">
      <c r="B191" s="3" t="s">
        <v>104</v>
      </c>
      <c r="C191" s="4" t="s">
        <v>240</v>
      </c>
      <c r="D191" s="5" t="s">
        <v>122</v>
      </c>
      <c r="E191" s="5" t="s">
        <v>123</v>
      </c>
      <c r="F191" s="5" t="s">
        <v>124</v>
      </c>
      <c r="G191" s="6">
        <v>7024.79</v>
      </c>
      <c r="H191" s="6">
        <v>0</v>
      </c>
      <c r="I191" s="7">
        <v>0</v>
      </c>
      <c r="J191" s="7">
        <v>0</v>
      </c>
      <c r="K191" s="7">
        <v>0</v>
      </c>
      <c r="L191" s="7">
        <v>1475.21</v>
      </c>
      <c r="M191" s="7">
        <v>0</v>
      </c>
      <c r="N191" s="6">
        <v>0</v>
      </c>
      <c r="O191" s="6">
        <v>8500</v>
      </c>
    </row>
    <row r="192" spans="2:15">
      <c r="B192" s="3" t="s">
        <v>39</v>
      </c>
      <c r="C192" s="4" t="s">
        <v>241</v>
      </c>
      <c r="D192" s="5" t="s">
        <v>122</v>
      </c>
      <c r="E192" s="5" t="s">
        <v>123</v>
      </c>
      <c r="F192" s="5" t="s">
        <v>124</v>
      </c>
      <c r="G192" s="6">
        <v>5537.19</v>
      </c>
      <c r="H192" s="6">
        <v>0</v>
      </c>
      <c r="I192" s="7">
        <v>0</v>
      </c>
      <c r="J192" s="7">
        <v>0</v>
      </c>
      <c r="K192" s="7">
        <v>0</v>
      </c>
      <c r="L192" s="7">
        <v>1162.81</v>
      </c>
      <c r="M192" s="7">
        <v>0</v>
      </c>
      <c r="N192" s="6">
        <v>0</v>
      </c>
      <c r="O192" s="6">
        <v>6700</v>
      </c>
    </row>
    <row r="193" spans="2:15">
      <c r="B193" s="3" t="s">
        <v>39</v>
      </c>
      <c r="C193" s="4" t="s">
        <v>242</v>
      </c>
      <c r="D193" s="5" t="s">
        <v>122</v>
      </c>
      <c r="E193" s="5" t="s">
        <v>123</v>
      </c>
      <c r="F193" s="5" t="s">
        <v>124</v>
      </c>
      <c r="G193" s="6">
        <v>8140.5</v>
      </c>
      <c r="H193" s="6">
        <v>0</v>
      </c>
      <c r="I193" s="7">
        <v>0</v>
      </c>
      <c r="J193" s="7">
        <v>0</v>
      </c>
      <c r="K193" s="7">
        <v>0</v>
      </c>
      <c r="L193" s="7">
        <v>1709.5</v>
      </c>
      <c r="M193" s="7">
        <v>0</v>
      </c>
      <c r="N193" s="6">
        <v>0</v>
      </c>
      <c r="O193" s="6">
        <v>9850</v>
      </c>
    </row>
    <row r="194" spans="2:15">
      <c r="B194" s="3" t="s">
        <v>39</v>
      </c>
      <c r="C194" s="4" t="s">
        <v>243</v>
      </c>
      <c r="D194" s="5" t="s">
        <v>122</v>
      </c>
      <c r="E194" s="5" t="s">
        <v>123</v>
      </c>
      <c r="F194" s="5" t="s">
        <v>124</v>
      </c>
      <c r="G194" s="6">
        <v>6611.57</v>
      </c>
      <c r="H194" s="6">
        <v>0</v>
      </c>
      <c r="I194" s="7">
        <v>0</v>
      </c>
      <c r="J194" s="7">
        <v>0</v>
      </c>
      <c r="K194" s="7">
        <v>0</v>
      </c>
      <c r="L194" s="7">
        <v>1388.43</v>
      </c>
      <c r="M194" s="7">
        <v>0</v>
      </c>
      <c r="N194" s="6">
        <v>0</v>
      </c>
      <c r="O194" s="6">
        <v>8000</v>
      </c>
    </row>
    <row r="195" spans="2:15">
      <c r="B195" s="3" t="s">
        <v>39</v>
      </c>
      <c r="C195" s="4" t="s">
        <v>244</v>
      </c>
      <c r="D195" s="5" t="s">
        <v>122</v>
      </c>
      <c r="E195" s="5" t="s">
        <v>123</v>
      </c>
      <c r="F195" s="5" t="s">
        <v>124</v>
      </c>
      <c r="G195" s="6">
        <v>2975.21</v>
      </c>
      <c r="H195" s="6">
        <v>0</v>
      </c>
      <c r="I195" s="7">
        <v>0</v>
      </c>
      <c r="J195" s="7">
        <v>0</v>
      </c>
      <c r="K195" s="7">
        <v>0</v>
      </c>
      <c r="L195" s="7">
        <v>624.79</v>
      </c>
      <c r="M195" s="7">
        <v>0</v>
      </c>
      <c r="N195" s="6">
        <v>0</v>
      </c>
      <c r="O195" s="6">
        <v>3600</v>
      </c>
    </row>
    <row r="196" spans="2:15">
      <c r="B196" s="3" t="s">
        <v>41</v>
      </c>
      <c r="C196" s="4" t="s">
        <v>245</v>
      </c>
      <c r="D196" s="5" t="s">
        <v>122</v>
      </c>
      <c r="E196" s="5" t="s">
        <v>123</v>
      </c>
      <c r="F196" s="5" t="s">
        <v>124</v>
      </c>
      <c r="G196" s="6">
        <v>5082.6400000000003</v>
      </c>
      <c r="H196" s="6">
        <v>0</v>
      </c>
      <c r="I196" s="7">
        <v>0</v>
      </c>
      <c r="J196" s="7">
        <v>0</v>
      </c>
      <c r="K196" s="7">
        <v>0</v>
      </c>
      <c r="L196" s="7">
        <v>1067.3600000000001</v>
      </c>
      <c r="M196" s="7">
        <v>0</v>
      </c>
      <c r="N196" s="6">
        <v>0</v>
      </c>
      <c r="O196" s="6">
        <v>6150</v>
      </c>
    </row>
    <row r="197" spans="2:15">
      <c r="B197" s="3" t="s">
        <v>41</v>
      </c>
      <c r="C197" s="4" t="s">
        <v>246</v>
      </c>
      <c r="D197" s="5" t="s">
        <v>122</v>
      </c>
      <c r="E197" s="5" t="s">
        <v>123</v>
      </c>
      <c r="F197" s="5" t="s">
        <v>124</v>
      </c>
      <c r="G197" s="6">
        <v>9586.7800000000007</v>
      </c>
      <c r="H197" s="6">
        <v>0</v>
      </c>
      <c r="I197" s="7">
        <v>0</v>
      </c>
      <c r="J197" s="7">
        <v>0</v>
      </c>
      <c r="K197" s="7">
        <v>0</v>
      </c>
      <c r="L197" s="7">
        <v>2013.22</v>
      </c>
      <c r="M197" s="7">
        <v>0</v>
      </c>
      <c r="N197" s="6">
        <v>0</v>
      </c>
      <c r="O197" s="6">
        <v>11600</v>
      </c>
    </row>
    <row r="198" spans="2:15">
      <c r="B198" s="3" t="s">
        <v>41</v>
      </c>
      <c r="C198" s="4" t="s">
        <v>247</v>
      </c>
      <c r="D198" s="5" t="s">
        <v>122</v>
      </c>
      <c r="E198" s="5" t="s">
        <v>123</v>
      </c>
      <c r="F198" s="5" t="s">
        <v>124</v>
      </c>
      <c r="G198" s="6">
        <v>8429.75</v>
      </c>
      <c r="H198" s="6">
        <v>0</v>
      </c>
      <c r="I198" s="7">
        <v>0</v>
      </c>
      <c r="J198" s="7">
        <v>0</v>
      </c>
      <c r="K198" s="7">
        <v>0</v>
      </c>
      <c r="L198" s="7">
        <v>1770.25</v>
      </c>
      <c r="M198" s="7">
        <v>0</v>
      </c>
      <c r="N198" s="6">
        <v>0</v>
      </c>
      <c r="O198" s="6">
        <v>10200</v>
      </c>
    </row>
    <row r="199" spans="2:15">
      <c r="B199" s="3" t="s">
        <v>41</v>
      </c>
      <c r="C199" s="4" t="s">
        <v>248</v>
      </c>
      <c r="D199" s="5" t="s">
        <v>122</v>
      </c>
      <c r="E199" s="5" t="s">
        <v>123</v>
      </c>
      <c r="F199" s="5" t="s">
        <v>124</v>
      </c>
      <c r="G199" s="6">
        <v>8925.6200000000008</v>
      </c>
      <c r="H199" s="6">
        <v>0</v>
      </c>
      <c r="I199" s="7">
        <v>0</v>
      </c>
      <c r="J199" s="7">
        <v>0</v>
      </c>
      <c r="K199" s="7">
        <v>0</v>
      </c>
      <c r="L199" s="7">
        <v>1874.38</v>
      </c>
      <c r="M199" s="7">
        <v>0</v>
      </c>
      <c r="N199" s="6">
        <v>0</v>
      </c>
      <c r="O199" s="6">
        <v>10800</v>
      </c>
    </row>
    <row r="200" spans="2:15">
      <c r="B200" s="3" t="s">
        <v>41</v>
      </c>
      <c r="C200" s="4" t="s">
        <v>249</v>
      </c>
      <c r="D200" s="5" t="s">
        <v>122</v>
      </c>
      <c r="E200" s="5" t="s">
        <v>123</v>
      </c>
      <c r="F200" s="5" t="s">
        <v>124</v>
      </c>
      <c r="G200" s="6">
        <v>2644.63</v>
      </c>
      <c r="H200" s="6">
        <v>0</v>
      </c>
      <c r="I200" s="7">
        <v>0</v>
      </c>
      <c r="J200" s="7">
        <v>0</v>
      </c>
      <c r="K200" s="7">
        <v>0</v>
      </c>
      <c r="L200" s="7">
        <v>555.37</v>
      </c>
      <c r="M200" s="7">
        <v>0</v>
      </c>
      <c r="N200" s="6">
        <v>0</v>
      </c>
      <c r="O200" s="6">
        <v>3200</v>
      </c>
    </row>
    <row r="201" spans="2:15">
      <c r="B201" s="3" t="s">
        <v>41</v>
      </c>
      <c r="C201" s="4" t="s">
        <v>250</v>
      </c>
      <c r="D201" s="5" t="s">
        <v>122</v>
      </c>
      <c r="E201" s="5" t="s">
        <v>123</v>
      </c>
      <c r="F201" s="5" t="s">
        <v>124</v>
      </c>
      <c r="G201" s="6">
        <v>11487.6</v>
      </c>
      <c r="H201" s="6">
        <v>0</v>
      </c>
      <c r="I201" s="7">
        <v>0</v>
      </c>
      <c r="J201" s="7">
        <v>0</v>
      </c>
      <c r="K201" s="7">
        <v>0</v>
      </c>
      <c r="L201" s="7">
        <v>2412.4</v>
      </c>
      <c r="M201" s="7">
        <v>0</v>
      </c>
      <c r="N201" s="6">
        <v>0</v>
      </c>
      <c r="O201" s="6">
        <v>13900</v>
      </c>
    </row>
    <row r="202" spans="2:15">
      <c r="B202" s="3" t="s">
        <v>111</v>
      </c>
      <c r="C202" s="4" t="s">
        <v>251</v>
      </c>
      <c r="D202" s="5" t="s">
        <v>122</v>
      </c>
      <c r="E202" s="5" t="s">
        <v>123</v>
      </c>
      <c r="F202" s="5" t="s">
        <v>124</v>
      </c>
      <c r="G202" s="6">
        <v>2066.12</v>
      </c>
      <c r="H202" s="6">
        <v>0</v>
      </c>
      <c r="I202" s="7">
        <v>0</v>
      </c>
      <c r="J202" s="7">
        <v>0</v>
      </c>
      <c r="K202" s="7">
        <v>0</v>
      </c>
      <c r="L202" s="7">
        <v>433.88</v>
      </c>
      <c r="M202" s="7">
        <v>0</v>
      </c>
      <c r="N202" s="6">
        <v>0</v>
      </c>
      <c r="O202" s="6">
        <v>2500</v>
      </c>
    </row>
    <row r="203" spans="2:15">
      <c r="B203" s="3" t="s">
        <v>111</v>
      </c>
      <c r="C203" s="4" t="s">
        <v>252</v>
      </c>
      <c r="D203" s="5" t="s">
        <v>122</v>
      </c>
      <c r="E203" s="5" t="s">
        <v>123</v>
      </c>
      <c r="F203" s="5" t="s">
        <v>124</v>
      </c>
      <c r="G203" s="6">
        <v>6198.35</v>
      </c>
      <c r="H203" s="6">
        <v>0</v>
      </c>
      <c r="I203" s="7">
        <v>0</v>
      </c>
      <c r="J203" s="7">
        <v>0</v>
      </c>
      <c r="K203" s="7">
        <v>0</v>
      </c>
      <c r="L203" s="7">
        <v>1301.6500000000001</v>
      </c>
      <c r="M203" s="7">
        <v>0</v>
      </c>
      <c r="N203" s="6">
        <v>0</v>
      </c>
      <c r="O203" s="6">
        <v>7500</v>
      </c>
    </row>
    <row r="204" spans="2:15">
      <c r="B204" s="3" t="s">
        <v>111</v>
      </c>
      <c r="C204" s="4" t="s">
        <v>253</v>
      </c>
      <c r="D204" s="5" t="s">
        <v>122</v>
      </c>
      <c r="E204" s="5" t="s">
        <v>123</v>
      </c>
      <c r="F204" s="5" t="s">
        <v>124</v>
      </c>
      <c r="G204" s="6">
        <v>2066.12</v>
      </c>
      <c r="H204" s="6">
        <v>0</v>
      </c>
      <c r="I204" s="7">
        <v>0</v>
      </c>
      <c r="J204" s="7">
        <v>0</v>
      </c>
      <c r="K204" s="7">
        <v>0</v>
      </c>
      <c r="L204" s="7">
        <v>433.88</v>
      </c>
      <c r="M204" s="7">
        <v>0</v>
      </c>
      <c r="N204" s="6">
        <v>0</v>
      </c>
      <c r="O204" s="6">
        <v>2500</v>
      </c>
    </row>
    <row r="205" spans="2:15">
      <c r="B205" s="3" t="s">
        <v>111</v>
      </c>
      <c r="C205" s="4" t="s">
        <v>254</v>
      </c>
      <c r="D205" s="5" t="s">
        <v>122</v>
      </c>
      <c r="E205" s="5" t="s">
        <v>123</v>
      </c>
      <c r="F205" s="5" t="s">
        <v>124</v>
      </c>
      <c r="G205" s="6">
        <v>2809.92</v>
      </c>
      <c r="H205" s="6">
        <v>0</v>
      </c>
      <c r="I205" s="7">
        <v>0</v>
      </c>
      <c r="J205" s="7">
        <v>0</v>
      </c>
      <c r="K205" s="7">
        <v>0</v>
      </c>
      <c r="L205" s="7">
        <v>590.08000000000004</v>
      </c>
      <c r="M205" s="7">
        <v>0</v>
      </c>
      <c r="N205" s="6">
        <v>0</v>
      </c>
      <c r="O205" s="6">
        <v>3400</v>
      </c>
    </row>
    <row r="206" spans="2:15">
      <c r="B206" s="3" t="s">
        <v>111</v>
      </c>
      <c r="C206" s="4" t="s">
        <v>255</v>
      </c>
      <c r="D206" s="5" t="s">
        <v>122</v>
      </c>
      <c r="E206" s="5" t="s">
        <v>123</v>
      </c>
      <c r="F206" s="5" t="s">
        <v>124</v>
      </c>
      <c r="G206" s="6">
        <v>3719.01</v>
      </c>
      <c r="H206" s="6">
        <v>0</v>
      </c>
      <c r="I206" s="7">
        <v>0</v>
      </c>
      <c r="J206" s="7">
        <v>0</v>
      </c>
      <c r="K206" s="7">
        <v>0</v>
      </c>
      <c r="L206" s="7">
        <v>780.99</v>
      </c>
      <c r="M206" s="7">
        <v>0</v>
      </c>
      <c r="N206" s="6">
        <v>0</v>
      </c>
      <c r="O206" s="6">
        <v>4500</v>
      </c>
    </row>
    <row r="207" spans="2:15">
      <c r="B207" s="3" t="s">
        <v>111</v>
      </c>
      <c r="C207" s="4" t="s">
        <v>256</v>
      </c>
      <c r="D207" s="5" t="s">
        <v>122</v>
      </c>
      <c r="E207" s="5" t="s">
        <v>123</v>
      </c>
      <c r="F207" s="5" t="s">
        <v>124</v>
      </c>
      <c r="G207" s="6">
        <v>413.22</v>
      </c>
      <c r="H207" s="6">
        <v>0</v>
      </c>
      <c r="I207" s="7">
        <v>0</v>
      </c>
      <c r="J207" s="7">
        <v>0</v>
      </c>
      <c r="K207" s="7">
        <v>0</v>
      </c>
      <c r="L207" s="7">
        <v>86.78</v>
      </c>
      <c r="M207" s="7">
        <v>0</v>
      </c>
      <c r="N207" s="6">
        <v>0</v>
      </c>
      <c r="O207" s="6">
        <v>500</v>
      </c>
    </row>
    <row r="208" spans="2:15">
      <c r="B208" s="3" t="s">
        <v>111</v>
      </c>
      <c r="C208" s="4" t="s">
        <v>257</v>
      </c>
      <c r="D208" s="5" t="s">
        <v>122</v>
      </c>
      <c r="E208" s="5" t="s">
        <v>123</v>
      </c>
      <c r="F208" s="5" t="s">
        <v>124</v>
      </c>
      <c r="G208" s="6">
        <v>8842.98</v>
      </c>
      <c r="H208" s="6">
        <v>0</v>
      </c>
      <c r="I208" s="7">
        <v>0</v>
      </c>
      <c r="J208" s="7">
        <v>0</v>
      </c>
      <c r="K208" s="7">
        <v>0</v>
      </c>
      <c r="L208" s="7">
        <v>1857.02</v>
      </c>
      <c r="M208" s="7">
        <v>0</v>
      </c>
      <c r="N208" s="6">
        <v>0</v>
      </c>
      <c r="O208" s="6">
        <v>10700</v>
      </c>
    </row>
    <row r="209" spans="2:15">
      <c r="B209" s="3" t="s">
        <v>114</v>
      </c>
      <c r="C209" s="4" t="s">
        <v>258</v>
      </c>
      <c r="D209" s="5" t="s">
        <v>122</v>
      </c>
      <c r="E209" s="5" t="s">
        <v>123</v>
      </c>
      <c r="F209" s="5" t="s">
        <v>124</v>
      </c>
      <c r="G209" s="6">
        <v>4214.88</v>
      </c>
      <c r="H209" s="6">
        <v>0</v>
      </c>
      <c r="I209" s="7">
        <v>0</v>
      </c>
      <c r="J209" s="7">
        <v>0</v>
      </c>
      <c r="K209" s="7">
        <v>0</v>
      </c>
      <c r="L209" s="7">
        <v>885.12</v>
      </c>
      <c r="M209" s="7">
        <v>0</v>
      </c>
      <c r="N209" s="6">
        <v>0</v>
      </c>
      <c r="O209" s="6">
        <v>5100</v>
      </c>
    </row>
    <row r="210" spans="2:15">
      <c r="B210" s="3" t="s">
        <v>114</v>
      </c>
      <c r="C210" s="4" t="s">
        <v>259</v>
      </c>
      <c r="D210" s="5" t="s">
        <v>122</v>
      </c>
      <c r="E210" s="5" t="s">
        <v>123</v>
      </c>
      <c r="F210" s="5" t="s">
        <v>124</v>
      </c>
      <c r="G210" s="6">
        <v>4917.3599999999997</v>
      </c>
      <c r="H210" s="6">
        <v>0</v>
      </c>
      <c r="I210" s="7">
        <v>0</v>
      </c>
      <c r="J210" s="7">
        <v>0</v>
      </c>
      <c r="K210" s="7">
        <v>0</v>
      </c>
      <c r="L210" s="7">
        <v>1032.6400000000001</v>
      </c>
      <c r="M210" s="7">
        <v>0</v>
      </c>
      <c r="N210" s="6">
        <v>0</v>
      </c>
      <c r="O210" s="6">
        <v>5950</v>
      </c>
    </row>
    <row r="211" spans="2:15">
      <c r="B211" s="3" t="s">
        <v>114</v>
      </c>
      <c r="C211" s="4" t="s">
        <v>260</v>
      </c>
      <c r="D211" s="5" t="s">
        <v>122</v>
      </c>
      <c r="E211" s="5" t="s">
        <v>123</v>
      </c>
      <c r="F211" s="5" t="s">
        <v>124</v>
      </c>
      <c r="G211" s="6">
        <v>1404.96</v>
      </c>
      <c r="H211" s="6">
        <v>0</v>
      </c>
      <c r="I211" s="7">
        <v>0</v>
      </c>
      <c r="J211" s="7">
        <v>0</v>
      </c>
      <c r="K211" s="7">
        <v>0</v>
      </c>
      <c r="L211" s="7">
        <v>295.04000000000002</v>
      </c>
      <c r="M211" s="7">
        <v>0</v>
      </c>
      <c r="N211" s="6">
        <v>0</v>
      </c>
      <c r="O211" s="6">
        <v>1700</v>
      </c>
    </row>
    <row r="212" spans="2:15">
      <c r="B212" s="3" t="s">
        <v>114</v>
      </c>
      <c r="C212" s="4" t="s">
        <v>261</v>
      </c>
      <c r="D212" s="5" t="s">
        <v>122</v>
      </c>
      <c r="E212" s="5" t="s">
        <v>123</v>
      </c>
      <c r="F212" s="5" t="s">
        <v>124</v>
      </c>
      <c r="G212" s="6">
        <v>1239.67</v>
      </c>
      <c r="H212" s="6">
        <v>0</v>
      </c>
      <c r="I212" s="7">
        <v>0</v>
      </c>
      <c r="J212" s="7">
        <v>0</v>
      </c>
      <c r="K212" s="7">
        <v>0</v>
      </c>
      <c r="L212" s="7">
        <v>260.33</v>
      </c>
      <c r="M212" s="7">
        <v>0</v>
      </c>
      <c r="N212" s="6">
        <v>0</v>
      </c>
      <c r="O212" s="6">
        <v>1500</v>
      </c>
    </row>
    <row r="213" spans="2:15">
      <c r="B213" s="3" t="s">
        <v>114</v>
      </c>
      <c r="C213" s="4" t="s">
        <v>262</v>
      </c>
      <c r="D213" s="5" t="s">
        <v>122</v>
      </c>
      <c r="E213" s="5" t="s">
        <v>123</v>
      </c>
      <c r="F213" s="5" t="s">
        <v>124</v>
      </c>
      <c r="G213" s="6">
        <v>1652.89</v>
      </c>
      <c r="H213" s="6">
        <v>0</v>
      </c>
      <c r="I213" s="7">
        <v>0</v>
      </c>
      <c r="J213" s="7">
        <v>0</v>
      </c>
      <c r="K213" s="7">
        <v>0</v>
      </c>
      <c r="L213" s="7">
        <v>347.11</v>
      </c>
      <c r="M213" s="7">
        <v>0</v>
      </c>
      <c r="N213" s="6">
        <v>0</v>
      </c>
      <c r="O213" s="6">
        <v>2000</v>
      </c>
    </row>
    <row r="214" spans="2:15">
      <c r="B214" s="3" t="s">
        <v>114</v>
      </c>
      <c r="C214" s="4" t="s">
        <v>263</v>
      </c>
      <c r="D214" s="5" t="s">
        <v>122</v>
      </c>
      <c r="E214" s="5" t="s">
        <v>123</v>
      </c>
      <c r="F214" s="5" t="s">
        <v>124</v>
      </c>
      <c r="G214" s="6">
        <v>6611.57</v>
      </c>
      <c r="H214" s="6">
        <v>0</v>
      </c>
      <c r="I214" s="7">
        <v>0</v>
      </c>
      <c r="J214" s="7">
        <v>0</v>
      </c>
      <c r="K214" s="7">
        <v>0</v>
      </c>
      <c r="L214" s="7">
        <v>1388.43</v>
      </c>
      <c r="M214" s="7">
        <v>0</v>
      </c>
      <c r="N214" s="6">
        <v>0</v>
      </c>
      <c r="O214" s="6">
        <v>8000</v>
      </c>
    </row>
    <row r="215" spans="2:15">
      <c r="B215" s="3" t="s">
        <v>114</v>
      </c>
      <c r="C215" s="4" t="s">
        <v>264</v>
      </c>
      <c r="D215" s="5" t="s">
        <v>122</v>
      </c>
      <c r="E215" s="5" t="s">
        <v>123</v>
      </c>
      <c r="F215" s="5" t="s">
        <v>124</v>
      </c>
      <c r="G215" s="6">
        <v>743.8</v>
      </c>
      <c r="H215" s="6">
        <v>0</v>
      </c>
      <c r="I215" s="7">
        <v>0</v>
      </c>
      <c r="J215" s="7">
        <v>0</v>
      </c>
      <c r="K215" s="7">
        <v>0</v>
      </c>
      <c r="L215" s="7">
        <v>156.20000000000002</v>
      </c>
      <c r="M215" s="7">
        <v>0</v>
      </c>
      <c r="N215" s="6">
        <v>0</v>
      </c>
      <c r="O215" s="6">
        <v>900</v>
      </c>
    </row>
    <row r="216" spans="2:15">
      <c r="B216" s="3" t="s">
        <v>114</v>
      </c>
      <c r="C216" s="4" t="s">
        <v>265</v>
      </c>
      <c r="D216" s="5" t="s">
        <v>122</v>
      </c>
      <c r="E216" s="5" t="s">
        <v>123</v>
      </c>
      <c r="F216" s="5" t="s">
        <v>124</v>
      </c>
      <c r="G216" s="6">
        <v>3719.01</v>
      </c>
      <c r="H216" s="6">
        <v>0</v>
      </c>
      <c r="I216" s="7">
        <v>0</v>
      </c>
      <c r="J216" s="7">
        <v>0</v>
      </c>
      <c r="K216" s="7">
        <v>0</v>
      </c>
      <c r="L216" s="7">
        <v>780.99</v>
      </c>
      <c r="M216" s="7">
        <v>0</v>
      </c>
      <c r="N216" s="6">
        <v>0</v>
      </c>
      <c r="O216" s="6">
        <v>4500</v>
      </c>
    </row>
    <row r="217" spans="2:15">
      <c r="B217" s="3" t="s">
        <v>114</v>
      </c>
      <c r="C217" s="4" t="s">
        <v>266</v>
      </c>
      <c r="D217" s="5" t="s">
        <v>122</v>
      </c>
      <c r="E217" s="5" t="s">
        <v>123</v>
      </c>
      <c r="F217" s="5" t="s">
        <v>124</v>
      </c>
      <c r="G217" s="6">
        <v>2892.56</v>
      </c>
      <c r="H217" s="6">
        <v>0</v>
      </c>
      <c r="I217" s="7">
        <v>0</v>
      </c>
      <c r="J217" s="7">
        <v>0</v>
      </c>
      <c r="K217" s="7">
        <v>0</v>
      </c>
      <c r="L217" s="7">
        <v>607.44000000000005</v>
      </c>
      <c r="M217" s="7">
        <v>0</v>
      </c>
      <c r="N217" s="6">
        <v>0</v>
      </c>
      <c r="O217" s="6">
        <v>3500</v>
      </c>
    </row>
    <row r="218" spans="2:15">
      <c r="B218" s="3" t="s">
        <v>114</v>
      </c>
      <c r="C218" s="4" t="s">
        <v>267</v>
      </c>
      <c r="D218" s="5" t="s">
        <v>122</v>
      </c>
      <c r="E218" s="5" t="s">
        <v>123</v>
      </c>
      <c r="F218" s="5" t="s">
        <v>124</v>
      </c>
      <c r="G218" s="6">
        <v>12066.11</v>
      </c>
      <c r="H218" s="6">
        <v>0</v>
      </c>
      <c r="I218" s="7">
        <v>0</v>
      </c>
      <c r="J218" s="7">
        <v>0</v>
      </c>
      <c r="K218" s="7">
        <v>0</v>
      </c>
      <c r="L218" s="7">
        <v>2533.89</v>
      </c>
      <c r="M218" s="7">
        <v>0</v>
      </c>
      <c r="N218" s="6">
        <v>0</v>
      </c>
      <c r="O218" s="6">
        <v>14600</v>
      </c>
    </row>
    <row r="219" spans="2:15">
      <c r="B219" s="3" t="s">
        <v>114</v>
      </c>
      <c r="C219" s="4" t="s">
        <v>268</v>
      </c>
      <c r="D219" s="5" t="s">
        <v>122</v>
      </c>
      <c r="E219" s="5" t="s">
        <v>123</v>
      </c>
      <c r="F219" s="5" t="s">
        <v>124</v>
      </c>
      <c r="G219" s="6">
        <v>6776.86</v>
      </c>
      <c r="H219" s="6">
        <v>0</v>
      </c>
      <c r="I219" s="7">
        <v>0</v>
      </c>
      <c r="J219" s="7">
        <v>0</v>
      </c>
      <c r="K219" s="7">
        <v>0</v>
      </c>
      <c r="L219" s="7">
        <v>1423.14</v>
      </c>
      <c r="M219" s="7">
        <v>0</v>
      </c>
      <c r="N219" s="6">
        <v>0</v>
      </c>
      <c r="O219" s="6">
        <v>8200</v>
      </c>
    </row>
    <row r="220" spans="2:15">
      <c r="B220" s="3" t="s">
        <v>44</v>
      </c>
      <c r="C220" s="4" t="s">
        <v>269</v>
      </c>
      <c r="D220" s="5" t="s">
        <v>122</v>
      </c>
      <c r="E220" s="5" t="s">
        <v>123</v>
      </c>
      <c r="F220" s="5" t="s">
        <v>124</v>
      </c>
      <c r="G220" s="6">
        <v>247.93</v>
      </c>
      <c r="H220" s="6">
        <v>0</v>
      </c>
      <c r="I220" s="7">
        <v>0</v>
      </c>
      <c r="J220" s="7">
        <v>0</v>
      </c>
      <c r="K220" s="7">
        <v>0</v>
      </c>
      <c r="L220" s="7">
        <v>52.07</v>
      </c>
      <c r="M220" s="7">
        <v>0</v>
      </c>
      <c r="N220" s="6">
        <v>0</v>
      </c>
      <c r="O220" s="6">
        <v>300</v>
      </c>
    </row>
    <row r="221" spans="2:15">
      <c r="B221" s="3" t="s">
        <v>44</v>
      </c>
      <c r="C221" s="4" t="s">
        <v>270</v>
      </c>
      <c r="D221" s="5" t="s">
        <v>122</v>
      </c>
      <c r="E221" s="5" t="s">
        <v>123</v>
      </c>
      <c r="F221" s="5" t="s">
        <v>124</v>
      </c>
      <c r="G221" s="6">
        <v>6776.86</v>
      </c>
      <c r="H221" s="6">
        <v>0</v>
      </c>
      <c r="I221" s="7">
        <v>0</v>
      </c>
      <c r="J221" s="7">
        <v>0</v>
      </c>
      <c r="K221" s="7">
        <v>0</v>
      </c>
      <c r="L221" s="7">
        <v>1423.14</v>
      </c>
      <c r="M221" s="7">
        <v>0</v>
      </c>
      <c r="N221" s="6">
        <v>0</v>
      </c>
      <c r="O221" s="6">
        <v>8200</v>
      </c>
    </row>
    <row r="222" spans="2:15">
      <c r="B222" s="3" t="s">
        <v>44</v>
      </c>
      <c r="C222" s="4" t="s">
        <v>271</v>
      </c>
      <c r="D222" s="5" t="s">
        <v>122</v>
      </c>
      <c r="E222" s="5" t="s">
        <v>123</v>
      </c>
      <c r="F222" s="5" t="s">
        <v>124</v>
      </c>
      <c r="G222" s="6">
        <v>4214.88</v>
      </c>
      <c r="H222" s="6">
        <v>0</v>
      </c>
      <c r="I222" s="7">
        <v>0</v>
      </c>
      <c r="J222" s="7">
        <v>0</v>
      </c>
      <c r="K222" s="7">
        <v>0</v>
      </c>
      <c r="L222" s="7">
        <v>885.12</v>
      </c>
      <c r="M222" s="7">
        <v>0</v>
      </c>
      <c r="N222" s="6">
        <v>0</v>
      </c>
      <c r="O222" s="6">
        <v>5100</v>
      </c>
    </row>
    <row r="223" spans="2:15">
      <c r="B223" s="3" t="s">
        <v>44</v>
      </c>
      <c r="C223" s="4" t="s">
        <v>272</v>
      </c>
      <c r="D223" s="5" t="s">
        <v>122</v>
      </c>
      <c r="E223" s="5" t="s">
        <v>123</v>
      </c>
      <c r="F223" s="5" t="s">
        <v>124</v>
      </c>
      <c r="G223" s="6">
        <v>16239.67</v>
      </c>
      <c r="H223" s="6">
        <v>0</v>
      </c>
      <c r="I223" s="7">
        <v>0</v>
      </c>
      <c r="J223" s="7">
        <v>0</v>
      </c>
      <c r="K223" s="7">
        <v>0</v>
      </c>
      <c r="L223" s="7">
        <v>3410.33</v>
      </c>
      <c r="M223" s="7">
        <v>0</v>
      </c>
      <c r="N223" s="6">
        <v>0</v>
      </c>
      <c r="O223" s="6">
        <v>19650</v>
      </c>
    </row>
    <row r="224" spans="2:15">
      <c r="B224" s="3" t="s">
        <v>44</v>
      </c>
      <c r="C224" s="4" t="s">
        <v>273</v>
      </c>
      <c r="D224" s="5" t="s">
        <v>122</v>
      </c>
      <c r="E224" s="5" t="s">
        <v>123</v>
      </c>
      <c r="F224" s="5" t="s">
        <v>124</v>
      </c>
      <c r="G224" s="6">
        <v>8264.4600000000009</v>
      </c>
      <c r="H224" s="6">
        <v>0</v>
      </c>
      <c r="I224" s="7">
        <v>0</v>
      </c>
      <c r="J224" s="7">
        <v>0</v>
      </c>
      <c r="K224" s="7">
        <v>0</v>
      </c>
      <c r="L224" s="7">
        <v>1735.54</v>
      </c>
      <c r="M224" s="7">
        <v>0</v>
      </c>
      <c r="N224" s="6">
        <v>0</v>
      </c>
      <c r="O224" s="6">
        <v>10000</v>
      </c>
    </row>
    <row r="225" spans="2:15">
      <c r="B225" s="3" t="s">
        <v>14</v>
      </c>
      <c r="C225" s="4" t="s">
        <v>274</v>
      </c>
      <c r="D225" s="5" t="s">
        <v>275</v>
      </c>
      <c r="E225" s="5" t="s">
        <v>276</v>
      </c>
      <c r="F225" s="5">
        <v>30590354798</v>
      </c>
      <c r="G225" s="6">
        <v>73553.72</v>
      </c>
      <c r="H225" s="6">
        <v>0</v>
      </c>
      <c r="I225" s="7">
        <v>0</v>
      </c>
      <c r="J225" s="7">
        <v>0</v>
      </c>
      <c r="K225" s="7">
        <v>0</v>
      </c>
      <c r="L225" s="7">
        <v>15446.28</v>
      </c>
      <c r="M225" s="7">
        <v>0</v>
      </c>
      <c r="N225" s="6">
        <v>0</v>
      </c>
      <c r="O225" s="6">
        <v>89000</v>
      </c>
    </row>
    <row r="226" spans="2:15">
      <c r="B226" s="3" t="s">
        <v>14</v>
      </c>
      <c r="C226" s="4" t="s">
        <v>277</v>
      </c>
      <c r="D226" s="5" t="s">
        <v>278</v>
      </c>
      <c r="E226" s="5" t="s">
        <v>276</v>
      </c>
      <c r="F226" s="5">
        <v>30636196858</v>
      </c>
      <c r="G226" s="6">
        <v>22561.98</v>
      </c>
      <c r="H226" s="6">
        <v>0</v>
      </c>
      <c r="I226" s="7">
        <v>0</v>
      </c>
      <c r="J226" s="7">
        <v>0</v>
      </c>
      <c r="K226" s="7">
        <v>0</v>
      </c>
      <c r="L226" s="7">
        <v>4738.0200000000004</v>
      </c>
      <c r="M226" s="7">
        <v>0</v>
      </c>
      <c r="N226" s="6">
        <v>0</v>
      </c>
      <c r="O226" s="6">
        <v>27300</v>
      </c>
    </row>
    <row r="227" spans="2:15">
      <c r="B227" s="3" t="s">
        <v>14</v>
      </c>
      <c r="C227" s="4" t="s">
        <v>279</v>
      </c>
      <c r="D227" s="5" t="s">
        <v>275</v>
      </c>
      <c r="E227" s="5" t="s">
        <v>276</v>
      </c>
      <c r="F227" s="5">
        <v>30590354798</v>
      </c>
      <c r="G227" s="6">
        <v>654876.04</v>
      </c>
      <c r="H227" s="6">
        <v>0</v>
      </c>
      <c r="I227" s="7">
        <v>0</v>
      </c>
      <c r="J227" s="7">
        <v>0</v>
      </c>
      <c r="K227" s="7">
        <v>0</v>
      </c>
      <c r="L227" s="7">
        <v>137523.96</v>
      </c>
      <c r="M227" s="7">
        <v>0</v>
      </c>
      <c r="N227" s="6">
        <v>0</v>
      </c>
      <c r="O227" s="6">
        <v>792400</v>
      </c>
    </row>
    <row r="228" spans="2:15">
      <c r="B228" s="3" t="s">
        <v>14</v>
      </c>
      <c r="C228" s="4" t="s">
        <v>280</v>
      </c>
      <c r="D228" s="5" t="s">
        <v>281</v>
      </c>
      <c r="E228" s="5" t="s">
        <v>123</v>
      </c>
      <c r="F228" s="5">
        <v>16246667</v>
      </c>
      <c r="G228" s="6">
        <v>13553.72</v>
      </c>
      <c r="H228" s="6">
        <v>0</v>
      </c>
      <c r="I228" s="7">
        <v>0</v>
      </c>
      <c r="J228" s="7">
        <v>0</v>
      </c>
      <c r="K228" s="7">
        <v>0</v>
      </c>
      <c r="L228" s="7">
        <v>2846.28</v>
      </c>
      <c r="M228" s="7">
        <v>0</v>
      </c>
      <c r="N228" s="6">
        <v>0</v>
      </c>
      <c r="O228" s="6">
        <v>16400</v>
      </c>
    </row>
    <row r="229" spans="2:15">
      <c r="B229" s="3" t="s">
        <v>24</v>
      </c>
      <c r="C229" s="4" t="s">
        <v>282</v>
      </c>
      <c r="D229" s="5" t="s">
        <v>275</v>
      </c>
      <c r="E229" s="5" t="s">
        <v>276</v>
      </c>
      <c r="F229" s="5">
        <v>30590354798</v>
      </c>
      <c r="G229" s="6">
        <v>193176.7</v>
      </c>
      <c r="H229" s="6">
        <v>0</v>
      </c>
      <c r="I229" s="7">
        <v>0</v>
      </c>
      <c r="J229" s="7">
        <v>0</v>
      </c>
      <c r="K229" s="7">
        <v>0</v>
      </c>
      <c r="L229" s="7">
        <v>40567.11</v>
      </c>
      <c r="M229" s="7">
        <v>0</v>
      </c>
      <c r="N229" s="6">
        <v>0</v>
      </c>
      <c r="O229" s="6">
        <v>233743.81</v>
      </c>
    </row>
    <row r="230" spans="2:15">
      <c r="B230" s="3" t="s">
        <v>24</v>
      </c>
      <c r="C230" s="4" t="s">
        <v>283</v>
      </c>
      <c r="D230" s="5" t="s">
        <v>284</v>
      </c>
      <c r="E230" s="5" t="s">
        <v>123</v>
      </c>
      <c r="F230" s="5">
        <v>36813120</v>
      </c>
      <c r="G230" s="6">
        <v>2892.56</v>
      </c>
      <c r="H230" s="6">
        <v>0</v>
      </c>
      <c r="I230" s="7">
        <v>0</v>
      </c>
      <c r="J230" s="7">
        <v>0</v>
      </c>
      <c r="K230" s="7">
        <v>0</v>
      </c>
      <c r="L230" s="7">
        <v>607.44000000000005</v>
      </c>
      <c r="M230" s="7">
        <v>0</v>
      </c>
      <c r="N230" s="6">
        <v>0</v>
      </c>
      <c r="O230" s="6">
        <v>3500</v>
      </c>
    </row>
    <row r="231" spans="2:15">
      <c r="B231" s="3" t="s">
        <v>24</v>
      </c>
      <c r="C231" s="4" t="s">
        <v>285</v>
      </c>
      <c r="D231" s="5" t="s">
        <v>286</v>
      </c>
      <c r="E231" s="5" t="s">
        <v>123</v>
      </c>
      <c r="F231" s="5">
        <v>10138957</v>
      </c>
      <c r="G231" s="6">
        <v>3140.5</v>
      </c>
      <c r="H231" s="6">
        <v>0</v>
      </c>
      <c r="I231" s="7">
        <v>0</v>
      </c>
      <c r="J231" s="7">
        <v>0</v>
      </c>
      <c r="K231" s="7">
        <v>0</v>
      </c>
      <c r="L231" s="7">
        <v>659.5</v>
      </c>
      <c r="M231" s="7">
        <v>0</v>
      </c>
      <c r="N231" s="6">
        <v>0</v>
      </c>
      <c r="O231" s="6">
        <v>3800</v>
      </c>
    </row>
    <row r="232" spans="2:15">
      <c r="B232" s="3" t="s">
        <v>24</v>
      </c>
      <c r="C232" s="4" t="s">
        <v>287</v>
      </c>
      <c r="D232" s="5" t="s">
        <v>122</v>
      </c>
      <c r="E232" s="5" t="s">
        <v>123</v>
      </c>
      <c r="F232" s="5" t="s">
        <v>124</v>
      </c>
      <c r="G232" s="6">
        <v>20661.16</v>
      </c>
      <c r="H232" s="6">
        <v>0</v>
      </c>
      <c r="I232" s="7">
        <v>0</v>
      </c>
      <c r="J232" s="7">
        <v>0</v>
      </c>
      <c r="K232" s="7">
        <v>0</v>
      </c>
      <c r="L232" s="7">
        <v>4338.84</v>
      </c>
      <c r="M232" s="7">
        <v>0</v>
      </c>
      <c r="N232" s="6">
        <v>0</v>
      </c>
      <c r="O232" s="6">
        <v>25000</v>
      </c>
    </row>
    <row r="233" spans="2:15">
      <c r="B233" s="3" t="s">
        <v>24</v>
      </c>
      <c r="C233" s="4" t="s">
        <v>288</v>
      </c>
      <c r="D233" s="5" t="s">
        <v>289</v>
      </c>
      <c r="E233" s="5" t="s">
        <v>123</v>
      </c>
      <c r="F233" s="5">
        <v>5289939</v>
      </c>
      <c r="G233" s="6">
        <v>2148.7600000000002</v>
      </c>
      <c r="H233" s="6">
        <v>0</v>
      </c>
      <c r="I233" s="7">
        <v>0</v>
      </c>
      <c r="J233" s="7">
        <v>0</v>
      </c>
      <c r="K233" s="7">
        <v>0</v>
      </c>
      <c r="L233" s="7">
        <v>451.24</v>
      </c>
      <c r="M233" s="7">
        <v>0</v>
      </c>
      <c r="N233" s="6">
        <v>0</v>
      </c>
      <c r="O233" s="6">
        <v>2600</v>
      </c>
    </row>
    <row r="234" spans="2:15">
      <c r="B234" s="3" t="s">
        <v>24</v>
      </c>
      <c r="C234" s="4" t="s">
        <v>290</v>
      </c>
      <c r="D234" s="5" t="s">
        <v>289</v>
      </c>
      <c r="E234" s="5" t="s">
        <v>123</v>
      </c>
      <c r="F234" s="5">
        <v>5289939</v>
      </c>
      <c r="G234" s="6">
        <v>1322.31</v>
      </c>
      <c r="H234" s="6">
        <v>0</v>
      </c>
      <c r="I234" s="7">
        <v>0</v>
      </c>
      <c r="J234" s="7">
        <v>0</v>
      </c>
      <c r="K234" s="7">
        <v>0</v>
      </c>
      <c r="L234" s="7">
        <v>277.69</v>
      </c>
      <c r="M234" s="7">
        <v>0</v>
      </c>
      <c r="N234" s="6">
        <v>0</v>
      </c>
      <c r="O234" s="6">
        <v>1600</v>
      </c>
    </row>
    <row r="235" spans="2:15">
      <c r="B235" s="3" t="s">
        <v>24</v>
      </c>
      <c r="C235" s="4" t="s">
        <v>291</v>
      </c>
      <c r="D235" s="5" t="s">
        <v>289</v>
      </c>
      <c r="E235" s="5" t="s">
        <v>123</v>
      </c>
      <c r="F235" s="5">
        <v>5289939</v>
      </c>
      <c r="G235" s="6">
        <v>2644.63</v>
      </c>
      <c r="H235" s="6">
        <v>0</v>
      </c>
      <c r="I235" s="7">
        <v>0</v>
      </c>
      <c r="J235" s="7">
        <v>0</v>
      </c>
      <c r="K235" s="7">
        <v>0</v>
      </c>
      <c r="L235" s="7">
        <v>555.37</v>
      </c>
      <c r="M235" s="7">
        <v>0</v>
      </c>
      <c r="N235" s="6">
        <v>0</v>
      </c>
      <c r="O235" s="6">
        <v>3200</v>
      </c>
    </row>
    <row r="236" spans="2:15">
      <c r="B236" s="3" t="s">
        <v>24</v>
      </c>
      <c r="C236" s="4" t="s">
        <v>292</v>
      </c>
      <c r="D236" s="5" t="s">
        <v>289</v>
      </c>
      <c r="E236" s="5" t="s">
        <v>123</v>
      </c>
      <c r="F236" s="5">
        <v>5289939</v>
      </c>
      <c r="G236" s="6">
        <v>4297.5200000000004</v>
      </c>
      <c r="H236" s="6">
        <v>0</v>
      </c>
      <c r="I236" s="7">
        <v>0</v>
      </c>
      <c r="J236" s="7">
        <v>0</v>
      </c>
      <c r="K236" s="7">
        <v>0</v>
      </c>
      <c r="L236" s="7">
        <v>902.48</v>
      </c>
      <c r="M236" s="7">
        <v>0</v>
      </c>
      <c r="N236" s="6">
        <v>0</v>
      </c>
      <c r="O236" s="6">
        <v>5200</v>
      </c>
    </row>
    <row r="237" spans="2:15">
      <c r="B237" s="3" t="s">
        <v>24</v>
      </c>
      <c r="C237" s="4" t="s">
        <v>293</v>
      </c>
      <c r="D237" s="5" t="s">
        <v>294</v>
      </c>
      <c r="E237" s="5" t="s">
        <v>123</v>
      </c>
      <c r="F237" s="5">
        <v>27460010</v>
      </c>
      <c r="G237" s="6">
        <v>4958.68</v>
      </c>
      <c r="H237" s="6">
        <v>0</v>
      </c>
      <c r="I237" s="7">
        <v>0</v>
      </c>
      <c r="J237" s="7">
        <v>0</v>
      </c>
      <c r="K237" s="7">
        <v>0</v>
      </c>
      <c r="L237" s="7">
        <v>1041.32</v>
      </c>
      <c r="M237" s="7">
        <v>0</v>
      </c>
      <c r="N237" s="6">
        <v>0</v>
      </c>
      <c r="O237" s="6">
        <v>6000</v>
      </c>
    </row>
    <row r="238" spans="2:15">
      <c r="B238" s="3" t="s">
        <v>24</v>
      </c>
      <c r="C238" s="4" t="s">
        <v>295</v>
      </c>
      <c r="D238" s="5" t="s">
        <v>296</v>
      </c>
      <c r="E238" s="5" t="s">
        <v>123</v>
      </c>
      <c r="F238" s="5">
        <v>1166487515</v>
      </c>
      <c r="G238" s="6">
        <v>4958.68</v>
      </c>
      <c r="H238" s="6">
        <v>0</v>
      </c>
      <c r="I238" s="7">
        <v>0</v>
      </c>
      <c r="J238" s="7">
        <v>0</v>
      </c>
      <c r="K238" s="7">
        <v>0</v>
      </c>
      <c r="L238" s="7">
        <v>1041.32</v>
      </c>
      <c r="M238" s="7">
        <v>0</v>
      </c>
      <c r="N238" s="6">
        <v>0</v>
      </c>
      <c r="O238" s="6">
        <v>6000</v>
      </c>
    </row>
    <row r="239" spans="2:15">
      <c r="B239" s="3" t="s">
        <v>24</v>
      </c>
      <c r="C239" s="4" t="s">
        <v>297</v>
      </c>
      <c r="D239" s="5" t="s">
        <v>298</v>
      </c>
      <c r="E239" s="5" t="s">
        <v>123</v>
      </c>
      <c r="F239" s="5">
        <v>24448662</v>
      </c>
      <c r="G239" s="6">
        <v>3553.72</v>
      </c>
      <c r="H239" s="6">
        <v>0</v>
      </c>
      <c r="I239" s="7">
        <v>0</v>
      </c>
      <c r="J239" s="7">
        <v>0</v>
      </c>
      <c r="K239" s="7">
        <v>0</v>
      </c>
      <c r="L239" s="7">
        <v>746.28</v>
      </c>
      <c r="M239" s="7">
        <v>0</v>
      </c>
      <c r="N239" s="6">
        <v>0</v>
      </c>
      <c r="O239" s="6">
        <v>4300</v>
      </c>
    </row>
    <row r="240" spans="2:15">
      <c r="B240" s="3" t="s">
        <v>55</v>
      </c>
      <c r="C240" s="4" t="s">
        <v>299</v>
      </c>
      <c r="D240" s="5" t="s">
        <v>300</v>
      </c>
      <c r="E240" s="5" t="s">
        <v>123</v>
      </c>
      <c r="F240" s="5">
        <v>23103620</v>
      </c>
      <c r="G240" s="6">
        <v>6198.35</v>
      </c>
      <c r="H240" s="6">
        <v>0</v>
      </c>
      <c r="I240" s="7">
        <v>0</v>
      </c>
      <c r="J240" s="7">
        <v>0</v>
      </c>
      <c r="K240" s="7">
        <v>0</v>
      </c>
      <c r="L240" s="7">
        <v>1301.6500000000001</v>
      </c>
      <c r="M240" s="7">
        <v>0</v>
      </c>
      <c r="N240" s="6">
        <v>0</v>
      </c>
      <c r="O240" s="6">
        <v>7500</v>
      </c>
    </row>
    <row r="241" spans="2:15">
      <c r="B241" s="3" t="s">
        <v>55</v>
      </c>
      <c r="C241" s="4" t="s">
        <v>301</v>
      </c>
      <c r="D241" s="5" t="s">
        <v>302</v>
      </c>
      <c r="E241" s="5" t="s">
        <v>123</v>
      </c>
      <c r="F241" s="5">
        <v>4648296</v>
      </c>
      <c r="G241" s="6">
        <v>5785.13</v>
      </c>
      <c r="H241" s="6">
        <v>0</v>
      </c>
      <c r="I241" s="7">
        <v>0</v>
      </c>
      <c r="J241" s="7">
        <v>0</v>
      </c>
      <c r="K241" s="7">
        <v>0</v>
      </c>
      <c r="L241" s="7">
        <v>1214.8700000000001</v>
      </c>
      <c r="M241" s="7">
        <v>0</v>
      </c>
      <c r="N241" s="6">
        <v>0</v>
      </c>
      <c r="O241" s="6">
        <v>7000</v>
      </c>
    </row>
    <row r="242" spans="2:15">
      <c r="B242" s="3" t="s">
        <v>55</v>
      </c>
      <c r="C242" s="4" t="s">
        <v>303</v>
      </c>
      <c r="D242" s="5" t="s">
        <v>304</v>
      </c>
      <c r="E242" s="5" t="s">
        <v>123</v>
      </c>
      <c r="F242" s="5">
        <v>93354584</v>
      </c>
      <c r="G242" s="6">
        <v>3388.43</v>
      </c>
      <c r="H242" s="6">
        <v>0</v>
      </c>
      <c r="I242" s="7">
        <v>0</v>
      </c>
      <c r="J242" s="7">
        <v>0</v>
      </c>
      <c r="K242" s="7">
        <v>0</v>
      </c>
      <c r="L242" s="7">
        <v>711.57</v>
      </c>
      <c r="M242" s="7">
        <v>0</v>
      </c>
      <c r="N242" s="6">
        <v>0</v>
      </c>
      <c r="O242" s="6">
        <v>4100</v>
      </c>
    </row>
    <row r="243" spans="2:15">
      <c r="B243" s="3" t="s">
        <v>55</v>
      </c>
      <c r="C243" s="4" t="s">
        <v>305</v>
      </c>
      <c r="D243" s="5" t="s">
        <v>122</v>
      </c>
      <c r="E243" s="5" t="s">
        <v>123</v>
      </c>
      <c r="F243" s="5" t="s">
        <v>124</v>
      </c>
      <c r="G243" s="6">
        <v>2561.98</v>
      </c>
      <c r="H243" s="6">
        <v>0</v>
      </c>
      <c r="I243" s="7">
        <v>0</v>
      </c>
      <c r="J243" s="7">
        <v>0</v>
      </c>
      <c r="K243" s="7">
        <v>0</v>
      </c>
      <c r="L243" s="7">
        <v>538.02</v>
      </c>
      <c r="M243" s="7">
        <v>0</v>
      </c>
      <c r="N243" s="6">
        <v>0</v>
      </c>
      <c r="O243" s="6">
        <v>3100</v>
      </c>
    </row>
    <row r="244" spans="2:15">
      <c r="B244" s="3" t="s">
        <v>27</v>
      </c>
      <c r="C244" s="4" t="s">
        <v>306</v>
      </c>
      <c r="D244" s="5" t="s">
        <v>307</v>
      </c>
      <c r="E244" s="5" t="s">
        <v>276</v>
      </c>
      <c r="F244" s="5">
        <v>30571766287</v>
      </c>
      <c r="G244" s="6">
        <v>18471.07</v>
      </c>
      <c r="H244" s="6">
        <v>0</v>
      </c>
      <c r="I244" s="7">
        <v>0</v>
      </c>
      <c r="J244" s="7">
        <v>0</v>
      </c>
      <c r="K244" s="7">
        <v>0</v>
      </c>
      <c r="L244" s="7">
        <v>3878.93</v>
      </c>
      <c r="M244" s="7">
        <v>0</v>
      </c>
      <c r="N244" s="6">
        <v>0</v>
      </c>
      <c r="O244" s="6">
        <v>22350</v>
      </c>
    </row>
    <row r="245" spans="2:15">
      <c r="B245" s="3" t="s">
        <v>27</v>
      </c>
      <c r="C245" s="4" t="s">
        <v>308</v>
      </c>
      <c r="D245" s="5" t="s">
        <v>307</v>
      </c>
      <c r="E245" s="5" t="s">
        <v>276</v>
      </c>
      <c r="F245" s="5">
        <v>30571766287</v>
      </c>
      <c r="G245" s="6">
        <v>11214.88</v>
      </c>
      <c r="H245" s="6">
        <v>0</v>
      </c>
      <c r="I245" s="7">
        <v>0</v>
      </c>
      <c r="J245" s="7">
        <v>0</v>
      </c>
      <c r="K245" s="7">
        <v>0</v>
      </c>
      <c r="L245" s="7">
        <v>2355.12</v>
      </c>
      <c r="M245" s="7">
        <v>0</v>
      </c>
      <c r="N245" s="6">
        <v>0</v>
      </c>
      <c r="O245" s="6">
        <v>13570</v>
      </c>
    </row>
    <row r="246" spans="2:15">
      <c r="B246" s="3" t="s">
        <v>78</v>
      </c>
      <c r="C246" s="4" t="s">
        <v>309</v>
      </c>
      <c r="D246" s="5" t="s">
        <v>310</v>
      </c>
      <c r="E246" s="5" t="s">
        <v>123</v>
      </c>
      <c r="F246" s="5">
        <v>163543</v>
      </c>
      <c r="G246" s="6">
        <v>5702.47</v>
      </c>
      <c r="H246" s="6">
        <v>0</v>
      </c>
      <c r="I246" s="7">
        <v>0</v>
      </c>
      <c r="J246" s="7">
        <v>0</v>
      </c>
      <c r="K246" s="7">
        <v>0</v>
      </c>
      <c r="L246" s="7">
        <v>1197.53</v>
      </c>
      <c r="M246" s="7">
        <v>0</v>
      </c>
      <c r="N246" s="6">
        <v>0</v>
      </c>
      <c r="O246" s="6">
        <v>6900</v>
      </c>
    </row>
    <row r="247" spans="2:15">
      <c r="B247" s="3" t="s">
        <v>78</v>
      </c>
      <c r="C247" s="4" t="s">
        <v>311</v>
      </c>
      <c r="D247" s="5" t="s">
        <v>312</v>
      </c>
      <c r="E247" s="5" t="s">
        <v>123</v>
      </c>
      <c r="F247" s="5">
        <v>12628022</v>
      </c>
      <c r="G247" s="6">
        <v>7438.02</v>
      </c>
      <c r="H247" s="6">
        <v>0</v>
      </c>
      <c r="I247" s="7">
        <v>0</v>
      </c>
      <c r="J247" s="7">
        <v>0</v>
      </c>
      <c r="K247" s="7">
        <v>0</v>
      </c>
      <c r="L247" s="7">
        <v>1561.98</v>
      </c>
      <c r="M247" s="7">
        <v>0</v>
      </c>
      <c r="N247" s="6">
        <v>0</v>
      </c>
      <c r="O247" s="6">
        <v>9000</v>
      </c>
    </row>
    <row r="248" spans="2:15">
      <c r="B248" s="3" t="s">
        <v>78</v>
      </c>
      <c r="C248" s="4" t="s">
        <v>313</v>
      </c>
      <c r="D248" s="5" t="s">
        <v>314</v>
      </c>
      <c r="E248" s="5" t="s">
        <v>276</v>
      </c>
      <c r="F248" s="5">
        <v>30658137642</v>
      </c>
      <c r="G248" s="6">
        <v>39586.78</v>
      </c>
      <c r="H248" s="6">
        <v>0</v>
      </c>
      <c r="I248" s="7">
        <v>0</v>
      </c>
      <c r="J248" s="7">
        <v>0</v>
      </c>
      <c r="K248" s="7">
        <v>0</v>
      </c>
      <c r="L248" s="7">
        <v>8313.2199999999993</v>
      </c>
      <c r="M248" s="7">
        <v>0</v>
      </c>
      <c r="N248" s="6">
        <v>0</v>
      </c>
      <c r="O248" s="6">
        <v>47900</v>
      </c>
    </row>
    <row r="249" spans="2:15">
      <c r="B249" s="3" t="s">
        <v>78</v>
      </c>
      <c r="C249" s="4" t="s">
        <v>315</v>
      </c>
      <c r="D249" s="5" t="s">
        <v>316</v>
      </c>
      <c r="E249" s="5" t="s">
        <v>123</v>
      </c>
      <c r="F249" s="5" t="s">
        <v>124</v>
      </c>
      <c r="G249" s="6">
        <v>3719.01</v>
      </c>
      <c r="H249" s="6">
        <v>0</v>
      </c>
      <c r="I249" s="7">
        <v>0</v>
      </c>
      <c r="J249" s="7">
        <v>0</v>
      </c>
      <c r="K249" s="7">
        <v>0</v>
      </c>
      <c r="L249" s="7">
        <v>780.99</v>
      </c>
      <c r="M249" s="7">
        <v>0</v>
      </c>
      <c r="N249" s="6">
        <v>0</v>
      </c>
      <c r="O249" s="6">
        <v>4500</v>
      </c>
    </row>
    <row r="250" spans="2:15">
      <c r="B250" s="3" t="s">
        <v>29</v>
      </c>
      <c r="C250" s="4" t="s">
        <v>317</v>
      </c>
      <c r="D250" s="5" t="s">
        <v>318</v>
      </c>
      <c r="E250" s="5" t="s">
        <v>123</v>
      </c>
      <c r="F250" s="5">
        <v>17968654</v>
      </c>
      <c r="G250" s="6">
        <v>24793.39</v>
      </c>
      <c r="H250" s="6">
        <v>0</v>
      </c>
      <c r="I250" s="7">
        <v>0</v>
      </c>
      <c r="J250" s="7">
        <v>0</v>
      </c>
      <c r="K250" s="7">
        <v>0</v>
      </c>
      <c r="L250" s="7">
        <v>5206.6099999999997</v>
      </c>
      <c r="M250" s="7">
        <v>0</v>
      </c>
      <c r="N250" s="6">
        <v>0</v>
      </c>
      <c r="O250" s="6">
        <v>30000</v>
      </c>
    </row>
    <row r="251" spans="2:15">
      <c r="B251" s="3" t="s">
        <v>90</v>
      </c>
      <c r="C251" s="4" t="s">
        <v>319</v>
      </c>
      <c r="D251" s="5" t="s">
        <v>286</v>
      </c>
      <c r="E251" s="5" t="s">
        <v>123</v>
      </c>
      <c r="F251" s="5">
        <v>10138957</v>
      </c>
      <c r="G251" s="6">
        <v>3140.5</v>
      </c>
      <c r="H251" s="6">
        <v>0</v>
      </c>
      <c r="I251" s="7">
        <v>0</v>
      </c>
      <c r="J251" s="7">
        <v>0</v>
      </c>
      <c r="K251" s="7">
        <v>0</v>
      </c>
      <c r="L251" s="7">
        <v>659.5</v>
      </c>
      <c r="M251" s="7">
        <v>0</v>
      </c>
      <c r="N251" s="6">
        <v>0</v>
      </c>
      <c r="O251" s="6">
        <v>3800</v>
      </c>
    </row>
    <row r="252" spans="2:15">
      <c r="B252" s="3" t="s">
        <v>31</v>
      </c>
      <c r="C252" s="4" t="s">
        <v>320</v>
      </c>
      <c r="D252" s="5" t="s">
        <v>321</v>
      </c>
      <c r="E252" s="5" t="s">
        <v>123</v>
      </c>
      <c r="F252" s="5" t="s">
        <v>124</v>
      </c>
      <c r="G252" s="6">
        <v>1239.6600000000001</v>
      </c>
      <c r="H252" s="6">
        <v>0</v>
      </c>
      <c r="I252" s="7">
        <v>0</v>
      </c>
      <c r="J252" s="7">
        <v>0</v>
      </c>
      <c r="K252" s="7">
        <v>0</v>
      </c>
      <c r="L252" s="7">
        <v>260.34000000000003</v>
      </c>
      <c r="M252" s="7">
        <v>0</v>
      </c>
      <c r="N252" s="6">
        <v>0</v>
      </c>
      <c r="O252" s="6">
        <v>1500</v>
      </c>
    </row>
    <row r="253" spans="2:15">
      <c r="B253" s="3" t="s">
        <v>31</v>
      </c>
      <c r="C253" s="4" t="s">
        <v>322</v>
      </c>
      <c r="D253" s="5" t="s">
        <v>323</v>
      </c>
      <c r="E253" s="5" t="s">
        <v>123</v>
      </c>
      <c r="F253" s="5">
        <v>94061699</v>
      </c>
      <c r="G253" s="6">
        <v>909.09</v>
      </c>
      <c r="H253" s="6">
        <v>0</v>
      </c>
      <c r="I253" s="7">
        <v>0</v>
      </c>
      <c r="J253" s="7">
        <v>0</v>
      </c>
      <c r="K253" s="7">
        <v>0</v>
      </c>
      <c r="L253" s="7">
        <v>190.91</v>
      </c>
      <c r="M253" s="7">
        <v>0</v>
      </c>
      <c r="N253" s="6">
        <v>0</v>
      </c>
      <c r="O253" s="6">
        <v>1100</v>
      </c>
    </row>
    <row r="254" spans="2:15">
      <c r="B254" s="3" t="s">
        <v>31</v>
      </c>
      <c r="C254" s="4" t="s">
        <v>324</v>
      </c>
      <c r="D254" s="5" t="s">
        <v>323</v>
      </c>
      <c r="E254" s="5" t="s">
        <v>123</v>
      </c>
      <c r="F254" s="5">
        <v>94061699</v>
      </c>
      <c r="G254" s="6">
        <v>5785.12</v>
      </c>
      <c r="H254" s="6">
        <v>0</v>
      </c>
      <c r="I254" s="7">
        <v>0</v>
      </c>
      <c r="J254" s="7">
        <v>0</v>
      </c>
      <c r="K254" s="7">
        <v>0</v>
      </c>
      <c r="L254" s="7">
        <v>1214.8800000000001</v>
      </c>
      <c r="M254" s="7">
        <v>0</v>
      </c>
      <c r="N254" s="6">
        <v>0</v>
      </c>
      <c r="O254" s="6">
        <v>7000</v>
      </c>
    </row>
    <row r="255" spans="2:15">
      <c r="B255" s="3" t="s">
        <v>31</v>
      </c>
      <c r="C255" s="4" t="s">
        <v>325</v>
      </c>
      <c r="D255" s="5" t="s">
        <v>326</v>
      </c>
      <c r="E255" s="5" t="s">
        <v>123</v>
      </c>
      <c r="F255" s="5">
        <v>35087421</v>
      </c>
      <c r="G255" s="6">
        <v>2975.21</v>
      </c>
      <c r="H255" s="6">
        <v>0</v>
      </c>
      <c r="I255" s="7">
        <v>0</v>
      </c>
      <c r="J255" s="7">
        <v>0</v>
      </c>
      <c r="K255" s="7">
        <v>0</v>
      </c>
      <c r="L255" s="7">
        <v>624.79</v>
      </c>
      <c r="M255" s="7">
        <v>0</v>
      </c>
      <c r="N255" s="6">
        <v>0</v>
      </c>
      <c r="O255" s="6">
        <v>3600</v>
      </c>
    </row>
    <row r="256" spans="2:15">
      <c r="B256" s="3" t="s">
        <v>31</v>
      </c>
      <c r="C256" s="4" t="s">
        <v>327</v>
      </c>
      <c r="D256" s="5" t="s">
        <v>328</v>
      </c>
      <c r="E256" s="5" t="s">
        <v>123</v>
      </c>
      <c r="F256" s="5">
        <v>1446419</v>
      </c>
      <c r="G256" s="6">
        <v>8677.68</v>
      </c>
      <c r="H256" s="6">
        <v>0</v>
      </c>
      <c r="I256" s="7">
        <v>0</v>
      </c>
      <c r="J256" s="7">
        <v>0</v>
      </c>
      <c r="K256" s="7">
        <v>0</v>
      </c>
      <c r="L256" s="7">
        <v>1822.32</v>
      </c>
      <c r="M256" s="7">
        <v>0</v>
      </c>
      <c r="N256" s="6">
        <v>0</v>
      </c>
      <c r="O256" s="6">
        <v>10500</v>
      </c>
    </row>
    <row r="257" spans="2:15">
      <c r="B257" s="3" t="s">
        <v>31</v>
      </c>
      <c r="C257" s="4" t="s">
        <v>329</v>
      </c>
      <c r="D257" s="5" t="s">
        <v>275</v>
      </c>
      <c r="E257" s="5" t="s">
        <v>276</v>
      </c>
      <c r="F257" s="5">
        <v>30590354798</v>
      </c>
      <c r="G257" s="6">
        <v>152066.12</v>
      </c>
      <c r="H257" s="6">
        <v>0</v>
      </c>
      <c r="I257" s="7">
        <v>0</v>
      </c>
      <c r="J257" s="7">
        <v>0</v>
      </c>
      <c r="K257" s="7">
        <v>0</v>
      </c>
      <c r="L257" s="7">
        <v>31933.88</v>
      </c>
      <c r="M257" s="7">
        <v>0</v>
      </c>
      <c r="N257" s="6">
        <v>0</v>
      </c>
      <c r="O257" s="6">
        <v>184000</v>
      </c>
    </row>
    <row r="258" spans="2:15">
      <c r="B258" s="3" t="s">
        <v>184</v>
      </c>
      <c r="C258" s="4" t="s">
        <v>330</v>
      </c>
      <c r="D258" s="5" t="s">
        <v>331</v>
      </c>
      <c r="E258" s="5" t="s">
        <v>276</v>
      </c>
      <c r="F258" s="5">
        <v>30685228501</v>
      </c>
      <c r="G258" s="6">
        <v>14876.03</v>
      </c>
      <c r="H258" s="6">
        <v>0</v>
      </c>
      <c r="I258" s="7">
        <v>0</v>
      </c>
      <c r="J258" s="7">
        <v>0</v>
      </c>
      <c r="K258" s="7">
        <v>0</v>
      </c>
      <c r="L258" s="7">
        <v>3123.97</v>
      </c>
      <c r="M258" s="7">
        <v>0</v>
      </c>
      <c r="N258" s="6">
        <v>0</v>
      </c>
      <c r="O258" s="6">
        <v>18000</v>
      </c>
    </row>
    <row r="259" spans="2:15">
      <c r="B259" s="3" t="s">
        <v>34</v>
      </c>
      <c r="C259" s="4" t="s">
        <v>332</v>
      </c>
      <c r="D259" s="5" t="s">
        <v>333</v>
      </c>
      <c r="E259" s="5" t="s">
        <v>123</v>
      </c>
      <c r="F259" s="5">
        <v>16596298</v>
      </c>
      <c r="G259" s="6">
        <v>3719.01</v>
      </c>
      <c r="H259" s="6">
        <v>0</v>
      </c>
      <c r="I259" s="7">
        <v>0</v>
      </c>
      <c r="J259" s="7">
        <v>0</v>
      </c>
      <c r="K259" s="7">
        <v>0</v>
      </c>
      <c r="L259" s="7">
        <v>780.99</v>
      </c>
      <c r="M259" s="7">
        <v>0</v>
      </c>
      <c r="N259" s="6">
        <v>0</v>
      </c>
      <c r="O259" s="6">
        <v>4500</v>
      </c>
    </row>
    <row r="260" spans="2:15">
      <c r="B260" s="3" t="s">
        <v>34</v>
      </c>
      <c r="C260" s="4" t="s">
        <v>334</v>
      </c>
      <c r="D260" s="5" t="s">
        <v>335</v>
      </c>
      <c r="E260" s="5" t="s">
        <v>123</v>
      </c>
      <c r="F260" s="5">
        <v>902191</v>
      </c>
      <c r="G260" s="6">
        <v>4049.59</v>
      </c>
      <c r="H260" s="6">
        <v>0</v>
      </c>
      <c r="I260" s="7">
        <v>0</v>
      </c>
      <c r="J260" s="7">
        <v>0</v>
      </c>
      <c r="K260" s="7">
        <v>0</v>
      </c>
      <c r="L260" s="7">
        <v>850.41</v>
      </c>
      <c r="M260" s="7">
        <v>0</v>
      </c>
      <c r="N260" s="6">
        <v>0</v>
      </c>
      <c r="O260" s="6">
        <v>4900</v>
      </c>
    </row>
    <row r="261" spans="2:15">
      <c r="B261" s="3" t="s">
        <v>94</v>
      </c>
      <c r="C261" s="4" t="s">
        <v>336</v>
      </c>
      <c r="D261" s="5" t="s">
        <v>337</v>
      </c>
      <c r="E261" s="5" t="s">
        <v>123</v>
      </c>
      <c r="F261" s="5">
        <v>4164120</v>
      </c>
      <c r="G261" s="6">
        <v>826.45</v>
      </c>
      <c r="H261" s="6">
        <v>0</v>
      </c>
      <c r="I261" s="7">
        <v>0</v>
      </c>
      <c r="J261" s="7">
        <v>0</v>
      </c>
      <c r="K261" s="7">
        <v>0</v>
      </c>
      <c r="L261" s="7">
        <v>173.55</v>
      </c>
      <c r="M261" s="7">
        <v>0</v>
      </c>
      <c r="N261" s="6">
        <v>0</v>
      </c>
      <c r="O261" s="6">
        <v>1000</v>
      </c>
    </row>
    <row r="262" spans="2:15">
      <c r="B262" s="3" t="s">
        <v>94</v>
      </c>
      <c r="C262" s="4" t="s">
        <v>338</v>
      </c>
      <c r="D262" s="5" t="s">
        <v>339</v>
      </c>
      <c r="E262" s="5" t="s">
        <v>123</v>
      </c>
      <c r="F262" s="5">
        <v>16786629</v>
      </c>
      <c r="G262" s="6">
        <v>2727.27</v>
      </c>
      <c r="H262" s="6">
        <v>0</v>
      </c>
      <c r="I262" s="7">
        <v>0</v>
      </c>
      <c r="J262" s="7">
        <v>0</v>
      </c>
      <c r="K262" s="7">
        <v>0</v>
      </c>
      <c r="L262" s="7">
        <v>572.73</v>
      </c>
      <c r="M262" s="7">
        <v>0</v>
      </c>
      <c r="N262" s="6">
        <v>0</v>
      </c>
      <c r="O262" s="6">
        <v>3300</v>
      </c>
    </row>
    <row r="263" spans="2:15">
      <c r="B263" s="3" t="s">
        <v>94</v>
      </c>
      <c r="C263" s="4" t="s">
        <v>340</v>
      </c>
      <c r="D263" s="5" t="s">
        <v>339</v>
      </c>
      <c r="E263" s="5" t="s">
        <v>123</v>
      </c>
      <c r="F263" s="5">
        <v>16786629</v>
      </c>
      <c r="G263" s="6">
        <v>2727.27</v>
      </c>
      <c r="H263" s="6">
        <v>0</v>
      </c>
      <c r="I263" s="7">
        <v>0</v>
      </c>
      <c r="J263" s="7">
        <v>0</v>
      </c>
      <c r="K263" s="7">
        <v>0</v>
      </c>
      <c r="L263" s="7">
        <v>572.73</v>
      </c>
      <c r="M263" s="7">
        <v>0</v>
      </c>
      <c r="N263" s="6">
        <v>0</v>
      </c>
      <c r="O263" s="6">
        <v>3300</v>
      </c>
    </row>
    <row r="264" spans="2:15">
      <c r="B264" s="3" t="s">
        <v>94</v>
      </c>
      <c r="C264" s="4" t="s">
        <v>341</v>
      </c>
      <c r="D264" s="5" t="s">
        <v>342</v>
      </c>
      <c r="E264" s="5" t="s">
        <v>123</v>
      </c>
      <c r="F264" s="5">
        <v>6553491</v>
      </c>
      <c r="G264" s="6">
        <v>5785.13</v>
      </c>
      <c r="H264" s="6">
        <v>0</v>
      </c>
      <c r="I264" s="7">
        <v>0</v>
      </c>
      <c r="J264" s="7">
        <v>0</v>
      </c>
      <c r="K264" s="7">
        <v>0</v>
      </c>
      <c r="L264" s="7">
        <v>1214.8700000000001</v>
      </c>
      <c r="M264" s="7">
        <v>0</v>
      </c>
      <c r="N264" s="6">
        <v>0</v>
      </c>
      <c r="O264" s="6">
        <v>7000</v>
      </c>
    </row>
    <row r="265" spans="2:15">
      <c r="B265" s="3" t="s">
        <v>94</v>
      </c>
      <c r="C265" s="4" t="s">
        <v>343</v>
      </c>
      <c r="D265" s="5" t="s">
        <v>344</v>
      </c>
      <c r="E265" s="5" t="s">
        <v>123</v>
      </c>
      <c r="F265" s="5">
        <v>4186965</v>
      </c>
      <c r="G265" s="6">
        <v>4545.45</v>
      </c>
      <c r="H265" s="6">
        <v>0</v>
      </c>
      <c r="I265" s="7">
        <v>0</v>
      </c>
      <c r="J265" s="7">
        <v>0</v>
      </c>
      <c r="K265" s="7">
        <v>0</v>
      </c>
      <c r="L265" s="7">
        <v>954.55</v>
      </c>
      <c r="M265" s="7">
        <v>0</v>
      </c>
      <c r="N265" s="6">
        <v>0</v>
      </c>
      <c r="O265" s="6">
        <v>5500</v>
      </c>
    </row>
    <row r="266" spans="2:15">
      <c r="B266" s="3" t="s">
        <v>94</v>
      </c>
      <c r="C266" s="4" t="s">
        <v>345</v>
      </c>
      <c r="D266" s="5" t="s">
        <v>346</v>
      </c>
      <c r="E266" s="5" t="s">
        <v>123</v>
      </c>
      <c r="F266" s="5">
        <v>14728351</v>
      </c>
      <c r="G266" s="6">
        <v>6198.34</v>
      </c>
      <c r="H266" s="6">
        <v>0</v>
      </c>
      <c r="I266" s="7">
        <v>0</v>
      </c>
      <c r="J266" s="7">
        <v>0</v>
      </c>
      <c r="K266" s="7">
        <v>0</v>
      </c>
      <c r="L266" s="7">
        <v>1301.6600000000001</v>
      </c>
      <c r="M266" s="7">
        <v>0</v>
      </c>
      <c r="N266" s="6">
        <v>0</v>
      </c>
      <c r="O266" s="6">
        <v>7500</v>
      </c>
    </row>
    <row r="267" spans="2:15">
      <c r="B267" s="3" t="s">
        <v>94</v>
      </c>
      <c r="C267" s="4" t="s">
        <v>347</v>
      </c>
      <c r="D267" s="5" t="s">
        <v>348</v>
      </c>
      <c r="E267" s="5" t="s">
        <v>123</v>
      </c>
      <c r="F267" s="5">
        <v>26542077</v>
      </c>
      <c r="G267" s="6">
        <v>15537.19</v>
      </c>
      <c r="H267" s="6">
        <v>0</v>
      </c>
      <c r="I267" s="7">
        <v>0</v>
      </c>
      <c r="J267" s="7">
        <v>0</v>
      </c>
      <c r="K267" s="7">
        <v>0</v>
      </c>
      <c r="L267" s="7">
        <v>3262.81</v>
      </c>
      <c r="M267" s="7">
        <v>0</v>
      </c>
      <c r="N267" s="6">
        <v>0</v>
      </c>
      <c r="O267" s="6">
        <v>18800</v>
      </c>
    </row>
    <row r="268" spans="2:15">
      <c r="B268" s="3" t="s">
        <v>94</v>
      </c>
      <c r="C268" s="4" t="s">
        <v>349</v>
      </c>
      <c r="D268" s="5" t="s">
        <v>350</v>
      </c>
      <c r="E268" s="5" t="s">
        <v>123</v>
      </c>
      <c r="F268" s="5">
        <v>21645724</v>
      </c>
      <c r="G268" s="6">
        <v>13223.14</v>
      </c>
      <c r="H268" s="6">
        <v>0</v>
      </c>
      <c r="I268" s="7">
        <v>0</v>
      </c>
      <c r="J268" s="7">
        <v>0</v>
      </c>
      <c r="K268" s="7">
        <v>0</v>
      </c>
      <c r="L268" s="7">
        <v>2776.86</v>
      </c>
      <c r="M268" s="7">
        <v>0</v>
      </c>
      <c r="N268" s="6">
        <v>0</v>
      </c>
      <c r="O268" s="6">
        <v>16000</v>
      </c>
    </row>
    <row r="269" spans="2:15">
      <c r="B269" s="3" t="s">
        <v>94</v>
      </c>
      <c r="C269" s="4" t="s">
        <v>351</v>
      </c>
      <c r="D269" s="5" t="s">
        <v>352</v>
      </c>
      <c r="E269" s="5" t="s">
        <v>123</v>
      </c>
      <c r="F269" s="5">
        <v>11361026</v>
      </c>
      <c r="G269" s="6">
        <v>2479.34</v>
      </c>
      <c r="H269" s="6">
        <v>0</v>
      </c>
      <c r="I269" s="7">
        <v>0</v>
      </c>
      <c r="J269" s="7">
        <v>0</v>
      </c>
      <c r="K269" s="7">
        <v>0</v>
      </c>
      <c r="L269" s="7">
        <v>520.66</v>
      </c>
      <c r="M269" s="7">
        <v>0</v>
      </c>
      <c r="N269" s="6">
        <v>0</v>
      </c>
      <c r="O269" s="6">
        <v>3000</v>
      </c>
    </row>
    <row r="270" spans="2:15">
      <c r="B270" s="3" t="s">
        <v>94</v>
      </c>
      <c r="C270" s="4" t="s">
        <v>353</v>
      </c>
      <c r="D270" s="5" t="s">
        <v>354</v>
      </c>
      <c r="E270" s="5" t="s">
        <v>123</v>
      </c>
      <c r="F270" s="5">
        <v>382591</v>
      </c>
      <c r="G270" s="6">
        <v>3223.14</v>
      </c>
      <c r="H270" s="6">
        <v>0</v>
      </c>
      <c r="I270" s="7">
        <v>0</v>
      </c>
      <c r="J270" s="7">
        <v>0</v>
      </c>
      <c r="K270" s="7">
        <v>0</v>
      </c>
      <c r="L270" s="7">
        <v>676.86</v>
      </c>
      <c r="M270" s="7">
        <v>0</v>
      </c>
      <c r="N270" s="6">
        <v>0</v>
      </c>
      <c r="O270" s="6">
        <v>3900</v>
      </c>
    </row>
    <row r="271" spans="2:15">
      <c r="B271" s="3" t="s">
        <v>37</v>
      </c>
      <c r="C271" s="4" t="s">
        <v>355</v>
      </c>
      <c r="D271" s="5" t="s">
        <v>356</v>
      </c>
      <c r="E271" s="5" t="s">
        <v>123</v>
      </c>
      <c r="F271" s="5">
        <v>93878002</v>
      </c>
      <c r="G271" s="6">
        <v>413.23</v>
      </c>
      <c r="H271" s="6">
        <v>0</v>
      </c>
      <c r="I271" s="7">
        <v>0</v>
      </c>
      <c r="J271" s="7">
        <v>0</v>
      </c>
      <c r="K271" s="7">
        <v>0</v>
      </c>
      <c r="L271" s="7">
        <v>86.77</v>
      </c>
      <c r="M271" s="7">
        <v>0</v>
      </c>
      <c r="N271" s="6">
        <v>0</v>
      </c>
      <c r="O271" s="6">
        <v>500</v>
      </c>
    </row>
    <row r="272" spans="2:15">
      <c r="B272" s="3" t="s">
        <v>37</v>
      </c>
      <c r="C272" s="4" t="s">
        <v>357</v>
      </c>
      <c r="D272" s="5" t="s">
        <v>358</v>
      </c>
      <c r="E272" s="5" t="s">
        <v>123</v>
      </c>
      <c r="F272" s="5">
        <v>93195134</v>
      </c>
      <c r="G272" s="6">
        <v>2644.63</v>
      </c>
      <c r="H272" s="6">
        <v>0</v>
      </c>
      <c r="I272" s="7">
        <v>0</v>
      </c>
      <c r="J272" s="7">
        <v>0</v>
      </c>
      <c r="K272" s="7">
        <v>0</v>
      </c>
      <c r="L272" s="7">
        <v>555.37</v>
      </c>
      <c r="M272" s="7">
        <v>0</v>
      </c>
      <c r="N272" s="6">
        <v>0</v>
      </c>
      <c r="O272" s="6">
        <v>3200</v>
      </c>
    </row>
    <row r="273" spans="2:15">
      <c r="B273" s="3" t="s">
        <v>37</v>
      </c>
      <c r="C273" s="4" t="s">
        <v>359</v>
      </c>
      <c r="D273" s="5" t="s">
        <v>360</v>
      </c>
      <c r="E273" s="5" t="s">
        <v>123</v>
      </c>
      <c r="F273" s="5">
        <v>5804480</v>
      </c>
      <c r="G273" s="6">
        <v>3140.5</v>
      </c>
      <c r="H273" s="6">
        <v>0</v>
      </c>
      <c r="I273" s="7">
        <v>0</v>
      </c>
      <c r="J273" s="7">
        <v>0</v>
      </c>
      <c r="K273" s="7">
        <v>0</v>
      </c>
      <c r="L273" s="7">
        <v>659.5</v>
      </c>
      <c r="M273" s="7">
        <v>0</v>
      </c>
      <c r="N273" s="6">
        <v>0</v>
      </c>
      <c r="O273" s="6">
        <v>3800</v>
      </c>
    </row>
    <row r="274" spans="2:15">
      <c r="B274" s="3" t="s">
        <v>37</v>
      </c>
      <c r="C274" s="4" t="s">
        <v>361</v>
      </c>
      <c r="D274" s="5" t="s">
        <v>362</v>
      </c>
      <c r="E274" s="5" t="s">
        <v>123</v>
      </c>
      <c r="F274" s="5">
        <v>3192296</v>
      </c>
      <c r="G274" s="6">
        <v>2892.56</v>
      </c>
      <c r="H274" s="6">
        <v>0</v>
      </c>
      <c r="I274" s="7">
        <v>0</v>
      </c>
      <c r="J274" s="7">
        <v>0</v>
      </c>
      <c r="K274" s="7">
        <v>0</v>
      </c>
      <c r="L274" s="7">
        <v>607.44000000000005</v>
      </c>
      <c r="M274" s="7">
        <v>0</v>
      </c>
      <c r="N274" s="6">
        <v>0</v>
      </c>
      <c r="O274" s="6">
        <v>3500</v>
      </c>
    </row>
    <row r="275" spans="2:15">
      <c r="B275" s="3" t="s">
        <v>37</v>
      </c>
      <c r="C275" s="4" t="s">
        <v>363</v>
      </c>
      <c r="D275" s="5" t="s">
        <v>364</v>
      </c>
      <c r="E275" s="5" t="s">
        <v>123</v>
      </c>
      <c r="F275" s="5">
        <v>13211322</v>
      </c>
      <c r="G275" s="6">
        <v>2892.56</v>
      </c>
      <c r="H275" s="6">
        <v>0</v>
      </c>
      <c r="I275" s="7">
        <v>0</v>
      </c>
      <c r="J275" s="7">
        <v>0</v>
      </c>
      <c r="K275" s="7">
        <v>0</v>
      </c>
      <c r="L275" s="7">
        <v>607.44000000000005</v>
      </c>
      <c r="M275" s="7">
        <v>0</v>
      </c>
      <c r="N275" s="6">
        <v>0</v>
      </c>
      <c r="O275" s="6">
        <v>3500</v>
      </c>
    </row>
    <row r="276" spans="2:15">
      <c r="B276" s="3" t="s">
        <v>37</v>
      </c>
      <c r="C276" s="4" t="s">
        <v>365</v>
      </c>
      <c r="D276" s="5" t="s">
        <v>302</v>
      </c>
      <c r="E276" s="5" t="s">
        <v>123</v>
      </c>
      <c r="F276" s="5">
        <v>4648296</v>
      </c>
      <c r="G276" s="6">
        <v>8264.4699999999993</v>
      </c>
      <c r="H276" s="6">
        <v>0</v>
      </c>
      <c r="I276" s="7">
        <v>0</v>
      </c>
      <c r="J276" s="7">
        <v>0</v>
      </c>
      <c r="K276" s="7">
        <v>0</v>
      </c>
      <c r="L276" s="7">
        <v>1735.53</v>
      </c>
      <c r="M276" s="7">
        <v>0</v>
      </c>
      <c r="N276" s="6">
        <v>0</v>
      </c>
      <c r="O276" s="6">
        <v>10000</v>
      </c>
    </row>
    <row r="277" spans="2:15">
      <c r="B277" s="3" t="s">
        <v>37</v>
      </c>
      <c r="C277" s="4" t="s">
        <v>366</v>
      </c>
      <c r="D277" s="5" t="s">
        <v>367</v>
      </c>
      <c r="E277" s="5" t="s">
        <v>123</v>
      </c>
      <c r="F277" s="5">
        <v>17855620</v>
      </c>
      <c r="G277" s="6">
        <v>6115.7</v>
      </c>
      <c r="H277" s="6">
        <v>0</v>
      </c>
      <c r="I277" s="7">
        <v>0</v>
      </c>
      <c r="J277" s="7">
        <v>0</v>
      </c>
      <c r="K277" s="7">
        <v>0</v>
      </c>
      <c r="L277" s="7">
        <v>1284.3</v>
      </c>
      <c r="M277" s="7">
        <v>0</v>
      </c>
      <c r="N277" s="6">
        <v>0</v>
      </c>
      <c r="O277" s="6">
        <v>7400</v>
      </c>
    </row>
    <row r="278" spans="2:15">
      <c r="B278" s="3" t="s">
        <v>37</v>
      </c>
      <c r="C278" s="4" t="s">
        <v>368</v>
      </c>
      <c r="D278" s="5" t="s">
        <v>369</v>
      </c>
      <c r="E278" s="5" t="s">
        <v>123</v>
      </c>
      <c r="F278" s="5">
        <v>92316435</v>
      </c>
      <c r="G278" s="6">
        <v>3471.08</v>
      </c>
      <c r="H278" s="6">
        <v>0</v>
      </c>
      <c r="I278" s="7">
        <v>0</v>
      </c>
      <c r="J278" s="7">
        <v>0</v>
      </c>
      <c r="K278" s="7">
        <v>0</v>
      </c>
      <c r="L278" s="7">
        <v>728.92</v>
      </c>
      <c r="M278" s="7">
        <v>0</v>
      </c>
      <c r="N278" s="6">
        <v>0</v>
      </c>
      <c r="O278" s="6">
        <v>4200</v>
      </c>
    </row>
    <row r="279" spans="2:15">
      <c r="B279" s="3" t="s">
        <v>37</v>
      </c>
      <c r="C279" s="4" t="s">
        <v>370</v>
      </c>
      <c r="D279" s="5" t="s">
        <v>371</v>
      </c>
      <c r="E279" s="5" t="s">
        <v>123</v>
      </c>
      <c r="F279" s="5">
        <v>54097568</v>
      </c>
      <c r="G279" s="6">
        <v>5867.77</v>
      </c>
      <c r="H279" s="6">
        <v>0</v>
      </c>
      <c r="I279" s="7">
        <v>0</v>
      </c>
      <c r="J279" s="7">
        <v>0</v>
      </c>
      <c r="K279" s="7">
        <v>0</v>
      </c>
      <c r="L279" s="7">
        <v>1232.23</v>
      </c>
      <c r="M279" s="7">
        <v>0</v>
      </c>
      <c r="N279" s="6">
        <v>0</v>
      </c>
      <c r="O279" s="6">
        <v>7100</v>
      </c>
    </row>
    <row r="280" spans="2:15">
      <c r="B280" s="3" t="s">
        <v>37</v>
      </c>
      <c r="C280" s="4" t="s">
        <v>372</v>
      </c>
      <c r="D280" s="5" t="s">
        <v>373</v>
      </c>
      <c r="E280" s="5" t="s">
        <v>123</v>
      </c>
      <c r="F280" s="5">
        <v>27057148</v>
      </c>
      <c r="G280" s="6">
        <v>6776.86</v>
      </c>
      <c r="H280" s="6">
        <v>0</v>
      </c>
      <c r="I280" s="7">
        <v>0</v>
      </c>
      <c r="J280" s="7">
        <v>0</v>
      </c>
      <c r="K280" s="7">
        <v>0</v>
      </c>
      <c r="L280" s="7">
        <v>1423.14</v>
      </c>
      <c r="M280" s="7">
        <v>0</v>
      </c>
      <c r="N280" s="6">
        <v>0</v>
      </c>
      <c r="O280" s="6">
        <v>8200</v>
      </c>
    </row>
    <row r="281" spans="2:15">
      <c r="B281" s="3" t="s">
        <v>99</v>
      </c>
      <c r="C281" s="4" t="s">
        <v>374</v>
      </c>
      <c r="D281" s="5" t="s">
        <v>375</v>
      </c>
      <c r="E281" s="5" t="s">
        <v>123</v>
      </c>
      <c r="F281" s="5">
        <v>22990821</v>
      </c>
      <c r="G281" s="6">
        <v>3636.36</v>
      </c>
      <c r="H281" s="6">
        <v>0</v>
      </c>
      <c r="I281" s="7">
        <v>0</v>
      </c>
      <c r="J281" s="7">
        <v>0</v>
      </c>
      <c r="K281" s="7">
        <v>0</v>
      </c>
      <c r="L281" s="7">
        <v>763.64</v>
      </c>
      <c r="M281" s="7">
        <v>0</v>
      </c>
      <c r="N281" s="6">
        <v>0</v>
      </c>
      <c r="O281" s="6">
        <v>4400</v>
      </c>
    </row>
    <row r="282" spans="2:15">
      <c r="B282" s="3" t="s">
        <v>99</v>
      </c>
      <c r="C282" s="4" t="s">
        <v>376</v>
      </c>
      <c r="D282" s="5" t="s">
        <v>375</v>
      </c>
      <c r="E282" s="5" t="s">
        <v>123</v>
      </c>
      <c r="F282" s="5">
        <v>22990821</v>
      </c>
      <c r="G282" s="6">
        <v>5206.6099999999997</v>
      </c>
      <c r="H282" s="6">
        <v>0</v>
      </c>
      <c r="I282" s="7">
        <v>0</v>
      </c>
      <c r="J282" s="7">
        <v>0</v>
      </c>
      <c r="K282" s="7">
        <v>0</v>
      </c>
      <c r="L282" s="7">
        <v>1093.3900000000001</v>
      </c>
      <c r="M282" s="7">
        <v>0</v>
      </c>
      <c r="N282" s="6">
        <v>0</v>
      </c>
      <c r="O282" s="6">
        <v>6300</v>
      </c>
    </row>
    <row r="283" spans="2:15">
      <c r="B283" s="3" t="s">
        <v>99</v>
      </c>
      <c r="C283" s="4" t="s">
        <v>377</v>
      </c>
      <c r="D283" s="5" t="s">
        <v>360</v>
      </c>
      <c r="E283" s="5" t="s">
        <v>123</v>
      </c>
      <c r="F283" s="5">
        <v>5804480</v>
      </c>
      <c r="G283" s="6">
        <v>3140.5</v>
      </c>
      <c r="H283" s="6">
        <v>0</v>
      </c>
      <c r="I283" s="7">
        <v>0</v>
      </c>
      <c r="J283" s="7">
        <v>0</v>
      </c>
      <c r="K283" s="7">
        <v>0</v>
      </c>
      <c r="L283" s="7">
        <v>659.5</v>
      </c>
      <c r="M283" s="7">
        <v>0</v>
      </c>
      <c r="N283" s="6">
        <v>0</v>
      </c>
      <c r="O283" s="6">
        <v>3800</v>
      </c>
    </row>
    <row r="284" spans="2:15">
      <c r="B284" s="3" t="s">
        <v>99</v>
      </c>
      <c r="C284" s="4" t="s">
        <v>378</v>
      </c>
      <c r="D284" s="5" t="s">
        <v>379</v>
      </c>
      <c r="E284" s="5" t="s">
        <v>123</v>
      </c>
      <c r="F284" s="5">
        <v>14123802</v>
      </c>
      <c r="G284" s="6">
        <v>3719.01</v>
      </c>
      <c r="H284" s="6">
        <v>0</v>
      </c>
      <c r="I284" s="7">
        <v>0</v>
      </c>
      <c r="J284" s="7">
        <v>0</v>
      </c>
      <c r="K284" s="7">
        <v>0</v>
      </c>
      <c r="L284" s="7">
        <v>780.99</v>
      </c>
      <c r="M284" s="7">
        <v>0</v>
      </c>
      <c r="N284" s="6">
        <v>0</v>
      </c>
      <c r="O284" s="6">
        <v>4500</v>
      </c>
    </row>
    <row r="285" spans="2:15">
      <c r="B285" s="3" t="s">
        <v>102</v>
      </c>
      <c r="C285" s="4" t="s">
        <v>380</v>
      </c>
      <c r="D285" s="5" t="s">
        <v>381</v>
      </c>
      <c r="E285" s="5" t="s">
        <v>123</v>
      </c>
      <c r="F285" s="5" t="s">
        <v>124</v>
      </c>
      <c r="G285" s="6">
        <v>3471.08</v>
      </c>
      <c r="H285" s="6">
        <v>0</v>
      </c>
      <c r="I285" s="7">
        <v>0</v>
      </c>
      <c r="J285" s="7">
        <v>0</v>
      </c>
      <c r="K285" s="7">
        <v>0</v>
      </c>
      <c r="L285" s="7">
        <v>728.92</v>
      </c>
      <c r="M285" s="7">
        <v>0</v>
      </c>
      <c r="N285" s="6">
        <v>0</v>
      </c>
      <c r="O285" s="6">
        <v>4200</v>
      </c>
    </row>
    <row r="286" spans="2:15">
      <c r="B286" s="3" t="s">
        <v>102</v>
      </c>
      <c r="C286" s="4" t="s">
        <v>382</v>
      </c>
      <c r="D286" s="5" t="s">
        <v>383</v>
      </c>
      <c r="E286" s="5" t="s">
        <v>276</v>
      </c>
      <c r="F286" s="5">
        <v>30631503280</v>
      </c>
      <c r="G286" s="6">
        <v>9090.91</v>
      </c>
      <c r="H286" s="6">
        <v>0</v>
      </c>
      <c r="I286" s="7">
        <v>0</v>
      </c>
      <c r="J286" s="7">
        <v>0</v>
      </c>
      <c r="K286" s="7">
        <v>0</v>
      </c>
      <c r="L286" s="7">
        <v>1909.09</v>
      </c>
      <c r="M286" s="7">
        <v>0</v>
      </c>
      <c r="N286" s="6">
        <v>0</v>
      </c>
      <c r="O286" s="6">
        <v>11000</v>
      </c>
    </row>
    <row r="287" spans="2:15">
      <c r="B287" s="3" t="s">
        <v>102</v>
      </c>
      <c r="C287" s="4" t="s">
        <v>384</v>
      </c>
      <c r="D287" s="5" t="s">
        <v>383</v>
      </c>
      <c r="E287" s="5" t="s">
        <v>276</v>
      </c>
      <c r="F287" s="5">
        <v>30631503280</v>
      </c>
      <c r="G287" s="6">
        <v>15371.9</v>
      </c>
      <c r="H287" s="6">
        <v>0</v>
      </c>
      <c r="I287" s="7">
        <v>0</v>
      </c>
      <c r="J287" s="7">
        <v>0</v>
      </c>
      <c r="K287" s="7">
        <v>0</v>
      </c>
      <c r="L287" s="7">
        <v>3228.1</v>
      </c>
      <c r="M287" s="7">
        <v>0</v>
      </c>
      <c r="N287" s="6">
        <v>0</v>
      </c>
      <c r="O287" s="6">
        <v>18600</v>
      </c>
    </row>
    <row r="288" spans="2:15">
      <c r="B288" s="3" t="s">
        <v>102</v>
      </c>
      <c r="C288" s="4" t="s">
        <v>385</v>
      </c>
      <c r="D288" s="5" t="s">
        <v>335</v>
      </c>
      <c r="E288" s="5" t="s">
        <v>123</v>
      </c>
      <c r="F288" s="5">
        <v>902191</v>
      </c>
      <c r="G288" s="6">
        <v>4049.59</v>
      </c>
      <c r="H288" s="6">
        <v>0</v>
      </c>
      <c r="I288" s="7">
        <v>0</v>
      </c>
      <c r="J288" s="7">
        <v>0</v>
      </c>
      <c r="K288" s="7">
        <v>0</v>
      </c>
      <c r="L288" s="7">
        <v>850.41</v>
      </c>
      <c r="M288" s="7">
        <v>0</v>
      </c>
      <c r="N288" s="6">
        <v>0</v>
      </c>
      <c r="O288" s="6">
        <v>4900</v>
      </c>
    </row>
    <row r="289" spans="2:15">
      <c r="B289" s="3" t="s">
        <v>224</v>
      </c>
      <c r="C289" s="4" t="s">
        <v>386</v>
      </c>
      <c r="D289" s="5" t="s">
        <v>387</v>
      </c>
      <c r="E289" s="5" t="s">
        <v>123</v>
      </c>
      <c r="F289" s="5">
        <v>94008078</v>
      </c>
      <c r="G289" s="6">
        <v>3471.08</v>
      </c>
      <c r="H289" s="6">
        <v>0</v>
      </c>
      <c r="I289" s="7">
        <v>0</v>
      </c>
      <c r="J289" s="7">
        <v>0</v>
      </c>
      <c r="K289" s="7">
        <v>0</v>
      </c>
      <c r="L289" s="7">
        <v>728.92</v>
      </c>
      <c r="M289" s="7">
        <v>0</v>
      </c>
      <c r="N289" s="6">
        <v>0</v>
      </c>
      <c r="O289" s="6">
        <v>4200</v>
      </c>
    </row>
    <row r="290" spans="2:15">
      <c r="B290" s="3" t="s">
        <v>224</v>
      </c>
      <c r="C290" s="4" t="s">
        <v>388</v>
      </c>
      <c r="D290" s="5" t="s">
        <v>389</v>
      </c>
      <c r="E290" s="5" t="s">
        <v>123</v>
      </c>
      <c r="F290" s="5">
        <v>10735876</v>
      </c>
      <c r="G290" s="6">
        <v>2066.12</v>
      </c>
      <c r="H290" s="6">
        <v>0</v>
      </c>
      <c r="I290" s="7">
        <v>0</v>
      </c>
      <c r="J290" s="7">
        <v>0</v>
      </c>
      <c r="K290" s="7">
        <v>0</v>
      </c>
      <c r="L290" s="7">
        <v>433.88</v>
      </c>
      <c r="M290" s="7">
        <v>0</v>
      </c>
      <c r="N290" s="6">
        <v>0</v>
      </c>
      <c r="O290" s="6">
        <v>2500</v>
      </c>
    </row>
    <row r="291" spans="2:15">
      <c r="B291" s="3" t="s">
        <v>104</v>
      </c>
      <c r="C291" s="4" t="s">
        <v>390</v>
      </c>
      <c r="D291" s="5" t="s">
        <v>391</v>
      </c>
      <c r="E291" s="5" t="s">
        <v>123</v>
      </c>
      <c r="F291" s="5">
        <v>4702938</v>
      </c>
      <c r="G291" s="6">
        <v>9669.42</v>
      </c>
      <c r="H291" s="6">
        <v>0</v>
      </c>
      <c r="I291" s="7">
        <v>0</v>
      </c>
      <c r="J291" s="7">
        <v>0</v>
      </c>
      <c r="K291" s="7">
        <v>0</v>
      </c>
      <c r="L291" s="7">
        <v>2030.5800000000002</v>
      </c>
      <c r="M291" s="7">
        <v>0</v>
      </c>
      <c r="N291" s="6">
        <v>0</v>
      </c>
      <c r="O291" s="6">
        <v>11700</v>
      </c>
    </row>
    <row r="292" spans="2:15">
      <c r="B292" s="3" t="s">
        <v>104</v>
      </c>
      <c r="C292" s="4" t="s">
        <v>392</v>
      </c>
      <c r="D292" s="5" t="s">
        <v>393</v>
      </c>
      <c r="E292" s="5" t="s">
        <v>123</v>
      </c>
      <c r="F292" s="5" t="s">
        <v>124</v>
      </c>
      <c r="G292" s="6">
        <v>3719.01</v>
      </c>
      <c r="H292" s="6">
        <v>0</v>
      </c>
      <c r="I292" s="7">
        <v>0</v>
      </c>
      <c r="J292" s="7">
        <v>0</v>
      </c>
      <c r="K292" s="7">
        <v>0</v>
      </c>
      <c r="L292" s="7">
        <v>780.99</v>
      </c>
      <c r="M292" s="7">
        <v>0</v>
      </c>
      <c r="N292" s="6">
        <v>0</v>
      </c>
      <c r="O292" s="6">
        <v>4500</v>
      </c>
    </row>
    <row r="293" spans="2:15">
      <c r="B293" s="3" t="s">
        <v>104</v>
      </c>
      <c r="C293" s="4" t="s">
        <v>394</v>
      </c>
      <c r="D293" s="5" t="s">
        <v>395</v>
      </c>
      <c r="E293" s="5" t="s">
        <v>123</v>
      </c>
      <c r="F293" s="5">
        <v>48383787</v>
      </c>
      <c r="G293" s="6">
        <v>2561.98</v>
      </c>
      <c r="H293" s="6">
        <v>0</v>
      </c>
      <c r="I293" s="7">
        <v>0</v>
      </c>
      <c r="J293" s="7">
        <v>0</v>
      </c>
      <c r="K293" s="7">
        <v>0</v>
      </c>
      <c r="L293" s="7">
        <v>538.02</v>
      </c>
      <c r="M293" s="7">
        <v>0</v>
      </c>
      <c r="N293" s="6">
        <v>0</v>
      </c>
      <c r="O293" s="6">
        <v>3100</v>
      </c>
    </row>
    <row r="294" spans="2:15">
      <c r="B294" s="3" t="s">
        <v>104</v>
      </c>
      <c r="C294" s="4" t="s">
        <v>396</v>
      </c>
      <c r="D294" s="5" t="s">
        <v>397</v>
      </c>
      <c r="E294" s="5" t="s">
        <v>123</v>
      </c>
      <c r="F294" s="5">
        <v>13855506</v>
      </c>
      <c r="G294" s="6">
        <v>3471.08</v>
      </c>
      <c r="H294" s="6">
        <v>0</v>
      </c>
      <c r="I294" s="7">
        <v>0</v>
      </c>
      <c r="J294" s="7">
        <v>0</v>
      </c>
      <c r="K294" s="7">
        <v>0</v>
      </c>
      <c r="L294" s="7">
        <v>728.92</v>
      </c>
      <c r="M294" s="7">
        <v>0</v>
      </c>
      <c r="N294" s="6">
        <v>0</v>
      </c>
      <c r="O294" s="6">
        <v>4200</v>
      </c>
    </row>
    <row r="295" spans="2:15">
      <c r="B295" s="3" t="s">
        <v>104</v>
      </c>
      <c r="C295" s="4" t="s">
        <v>398</v>
      </c>
      <c r="D295" s="5" t="s">
        <v>399</v>
      </c>
      <c r="E295" s="5" t="s">
        <v>123</v>
      </c>
      <c r="F295" s="5" t="s">
        <v>124</v>
      </c>
      <c r="G295" s="6">
        <v>7024.79</v>
      </c>
      <c r="H295" s="6">
        <v>0</v>
      </c>
      <c r="I295" s="7">
        <v>0</v>
      </c>
      <c r="J295" s="7">
        <v>0</v>
      </c>
      <c r="K295" s="7">
        <v>0</v>
      </c>
      <c r="L295" s="7">
        <v>1475.21</v>
      </c>
      <c r="M295" s="7">
        <v>0</v>
      </c>
      <c r="N295" s="6">
        <v>0</v>
      </c>
      <c r="O295" s="6">
        <v>8500</v>
      </c>
    </row>
    <row r="296" spans="2:15">
      <c r="B296" s="3" t="s">
        <v>39</v>
      </c>
      <c r="C296" s="4" t="s">
        <v>400</v>
      </c>
      <c r="D296" s="5" t="s">
        <v>401</v>
      </c>
      <c r="E296" s="5" t="s">
        <v>123</v>
      </c>
      <c r="F296" s="5" t="s">
        <v>124</v>
      </c>
      <c r="G296" s="6">
        <v>8677.68</v>
      </c>
      <c r="H296" s="6">
        <v>0</v>
      </c>
      <c r="I296" s="7">
        <v>0</v>
      </c>
      <c r="J296" s="7">
        <v>0</v>
      </c>
      <c r="K296" s="7">
        <v>0</v>
      </c>
      <c r="L296" s="7">
        <v>1822.32</v>
      </c>
      <c r="M296" s="7">
        <v>0</v>
      </c>
      <c r="N296" s="6">
        <v>0</v>
      </c>
      <c r="O296" s="6">
        <v>10500</v>
      </c>
    </row>
    <row r="297" spans="2:15">
      <c r="B297" s="3" t="s">
        <v>39</v>
      </c>
      <c r="C297" s="4" t="s">
        <v>402</v>
      </c>
      <c r="D297" s="5" t="s">
        <v>403</v>
      </c>
      <c r="E297" s="5" t="s">
        <v>123</v>
      </c>
      <c r="F297" s="5">
        <v>41395898</v>
      </c>
      <c r="G297" s="6">
        <v>6198.35</v>
      </c>
      <c r="H297" s="6">
        <v>0</v>
      </c>
      <c r="I297" s="7">
        <v>0</v>
      </c>
      <c r="J297" s="7">
        <v>0</v>
      </c>
      <c r="K297" s="7">
        <v>0</v>
      </c>
      <c r="L297" s="7">
        <v>1301.6500000000001</v>
      </c>
      <c r="M297" s="7">
        <v>0</v>
      </c>
      <c r="N297" s="6">
        <v>0</v>
      </c>
      <c r="O297" s="6">
        <v>7500</v>
      </c>
    </row>
    <row r="298" spans="2:15">
      <c r="B298" s="3" t="s">
        <v>39</v>
      </c>
      <c r="C298" s="4" t="s">
        <v>404</v>
      </c>
      <c r="D298" s="5" t="s">
        <v>379</v>
      </c>
      <c r="E298" s="5" t="s">
        <v>123</v>
      </c>
      <c r="F298" s="5">
        <v>14123802</v>
      </c>
      <c r="G298" s="6">
        <v>7685.96</v>
      </c>
      <c r="H298" s="6">
        <v>0</v>
      </c>
      <c r="I298" s="7">
        <v>0</v>
      </c>
      <c r="J298" s="7">
        <v>0</v>
      </c>
      <c r="K298" s="7">
        <v>0</v>
      </c>
      <c r="L298" s="7">
        <v>1614.04</v>
      </c>
      <c r="M298" s="7">
        <v>0</v>
      </c>
      <c r="N298" s="6">
        <v>0</v>
      </c>
      <c r="O298" s="6">
        <v>9300</v>
      </c>
    </row>
    <row r="299" spans="2:15">
      <c r="B299" s="3" t="s">
        <v>39</v>
      </c>
      <c r="C299" s="4" t="s">
        <v>405</v>
      </c>
      <c r="D299" s="5" t="s">
        <v>406</v>
      </c>
      <c r="E299" s="5" t="s">
        <v>123</v>
      </c>
      <c r="F299" s="5">
        <v>12791306</v>
      </c>
      <c r="G299" s="6">
        <v>5454.54</v>
      </c>
      <c r="H299" s="6">
        <v>0</v>
      </c>
      <c r="I299" s="7">
        <v>0</v>
      </c>
      <c r="J299" s="7">
        <v>0</v>
      </c>
      <c r="K299" s="7">
        <v>0</v>
      </c>
      <c r="L299" s="7">
        <v>1145.46</v>
      </c>
      <c r="M299" s="7">
        <v>0</v>
      </c>
      <c r="N299" s="6">
        <v>0</v>
      </c>
      <c r="O299" s="6">
        <v>6600</v>
      </c>
    </row>
    <row r="300" spans="2:15">
      <c r="B300" s="3" t="s">
        <v>39</v>
      </c>
      <c r="C300" s="4" t="s">
        <v>407</v>
      </c>
      <c r="D300" s="5" t="s">
        <v>348</v>
      </c>
      <c r="E300" s="5" t="s">
        <v>123</v>
      </c>
      <c r="F300" s="5">
        <v>26542077</v>
      </c>
      <c r="G300" s="6">
        <v>8677.69</v>
      </c>
      <c r="H300" s="6">
        <v>0</v>
      </c>
      <c r="I300" s="7">
        <v>0</v>
      </c>
      <c r="J300" s="7">
        <v>0</v>
      </c>
      <c r="K300" s="7">
        <v>0</v>
      </c>
      <c r="L300" s="7">
        <v>1822.31</v>
      </c>
      <c r="M300" s="7">
        <v>0</v>
      </c>
      <c r="N300" s="6">
        <v>0</v>
      </c>
      <c r="O300" s="6">
        <v>10500</v>
      </c>
    </row>
    <row r="301" spans="2:15">
      <c r="B301" s="3" t="s">
        <v>39</v>
      </c>
      <c r="C301" s="4" t="s">
        <v>408</v>
      </c>
      <c r="D301" s="5" t="s">
        <v>409</v>
      </c>
      <c r="E301" s="5" t="s">
        <v>123</v>
      </c>
      <c r="F301" s="5">
        <v>2925288</v>
      </c>
      <c r="G301" s="6">
        <v>9917.36</v>
      </c>
      <c r="H301" s="6">
        <v>0</v>
      </c>
      <c r="I301" s="7">
        <v>0</v>
      </c>
      <c r="J301" s="7">
        <v>0</v>
      </c>
      <c r="K301" s="7">
        <v>0</v>
      </c>
      <c r="L301" s="7">
        <v>2082.64</v>
      </c>
      <c r="M301" s="7">
        <v>0</v>
      </c>
      <c r="N301" s="6">
        <v>0</v>
      </c>
      <c r="O301" s="6">
        <v>12000</v>
      </c>
    </row>
    <row r="302" spans="2:15">
      <c r="B302" s="3" t="s">
        <v>39</v>
      </c>
      <c r="C302" s="4" t="s">
        <v>410</v>
      </c>
      <c r="D302" s="5" t="s">
        <v>411</v>
      </c>
      <c r="E302" s="5" t="s">
        <v>123</v>
      </c>
      <c r="F302" s="5">
        <v>13699449</v>
      </c>
      <c r="G302" s="6">
        <v>22809.919999999998</v>
      </c>
      <c r="H302" s="6">
        <v>0</v>
      </c>
      <c r="I302" s="7">
        <v>0</v>
      </c>
      <c r="J302" s="7">
        <v>0</v>
      </c>
      <c r="K302" s="7">
        <v>0</v>
      </c>
      <c r="L302" s="7">
        <v>4790.08</v>
      </c>
      <c r="M302" s="7">
        <v>0</v>
      </c>
      <c r="N302" s="6">
        <v>0</v>
      </c>
      <c r="O302" s="6">
        <v>27600</v>
      </c>
    </row>
    <row r="303" spans="2:15">
      <c r="B303" s="3" t="s">
        <v>111</v>
      </c>
      <c r="C303" s="4" t="s">
        <v>412</v>
      </c>
      <c r="D303" s="5" t="s">
        <v>413</v>
      </c>
      <c r="E303" s="5" t="s">
        <v>123</v>
      </c>
      <c r="F303" s="5">
        <v>20270821</v>
      </c>
      <c r="G303" s="6">
        <v>5454.54</v>
      </c>
      <c r="H303" s="6">
        <v>0</v>
      </c>
      <c r="I303" s="7">
        <v>0</v>
      </c>
      <c r="J303" s="7">
        <v>0</v>
      </c>
      <c r="K303" s="7">
        <v>0</v>
      </c>
      <c r="L303" s="7">
        <v>1145.46</v>
      </c>
      <c r="M303" s="7">
        <v>0</v>
      </c>
      <c r="N303" s="6">
        <v>0</v>
      </c>
      <c r="O303" s="6">
        <v>6600</v>
      </c>
    </row>
    <row r="304" spans="2:15">
      <c r="B304" s="3" t="s">
        <v>111</v>
      </c>
      <c r="C304" s="4" t="s">
        <v>414</v>
      </c>
      <c r="D304" s="5" t="s">
        <v>415</v>
      </c>
      <c r="E304" s="5" t="s">
        <v>123</v>
      </c>
      <c r="F304" s="5">
        <v>10093884</v>
      </c>
      <c r="G304" s="6">
        <v>3471.08</v>
      </c>
      <c r="H304" s="6">
        <v>0</v>
      </c>
      <c r="I304" s="7">
        <v>0</v>
      </c>
      <c r="J304" s="7">
        <v>0</v>
      </c>
      <c r="K304" s="7">
        <v>0</v>
      </c>
      <c r="L304" s="7">
        <v>728.92</v>
      </c>
      <c r="M304" s="7">
        <v>0</v>
      </c>
      <c r="N304" s="6">
        <v>0</v>
      </c>
      <c r="O304" s="6">
        <v>4200</v>
      </c>
    </row>
    <row r="305" spans="2:15">
      <c r="B305" s="3" t="s">
        <v>111</v>
      </c>
      <c r="C305" s="4" t="s">
        <v>416</v>
      </c>
      <c r="D305" s="5" t="s">
        <v>417</v>
      </c>
      <c r="E305" s="5" t="s">
        <v>123</v>
      </c>
      <c r="F305" s="5" t="s">
        <v>124</v>
      </c>
      <c r="G305" s="6">
        <v>14256.19</v>
      </c>
      <c r="H305" s="6">
        <v>0</v>
      </c>
      <c r="I305" s="7">
        <v>0</v>
      </c>
      <c r="J305" s="7">
        <v>0</v>
      </c>
      <c r="K305" s="7">
        <v>0</v>
      </c>
      <c r="L305" s="7">
        <v>2993.81</v>
      </c>
      <c r="M305" s="7">
        <v>0</v>
      </c>
      <c r="N305" s="6">
        <v>0</v>
      </c>
      <c r="O305" s="6">
        <v>17250</v>
      </c>
    </row>
    <row r="306" spans="2:15">
      <c r="B306" s="3" t="s">
        <v>111</v>
      </c>
      <c r="C306" s="4" t="s">
        <v>418</v>
      </c>
      <c r="D306" s="5" t="s">
        <v>417</v>
      </c>
      <c r="E306" s="5" t="s">
        <v>123</v>
      </c>
      <c r="F306" s="5" t="s">
        <v>124</v>
      </c>
      <c r="G306" s="6">
        <v>13553.71</v>
      </c>
      <c r="H306" s="6">
        <v>0</v>
      </c>
      <c r="I306" s="7">
        <v>0</v>
      </c>
      <c r="J306" s="7">
        <v>0</v>
      </c>
      <c r="K306" s="7">
        <v>0</v>
      </c>
      <c r="L306" s="7">
        <v>2846.29</v>
      </c>
      <c r="M306" s="7">
        <v>0</v>
      </c>
      <c r="N306" s="6">
        <v>0</v>
      </c>
      <c r="O306" s="6">
        <v>16400</v>
      </c>
    </row>
    <row r="307" spans="2:15">
      <c r="B307" s="3" t="s">
        <v>111</v>
      </c>
      <c r="C307" s="4" t="s">
        <v>419</v>
      </c>
      <c r="D307" s="5" t="s">
        <v>420</v>
      </c>
      <c r="E307" s="5" t="s">
        <v>123</v>
      </c>
      <c r="F307" s="5">
        <v>3955768</v>
      </c>
      <c r="G307" s="6">
        <v>8347.11</v>
      </c>
      <c r="H307" s="6">
        <v>0</v>
      </c>
      <c r="I307" s="7">
        <v>0</v>
      </c>
      <c r="J307" s="7">
        <v>0</v>
      </c>
      <c r="K307" s="7">
        <v>0</v>
      </c>
      <c r="L307" s="7">
        <v>1752.89</v>
      </c>
      <c r="M307" s="7">
        <v>0</v>
      </c>
      <c r="N307" s="6">
        <v>0</v>
      </c>
      <c r="O307" s="6">
        <v>10100</v>
      </c>
    </row>
    <row r="308" spans="2:15">
      <c r="B308" s="3" t="s">
        <v>111</v>
      </c>
      <c r="C308" s="4" t="s">
        <v>421</v>
      </c>
      <c r="D308" s="5" t="s">
        <v>422</v>
      </c>
      <c r="E308" s="5" t="s">
        <v>123</v>
      </c>
      <c r="F308" s="5">
        <v>11220185</v>
      </c>
      <c r="G308" s="6">
        <v>6611.57</v>
      </c>
      <c r="H308" s="6">
        <v>0</v>
      </c>
      <c r="I308" s="7">
        <v>0</v>
      </c>
      <c r="J308" s="7">
        <v>0</v>
      </c>
      <c r="K308" s="7">
        <v>0</v>
      </c>
      <c r="L308" s="7">
        <v>1388.43</v>
      </c>
      <c r="M308" s="7">
        <v>0</v>
      </c>
      <c r="N308" s="6">
        <v>0</v>
      </c>
      <c r="O308" s="6">
        <v>8000</v>
      </c>
    </row>
    <row r="309" spans="2:15">
      <c r="B309" s="3" t="s">
        <v>114</v>
      </c>
      <c r="C309" s="4" t="s">
        <v>423</v>
      </c>
      <c r="D309" s="5" t="s">
        <v>424</v>
      </c>
      <c r="E309" s="5" t="s">
        <v>123</v>
      </c>
      <c r="F309" s="5">
        <v>29654556</v>
      </c>
      <c r="G309" s="6">
        <v>4958.68</v>
      </c>
      <c r="H309" s="6">
        <v>0</v>
      </c>
      <c r="I309" s="7">
        <v>0</v>
      </c>
      <c r="J309" s="7">
        <v>0</v>
      </c>
      <c r="K309" s="7">
        <v>0</v>
      </c>
      <c r="L309" s="7">
        <v>1041.32</v>
      </c>
      <c r="M309" s="7">
        <v>0</v>
      </c>
      <c r="N309" s="6">
        <v>0</v>
      </c>
      <c r="O309" s="6">
        <v>6000</v>
      </c>
    </row>
    <row r="310" spans="2:15">
      <c r="B310" s="3" t="s">
        <v>114</v>
      </c>
      <c r="C310" s="4" t="s">
        <v>425</v>
      </c>
      <c r="D310" s="5" t="s">
        <v>426</v>
      </c>
      <c r="E310" s="5" t="s">
        <v>123</v>
      </c>
      <c r="F310" s="5">
        <v>28692323</v>
      </c>
      <c r="G310" s="6">
        <v>8285.1200000000008</v>
      </c>
      <c r="H310" s="6">
        <v>0</v>
      </c>
      <c r="I310" s="7">
        <v>0</v>
      </c>
      <c r="J310" s="7">
        <v>0</v>
      </c>
      <c r="K310" s="7">
        <v>0</v>
      </c>
      <c r="L310" s="7">
        <v>1739.88</v>
      </c>
      <c r="M310" s="7">
        <v>0</v>
      </c>
      <c r="N310" s="6">
        <v>0</v>
      </c>
      <c r="O310" s="6">
        <v>10025</v>
      </c>
    </row>
    <row r="311" spans="2:15">
      <c r="B311" s="3" t="s">
        <v>114</v>
      </c>
      <c r="C311" s="4" t="s">
        <v>427</v>
      </c>
      <c r="D311" s="5" t="s">
        <v>428</v>
      </c>
      <c r="E311" s="5" t="s">
        <v>123</v>
      </c>
      <c r="F311" s="5">
        <v>30206585</v>
      </c>
      <c r="G311" s="6">
        <v>3471.08</v>
      </c>
      <c r="H311" s="6">
        <v>0</v>
      </c>
      <c r="I311" s="7">
        <v>0</v>
      </c>
      <c r="J311" s="7">
        <v>0</v>
      </c>
      <c r="K311" s="7">
        <v>0</v>
      </c>
      <c r="L311" s="7">
        <v>728.92</v>
      </c>
      <c r="M311" s="7">
        <v>0</v>
      </c>
      <c r="N311" s="6">
        <v>0</v>
      </c>
      <c r="O311" s="6">
        <v>4200</v>
      </c>
    </row>
    <row r="312" spans="2:15">
      <c r="B312" s="3" t="s">
        <v>44</v>
      </c>
      <c r="C312" s="4" t="s">
        <v>429</v>
      </c>
      <c r="D312" s="5" t="s">
        <v>342</v>
      </c>
      <c r="E312" s="5" t="s">
        <v>123</v>
      </c>
      <c r="F312" s="5">
        <v>6553491</v>
      </c>
      <c r="G312" s="6">
        <v>3553.72</v>
      </c>
      <c r="H312" s="6">
        <v>0</v>
      </c>
      <c r="I312" s="7">
        <v>0</v>
      </c>
      <c r="J312" s="7">
        <v>0</v>
      </c>
      <c r="K312" s="7">
        <v>0</v>
      </c>
      <c r="L312" s="7">
        <v>746.28</v>
      </c>
      <c r="M312" s="7">
        <v>0</v>
      </c>
      <c r="N312" s="6">
        <v>0</v>
      </c>
      <c r="O312" s="6">
        <v>4300</v>
      </c>
    </row>
    <row r="313" spans="2:15">
      <c r="B313" s="3" t="s">
        <v>44</v>
      </c>
      <c r="C313" s="4" t="s">
        <v>430</v>
      </c>
      <c r="D313" s="5" t="s">
        <v>431</v>
      </c>
      <c r="E313" s="5" t="s">
        <v>123</v>
      </c>
      <c r="F313" s="5" t="s">
        <v>124</v>
      </c>
      <c r="G313" s="6">
        <v>6611.57</v>
      </c>
      <c r="H313" s="6">
        <v>0</v>
      </c>
      <c r="I313" s="7">
        <v>0</v>
      </c>
      <c r="J313" s="7">
        <v>0</v>
      </c>
      <c r="K313" s="7">
        <v>0</v>
      </c>
      <c r="L313" s="7">
        <v>1388.43</v>
      </c>
      <c r="M313" s="7">
        <v>0</v>
      </c>
      <c r="N313" s="6">
        <v>0</v>
      </c>
      <c r="O313" s="6">
        <v>8000</v>
      </c>
    </row>
    <row r="314" spans="2:15">
      <c r="B314" s="13" t="s">
        <v>432</v>
      </c>
      <c r="C314" s="13" t="s">
        <v>433</v>
      </c>
      <c r="D314" s="13" t="s">
        <v>434</v>
      </c>
      <c r="E314" s="13" t="s">
        <v>435</v>
      </c>
      <c r="F314" s="13" t="s">
        <v>436</v>
      </c>
      <c r="G314" s="14">
        <f>SUM(G78:G313)</f>
        <v>2463751.1799999988</v>
      </c>
      <c r="H314" s="14">
        <f ca="1">SUM(OFFSET($A$1,5,COLUMN()-1):OFFSET($A$1,ROW()-2,COLUMN()-1))</f>
        <v>0</v>
      </c>
      <c r="I314" s="14">
        <f ca="1">SUM(OFFSET($A$1,5,COLUMN()-1):OFFSET($A$1,ROW()-2,COLUMN()-1))</f>
        <v>0</v>
      </c>
      <c r="J314" s="14">
        <f ca="1">SUM(OFFSET($A$1,5,COLUMN()-1):OFFSET($A$1,ROW()-2,COLUMN()-1))</f>
        <v>0</v>
      </c>
      <c r="K314" s="14">
        <f ca="1">SUM(OFFSET($A$1,5,COLUMN()-1):OFFSET($A$1,ROW()-2,COLUMN()-1))</f>
        <v>0</v>
      </c>
      <c r="L314" s="14">
        <f>SUM(L78:L313)</f>
        <v>517387.62999999989</v>
      </c>
      <c r="M314" s="14">
        <f>SUM(M3:M313)</f>
        <v>0</v>
      </c>
      <c r="N314" s="14">
        <f>SUM(N3:N313)</f>
        <v>0</v>
      </c>
      <c r="O314" s="14">
        <f>SUM(O78:O313)</f>
        <v>2981138.81</v>
      </c>
    </row>
    <row r="318" spans="2:15">
      <c r="G318" s="39">
        <f>G71+G314</f>
        <v>39851338.959999993</v>
      </c>
      <c r="L318" s="39">
        <f>L71+L314</f>
        <v>8368781.0000000009</v>
      </c>
      <c r="O318" s="39">
        <f>O71+O314</f>
        <v>48220119.949999988</v>
      </c>
    </row>
  </sheetData>
  <mergeCells count="1">
    <mergeCell ref="Q67:T70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61"/>
  <sheetViews>
    <sheetView workbookViewId="0">
      <selection activeCell="C355" sqref="C355"/>
    </sheetView>
  </sheetViews>
  <sheetFormatPr baseColWidth="10" defaultColWidth="8.85546875" defaultRowHeight="15"/>
  <cols>
    <col min="2" max="2" width="9.85546875" bestFit="1" customWidth="1"/>
    <col min="3" max="3" width="18.42578125" bestFit="1" customWidth="1"/>
    <col min="4" max="4" width="64.85546875" customWidth="1"/>
    <col min="6" max="6" width="12" bestFit="1" customWidth="1"/>
    <col min="7" max="7" width="15.5703125" bestFit="1" customWidth="1"/>
    <col min="8" max="11" width="9" bestFit="1" customWidth="1"/>
    <col min="12" max="12" width="15.5703125" bestFit="1" customWidth="1"/>
    <col min="13" max="14" width="9" bestFit="1" customWidth="1"/>
    <col min="15" max="15" width="15.5703125" bestFit="1" customWidth="1"/>
    <col min="17" max="17" width="13.85546875" bestFit="1" customWidth="1"/>
  </cols>
  <sheetData>
    <row r="2" spans="2: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>
      <c r="B3" s="40" t="s">
        <v>438</v>
      </c>
      <c r="C3" s="51" t="s">
        <v>439</v>
      </c>
      <c r="D3" s="41" t="s">
        <v>440</v>
      </c>
      <c r="E3" s="41" t="s">
        <v>17</v>
      </c>
      <c r="F3" s="41">
        <v>20175645234</v>
      </c>
      <c r="G3" s="42">
        <v>13140.49</v>
      </c>
      <c r="H3" s="42">
        <v>0</v>
      </c>
      <c r="I3" s="41">
        <v>0</v>
      </c>
      <c r="J3" s="41">
        <v>0</v>
      </c>
      <c r="K3" s="41">
        <v>0</v>
      </c>
      <c r="L3" s="41">
        <v>2759.51</v>
      </c>
      <c r="M3" s="41">
        <v>0</v>
      </c>
      <c r="N3" s="42">
        <v>0</v>
      </c>
      <c r="O3" s="42">
        <v>15900</v>
      </c>
    </row>
    <row r="4" spans="2:15">
      <c r="B4" s="43" t="s">
        <v>441</v>
      </c>
      <c r="C4" s="44" t="s">
        <v>442</v>
      </c>
      <c r="D4" s="45" t="s">
        <v>440</v>
      </c>
      <c r="E4" s="45" t="s">
        <v>17</v>
      </c>
      <c r="F4" s="45">
        <v>20175645234</v>
      </c>
      <c r="G4" s="46">
        <v>18223.14</v>
      </c>
      <c r="H4" s="46">
        <v>0</v>
      </c>
      <c r="I4" s="45">
        <v>0</v>
      </c>
      <c r="J4" s="45">
        <v>0</v>
      </c>
      <c r="K4" s="45">
        <v>0</v>
      </c>
      <c r="L4" s="45">
        <v>3826.86</v>
      </c>
      <c r="M4" s="45">
        <v>0</v>
      </c>
      <c r="N4" s="46">
        <v>0</v>
      </c>
      <c r="O4" s="46">
        <v>22050</v>
      </c>
    </row>
    <row r="5" spans="2:15">
      <c r="B5" s="43" t="s">
        <v>443</v>
      </c>
      <c r="C5" s="44" t="s">
        <v>444</v>
      </c>
      <c r="D5" s="45" t="s">
        <v>16</v>
      </c>
      <c r="E5" s="45" t="s">
        <v>17</v>
      </c>
      <c r="F5" s="45">
        <v>30522428163</v>
      </c>
      <c r="G5" s="46">
        <v>2293140.5</v>
      </c>
      <c r="H5" s="46">
        <v>0</v>
      </c>
      <c r="I5" s="45">
        <v>0</v>
      </c>
      <c r="J5" s="45">
        <v>0</v>
      </c>
      <c r="K5" s="45">
        <v>0</v>
      </c>
      <c r="L5" s="45">
        <v>481559.51</v>
      </c>
      <c r="M5" s="45">
        <v>0</v>
      </c>
      <c r="N5" s="46">
        <v>0</v>
      </c>
      <c r="O5" s="46">
        <v>2774700.01</v>
      </c>
    </row>
    <row r="6" spans="2:15">
      <c r="B6" s="43" t="s">
        <v>443</v>
      </c>
      <c r="C6" s="44" t="s">
        <v>445</v>
      </c>
      <c r="D6" s="45" t="s">
        <v>16</v>
      </c>
      <c r="E6" s="45" t="s">
        <v>17</v>
      </c>
      <c r="F6" s="45">
        <v>30522428163</v>
      </c>
      <c r="G6" s="46">
        <v>2260290.91</v>
      </c>
      <c r="H6" s="46">
        <v>0</v>
      </c>
      <c r="I6" s="45">
        <v>0</v>
      </c>
      <c r="J6" s="45">
        <v>0</v>
      </c>
      <c r="K6" s="45">
        <v>0</v>
      </c>
      <c r="L6" s="45">
        <v>474661.08</v>
      </c>
      <c r="M6" s="45">
        <v>0</v>
      </c>
      <c r="N6" s="46">
        <v>0</v>
      </c>
      <c r="O6" s="46">
        <v>2734951.99</v>
      </c>
    </row>
    <row r="7" spans="2:15">
      <c r="B7" s="43" t="s">
        <v>446</v>
      </c>
      <c r="C7" s="44" t="s">
        <v>447</v>
      </c>
      <c r="D7" s="45" t="s">
        <v>16</v>
      </c>
      <c r="E7" s="45" t="s">
        <v>17</v>
      </c>
      <c r="F7" s="45">
        <v>30522428163</v>
      </c>
      <c r="G7" s="46">
        <v>2215459.44</v>
      </c>
      <c r="H7" s="46">
        <v>0</v>
      </c>
      <c r="I7" s="45">
        <v>0</v>
      </c>
      <c r="J7" s="45">
        <v>0</v>
      </c>
      <c r="K7" s="45">
        <v>0</v>
      </c>
      <c r="L7" s="45">
        <v>465246.48</v>
      </c>
      <c r="M7" s="45">
        <v>0</v>
      </c>
      <c r="N7" s="46">
        <v>0</v>
      </c>
      <c r="O7" s="46">
        <v>2680705.92</v>
      </c>
    </row>
    <row r="8" spans="2:15">
      <c r="B8" s="43" t="s">
        <v>446</v>
      </c>
      <c r="C8" s="44" t="s">
        <v>448</v>
      </c>
      <c r="D8" s="45" t="s">
        <v>16</v>
      </c>
      <c r="E8" s="45" t="s">
        <v>17</v>
      </c>
      <c r="F8" s="45">
        <v>30522428163</v>
      </c>
      <c r="G8" s="46">
        <v>310864.89</v>
      </c>
      <c r="H8" s="46">
        <v>0</v>
      </c>
      <c r="I8" s="45">
        <v>0</v>
      </c>
      <c r="J8" s="45">
        <v>0</v>
      </c>
      <c r="K8" s="45">
        <v>0</v>
      </c>
      <c r="L8" s="45">
        <v>65281.63</v>
      </c>
      <c r="M8" s="45">
        <v>0</v>
      </c>
      <c r="N8" s="46">
        <v>0</v>
      </c>
      <c r="O8" s="46">
        <v>376146.52</v>
      </c>
    </row>
    <row r="9" spans="2:15">
      <c r="B9" s="43" t="s">
        <v>449</v>
      </c>
      <c r="C9" s="44" t="s">
        <v>450</v>
      </c>
      <c r="D9" s="45" t="s">
        <v>16</v>
      </c>
      <c r="E9" s="45" t="s">
        <v>17</v>
      </c>
      <c r="F9" s="45">
        <v>30522428163</v>
      </c>
      <c r="G9" s="46">
        <v>10628099.17</v>
      </c>
      <c r="H9" s="46">
        <v>0</v>
      </c>
      <c r="I9" s="45">
        <v>0</v>
      </c>
      <c r="J9" s="45">
        <v>0</v>
      </c>
      <c r="K9" s="45">
        <v>0</v>
      </c>
      <c r="L9" s="45">
        <v>2231900.83</v>
      </c>
      <c r="M9" s="45">
        <v>0</v>
      </c>
      <c r="N9" s="46">
        <v>0</v>
      </c>
      <c r="O9" s="46">
        <v>12860000</v>
      </c>
    </row>
    <row r="10" spans="2:15">
      <c r="B10" s="43" t="s">
        <v>451</v>
      </c>
      <c r="C10" s="44" t="s">
        <v>452</v>
      </c>
      <c r="D10" s="45" t="s">
        <v>16</v>
      </c>
      <c r="E10" s="45" t="s">
        <v>17</v>
      </c>
      <c r="F10" s="45">
        <v>30522428163</v>
      </c>
      <c r="G10" s="46">
        <v>2777272.72</v>
      </c>
      <c r="H10" s="46">
        <v>0</v>
      </c>
      <c r="I10" s="45">
        <v>0</v>
      </c>
      <c r="J10" s="45">
        <v>0</v>
      </c>
      <c r="K10" s="45">
        <v>0</v>
      </c>
      <c r="L10" s="45">
        <v>583227.27</v>
      </c>
      <c r="M10" s="45">
        <v>0</v>
      </c>
      <c r="N10" s="46">
        <v>0</v>
      </c>
      <c r="O10" s="46">
        <v>3360499.99</v>
      </c>
    </row>
    <row r="11" spans="2:15">
      <c r="B11" s="43" t="s">
        <v>451</v>
      </c>
      <c r="C11" s="44" t="s">
        <v>453</v>
      </c>
      <c r="D11" s="45" t="s">
        <v>16</v>
      </c>
      <c r="E11" s="45" t="s">
        <v>17</v>
      </c>
      <c r="F11" s="45">
        <v>30522428163</v>
      </c>
      <c r="G11" s="46">
        <v>2152066.11</v>
      </c>
      <c r="H11" s="46">
        <v>0</v>
      </c>
      <c r="I11" s="45">
        <v>0</v>
      </c>
      <c r="J11" s="45">
        <v>0</v>
      </c>
      <c r="K11" s="45">
        <v>0</v>
      </c>
      <c r="L11" s="45">
        <v>451933.88</v>
      </c>
      <c r="M11" s="45">
        <v>0</v>
      </c>
      <c r="N11" s="46">
        <v>0</v>
      </c>
      <c r="O11" s="46">
        <v>2603999.9900000002</v>
      </c>
    </row>
    <row r="12" spans="2:15">
      <c r="B12" s="43" t="s">
        <v>454</v>
      </c>
      <c r="C12" s="44" t="s">
        <v>455</v>
      </c>
      <c r="D12" s="45" t="s">
        <v>16</v>
      </c>
      <c r="E12" s="45" t="s">
        <v>17</v>
      </c>
      <c r="F12" s="45">
        <v>30522428163</v>
      </c>
      <c r="G12" s="46">
        <v>1763553.71</v>
      </c>
      <c r="H12" s="46">
        <v>0</v>
      </c>
      <c r="I12" s="45">
        <v>0</v>
      </c>
      <c r="J12" s="45">
        <v>0</v>
      </c>
      <c r="K12" s="45">
        <v>0</v>
      </c>
      <c r="L12" s="45">
        <v>370346.28</v>
      </c>
      <c r="M12" s="45">
        <v>0</v>
      </c>
      <c r="N12" s="46">
        <v>0</v>
      </c>
      <c r="O12" s="46">
        <v>2133899.9900000002</v>
      </c>
    </row>
    <row r="13" spans="2:15">
      <c r="B13" s="43" t="s">
        <v>438</v>
      </c>
      <c r="C13" s="44" t="s">
        <v>456</v>
      </c>
      <c r="D13" s="45" t="s">
        <v>16</v>
      </c>
      <c r="E13" s="45" t="s">
        <v>17</v>
      </c>
      <c r="F13" s="45">
        <v>30522428163</v>
      </c>
      <c r="G13" s="46">
        <v>1807520.67</v>
      </c>
      <c r="H13" s="46">
        <v>0</v>
      </c>
      <c r="I13" s="45">
        <v>0</v>
      </c>
      <c r="J13" s="45">
        <v>0</v>
      </c>
      <c r="K13" s="45">
        <v>0</v>
      </c>
      <c r="L13" s="45">
        <v>379579.32</v>
      </c>
      <c r="M13" s="45">
        <v>0</v>
      </c>
      <c r="N13" s="46">
        <v>0</v>
      </c>
      <c r="O13" s="46">
        <v>2187099.9900000002</v>
      </c>
    </row>
    <row r="14" spans="2:15">
      <c r="B14" s="43" t="s">
        <v>438</v>
      </c>
      <c r="C14" s="44" t="s">
        <v>457</v>
      </c>
      <c r="D14" s="45" t="s">
        <v>16</v>
      </c>
      <c r="E14" s="45" t="s">
        <v>17</v>
      </c>
      <c r="F14" s="45">
        <v>30522428163</v>
      </c>
      <c r="G14" s="46">
        <v>3066942.16</v>
      </c>
      <c r="H14" s="46">
        <v>0</v>
      </c>
      <c r="I14" s="45">
        <v>0</v>
      </c>
      <c r="J14" s="45">
        <v>0</v>
      </c>
      <c r="K14" s="45">
        <v>0</v>
      </c>
      <c r="L14" s="45">
        <v>644057.82999999996</v>
      </c>
      <c r="M14" s="45">
        <v>0</v>
      </c>
      <c r="N14" s="46">
        <v>0</v>
      </c>
      <c r="O14" s="46">
        <v>3710999.99</v>
      </c>
    </row>
    <row r="15" spans="2:15">
      <c r="B15" s="43" t="s">
        <v>438</v>
      </c>
      <c r="C15" s="44" t="s">
        <v>458</v>
      </c>
      <c r="D15" s="45" t="s">
        <v>16</v>
      </c>
      <c r="E15" s="45" t="s">
        <v>17</v>
      </c>
      <c r="F15" s="45">
        <v>30522428163</v>
      </c>
      <c r="G15" s="46">
        <v>2403181.81</v>
      </c>
      <c r="H15" s="46">
        <v>0</v>
      </c>
      <c r="I15" s="45">
        <v>0</v>
      </c>
      <c r="J15" s="45">
        <v>0</v>
      </c>
      <c r="K15" s="45">
        <v>0</v>
      </c>
      <c r="L15" s="45">
        <v>504668.18</v>
      </c>
      <c r="M15" s="45">
        <v>0</v>
      </c>
      <c r="N15" s="46">
        <v>0</v>
      </c>
      <c r="O15" s="46">
        <v>2907849.99</v>
      </c>
    </row>
    <row r="16" spans="2:15">
      <c r="B16" s="43" t="s">
        <v>459</v>
      </c>
      <c r="C16" s="44" t="s">
        <v>460</v>
      </c>
      <c r="D16" s="45" t="s">
        <v>16</v>
      </c>
      <c r="E16" s="45" t="s">
        <v>17</v>
      </c>
      <c r="F16" s="45">
        <v>30522428163</v>
      </c>
      <c r="G16" s="46">
        <v>247933.89</v>
      </c>
      <c r="H16" s="46">
        <v>0</v>
      </c>
      <c r="I16" s="45">
        <v>0</v>
      </c>
      <c r="J16" s="45">
        <v>0</v>
      </c>
      <c r="K16" s="45">
        <v>0</v>
      </c>
      <c r="L16" s="45">
        <v>52066.12</v>
      </c>
      <c r="M16" s="45">
        <v>0</v>
      </c>
      <c r="N16" s="46">
        <v>0</v>
      </c>
      <c r="O16" s="46">
        <v>300000.01</v>
      </c>
    </row>
    <row r="17" spans="2:15">
      <c r="B17" s="43" t="s">
        <v>461</v>
      </c>
      <c r="C17" s="44" t="s">
        <v>462</v>
      </c>
      <c r="D17" s="45" t="s">
        <v>72</v>
      </c>
      <c r="E17" s="45" t="s">
        <v>17</v>
      </c>
      <c r="F17" s="45">
        <v>30657418877</v>
      </c>
      <c r="G17" s="46">
        <v>2462.81</v>
      </c>
      <c r="H17" s="46">
        <v>0</v>
      </c>
      <c r="I17" s="45">
        <v>0</v>
      </c>
      <c r="J17" s="45">
        <v>0</v>
      </c>
      <c r="K17" s="45">
        <v>0</v>
      </c>
      <c r="L17" s="45">
        <v>517.20000000000005</v>
      </c>
      <c r="M17" s="45">
        <v>0</v>
      </c>
      <c r="N17" s="46">
        <v>0</v>
      </c>
      <c r="O17" s="46">
        <v>2980.01</v>
      </c>
    </row>
    <row r="18" spans="2:15">
      <c r="B18" s="43" t="s">
        <v>461</v>
      </c>
      <c r="C18" s="44" t="s">
        <v>463</v>
      </c>
      <c r="D18" s="45" t="s">
        <v>80</v>
      </c>
      <c r="E18" s="45" t="s">
        <v>17</v>
      </c>
      <c r="F18" s="45">
        <v>30608716390</v>
      </c>
      <c r="G18" s="46">
        <v>6033.06</v>
      </c>
      <c r="H18" s="46">
        <v>0</v>
      </c>
      <c r="I18" s="45">
        <v>0</v>
      </c>
      <c r="J18" s="45">
        <v>0</v>
      </c>
      <c r="K18" s="45">
        <v>0</v>
      </c>
      <c r="L18" s="45">
        <v>1266.94</v>
      </c>
      <c r="M18" s="45">
        <v>0</v>
      </c>
      <c r="N18" s="46">
        <v>0</v>
      </c>
      <c r="O18" s="46">
        <v>7300</v>
      </c>
    </row>
    <row r="19" spans="2:15">
      <c r="B19" s="43" t="s">
        <v>461</v>
      </c>
      <c r="C19" s="44" t="s">
        <v>464</v>
      </c>
      <c r="D19" s="45" t="s">
        <v>60</v>
      </c>
      <c r="E19" s="45" t="s">
        <v>17</v>
      </c>
      <c r="F19" s="45">
        <v>30710538014</v>
      </c>
      <c r="G19" s="46">
        <v>22486.78</v>
      </c>
      <c r="H19" s="46">
        <v>0</v>
      </c>
      <c r="I19" s="45">
        <v>0</v>
      </c>
      <c r="J19" s="45">
        <v>0</v>
      </c>
      <c r="K19" s="45">
        <v>0</v>
      </c>
      <c r="L19" s="45">
        <v>4722.22</v>
      </c>
      <c r="M19" s="45">
        <v>0</v>
      </c>
      <c r="N19" s="46">
        <v>0</v>
      </c>
      <c r="O19" s="46">
        <v>27209</v>
      </c>
    </row>
    <row r="20" spans="2:15">
      <c r="B20" s="43" t="s">
        <v>465</v>
      </c>
      <c r="C20" s="44" t="s">
        <v>466</v>
      </c>
      <c r="D20" s="45" t="s">
        <v>80</v>
      </c>
      <c r="E20" s="45" t="s">
        <v>17</v>
      </c>
      <c r="F20" s="45">
        <v>30608716390</v>
      </c>
      <c r="G20" s="46">
        <v>1487.6</v>
      </c>
      <c r="H20" s="46">
        <v>0</v>
      </c>
      <c r="I20" s="45">
        <v>0</v>
      </c>
      <c r="J20" s="45">
        <v>0</v>
      </c>
      <c r="K20" s="45">
        <v>0</v>
      </c>
      <c r="L20" s="45">
        <v>312.40000000000003</v>
      </c>
      <c r="M20" s="45">
        <v>0</v>
      </c>
      <c r="N20" s="46">
        <v>0</v>
      </c>
      <c r="O20" s="46">
        <v>1800</v>
      </c>
    </row>
    <row r="21" spans="2:15">
      <c r="B21" s="43" t="s">
        <v>443</v>
      </c>
      <c r="C21" s="44" t="s">
        <v>467</v>
      </c>
      <c r="D21" s="45" t="s">
        <v>468</v>
      </c>
      <c r="E21" s="45" t="s">
        <v>17</v>
      </c>
      <c r="F21" s="45">
        <v>30707761403</v>
      </c>
      <c r="G21" s="46">
        <v>4132.2300000000005</v>
      </c>
      <c r="H21" s="46">
        <v>0</v>
      </c>
      <c r="I21" s="45">
        <v>0</v>
      </c>
      <c r="J21" s="45">
        <v>0</v>
      </c>
      <c r="K21" s="45">
        <v>0</v>
      </c>
      <c r="L21" s="45">
        <v>867.77</v>
      </c>
      <c r="M21" s="45">
        <v>0</v>
      </c>
      <c r="N21" s="46">
        <v>0</v>
      </c>
      <c r="O21" s="46">
        <v>5000</v>
      </c>
    </row>
    <row r="22" spans="2:15">
      <c r="B22" s="43" t="s">
        <v>443</v>
      </c>
      <c r="C22" s="44" t="s">
        <v>469</v>
      </c>
      <c r="D22" s="45" t="s">
        <v>33</v>
      </c>
      <c r="E22" s="45" t="s">
        <v>17</v>
      </c>
      <c r="F22" s="45">
        <v>30683032227</v>
      </c>
      <c r="G22" s="46">
        <v>53471.07</v>
      </c>
      <c r="H22" s="46">
        <v>0</v>
      </c>
      <c r="I22" s="45">
        <v>0</v>
      </c>
      <c r="J22" s="45">
        <v>0</v>
      </c>
      <c r="K22" s="45">
        <v>0</v>
      </c>
      <c r="L22" s="45">
        <v>11228.93</v>
      </c>
      <c r="M22" s="45">
        <v>0</v>
      </c>
      <c r="N22" s="46">
        <v>0</v>
      </c>
      <c r="O22" s="46">
        <v>64700</v>
      </c>
    </row>
    <row r="23" spans="2:15">
      <c r="B23" s="43" t="s">
        <v>446</v>
      </c>
      <c r="C23" s="44" t="s">
        <v>470</v>
      </c>
      <c r="D23" s="45" t="s">
        <v>16</v>
      </c>
      <c r="E23" s="45" t="s">
        <v>17</v>
      </c>
      <c r="F23" s="45">
        <v>30522428163</v>
      </c>
      <c r="G23" s="46">
        <v>199945.62</v>
      </c>
      <c r="H23" s="46">
        <v>0</v>
      </c>
      <c r="I23" s="45">
        <v>0</v>
      </c>
      <c r="J23" s="45">
        <v>0</v>
      </c>
      <c r="K23" s="45">
        <v>0</v>
      </c>
      <c r="L23" s="45">
        <v>41988.58</v>
      </c>
      <c r="M23" s="45">
        <v>0</v>
      </c>
      <c r="N23" s="46">
        <v>0</v>
      </c>
      <c r="O23" s="46">
        <v>241934.2</v>
      </c>
    </row>
    <row r="24" spans="2:15">
      <c r="B24" s="43" t="s">
        <v>446</v>
      </c>
      <c r="C24" s="44" t="s">
        <v>471</v>
      </c>
      <c r="D24" s="45" t="s">
        <v>16</v>
      </c>
      <c r="E24" s="45" t="s">
        <v>17</v>
      </c>
      <c r="F24" s="45">
        <v>30522428163</v>
      </c>
      <c r="G24" s="46">
        <v>59164.94</v>
      </c>
      <c r="H24" s="46">
        <v>0</v>
      </c>
      <c r="I24" s="45">
        <v>0</v>
      </c>
      <c r="J24" s="45">
        <v>0</v>
      </c>
      <c r="K24" s="45">
        <v>0</v>
      </c>
      <c r="L24" s="45">
        <v>12424.64</v>
      </c>
      <c r="M24" s="45">
        <v>0</v>
      </c>
      <c r="N24" s="46">
        <v>0</v>
      </c>
      <c r="O24" s="46">
        <v>71589.58</v>
      </c>
    </row>
    <row r="25" spans="2:15">
      <c r="B25" s="43" t="s">
        <v>449</v>
      </c>
      <c r="C25" s="44" t="s">
        <v>472</v>
      </c>
      <c r="D25" s="45" t="s">
        <v>57</v>
      </c>
      <c r="E25" s="45" t="s">
        <v>17</v>
      </c>
      <c r="F25" s="45">
        <v>30715186655</v>
      </c>
      <c r="G25" s="46">
        <v>55410.74</v>
      </c>
      <c r="H25" s="46">
        <v>0</v>
      </c>
      <c r="I25" s="45">
        <v>0</v>
      </c>
      <c r="J25" s="45">
        <v>0</v>
      </c>
      <c r="K25" s="45">
        <v>0</v>
      </c>
      <c r="L25" s="45">
        <v>11636.26</v>
      </c>
      <c r="M25" s="45">
        <v>0</v>
      </c>
      <c r="N25" s="46">
        <v>0</v>
      </c>
      <c r="O25" s="46">
        <v>67047</v>
      </c>
    </row>
    <row r="26" spans="2:15">
      <c r="B26" s="43" t="s">
        <v>449</v>
      </c>
      <c r="C26" s="44" t="s">
        <v>473</v>
      </c>
      <c r="D26" s="45" t="s">
        <v>68</v>
      </c>
      <c r="E26" s="45" t="s">
        <v>17</v>
      </c>
      <c r="F26" s="45">
        <v>30711244383</v>
      </c>
      <c r="G26" s="46">
        <v>14247.38</v>
      </c>
      <c r="H26" s="46">
        <v>0</v>
      </c>
      <c r="I26" s="45">
        <v>0</v>
      </c>
      <c r="J26" s="45">
        <v>0</v>
      </c>
      <c r="K26" s="45">
        <v>0</v>
      </c>
      <c r="L26" s="45">
        <v>2991.95</v>
      </c>
      <c r="M26" s="45">
        <v>0</v>
      </c>
      <c r="N26" s="46">
        <v>0</v>
      </c>
      <c r="O26" s="46">
        <v>17239.330000000002</v>
      </c>
    </row>
    <row r="27" spans="2:15">
      <c r="B27" s="43" t="s">
        <v>474</v>
      </c>
      <c r="C27" s="44" t="s">
        <v>475</v>
      </c>
      <c r="D27" s="45" t="s">
        <v>98</v>
      </c>
      <c r="E27" s="45" t="s">
        <v>17</v>
      </c>
      <c r="F27" s="45">
        <v>30707118454</v>
      </c>
      <c r="G27" s="46">
        <v>3719.01</v>
      </c>
      <c r="H27" s="46">
        <v>0</v>
      </c>
      <c r="I27" s="45">
        <v>0</v>
      </c>
      <c r="J27" s="45">
        <v>0</v>
      </c>
      <c r="K27" s="45">
        <v>0</v>
      </c>
      <c r="L27" s="45">
        <v>780.99</v>
      </c>
      <c r="M27" s="45">
        <v>0</v>
      </c>
      <c r="N27" s="46">
        <v>0</v>
      </c>
      <c r="O27" s="46">
        <v>4500</v>
      </c>
    </row>
    <row r="28" spans="2:15">
      <c r="B28" s="43" t="s">
        <v>474</v>
      </c>
      <c r="C28" s="44" t="s">
        <v>476</v>
      </c>
      <c r="D28" s="45" t="s">
        <v>66</v>
      </c>
      <c r="E28" s="45" t="s">
        <v>17</v>
      </c>
      <c r="F28" s="45">
        <v>30710961790</v>
      </c>
      <c r="G28" s="46">
        <v>41300.520000000004</v>
      </c>
      <c r="H28" s="46">
        <v>0</v>
      </c>
      <c r="I28" s="45">
        <v>0</v>
      </c>
      <c r="J28" s="45">
        <v>0</v>
      </c>
      <c r="K28" s="45">
        <v>0</v>
      </c>
      <c r="L28" s="45">
        <v>8673.11</v>
      </c>
      <c r="M28" s="45">
        <v>0</v>
      </c>
      <c r="N28" s="46">
        <v>0</v>
      </c>
      <c r="O28" s="46">
        <v>49973.63</v>
      </c>
    </row>
    <row r="29" spans="2:15">
      <c r="B29" s="43" t="s">
        <v>474</v>
      </c>
      <c r="C29" s="44" t="s">
        <v>477</v>
      </c>
      <c r="D29" s="45" t="s">
        <v>74</v>
      </c>
      <c r="E29" s="45" t="s">
        <v>17</v>
      </c>
      <c r="F29" s="45">
        <v>30707612971</v>
      </c>
      <c r="G29" s="46">
        <v>8128.93</v>
      </c>
      <c r="H29" s="46">
        <v>0</v>
      </c>
      <c r="I29" s="45">
        <v>0</v>
      </c>
      <c r="J29" s="45">
        <v>0</v>
      </c>
      <c r="K29" s="45">
        <v>0</v>
      </c>
      <c r="L29" s="45">
        <v>1707.08</v>
      </c>
      <c r="M29" s="45">
        <v>0</v>
      </c>
      <c r="N29" s="46">
        <v>0</v>
      </c>
      <c r="O29" s="46">
        <v>9836.01</v>
      </c>
    </row>
    <row r="30" spans="2:15">
      <c r="B30" s="43" t="s">
        <v>474</v>
      </c>
      <c r="C30" s="44" t="s">
        <v>478</v>
      </c>
      <c r="D30" s="45" t="s">
        <v>70</v>
      </c>
      <c r="E30" s="45" t="s">
        <v>17</v>
      </c>
      <c r="F30" s="45">
        <v>30645337979</v>
      </c>
      <c r="G30" s="46">
        <v>9894.2100000000009</v>
      </c>
      <c r="H30" s="46">
        <v>0</v>
      </c>
      <c r="I30" s="45">
        <v>0</v>
      </c>
      <c r="J30" s="45">
        <v>0</v>
      </c>
      <c r="K30" s="45">
        <v>0</v>
      </c>
      <c r="L30" s="45">
        <v>2077.7800000000002</v>
      </c>
      <c r="M30" s="45">
        <v>0</v>
      </c>
      <c r="N30" s="46">
        <v>0</v>
      </c>
      <c r="O30" s="46">
        <v>11971.99</v>
      </c>
    </row>
    <row r="31" spans="2:15">
      <c r="B31" s="43" t="s">
        <v>474</v>
      </c>
      <c r="C31" s="44" t="s">
        <v>479</v>
      </c>
      <c r="D31" s="45" t="s">
        <v>80</v>
      </c>
      <c r="E31" s="45" t="s">
        <v>17</v>
      </c>
      <c r="F31" s="45">
        <v>30608716390</v>
      </c>
      <c r="G31" s="46">
        <v>2561.98</v>
      </c>
      <c r="H31" s="46">
        <v>0</v>
      </c>
      <c r="I31" s="45">
        <v>0</v>
      </c>
      <c r="J31" s="45">
        <v>0</v>
      </c>
      <c r="K31" s="45">
        <v>0</v>
      </c>
      <c r="L31" s="45">
        <v>538.02</v>
      </c>
      <c r="M31" s="45">
        <v>0</v>
      </c>
      <c r="N31" s="46">
        <v>0</v>
      </c>
      <c r="O31" s="46">
        <v>3100</v>
      </c>
    </row>
    <row r="32" spans="2:15">
      <c r="B32" s="43" t="s">
        <v>474</v>
      </c>
      <c r="C32" s="44" t="s">
        <v>480</v>
      </c>
      <c r="D32" s="45" t="s">
        <v>80</v>
      </c>
      <c r="E32" s="45" t="s">
        <v>17</v>
      </c>
      <c r="F32" s="45">
        <v>30608716390</v>
      </c>
      <c r="G32" s="46">
        <v>1280.99</v>
      </c>
      <c r="H32" s="46">
        <v>0</v>
      </c>
      <c r="I32" s="45">
        <v>0</v>
      </c>
      <c r="J32" s="45">
        <v>0</v>
      </c>
      <c r="K32" s="45">
        <v>0</v>
      </c>
      <c r="L32" s="45">
        <v>269.01</v>
      </c>
      <c r="M32" s="45">
        <v>0</v>
      </c>
      <c r="N32" s="46">
        <v>0</v>
      </c>
      <c r="O32" s="46">
        <v>1550</v>
      </c>
    </row>
    <row r="33" spans="2:15">
      <c r="B33" s="43" t="s">
        <v>474</v>
      </c>
      <c r="C33" s="44" t="s">
        <v>481</v>
      </c>
      <c r="D33" s="45" t="s">
        <v>68</v>
      </c>
      <c r="E33" s="45" t="s">
        <v>17</v>
      </c>
      <c r="F33" s="45">
        <v>30711244383</v>
      </c>
      <c r="G33" s="46">
        <v>37536</v>
      </c>
      <c r="H33" s="46">
        <v>0</v>
      </c>
      <c r="I33" s="45">
        <v>0</v>
      </c>
      <c r="J33" s="45">
        <v>0</v>
      </c>
      <c r="K33" s="45">
        <v>0</v>
      </c>
      <c r="L33" s="45">
        <v>7882.56</v>
      </c>
      <c r="M33" s="45">
        <v>0</v>
      </c>
      <c r="N33" s="46">
        <v>0</v>
      </c>
      <c r="O33" s="46">
        <v>45418.559999999998</v>
      </c>
    </row>
    <row r="34" spans="2:15">
      <c r="B34" s="43" t="s">
        <v>482</v>
      </c>
      <c r="C34" s="44" t="s">
        <v>483</v>
      </c>
      <c r="D34" s="45" t="s">
        <v>33</v>
      </c>
      <c r="E34" s="45" t="s">
        <v>17</v>
      </c>
      <c r="F34" s="45">
        <v>30683032227</v>
      </c>
      <c r="G34" s="46">
        <v>229406.6</v>
      </c>
      <c r="H34" s="46">
        <v>0</v>
      </c>
      <c r="I34" s="45">
        <v>0</v>
      </c>
      <c r="J34" s="45">
        <v>0</v>
      </c>
      <c r="K34" s="45">
        <v>0</v>
      </c>
      <c r="L34" s="45">
        <v>48175.39</v>
      </c>
      <c r="M34" s="45">
        <v>0</v>
      </c>
      <c r="N34" s="46">
        <v>0</v>
      </c>
      <c r="O34" s="46">
        <v>277581.99</v>
      </c>
    </row>
    <row r="35" spans="2:15">
      <c r="B35" s="43" t="s">
        <v>482</v>
      </c>
      <c r="C35" s="44" t="s">
        <v>484</v>
      </c>
      <c r="D35" s="45" t="s">
        <v>33</v>
      </c>
      <c r="E35" s="45" t="s">
        <v>17</v>
      </c>
      <c r="F35" s="45">
        <v>30683032227</v>
      </c>
      <c r="G35" s="46">
        <v>34511.93</v>
      </c>
      <c r="H35" s="46">
        <v>0</v>
      </c>
      <c r="I35" s="45">
        <v>0</v>
      </c>
      <c r="J35" s="45">
        <v>0</v>
      </c>
      <c r="K35" s="45">
        <v>0</v>
      </c>
      <c r="L35" s="45">
        <v>7247.51</v>
      </c>
      <c r="M35" s="45">
        <v>0</v>
      </c>
      <c r="N35" s="46">
        <v>0</v>
      </c>
      <c r="O35" s="46">
        <v>41759.440000000002</v>
      </c>
    </row>
    <row r="36" spans="2:15">
      <c r="B36" s="43" t="s">
        <v>482</v>
      </c>
      <c r="C36" s="44" t="s">
        <v>485</v>
      </c>
      <c r="D36" s="45" t="s">
        <v>64</v>
      </c>
      <c r="E36" s="45" t="s">
        <v>17</v>
      </c>
      <c r="F36" s="45">
        <v>30546771314</v>
      </c>
      <c r="G36" s="46">
        <v>13677.69</v>
      </c>
      <c r="H36" s="46">
        <v>0</v>
      </c>
      <c r="I36" s="45">
        <v>0</v>
      </c>
      <c r="J36" s="45">
        <v>0</v>
      </c>
      <c r="K36" s="45">
        <v>0</v>
      </c>
      <c r="L36" s="45">
        <v>2872.31</v>
      </c>
      <c r="M36" s="45">
        <v>0</v>
      </c>
      <c r="N36" s="46">
        <v>0</v>
      </c>
      <c r="O36" s="46">
        <v>16550</v>
      </c>
    </row>
    <row r="37" spans="2:15">
      <c r="B37" s="43" t="s">
        <v>482</v>
      </c>
      <c r="C37" s="44" t="s">
        <v>486</v>
      </c>
      <c r="D37" s="45" t="s">
        <v>62</v>
      </c>
      <c r="E37" s="45" t="s">
        <v>17</v>
      </c>
      <c r="F37" s="45">
        <v>30713669004</v>
      </c>
      <c r="G37" s="46">
        <v>12570.25</v>
      </c>
      <c r="H37" s="46">
        <v>0</v>
      </c>
      <c r="I37" s="45">
        <v>0</v>
      </c>
      <c r="J37" s="45">
        <v>0</v>
      </c>
      <c r="K37" s="45">
        <v>0</v>
      </c>
      <c r="L37" s="45">
        <v>2639.75</v>
      </c>
      <c r="M37" s="45">
        <v>0</v>
      </c>
      <c r="N37" s="46">
        <v>0</v>
      </c>
      <c r="O37" s="46">
        <v>15210</v>
      </c>
    </row>
    <row r="38" spans="2:15">
      <c r="B38" s="43" t="s">
        <v>482</v>
      </c>
      <c r="C38" s="44" t="s">
        <v>487</v>
      </c>
      <c r="D38" s="45" t="s">
        <v>84</v>
      </c>
      <c r="E38" s="45" t="s">
        <v>17</v>
      </c>
      <c r="F38" s="45">
        <v>30709016012</v>
      </c>
      <c r="G38" s="46">
        <v>8347.11</v>
      </c>
      <c r="H38" s="46">
        <v>0</v>
      </c>
      <c r="I38" s="45">
        <v>0</v>
      </c>
      <c r="J38" s="45">
        <v>0</v>
      </c>
      <c r="K38" s="45">
        <v>0</v>
      </c>
      <c r="L38" s="45">
        <v>1752.89</v>
      </c>
      <c r="M38" s="45">
        <v>0</v>
      </c>
      <c r="N38" s="46">
        <v>0</v>
      </c>
      <c r="O38" s="46">
        <v>10100</v>
      </c>
    </row>
    <row r="39" spans="2:15">
      <c r="B39" s="43" t="s">
        <v>482</v>
      </c>
      <c r="C39" s="44" t="s">
        <v>488</v>
      </c>
      <c r="D39" s="45" t="s">
        <v>84</v>
      </c>
      <c r="E39" s="45" t="s">
        <v>17</v>
      </c>
      <c r="F39" s="45">
        <v>30709016012</v>
      </c>
      <c r="G39" s="46">
        <v>24545.47</v>
      </c>
      <c r="H39" s="46">
        <v>0</v>
      </c>
      <c r="I39" s="45">
        <v>0</v>
      </c>
      <c r="J39" s="45">
        <v>0</v>
      </c>
      <c r="K39" s="45">
        <v>0</v>
      </c>
      <c r="L39" s="45">
        <v>5154.54</v>
      </c>
      <c r="M39" s="45">
        <v>0</v>
      </c>
      <c r="N39" s="46">
        <v>0</v>
      </c>
      <c r="O39" s="46">
        <v>29700.01</v>
      </c>
    </row>
    <row r="40" spans="2:15">
      <c r="B40" s="43" t="s">
        <v>451</v>
      </c>
      <c r="C40" s="44" t="s">
        <v>489</v>
      </c>
      <c r="D40" s="45" t="s">
        <v>80</v>
      </c>
      <c r="E40" s="45" t="s">
        <v>17</v>
      </c>
      <c r="F40" s="45">
        <v>30608716390</v>
      </c>
      <c r="G40" s="46">
        <v>1487.6</v>
      </c>
      <c r="H40" s="46">
        <v>0</v>
      </c>
      <c r="I40" s="45">
        <v>0</v>
      </c>
      <c r="J40" s="45">
        <v>0</v>
      </c>
      <c r="K40" s="45">
        <v>0</v>
      </c>
      <c r="L40" s="45">
        <v>312.40000000000003</v>
      </c>
      <c r="M40" s="45">
        <v>0</v>
      </c>
      <c r="N40" s="46">
        <v>0</v>
      </c>
      <c r="O40" s="46">
        <v>1800</v>
      </c>
    </row>
    <row r="41" spans="2:15">
      <c r="B41" s="43" t="s">
        <v>451</v>
      </c>
      <c r="C41" s="44" t="s">
        <v>490</v>
      </c>
      <c r="D41" s="45" t="s">
        <v>80</v>
      </c>
      <c r="E41" s="45" t="s">
        <v>17</v>
      </c>
      <c r="F41" s="45">
        <v>30608716390</v>
      </c>
      <c r="G41" s="46">
        <v>4049.58</v>
      </c>
      <c r="H41" s="46">
        <v>0</v>
      </c>
      <c r="I41" s="45">
        <v>0</v>
      </c>
      <c r="J41" s="45">
        <v>0</v>
      </c>
      <c r="K41" s="45">
        <v>0</v>
      </c>
      <c r="L41" s="45">
        <v>850.42</v>
      </c>
      <c r="M41" s="45">
        <v>0</v>
      </c>
      <c r="N41" s="46">
        <v>0</v>
      </c>
      <c r="O41" s="46">
        <v>4900</v>
      </c>
    </row>
    <row r="42" spans="2:15">
      <c r="B42" s="43" t="s">
        <v>451</v>
      </c>
      <c r="C42" s="44" t="s">
        <v>491</v>
      </c>
      <c r="D42" s="45" t="s">
        <v>16</v>
      </c>
      <c r="E42" s="45" t="s">
        <v>17</v>
      </c>
      <c r="F42" s="45">
        <v>30522428163</v>
      </c>
      <c r="G42" s="46">
        <v>35330.58</v>
      </c>
      <c r="H42" s="46">
        <v>0</v>
      </c>
      <c r="I42" s="45">
        <v>0</v>
      </c>
      <c r="J42" s="45">
        <v>0</v>
      </c>
      <c r="K42" s="45">
        <v>0</v>
      </c>
      <c r="L42" s="45">
        <v>7419.42</v>
      </c>
      <c r="M42" s="45">
        <v>0</v>
      </c>
      <c r="N42" s="46">
        <v>0</v>
      </c>
      <c r="O42" s="46">
        <v>42750</v>
      </c>
    </row>
    <row r="43" spans="2:15">
      <c r="B43" s="43" t="s">
        <v>454</v>
      </c>
      <c r="C43" s="44" t="s">
        <v>492</v>
      </c>
      <c r="D43" s="45" t="s">
        <v>16</v>
      </c>
      <c r="E43" s="45" t="s">
        <v>17</v>
      </c>
      <c r="F43" s="45">
        <v>30522428163</v>
      </c>
      <c r="G43" s="46">
        <v>39049.590000000004</v>
      </c>
      <c r="H43" s="46">
        <v>0</v>
      </c>
      <c r="I43" s="45">
        <v>0</v>
      </c>
      <c r="J43" s="45">
        <v>0</v>
      </c>
      <c r="K43" s="45">
        <v>0</v>
      </c>
      <c r="L43" s="45">
        <v>8200.41</v>
      </c>
      <c r="M43" s="45">
        <v>0</v>
      </c>
      <c r="N43" s="46">
        <v>0</v>
      </c>
      <c r="O43" s="46">
        <v>47250</v>
      </c>
    </row>
    <row r="44" spans="2:15">
      <c r="B44" s="43" t="s">
        <v>454</v>
      </c>
      <c r="C44" s="44" t="s">
        <v>493</v>
      </c>
      <c r="D44" s="45" t="s">
        <v>64</v>
      </c>
      <c r="E44" s="45" t="s">
        <v>17</v>
      </c>
      <c r="F44" s="45">
        <v>30546771314</v>
      </c>
      <c r="G44" s="46">
        <v>79338.84</v>
      </c>
      <c r="H44" s="46">
        <v>0</v>
      </c>
      <c r="I44" s="45">
        <v>0</v>
      </c>
      <c r="J44" s="45">
        <v>0</v>
      </c>
      <c r="K44" s="45">
        <v>0</v>
      </c>
      <c r="L44" s="45">
        <v>16661.16</v>
      </c>
      <c r="M44" s="45">
        <v>0</v>
      </c>
      <c r="N44" s="46">
        <v>0</v>
      </c>
      <c r="O44" s="46">
        <v>96000</v>
      </c>
    </row>
    <row r="45" spans="2:15">
      <c r="B45" s="43" t="s">
        <v>454</v>
      </c>
      <c r="C45" s="44" t="s">
        <v>494</v>
      </c>
      <c r="D45" s="45" t="s">
        <v>495</v>
      </c>
      <c r="E45" s="45" t="s">
        <v>17</v>
      </c>
      <c r="F45" s="45">
        <v>30646239156</v>
      </c>
      <c r="G45" s="46">
        <v>9917.36</v>
      </c>
      <c r="H45" s="46">
        <v>0</v>
      </c>
      <c r="I45" s="45">
        <v>0</v>
      </c>
      <c r="J45" s="45">
        <v>0</v>
      </c>
      <c r="K45" s="45">
        <v>0</v>
      </c>
      <c r="L45" s="45">
        <v>2082.64</v>
      </c>
      <c r="M45" s="45">
        <v>0</v>
      </c>
      <c r="N45" s="46">
        <v>0</v>
      </c>
      <c r="O45" s="46">
        <v>12000</v>
      </c>
    </row>
    <row r="46" spans="2:15">
      <c r="B46" s="43" t="s">
        <v>496</v>
      </c>
      <c r="C46" s="44" t="s">
        <v>497</v>
      </c>
      <c r="D46" s="45" t="s">
        <v>80</v>
      </c>
      <c r="E46" s="45" t="s">
        <v>17</v>
      </c>
      <c r="F46" s="45">
        <v>30608716390</v>
      </c>
      <c r="G46" s="46">
        <v>3016.53</v>
      </c>
      <c r="H46" s="46">
        <v>0</v>
      </c>
      <c r="I46" s="45">
        <v>0</v>
      </c>
      <c r="J46" s="45">
        <v>0</v>
      </c>
      <c r="K46" s="45">
        <v>0</v>
      </c>
      <c r="L46" s="45">
        <v>633.47</v>
      </c>
      <c r="M46" s="45">
        <v>0</v>
      </c>
      <c r="N46" s="46">
        <v>0</v>
      </c>
      <c r="O46" s="46">
        <v>3650</v>
      </c>
    </row>
    <row r="47" spans="2:15">
      <c r="B47" s="43" t="s">
        <v>498</v>
      </c>
      <c r="C47" s="44" t="s">
        <v>499</v>
      </c>
      <c r="D47" s="45" t="s">
        <v>80</v>
      </c>
      <c r="E47" s="45" t="s">
        <v>17</v>
      </c>
      <c r="F47" s="45">
        <v>30608716390</v>
      </c>
      <c r="G47" s="46">
        <v>991.74</v>
      </c>
      <c r="H47" s="46">
        <v>0</v>
      </c>
      <c r="I47" s="45">
        <v>0</v>
      </c>
      <c r="J47" s="45">
        <v>0</v>
      </c>
      <c r="K47" s="45">
        <v>0</v>
      </c>
      <c r="L47" s="45">
        <v>208.27</v>
      </c>
      <c r="M47" s="45">
        <v>0</v>
      </c>
      <c r="N47" s="46">
        <v>0</v>
      </c>
      <c r="O47" s="46">
        <v>1200.01</v>
      </c>
    </row>
    <row r="48" spans="2:15">
      <c r="B48" s="43" t="s">
        <v>438</v>
      </c>
      <c r="C48" s="44" t="s">
        <v>500</v>
      </c>
      <c r="D48" s="45" t="s">
        <v>33</v>
      </c>
      <c r="E48" s="45" t="s">
        <v>17</v>
      </c>
      <c r="F48" s="45">
        <v>30683032227</v>
      </c>
      <c r="G48" s="46">
        <v>39669.42</v>
      </c>
      <c r="H48" s="46">
        <v>0</v>
      </c>
      <c r="I48" s="45">
        <v>0</v>
      </c>
      <c r="J48" s="45">
        <v>0</v>
      </c>
      <c r="K48" s="45">
        <v>0</v>
      </c>
      <c r="L48" s="45">
        <v>8330.58</v>
      </c>
      <c r="M48" s="45">
        <v>0</v>
      </c>
      <c r="N48" s="46">
        <v>0</v>
      </c>
      <c r="O48" s="46">
        <v>48000</v>
      </c>
    </row>
    <row r="49" spans="2:15">
      <c r="B49" s="43" t="s">
        <v>438</v>
      </c>
      <c r="C49" s="44" t="s">
        <v>501</v>
      </c>
      <c r="D49" s="45" t="s">
        <v>502</v>
      </c>
      <c r="E49" s="45" t="s">
        <v>17</v>
      </c>
      <c r="F49" s="45">
        <v>30590412631</v>
      </c>
      <c r="G49" s="46">
        <v>9586.7800000000007</v>
      </c>
      <c r="H49" s="46">
        <v>0</v>
      </c>
      <c r="I49" s="45">
        <v>0</v>
      </c>
      <c r="J49" s="45">
        <v>0</v>
      </c>
      <c r="K49" s="45">
        <v>0</v>
      </c>
      <c r="L49" s="45">
        <v>2013.22</v>
      </c>
      <c r="M49" s="45">
        <v>0</v>
      </c>
      <c r="N49" s="46">
        <v>0</v>
      </c>
      <c r="O49" s="46">
        <v>11600</v>
      </c>
    </row>
    <row r="50" spans="2:15">
      <c r="B50" s="43" t="s">
        <v>459</v>
      </c>
      <c r="C50" s="44" t="s">
        <v>503</v>
      </c>
      <c r="D50" s="45" t="s">
        <v>504</v>
      </c>
      <c r="E50" s="45" t="s">
        <v>17</v>
      </c>
      <c r="F50" s="45">
        <v>27260784221</v>
      </c>
      <c r="G50" s="46">
        <v>6157.02</v>
      </c>
      <c r="H50" s="46">
        <v>0</v>
      </c>
      <c r="I50" s="45">
        <v>0</v>
      </c>
      <c r="J50" s="45">
        <v>0</v>
      </c>
      <c r="K50" s="45">
        <v>0</v>
      </c>
      <c r="L50" s="45">
        <v>1292.98</v>
      </c>
      <c r="M50" s="45">
        <v>0</v>
      </c>
      <c r="N50" s="46">
        <v>0</v>
      </c>
      <c r="O50" s="46">
        <v>7450</v>
      </c>
    </row>
    <row r="51" spans="2:15">
      <c r="B51" s="43" t="s">
        <v>505</v>
      </c>
      <c r="C51" s="44" t="s">
        <v>506</v>
      </c>
      <c r="D51" s="45" t="s">
        <v>76</v>
      </c>
      <c r="E51" s="45" t="s">
        <v>17</v>
      </c>
      <c r="F51" s="45">
        <v>30500053522</v>
      </c>
      <c r="G51" s="46">
        <v>3991.74</v>
      </c>
      <c r="H51" s="46">
        <v>0</v>
      </c>
      <c r="I51" s="45">
        <v>0</v>
      </c>
      <c r="J51" s="45">
        <v>0</v>
      </c>
      <c r="K51" s="45">
        <v>0</v>
      </c>
      <c r="L51" s="45">
        <v>838.27</v>
      </c>
      <c r="M51" s="45">
        <v>0</v>
      </c>
      <c r="N51" s="46">
        <v>0</v>
      </c>
      <c r="O51" s="46">
        <v>4830.01</v>
      </c>
    </row>
    <row r="52" spans="2:15">
      <c r="B52" s="43" t="s">
        <v>505</v>
      </c>
      <c r="C52" s="44" t="s">
        <v>507</v>
      </c>
      <c r="D52" s="45" t="s">
        <v>76</v>
      </c>
      <c r="E52" s="45" t="s">
        <v>17</v>
      </c>
      <c r="F52" s="45">
        <v>30500053522</v>
      </c>
      <c r="G52" s="46">
        <v>5578.5</v>
      </c>
      <c r="H52" s="46">
        <v>0</v>
      </c>
      <c r="I52" s="45">
        <v>0</v>
      </c>
      <c r="J52" s="45">
        <v>0</v>
      </c>
      <c r="K52" s="45">
        <v>0</v>
      </c>
      <c r="L52" s="45">
        <v>1171.48</v>
      </c>
      <c r="M52" s="45">
        <v>0</v>
      </c>
      <c r="N52" s="46">
        <v>0</v>
      </c>
      <c r="O52" s="46">
        <v>6749.98</v>
      </c>
    </row>
    <row r="53" spans="2:15">
      <c r="B53" s="43" t="s">
        <v>498</v>
      </c>
      <c r="C53" s="44" t="s">
        <v>508</v>
      </c>
      <c r="D53" s="45" t="s">
        <v>16</v>
      </c>
      <c r="E53" s="45" t="s">
        <v>17</v>
      </c>
      <c r="F53" s="45">
        <v>30522428163</v>
      </c>
      <c r="G53" s="46">
        <v>-717768.59</v>
      </c>
      <c r="H53" s="46">
        <v>0</v>
      </c>
      <c r="I53" s="45">
        <v>0</v>
      </c>
      <c r="J53" s="45">
        <v>0</v>
      </c>
      <c r="K53" s="45">
        <v>0</v>
      </c>
      <c r="L53" s="45">
        <v>-150731.41</v>
      </c>
      <c r="M53" s="45">
        <v>0</v>
      </c>
      <c r="N53" s="46">
        <v>0</v>
      </c>
      <c r="O53" s="46">
        <v>-868500</v>
      </c>
    </row>
    <row r="54" spans="2:15">
      <c r="B54" s="43" t="s">
        <v>509</v>
      </c>
      <c r="C54" s="44" t="s">
        <v>510</v>
      </c>
      <c r="D54" s="45" t="s">
        <v>98</v>
      </c>
      <c r="E54" s="45" t="s">
        <v>17</v>
      </c>
      <c r="F54" s="45">
        <v>30707118454</v>
      </c>
      <c r="G54" s="46">
        <v>-311.57</v>
      </c>
      <c r="H54" s="46">
        <v>0</v>
      </c>
      <c r="I54" s="45">
        <v>0</v>
      </c>
      <c r="J54" s="45">
        <v>0</v>
      </c>
      <c r="K54" s="45">
        <v>0</v>
      </c>
      <c r="L54" s="45">
        <v>-65.430000000000007</v>
      </c>
      <c r="M54" s="45">
        <v>0</v>
      </c>
      <c r="N54" s="46">
        <v>0</v>
      </c>
      <c r="O54" s="46">
        <v>-377</v>
      </c>
    </row>
    <row r="55" spans="2:15">
      <c r="B55" s="43" t="s">
        <v>509</v>
      </c>
      <c r="C55" s="44" t="s">
        <v>511</v>
      </c>
      <c r="D55" s="45" t="s">
        <v>98</v>
      </c>
      <c r="E55" s="45" t="s">
        <v>17</v>
      </c>
      <c r="F55" s="45">
        <v>30707118454</v>
      </c>
      <c r="G55" s="46">
        <v>-1273.56</v>
      </c>
      <c r="H55" s="46">
        <v>0</v>
      </c>
      <c r="I55" s="45">
        <v>0</v>
      </c>
      <c r="J55" s="45">
        <v>0</v>
      </c>
      <c r="K55" s="45">
        <v>0</v>
      </c>
      <c r="L55" s="45">
        <v>-267.45</v>
      </c>
      <c r="M55" s="45">
        <v>0</v>
      </c>
      <c r="N55" s="46">
        <v>0</v>
      </c>
      <c r="O55" s="46">
        <v>-1541.01</v>
      </c>
    </row>
    <row r="56" spans="2:15">
      <c r="B56" s="43" t="s">
        <v>509</v>
      </c>
      <c r="C56" s="44" t="s">
        <v>512</v>
      </c>
      <c r="D56" s="45" t="s">
        <v>98</v>
      </c>
      <c r="E56" s="45" t="s">
        <v>17</v>
      </c>
      <c r="F56" s="45">
        <v>30707118454</v>
      </c>
      <c r="G56" s="46">
        <v>-1132.23</v>
      </c>
      <c r="H56" s="46">
        <v>0</v>
      </c>
      <c r="I56" s="45">
        <v>0</v>
      </c>
      <c r="J56" s="45">
        <v>0</v>
      </c>
      <c r="K56" s="45">
        <v>0</v>
      </c>
      <c r="L56" s="45">
        <v>-237.77</v>
      </c>
      <c r="M56" s="45">
        <v>0</v>
      </c>
      <c r="N56" s="46">
        <v>0</v>
      </c>
      <c r="O56" s="46">
        <v>-1370</v>
      </c>
    </row>
    <row r="57" spans="2:15">
      <c r="B57" s="43" t="s">
        <v>509</v>
      </c>
      <c r="C57" s="44" t="s">
        <v>513</v>
      </c>
      <c r="D57" s="45" t="s">
        <v>98</v>
      </c>
      <c r="E57" s="45" t="s">
        <v>17</v>
      </c>
      <c r="F57" s="45">
        <v>30707118454</v>
      </c>
      <c r="G57" s="46">
        <v>-1421.49</v>
      </c>
      <c r="H57" s="46">
        <v>0</v>
      </c>
      <c r="I57" s="45">
        <v>0</v>
      </c>
      <c r="J57" s="45">
        <v>0</v>
      </c>
      <c r="K57" s="45">
        <v>0</v>
      </c>
      <c r="L57" s="45">
        <v>-298.51</v>
      </c>
      <c r="M57" s="45">
        <v>0</v>
      </c>
      <c r="N57" s="46">
        <v>0</v>
      </c>
      <c r="O57" s="46">
        <v>-1720</v>
      </c>
    </row>
    <row r="58" spans="2:15">
      <c r="B58" s="43" t="s">
        <v>509</v>
      </c>
      <c r="C58" s="44" t="s">
        <v>514</v>
      </c>
      <c r="D58" s="45" t="s">
        <v>98</v>
      </c>
      <c r="E58" s="45" t="s">
        <v>17</v>
      </c>
      <c r="F58" s="45">
        <v>30707118454</v>
      </c>
      <c r="G58" s="46">
        <v>-1421.49</v>
      </c>
      <c r="H58" s="46">
        <v>0</v>
      </c>
      <c r="I58" s="45">
        <v>0</v>
      </c>
      <c r="J58" s="45">
        <v>0</v>
      </c>
      <c r="K58" s="45">
        <v>0</v>
      </c>
      <c r="L58" s="45">
        <v>-298.51</v>
      </c>
      <c r="M58" s="45">
        <v>0</v>
      </c>
      <c r="N58" s="46">
        <v>0</v>
      </c>
      <c r="O58" s="46">
        <v>-1720</v>
      </c>
    </row>
    <row r="59" spans="2:15">
      <c r="B59" s="43" t="s">
        <v>509</v>
      </c>
      <c r="C59" s="44" t="s">
        <v>515</v>
      </c>
      <c r="D59" s="45" t="s">
        <v>98</v>
      </c>
      <c r="E59" s="45" t="s">
        <v>17</v>
      </c>
      <c r="F59" s="45">
        <v>30707118454</v>
      </c>
      <c r="G59" s="46">
        <v>-2127.2800000000002</v>
      </c>
      <c r="H59" s="46">
        <v>0</v>
      </c>
      <c r="I59" s="45">
        <v>0</v>
      </c>
      <c r="J59" s="45">
        <v>0</v>
      </c>
      <c r="K59" s="45">
        <v>0</v>
      </c>
      <c r="L59" s="45">
        <v>-446.72</v>
      </c>
      <c r="M59" s="45">
        <v>0</v>
      </c>
      <c r="N59" s="46">
        <v>0</v>
      </c>
      <c r="O59" s="46">
        <v>-2574</v>
      </c>
    </row>
    <row r="60" spans="2:15">
      <c r="B60" s="52" t="s">
        <v>498</v>
      </c>
      <c r="C60" s="53" t="s">
        <v>860</v>
      </c>
      <c r="D60" s="54" t="s">
        <v>120</v>
      </c>
      <c r="E60" s="54"/>
      <c r="F60" s="54">
        <v>30522428163</v>
      </c>
      <c r="G60" s="55">
        <v>-283057.86</v>
      </c>
      <c r="H60" s="55">
        <v>0</v>
      </c>
      <c r="I60" s="54">
        <v>0</v>
      </c>
      <c r="J60" s="54">
        <v>0</v>
      </c>
      <c r="K60" s="54">
        <v>0</v>
      </c>
      <c r="L60" s="54">
        <v>-59442.15</v>
      </c>
      <c r="M60" s="54">
        <v>0</v>
      </c>
      <c r="N60" s="55">
        <v>0</v>
      </c>
      <c r="O60" s="55">
        <v>-342500</v>
      </c>
    </row>
    <row r="61" spans="2:15">
      <c r="B61" s="52" t="s">
        <v>498</v>
      </c>
      <c r="C61" s="53" t="s">
        <v>861</v>
      </c>
      <c r="D61" s="54" t="s">
        <v>120</v>
      </c>
      <c r="E61" s="54"/>
      <c r="F61" s="54">
        <v>30522428163</v>
      </c>
      <c r="G61" s="55">
        <v>-380165.29</v>
      </c>
      <c r="H61" s="55">
        <v>0</v>
      </c>
      <c r="I61" s="54">
        <v>0</v>
      </c>
      <c r="J61" s="54">
        <v>0</v>
      </c>
      <c r="K61" s="54">
        <v>0</v>
      </c>
      <c r="L61" s="54">
        <v>-79834.710000000006</v>
      </c>
      <c r="M61" s="54">
        <v>0</v>
      </c>
      <c r="N61" s="55">
        <v>0</v>
      </c>
      <c r="O61" s="55">
        <v>-460000</v>
      </c>
    </row>
    <row r="62" spans="2:15">
      <c r="B62" s="43"/>
      <c r="C62" s="44"/>
      <c r="D62" s="45"/>
      <c r="E62" s="45"/>
      <c r="F62" s="45"/>
      <c r="G62" s="46">
        <f>SUM(G3:G61)</f>
        <v>31653498.450000003</v>
      </c>
      <c r="H62" s="46"/>
      <c r="I62" s="45"/>
      <c r="J62" s="45"/>
      <c r="K62" s="45"/>
      <c r="L62" s="49">
        <f>SUM(L3:L61)</f>
        <v>6647234.669999999</v>
      </c>
      <c r="M62" s="45"/>
      <c r="N62" s="46"/>
      <c r="O62" s="46"/>
    </row>
    <row r="63" spans="2:15">
      <c r="B63" s="43" t="s">
        <v>461</v>
      </c>
      <c r="C63" s="44" t="s">
        <v>516</v>
      </c>
      <c r="D63" s="45" t="s">
        <v>122</v>
      </c>
      <c r="E63" s="45" t="s">
        <v>123</v>
      </c>
      <c r="F63" s="45" t="s">
        <v>124</v>
      </c>
      <c r="G63" s="46">
        <v>7024.79</v>
      </c>
      <c r="H63" s="46">
        <v>0</v>
      </c>
      <c r="I63" s="45">
        <v>0</v>
      </c>
      <c r="J63" s="45">
        <v>0</v>
      </c>
      <c r="K63" s="45">
        <v>0</v>
      </c>
      <c r="L63" s="45">
        <v>1475.21</v>
      </c>
      <c r="M63" s="45">
        <v>0</v>
      </c>
      <c r="N63" s="46">
        <v>0</v>
      </c>
      <c r="O63" s="46">
        <v>8500</v>
      </c>
    </row>
    <row r="64" spans="2:15">
      <c r="B64" s="43" t="s">
        <v>461</v>
      </c>
      <c r="C64" s="44" t="s">
        <v>517</v>
      </c>
      <c r="D64" s="45" t="s">
        <v>122</v>
      </c>
      <c r="E64" s="45" t="s">
        <v>123</v>
      </c>
      <c r="F64" s="45" t="s">
        <v>124</v>
      </c>
      <c r="G64" s="46">
        <v>4049.59</v>
      </c>
      <c r="H64" s="46">
        <v>0</v>
      </c>
      <c r="I64" s="45">
        <v>0</v>
      </c>
      <c r="J64" s="45">
        <v>0</v>
      </c>
      <c r="K64" s="45">
        <v>0</v>
      </c>
      <c r="L64" s="45">
        <v>850.41</v>
      </c>
      <c r="M64" s="45">
        <v>0</v>
      </c>
      <c r="N64" s="46">
        <v>0</v>
      </c>
      <c r="O64" s="46">
        <v>4900</v>
      </c>
    </row>
    <row r="65" spans="2:15">
      <c r="B65" s="43" t="s">
        <v>465</v>
      </c>
      <c r="C65" s="44" t="s">
        <v>518</v>
      </c>
      <c r="D65" s="45" t="s">
        <v>122</v>
      </c>
      <c r="E65" s="45" t="s">
        <v>123</v>
      </c>
      <c r="F65" s="45" t="s">
        <v>124</v>
      </c>
      <c r="G65" s="46">
        <v>3388.43</v>
      </c>
      <c r="H65" s="46">
        <v>0</v>
      </c>
      <c r="I65" s="45">
        <v>0</v>
      </c>
      <c r="J65" s="45">
        <v>0</v>
      </c>
      <c r="K65" s="45">
        <v>0</v>
      </c>
      <c r="L65" s="45">
        <v>711.57</v>
      </c>
      <c r="M65" s="45">
        <v>0</v>
      </c>
      <c r="N65" s="46">
        <v>0</v>
      </c>
      <c r="O65" s="46">
        <v>4100</v>
      </c>
    </row>
    <row r="66" spans="2:15">
      <c r="B66" s="43" t="s">
        <v>465</v>
      </c>
      <c r="C66" s="44" t="s">
        <v>519</v>
      </c>
      <c r="D66" s="45" t="s">
        <v>122</v>
      </c>
      <c r="E66" s="45" t="s">
        <v>123</v>
      </c>
      <c r="F66" s="45" t="s">
        <v>124</v>
      </c>
      <c r="G66" s="46">
        <v>3884.3</v>
      </c>
      <c r="H66" s="46">
        <v>0</v>
      </c>
      <c r="I66" s="45">
        <v>0</v>
      </c>
      <c r="J66" s="45">
        <v>0</v>
      </c>
      <c r="K66" s="45">
        <v>0</v>
      </c>
      <c r="L66" s="45">
        <v>815.7</v>
      </c>
      <c r="M66" s="45">
        <v>0</v>
      </c>
      <c r="N66" s="46">
        <v>0</v>
      </c>
      <c r="O66" s="46">
        <v>4700</v>
      </c>
    </row>
    <row r="67" spans="2:15">
      <c r="B67" s="43" t="s">
        <v>465</v>
      </c>
      <c r="C67" s="44" t="s">
        <v>520</v>
      </c>
      <c r="D67" s="45" t="s">
        <v>122</v>
      </c>
      <c r="E67" s="45" t="s">
        <v>123</v>
      </c>
      <c r="F67" s="45" t="s">
        <v>124</v>
      </c>
      <c r="G67" s="46">
        <v>4876.03</v>
      </c>
      <c r="H67" s="46">
        <v>0</v>
      </c>
      <c r="I67" s="45">
        <v>0</v>
      </c>
      <c r="J67" s="45">
        <v>0</v>
      </c>
      <c r="K67" s="45">
        <v>0</v>
      </c>
      <c r="L67" s="45">
        <v>1023.97</v>
      </c>
      <c r="M67" s="45">
        <v>0</v>
      </c>
      <c r="N67" s="46">
        <v>0</v>
      </c>
      <c r="O67" s="46">
        <v>5900</v>
      </c>
    </row>
    <row r="68" spans="2:15">
      <c r="B68" s="43" t="s">
        <v>465</v>
      </c>
      <c r="C68" s="44" t="s">
        <v>521</v>
      </c>
      <c r="D68" s="45" t="s">
        <v>122</v>
      </c>
      <c r="E68" s="45" t="s">
        <v>123</v>
      </c>
      <c r="F68" s="45" t="s">
        <v>124</v>
      </c>
      <c r="G68" s="46">
        <v>17768.600000000002</v>
      </c>
      <c r="H68" s="46">
        <v>0</v>
      </c>
      <c r="I68" s="45">
        <v>0</v>
      </c>
      <c r="J68" s="45">
        <v>0</v>
      </c>
      <c r="K68" s="45">
        <v>0</v>
      </c>
      <c r="L68" s="45">
        <v>3731.4</v>
      </c>
      <c r="M68" s="45">
        <v>0</v>
      </c>
      <c r="N68" s="46">
        <v>0</v>
      </c>
      <c r="O68" s="46">
        <v>21500</v>
      </c>
    </row>
    <row r="69" spans="2:15">
      <c r="B69" s="43" t="s">
        <v>465</v>
      </c>
      <c r="C69" s="44" t="s">
        <v>522</v>
      </c>
      <c r="D69" s="45" t="s">
        <v>122</v>
      </c>
      <c r="E69" s="45" t="s">
        <v>123</v>
      </c>
      <c r="F69" s="45" t="s">
        <v>124</v>
      </c>
      <c r="G69" s="46">
        <v>5867.77</v>
      </c>
      <c r="H69" s="46">
        <v>0</v>
      </c>
      <c r="I69" s="45">
        <v>0</v>
      </c>
      <c r="J69" s="45">
        <v>0</v>
      </c>
      <c r="K69" s="45">
        <v>0</v>
      </c>
      <c r="L69" s="45">
        <v>1232.23</v>
      </c>
      <c r="M69" s="45">
        <v>0</v>
      </c>
      <c r="N69" s="46">
        <v>0</v>
      </c>
      <c r="O69" s="46">
        <v>7100</v>
      </c>
    </row>
    <row r="70" spans="2:15">
      <c r="B70" s="43" t="s">
        <v>465</v>
      </c>
      <c r="C70" s="44" t="s">
        <v>523</v>
      </c>
      <c r="D70" s="45" t="s">
        <v>122</v>
      </c>
      <c r="E70" s="45" t="s">
        <v>123</v>
      </c>
      <c r="F70" s="45" t="s">
        <v>124</v>
      </c>
      <c r="G70" s="46">
        <v>12148.76</v>
      </c>
      <c r="H70" s="46">
        <v>0</v>
      </c>
      <c r="I70" s="45">
        <v>0</v>
      </c>
      <c r="J70" s="45">
        <v>0</v>
      </c>
      <c r="K70" s="45">
        <v>0</v>
      </c>
      <c r="L70" s="45">
        <v>2551.2400000000002</v>
      </c>
      <c r="M70" s="45">
        <v>0</v>
      </c>
      <c r="N70" s="46">
        <v>0</v>
      </c>
      <c r="O70" s="46">
        <v>14700</v>
      </c>
    </row>
    <row r="71" spans="2:15">
      <c r="B71" s="43" t="s">
        <v>465</v>
      </c>
      <c r="C71" s="44" t="s">
        <v>524</v>
      </c>
      <c r="D71" s="45" t="s">
        <v>122</v>
      </c>
      <c r="E71" s="45" t="s">
        <v>123</v>
      </c>
      <c r="F71" s="45" t="s">
        <v>124</v>
      </c>
      <c r="G71" s="46">
        <v>7024.79</v>
      </c>
      <c r="H71" s="46">
        <v>0</v>
      </c>
      <c r="I71" s="45">
        <v>0</v>
      </c>
      <c r="J71" s="45">
        <v>0</v>
      </c>
      <c r="K71" s="45">
        <v>0</v>
      </c>
      <c r="L71" s="45">
        <v>1475.21</v>
      </c>
      <c r="M71" s="45">
        <v>0</v>
      </c>
      <c r="N71" s="46">
        <v>0</v>
      </c>
      <c r="O71" s="46">
        <v>8500</v>
      </c>
    </row>
    <row r="72" spans="2:15">
      <c r="B72" s="43" t="s">
        <v>465</v>
      </c>
      <c r="C72" s="44" t="s">
        <v>525</v>
      </c>
      <c r="D72" s="45" t="s">
        <v>122</v>
      </c>
      <c r="E72" s="45" t="s">
        <v>123</v>
      </c>
      <c r="F72" s="45" t="s">
        <v>124</v>
      </c>
      <c r="G72" s="46">
        <v>1735.54</v>
      </c>
      <c r="H72" s="46">
        <v>0</v>
      </c>
      <c r="I72" s="45">
        <v>0</v>
      </c>
      <c r="J72" s="45">
        <v>0</v>
      </c>
      <c r="K72" s="45">
        <v>0</v>
      </c>
      <c r="L72" s="45">
        <v>364.46</v>
      </c>
      <c r="M72" s="45">
        <v>0</v>
      </c>
      <c r="N72" s="46">
        <v>0</v>
      </c>
      <c r="O72" s="46">
        <v>2100</v>
      </c>
    </row>
    <row r="73" spans="2:15">
      <c r="B73" s="43" t="s">
        <v>465</v>
      </c>
      <c r="C73" s="44" t="s">
        <v>526</v>
      </c>
      <c r="D73" s="45" t="s">
        <v>122</v>
      </c>
      <c r="E73" s="45" t="s">
        <v>123</v>
      </c>
      <c r="F73" s="45" t="s">
        <v>124</v>
      </c>
      <c r="G73" s="46">
        <v>10140.5</v>
      </c>
      <c r="H73" s="46">
        <v>0</v>
      </c>
      <c r="I73" s="45">
        <v>0</v>
      </c>
      <c r="J73" s="45">
        <v>0</v>
      </c>
      <c r="K73" s="45">
        <v>0</v>
      </c>
      <c r="L73" s="45">
        <v>2129.5</v>
      </c>
      <c r="M73" s="45">
        <v>0</v>
      </c>
      <c r="N73" s="46">
        <v>0</v>
      </c>
      <c r="O73" s="46">
        <v>12270</v>
      </c>
    </row>
    <row r="74" spans="2:15">
      <c r="B74" s="43" t="s">
        <v>465</v>
      </c>
      <c r="C74" s="44" t="s">
        <v>527</v>
      </c>
      <c r="D74" s="45" t="s">
        <v>122</v>
      </c>
      <c r="E74" s="45" t="s">
        <v>123</v>
      </c>
      <c r="F74" s="45" t="s">
        <v>124</v>
      </c>
      <c r="G74" s="46">
        <v>2479.34</v>
      </c>
      <c r="H74" s="46">
        <v>0</v>
      </c>
      <c r="I74" s="45">
        <v>0</v>
      </c>
      <c r="J74" s="45">
        <v>0</v>
      </c>
      <c r="K74" s="45">
        <v>0</v>
      </c>
      <c r="L74" s="45">
        <v>520.66</v>
      </c>
      <c r="M74" s="45">
        <v>0</v>
      </c>
      <c r="N74" s="46">
        <v>0</v>
      </c>
      <c r="O74" s="46">
        <v>3000</v>
      </c>
    </row>
    <row r="75" spans="2:15">
      <c r="B75" s="43" t="s">
        <v>443</v>
      </c>
      <c r="C75" s="44" t="s">
        <v>528</v>
      </c>
      <c r="D75" s="45" t="s">
        <v>122</v>
      </c>
      <c r="E75" s="45" t="s">
        <v>123</v>
      </c>
      <c r="F75" s="45" t="s">
        <v>124</v>
      </c>
      <c r="G75" s="46">
        <v>3223.14</v>
      </c>
      <c r="H75" s="46">
        <v>0</v>
      </c>
      <c r="I75" s="45">
        <v>0</v>
      </c>
      <c r="J75" s="45">
        <v>0</v>
      </c>
      <c r="K75" s="45">
        <v>0</v>
      </c>
      <c r="L75" s="45">
        <v>676.86</v>
      </c>
      <c r="M75" s="45">
        <v>0</v>
      </c>
      <c r="N75" s="46">
        <v>0</v>
      </c>
      <c r="O75" s="46">
        <v>3900</v>
      </c>
    </row>
    <row r="76" spans="2:15">
      <c r="B76" s="43" t="s">
        <v>443</v>
      </c>
      <c r="C76" s="44" t="s">
        <v>529</v>
      </c>
      <c r="D76" s="45" t="s">
        <v>122</v>
      </c>
      <c r="E76" s="45" t="s">
        <v>123</v>
      </c>
      <c r="F76" s="45" t="s">
        <v>124</v>
      </c>
      <c r="G76" s="46">
        <v>1322.31</v>
      </c>
      <c r="H76" s="46">
        <v>0</v>
      </c>
      <c r="I76" s="45">
        <v>0</v>
      </c>
      <c r="J76" s="45">
        <v>0</v>
      </c>
      <c r="K76" s="45">
        <v>0</v>
      </c>
      <c r="L76" s="45">
        <v>277.69</v>
      </c>
      <c r="M76" s="45">
        <v>0</v>
      </c>
      <c r="N76" s="46">
        <v>0</v>
      </c>
      <c r="O76" s="46">
        <v>1600</v>
      </c>
    </row>
    <row r="77" spans="2:15">
      <c r="B77" s="43" t="s">
        <v>443</v>
      </c>
      <c r="C77" s="44" t="s">
        <v>530</v>
      </c>
      <c r="D77" s="45" t="s">
        <v>122</v>
      </c>
      <c r="E77" s="45" t="s">
        <v>123</v>
      </c>
      <c r="F77" s="45" t="s">
        <v>124</v>
      </c>
      <c r="G77" s="46">
        <v>2479.34</v>
      </c>
      <c r="H77" s="46">
        <v>0</v>
      </c>
      <c r="I77" s="45">
        <v>0</v>
      </c>
      <c r="J77" s="45">
        <v>0</v>
      </c>
      <c r="K77" s="45">
        <v>0</v>
      </c>
      <c r="L77" s="45">
        <v>520.66</v>
      </c>
      <c r="M77" s="45">
        <v>0</v>
      </c>
      <c r="N77" s="46">
        <v>0</v>
      </c>
      <c r="O77" s="46">
        <v>3000</v>
      </c>
    </row>
    <row r="78" spans="2:15">
      <c r="B78" s="43" t="s">
        <v>443</v>
      </c>
      <c r="C78" s="44" t="s">
        <v>531</v>
      </c>
      <c r="D78" s="45" t="s">
        <v>122</v>
      </c>
      <c r="E78" s="45" t="s">
        <v>123</v>
      </c>
      <c r="F78" s="45" t="s">
        <v>124</v>
      </c>
      <c r="G78" s="46">
        <v>4132.2300000000005</v>
      </c>
      <c r="H78" s="46">
        <v>0</v>
      </c>
      <c r="I78" s="45">
        <v>0</v>
      </c>
      <c r="J78" s="45">
        <v>0</v>
      </c>
      <c r="K78" s="45">
        <v>0</v>
      </c>
      <c r="L78" s="45">
        <v>867.77</v>
      </c>
      <c r="M78" s="45">
        <v>0</v>
      </c>
      <c r="N78" s="46">
        <v>0</v>
      </c>
      <c r="O78" s="46">
        <v>5000</v>
      </c>
    </row>
    <row r="79" spans="2:15">
      <c r="B79" s="43" t="s">
        <v>443</v>
      </c>
      <c r="C79" s="44" t="s">
        <v>532</v>
      </c>
      <c r="D79" s="45" t="s">
        <v>122</v>
      </c>
      <c r="E79" s="45" t="s">
        <v>123</v>
      </c>
      <c r="F79" s="45" t="s">
        <v>124</v>
      </c>
      <c r="G79" s="46">
        <v>8181.8200000000006</v>
      </c>
      <c r="H79" s="46">
        <v>0</v>
      </c>
      <c r="I79" s="45">
        <v>0</v>
      </c>
      <c r="J79" s="45">
        <v>0</v>
      </c>
      <c r="K79" s="45">
        <v>0</v>
      </c>
      <c r="L79" s="45">
        <v>1718.18</v>
      </c>
      <c r="M79" s="45">
        <v>0</v>
      </c>
      <c r="N79" s="46">
        <v>0</v>
      </c>
      <c r="O79" s="46">
        <v>9900</v>
      </c>
    </row>
    <row r="80" spans="2:15">
      <c r="B80" s="43" t="s">
        <v>443</v>
      </c>
      <c r="C80" s="44" t="s">
        <v>533</v>
      </c>
      <c r="D80" s="45" t="s">
        <v>122</v>
      </c>
      <c r="E80" s="45" t="s">
        <v>123</v>
      </c>
      <c r="F80" s="45" t="s">
        <v>124</v>
      </c>
      <c r="G80" s="46">
        <v>4876.03</v>
      </c>
      <c r="H80" s="46">
        <v>0</v>
      </c>
      <c r="I80" s="45">
        <v>0</v>
      </c>
      <c r="J80" s="45">
        <v>0</v>
      </c>
      <c r="K80" s="45">
        <v>0</v>
      </c>
      <c r="L80" s="45">
        <v>1023.97</v>
      </c>
      <c r="M80" s="45">
        <v>0</v>
      </c>
      <c r="N80" s="46">
        <v>0</v>
      </c>
      <c r="O80" s="46">
        <v>5900</v>
      </c>
    </row>
    <row r="81" spans="2:15">
      <c r="B81" s="43" t="s">
        <v>443</v>
      </c>
      <c r="C81" s="44" t="s">
        <v>534</v>
      </c>
      <c r="D81" s="45" t="s">
        <v>122</v>
      </c>
      <c r="E81" s="45" t="s">
        <v>123</v>
      </c>
      <c r="F81" s="45" t="s">
        <v>124</v>
      </c>
      <c r="G81" s="46">
        <v>3388.43</v>
      </c>
      <c r="H81" s="46">
        <v>0</v>
      </c>
      <c r="I81" s="45">
        <v>0</v>
      </c>
      <c r="J81" s="45">
        <v>0</v>
      </c>
      <c r="K81" s="45">
        <v>0</v>
      </c>
      <c r="L81" s="45">
        <v>711.57</v>
      </c>
      <c r="M81" s="45">
        <v>0</v>
      </c>
      <c r="N81" s="46">
        <v>0</v>
      </c>
      <c r="O81" s="46">
        <v>4100</v>
      </c>
    </row>
    <row r="82" spans="2:15">
      <c r="B82" s="43" t="s">
        <v>443</v>
      </c>
      <c r="C82" s="44" t="s">
        <v>535</v>
      </c>
      <c r="D82" s="45" t="s">
        <v>122</v>
      </c>
      <c r="E82" s="45" t="s">
        <v>123</v>
      </c>
      <c r="F82" s="45" t="s">
        <v>124</v>
      </c>
      <c r="G82" s="46">
        <v>2148.7600000000002</v>
      </c>
      <c r="H82" s="46">
        <v>0</v>
      </c>
      <c r="I82" s="45">
        <v>0</v>
      </c>
      <c r="J82" s="45">
        <v>0</v>
      </c>
      <c r="K82" s="45">
        <v>0</v>
      </c>
      <c r="L82" s="45">
        <v>451.24</v>
      </c>
      <c r="M82" s="45">
        <v>0</v>
      </c>
      <c r="N82" s="46">
        <v>0</v>
      </c>
      <c r="O82" s="46">
        <v>2600</v>
      </c>
    </row>
    <row r="83" spans="2:15">
      <c r="B83" s="43" t="s">
        <v>443</v>
      </c>
      <c r="C83" s="44" t="s">
        <v>536</v>
      </c>
      <c r="D83" s="45" t="s">
        <v>122</v>
      </c>
      <c r="E83" s="45" t="s">
        <v>123</v>
      </c>
      <c r="F83" s="45" t="s">
        <v>124</v>
      </c>
      <c r="G83" s="46">
        <v>4545.45</v>
      </c>
      <c r="H83" s="46">
        <v>0</v>
      </c>
      <c r="I83" s="45">
        <v>0</v>
      </c>
      <c r="J83" s="45">
        <v>0</v>
      </c>
      <c r="K83" s="45">
        <v>0</v>
      </c>
      <c r="L83" s="45">
        <v>954.55</v>
      </c>
      <c r="M83" s="45">
        <v>0</v>
      </c>
      <c r="N83" s="46">
        <v>0</v>
      </c>
      <c r="O83" s="46">
        <v>5500</v>
      </c>
    </row>
    <row r="84" spans="2:15">
      <c r="B84" s="43" t="s">
        <v>443</v>
      </c>
      <c r="C84" s="44" t="s">
        <v>537</v>
      </c>
      <c r="D84" s="45" t="s">
        <v>122</v>
      </c>
      <c r="E84" s="45" t="s">
        <v>123</v>
      </c>
      <c r="F84" s="45" t="s">
        <v>124</v>
      </c>
      <c r="G84" s="46">
        <v>4876.03</v>
      </c>
      <c r="H84" s="46">
        <v>0</v>
      </c>
      <c r="I84" s="45">
        <v>0</v>
      </c>
      <c r="J84" s="45">
        <v>0</v>
      </c>
      <c r="K84" s="45">
        <v>0</v>
      </c>
      <c r="L84" s="45">
        <v>1023.97</v>
      </c>
      <c r="M84" s="45">
        <v>0</v>
      </c>
      <c r="N84" s="46">
        <v>0</v>
      </c>
      <c r="O84" s="46">
        <v>5900</v>
      </c>
    </row>
    <row r="85" spans="2:15">
      <c r="B85" s="43" t="s">
        <v>446</v>
      </c>
      <c r="C85" s="44" t="s">
        <v>538</v>
      </c>
      <c r="D85" s="45" t="s">
        <v>122</v>
      </c>
      <c r="E85" s="45" t="s">
        <v>123</v>
      </c>
      <c r="F85" s="45" t="s">
        <v>124</v>
      </c>
      <c r="G85" s="46">
        <v>5537.19</v>
      </c>
      <c r="H85" s="46">
        <v>0</v>
      </c>
      <c r="I85" s="45">
        <v>0</v>
      </c>
      <c r="J85" s="45">
        <v>0</v>
      </c>
      <c r="K85" s="45">
        <v>0</v>
      </c>
      <c r="L85" s="45">
        <v>1162.81</v>
      </c>
      <c r="M85" s="45">
        <v>0</v>
      </c>
      <c r="N85" s="46">
        <v>0</v>
      </c>
      <c r="O85" s="46">
        <v>6700</v>
      </c>
    </row>
    <row r="86" spans="2:15">
      <c r="B86" s="43" t="s">
        <v>446</v>
      </c>
      <c r="C86" s="44" t="s">
        <v>539</v>
      </c>
      <c r="D86" s="45" t="s">
        <v>122</v>
      </c>
      <c r="E86" s="45" t="s">
        <v>123</v>
      </c>
      <c r="F86" s="45" t="s">
        <v>124</v>
      </c>
      <c r="G86" s="46">
        <v>2892.56</v>
      </c>
      <c r="H86" s="46">
        <v>0</v>
      </c>
      <c r="I86" s="45">
        <v>0</v>
      </c>
      <c r="J86" s="45">
        <v>0</v>
      </c>
      <c r="K86" s="45">
        <v>0</v>
      </c>
      <c r="L86" s="45">
        <v>607.44000000000005</v>
      </c>
      <c r="M86" s="45">
        <v>0</v>
      </c>
      <c r="N86" s="46">
        <v>0</v>
      </c>
      <c r="O86" s="46">
        <v>3500</v>
      </c>
    </row>
    <row r="87" spans="2:15">
      <c r="B87" s="43" t="s">
        <v>446</v>
      </c>
      <c r="C87" s="44" t="s">
        <v>540</v>
      </c>
      <c r="D87" s="45" t="s">
        <v>122</v>
      </c>
      <c r="E87" s="45" t="s">
        <v>123</v>
      </c>
      <c r="F87" s="45" t="s">
        <v>124</v>
      </c>
      <c r="G87" s="46">
        <v>7768.6</v>
      </c>
      <c r="H87" s="46">
        <v>0</v>
      </c>
      <c r="I87" s="45">
        <v>0</v>
      </c>
      <c r="J87" s="45">
        <v>0</v>
      </c>
      <c r="K87" s="45">
        <v>0</v>
      </c>
      <c r="L87" s="45">
        <v>1631.4</v>
      </c>
      <c r="M87" s="45">
        <v>0</v>
      </c>
      <c r="N87" s="46">
        <v>0</v>
      </c>
      <c r="O87" s="46">
        <v>9400</v>
      </c>
    </row>
    <row r="88" spans="2:15">
      <c r="B88" s="43" t="s">
        <v>446</v>
      </c>
      <c r="C88" s="44" t="s">
        <v>541</v>
      </c>
      <c r="D88" s="45" t="s">
        <v>122</v>
      </c>
      <c r="E88" s="45" t="s">
        <v>123</v>
      </c>
      <c r="F88" s="45" t="s">
        <v>124</v>
      </c>
      <c r="G88" s="46">
        <v>7933.88</v>
      </c>
      <c r="H88" s="46">
        <v>0</v>
      </c>
      <c r="I88" s="45">
        <v>0</v>
      </c>
      <c r="J88" s="45">
        <v>0</v>
      </c>
      <c r="K88" s="45">
        <v>0</v>
      </c>
      <c r="L88" s="45">
        <v>1666.12</v>
      </c>
      <c r="M88" s="45">
        <v>0</v>
      </c>
      <c r="N88" s="46">
        <v>0</v>
      </c>
      <c r="O88" s="46">
        <v>9600</v>
      </c>
    </row>
    <row r="89" spans="2:15">
      <c r="B89" s="43" t="s">
        <v>446</v>
      </c>
      <c r="C89" s="44" t="s">
        <v>542</v>
      </c>
      <c r="D89" s="45" t="s">
        <v>122</v>
      </c>
      <c r="E89" s="45" t="s">
        <v>123</v>
      </c>
      <c r="F89" s="45" t="s">
        <v>124</v>
      </c>
      <c r="G89" s="46">
        <v>9603.31</v>
      </c>
      <c r="H89" s="46">
        <v>0</v>
      </c>
      <c r="I89" s="45">
        <v>0</v>
      </c>
      <c r="J89" s="45">
        <v>0</v>
      </c>
      <c r="K89" s="45">
        <v>0</v>
      </c>
      <c r="L89" s="45">
        <v>2016.69</v>
      </c>
      <c r="M89" s="45">
        <v>0</v>
      </c>
      <c r="N89" s="46">
        <v>0</v>
      </c>
      <c r="O89" s="46">
        <v>11620</v>
      </c>
    </row>
    <row r="90" spans="2:15">
      <c r="B90" s="43" t="s">
        <v>446</v>
      </c>
      <c r="C90" s="44" t="s">
        <v>543</v>
      </c>
      <c r="D90" s="45" t="s">
        <v>122</v>
      </c>
      <c r="E90" s="45" t="s">
        <v>123</v>
      </c>
      <c r="F90" s="45" t="s">
        <v>124</v>
      </c>
      <c r="G90" s="46">
        <v>7975.21</v>
      </c>
      <c r="H90" s="46">
        <v>0</v>
      </c>
      <c r="I90" s="45">
        <v>0</v>
      </c>
      <c r="J90" s="45">
        <v>0</v>
      </c>
      <c r="K90" s="45">
        <v>0</v>
      </c>
      <c r="L90" s="45">
        <v>1674.79</v>
      </c>
      <c r="M90" s="45">
        <v>0</v>
      </c>
      <c r="N90" s="46">
        <v>0</v>
      </c>
      <c r="O90" s="46">
        <v>9650</v>
      </c>
    </row>
    <row r="91" spans="2:15">
      <c r="B91" s="43" t="s">
        <v>449</v>
      </c>
      <c r="C91" s="44" t="s">
        <v>544</v>
      </c>
      <c r="D91" s="45" t="s">
        <v>122</v>
      </c>
      <c r="E91" s="45" t="s">
        <v>123</v>
      </c>
      <c r="F91" s="45" t="s">
        <v>124</v>
      </c>
      <c r="G91" s="46">
        <v>9752.07</v>
      </c>
      <c r="H91" s="46">
        <v>0</v>
      </c>
      <c r="I91" s="45">
        <v>0</v>
      </c>
      <c r="J91" s="45">
        <v>0</v>
      </c>
      <c r="K91" s="45">
        <v>0</v>
      </c>
      <c r="L91" s="45">
        <v>2047.93</v>
      </c>
      <c r="M91" s="45">
        <v>0</v>
      </c>
      <c r="N91" s="46">
        <v>0</v>
      </c>
      <c r="O91" s="46">
        <v>11800</v>
      </c>
    </row>
    <row r="92" spans="2:15">
      <c r="B92" s="43" t="s">
        <v>449</v>
      </c>
      <c r="C92" s="44" t="s">
        <v>545</v>
      </c>
      <c r="D92" s="45" t="s">
        <v>122</v>
      </c>
      <c r="E92" s="45" t="s">
        <v>123</v>
      </c>
      <c r="F92" s="45" t="s">
        <v>124</v>
      </c>
      <c r="G92" s="46">
        <v>9462.81</v>
      </c>
      <c r="H92" s="46">
        <v>0</v>
      </c>
      <c r="I92" s="45">
        <v>0</v>
      </c>
      <c r="J92" s="45">
        <v>0</v>
      </c>
      <c r="K92" s="45">
        <v>0</v>
      </c>
      <c r="L92" s="45">
        <v>1987.19</v>
      </c>
      <c r="M92" s="45">
        <v>0</v>
      </c>
      <c r="N92" s="46">
        <v>0</v>
      </c>
      <c r="O92" s="46">
        <v>11450</v>
      </c>
    </row>
    <row r="93" spans="2:15">
      <c r="B93" s="43" t="s">
        <v>449</v>
      </c>
      <c r="C93" s="44" t="s">
        <v>546</v>
      </c>
      <c r="D93" s="45" t="s">
        <v>122</v>
      </c>
      <c r="E93" s="45" t="s">
        <v>123</v>
      </c>
      <c r="F93" s="45" t="s">
        <v>124</v>
      </c>
      <c r="G93" s="46">
        <v>2727.27</v>
      </c>
      <c r="H93" s="46">
        <v>0</v>
      </c>
      <c r="I93" s="45">
        <v>0</v>
      </c>
      <c r="J93" s="45">
        <v>0</v>
      </c>
      <c r="K93" s="45">
        <v>0</v>
      </c>
      <c r="L93" s="45">
        <v>572.73</v>
      </c>
      <c r="M93" s="45">
        <v>0</v>
      </c>
      <c r="N93" s="46">
        <v>0</v>
      </c>
      <c r="O93" s="46">
        <v>3300</v>
      </c>
    </row>
    <row r="94" spans="2:15">
      <c r="B94" s="43" t="s">
        <v>474</v>
      </c>
      <c r="C94" s="44" t="s">
        <v>547</v>
      </c>
      <c r="D94" s="45" t="s">
        <v>122</v>
      </c>
      <c r="E94" s="45" t="s">
        <v>123</v>
      </c>
      <c r="F94" s="45" t="s">
        <v>124</v>
      </c>
      <c r="G94" s="46">
        <v>31157.02</v>
      </c>
      <c r="H94" s="46">
        <v>0</v>
      </c>
      <c r="I94" s="45">
        <v>0</v>
      </c>
      <c r="J94" s="45">
        <v>0</v>
      </c>
      <c r="K94" s="45">
        <v>0</v>
      </c>
      <c r="L94" s="45">
        <v>6542.98</v>
      </c>
      <c r="M94" s="45">
        <v>0</v>
      </c>
      <c r="N94" s="46">
        <v>0</v>
      </c>
      <c r="O94" s="46">
        <v>37700</v>
      </c>
    </row>
    <row r="95" spans="2:15">
      <c r="B95" s="43" t="s">
        <v>474</v>
      </c>
      <c r="C95" s="44" t="s">
        <v>548</v>
      </c>
      <c r="D95" s="45" t="s">
        <v>122</v>
      </c>
      <c r="E95" s="45" t="s">
        <v>123</v>
      </c>
      <c r="F95" s="45" t="s">
        <v>124</v>
      </c>
      <c r="G95" s="46">
        <v>8223.14</v>
      </c>
      <c r="H95" s="46">
        <v>0</v>
      </c>
      <c r="I95" s="45">
        <v>0</v>
      </c>
      <c r="J95" s="45">
        <v>0</v>
      </c>
      <c r="K95" s="45">
        <v>0</v>
      </c>
      <c r="L95" s="45">
        <v>1726.86</v>
      </c>
      <c r="M95" s="45">
        <v>0</v>
      </c>
      <c r="N95" s="46">
        <v>0</v>
      </c>
      <c r="O95" s="46">
        <v>9950</v>
      </c>
    </row>
    <row r="96" spans="2:15">
      <c r="B96" s="43" t="s">
        <v>474</v>
      </c>
      <c r="C96" s="44" t="s">
        <v>549</v>
      </c>
      <c r="D96" s="45" t="s">
        <v>122</v>
      </c>
      <c r="E96" s="45" t="s">
        <v>123</v>
      </c>
      <c r="F96" s="45" t="s">
        <v>124</v>
      </c>
      <c r="G96" s="46">
        <v>15661.16</v>
      </c>
      <c r="H96" s="46">
        <v>0</v>
      </c>
      <c r="I96" s="45">
        <v>0</v>
      </c>
      <c r="J96" s="45">
        <v>0</v>
      </c>
      <c r="K96" s="45">
        <v>0</v>
      </c>
      <c r="L96" s="45">
        <v>3288.84</v>
      </c>
      <c r="M96" s="45">
        <v>0</v>
      </c>
      <c r="N96" s="46">
        <v>0</v>
      </c>
      <c r="O96" s="46">
        <v>18950</v>
      </c>
    </row>
    <row r="97" spans="2:15">
      <c r="B97" s="43" t="s">
        <v>474</v>
      </c>
      <c r="C97" s="44" t="s">
        <v>550</v>
      </c>
      <c r="D97" s="45" t="s">
        <v>122</v>
      </c>
      <c r="E97" s="45" t="s">
        <v>123</v>
      </c>
      <c r="F97" s="45" t="s">
        <v>124</v>
      </c>
      <c r="G97" s="46">
        <v>5950.41</v>
      </c>
      <c r="H97" s="46">
        <v>0</v>
      </c>
      <c r="I97" s="45">
        <v>0</v>
      </c>
      <c r="J97" s="45">
        <v>0</v>
      </c>
      <c r="K97" s="45">
        <v>0</v>
      </c>
      <c r="L97" s="45">
        <v>1249.5899999999999</v>
      </c>
      <c r="M97" s="45">
        <v>0</v>
      </c>
      <c r="N97" s="46">
        <v>0</v>
      </c>
      <c r="O97" s="46">
        <v>7200</v>
      </c>
    </row>
    <row r="98" spans="2:15">
      <c r="B98" s="43" t="s">
        <v>474</v>
      </c>
      <c r="C98" s="44" t="s">
        <v>551</v>
      </c>
      <c r="D98" s="45" t="s">
        <v>122</v>
      </c>
      <c r="E98" s="45" t="s">
        <v>123</v>
      </c>
      <c r="F98" s="45" t="s">
        <v>124</v>
      </c>
      <c r="G98" s="46">
        <v>2561.98</v>
      </c>
      <c r="H98" s="46">
        <v>0</v>
      </c>
      <c r="I98" s="45">
        <v>0</v>
      </c>
      <c r="J98" s="45">
        <v>0</v>
      </c>
      <c r="K98" s="45">
        <v>0</v>
      </c>
      <c r="L98" s="45">
        <v>538.02</v>
      </c>
      <c r="M98" s="45">
        <v>0</v>
      </c>
      <c r="N98" s="46">
        <v>0</v>
      </c>
      <c r="O98" s="46">
        <v>3100</v>
      </c>
    </row>
    <row r="99" spans="2:15">
      <c r="B99" s="43" t="s">
        <v>474</v>
      </c>
      <c r="C99" s="44" t="s">
        <v>552</v>
      </c>
      <c r="D99" s="45" t="s">
        <v>122</v>
      </c>
      <c r="E99" s="45" t="s">
        <v>123</v>
      </c>
      <c r="F99" s="45" t="s">
        <v>124</v>
      </c>
      <c r="G99" s="46">
        <v>5743.8</v>
      </c>
      <c r="H99" s="46">
        <v>0</v>
      </c>
      <c r="I99" s="45">
        <v>0</v>
      </c>
      <c r="J99" s="45">
        <v>0</v>
      </c>
      <c r="K99" s="45">
        <v>0</v>
      </c>
      <c r="L99" s="45">
        <v>1206.2</v>
      </c>
      <c r="M99" s="45">
        <v>0</v>
      </c>
      <c r="N99" s="46">
        <v>0</v>
      </c>
      <c r="O99" s="46">
        <v>6950</v>
      </c>
    </row>
    <row r="100" spans="2:15">
      <c r="B100" s="43" t="s">
        <v>474</v>
      </c>
      <c r="C100" s="44" t="s">
        <v>553</v>
      </c>
      <c r="D100" s="45" t="s">
        <v>122</v>
      </c>
      <c r="E100" s="45" t="s">
        <v>123</v>
      </c>
      <c r="F100" s="45" t="s">
        <v>124</v>
      </c>
      <c r="G100" s="46">
        <v>4876.03</v>
      </c>
      <c r="H100" s="46">
        <v>0</v>
      </c>
      <c r="I100" s="45">
        <v>0</v>
      </c>
      <c r="J100" s="45">
        <v>0</v>
      </c>
      <c r="K100" s="45">
        <v>0</v>
      </c>
      <c r="L100" s="45">
        <v>1023.97</v>
      </c>
      <c r="M100" s="45">
        <v>0</v>
      </c>
      <c r="N100" s="46">
        <v>0</v>
      </c>
      <c r="O100" s="46">
        <v>5900</v>
      </c>
    </row>
    <row r="101" spans="2:15">
      <c r="B101" s="43" t="s">
        <v>474</v>
      </c>
      <c r="C101" s="44" t="s">
        <v>554</v>
      </c>
      <c r="D101" s="45" t="s">
        <v>122</v>
      </c>
      <c r="E101" s="45" t="s">
        <v>123</v>
      </c>
      <c r="F101" s="45" t="s">
        <v>124</v>
      </c>
      <c r="G101" s="46">
        <v>2148.7600000000002</v>
      </c>
      <c r="H101" s="46">
        <v>0</v>
      </c>
      <c r="I101" s="45">
        <v>0</v>
      </c>
      <c r="J101" s="45">
        <v>0</v>
      </c>
      <c r="K101" s="45">
        <v>0</v>
      </c>
      <c r="L101" s="45">
        <v>451.24</v>
      </c>
      <c r="M101" s="45">
        <v>0</v>
      </c>
      <c r="N101" s="46">
        <v>0</v>
      </c>
      <c r="O101" s="46">
        <v>2600</v>
      </c>
    </row>
    <row r="102" spans="2:15">
      <c r="B102" s="43" t="s">
        <v>482</v>
      </c>
      <c r="C102" s="44" t="s">
        <v>555</v>
      </c>
      <c r="D102" s="45" t="s">
        <v>122</v>
      </c>
      <c r="E102" s="45" t="s">
        <v>123</v>
      </c>
      <c r="F102" s="45" t="s">
        <v>124</v>
      </c>
      <c r="G102" s="46">
        <v>2892.56</v>
      </c>
      <c r="H102" s="46">
        <v>0</v>
      </c>
      <c r="I102" s="45">
        <v>0</v>
      </c>
      <c r="J102" s="45">
        <v>0</v>
      </c>
      <c r="K102" s="45">
        <v>0</v>
      </c>
      <c r="L102" s="45">
        <v>607.44000000000005</v>
      </c>
      <c r="M102" s="45">
        <v>0</v>
      </c>
      <c r="N102" s="46">
        <v>0</v>
      </c>
      <c r="O102" s="46">
        <v>3500</v>
      </c>
    </row>
    <row r="103" spans="2:15">
      <c r="B103" s="43" t="s">
        <v>482</v>
      </c>
      <c r="C103" s="44" t="s">
        <v>556</v>
      </c>
      <c r="D103" s="45" t="s">
        <v>122</v>
      </c>
      <c r="E103" s="45" t="s">
        <v>123</v>
      </c>
      <c r="F103" s="45" t="s">
        <v>124</v>
      </c>
      <c r="G103" s="46">
        <v>2148.7600000000002</v>
      </c>
      <c r="H103" s="46">
        <v>0</v>
      </c>
      <c r="I103" s="45">
        <v>0</v>
      </c>
      <c r="J103" s="45">
        <v>0</v>
      </c>
      <c r="K103" s="45">
        <v>0</v>
      </c>
      <c r="L103" s="45">
        <v>451.24</v>
      </c>
      <c r="M103" s="45">
        <v>0</v>
      </c>
      <c r="N103" s="46">
        <v>0</v>
      </c>
      <c r="O103" s="46">
        <v>2600</v>
      </c>
    </row>
    <row r="104" spans="2:15">
      <c r="B104" s="43" t="s">
        <v>482</v>
      </c>
      <c r="C104" s="44" t="s">
        <v>557</v>
      </c>
      <c r="D104" s="45" t="s">
        <v>122</v>
      </c>
      <c r="E104" s="45" t="s">
        <v>123</v>
      </c>
      <c r="F104" s="45" t="s">
        <v>124</v>
      </c>
      <c r="G104" s="46">
        <v>4876.03</v>
      </c>
      <c r="H104" s="46">
        <v>0</v>
      </c>
      <c r="I104" s="45">
        <v>0</v>
      </c>
      <c r="J104" s="45">
        <v>0</v>
      </c>
      <c r="K104" s="45">
        <v>0</v>
      </c>
      <c r="L104" s="45">
        <v>1023.97</v>
      </c>
      <c r="M104" s="45">
        <v>0</v>
      </c>
      <c r="N104" s="46">
        <v>0</v>
      </c>
      <c r="O104" s="46">
        <v>5900</v>
      </c>
    </row>
    <row r="105" spans="2:15">
      <c r="B105" s="43" t="s">
        <v>482</v>
      </c>
      <c r="C105" s="44" t="s">
        <v>558</v>
      </c>
      <c r="D105" s="45" t="s">
        <v>122</v>
      </c>
      <c r="E105" s="45" t="s">
        <v>123</v>
      </c>
      <c r="F105" s="45" t="s">
        <v>124</v>
      </c>
      <c r="G105" s="46">
        <v>2809.92</v>
      </c>
      <c r="H105" s="46">
        <v>0</v>
      </c>
      <c r="I105" s="45">
        <v>0</v>
      </c>
      <c r="J105" s="45">
        <v>0</v>
      </c>
      <c r="K105" s="45">
        <v>0</v>
      </c>
      <c r="L105" s="45">
        <v>590.08000000000004</v>
      </c>
      <c r="M105" s="45">
        <v>0</v>
      </c>
      <c r="N105" s="46">
        <v>0</v>
      </c>
      <c r="O105" s="46">
        <v>3400</v>
      </c>
    </row>
    <row r="106" spans="2:15">
      <c r="B106" s="43" t="s">
        <v>482</v>
      </c>
      <c r="C106" s="44" t="s">
        <v>559</v>
      </c>
      <c r="D106" s="45" t="s">
        <v>122</v>
      </c>
      <c r="E106" s="45" t="s">
        <v>123</v>
      </c>
      <c r="F106" s="45" t="s">
        <v>124</v>
      </c>
      <c r="G106" s="46">
        <v>38016.53</v>
      </c>
      <c r="H106" s="46">
        <v>0</v>
      </c>
      <c r="I106" s="45">
        <v>0</v>
      </c>
      <c r="J106" s="45">
        <v>0</v>
      </c>
      <c r="K106" s="45">
        <v>0</v>
      </c>
      <c r="L106" s="45">
        <v>7983.47</v>
      </c>
      <c r="M106" s="45">
        <v>0</v>
      </c>
      <c r="N106" s="46">
        <v>0</v>
      </c>
      <c r="O106" s="46">
        <v>46000</v>
      </c>
    </row>
    <row r="107" spans="2:15">
      <c r="B107" s="43" t="s">
        <v>482</v>
      </c>
      <c r="C107" s="44" t="s">
        <v>560</v>
      </c>
      <c r="D107" s="45" t="s">
        <v>122</v>
      </c>
      <c r="E107" s="45" t="s">
        <v>123</v>
      </c>
      <c r="F107" s="45" t="s">
        <v>124</v>
      </c>
      <c r="G107" s="46">
        <v>3223.14</v>
      </c>
      <c r="H107" s="46">
        <v>0</v>
      </c>
      <c r="I107" s="45">
        <v>0</v>
      </c>
      <c r="J107" s="45">
        <v>0</v>
      </c>
      <c r="K107" s="45">
        <v>0</v>
      </c>
      <c r="L107" s="45">
        <v>676.86</v>
      </c>
      <c r="M107" s="45">
        <v>0</v>
      </c>
      <c r="N107" s="46">
        <v>0</v>
      </c>
      <c r="O107" s="46">
        <v>3900</v>
      </c>
    </row>
    <row r="108" spans="2:15">
      <c r="B108" s="43" t="s">
        <v>451</v>
      </c>
      <c r="C108" s="44" t="s">
        <v>561</v>
      </c>
      <c r="D108" s="45" t="s">
        <v>122</v>
      </c>
      <c r="E108" s="45" t="s">
        <v>123</v>
      </c>
      <c r="F108" s="45" t="s">
        <v>124</v>
      </c>
      <c r="G108" s="46">
        <v>9338.84</v>
      </c>
      <c r="H108" s="46">
        <v>0</v>
      </c>
      <c r="I108" s="45">
        <v>0</v>
      </c>
      <c r="J108" s="45">
        <v>0</v>
      </c>
      <c r="K108" s="45">
        <v>0</v>
      </c>
      <c r="L108" s="45">
        <v>1961.16</v>
      </c>
      <c r="M108" s="45">
        <v>0</v>
      </c>
      <c r="N108" s="46">
        <v>0</v>
      </c>
      <c r="O108" s="46">
        <v>11300</v>
      </c>
    </row>
    <row r="109" spans="2:15">
      <c r="B109" s="43" t="s">
        <v>451</v>
      </c>
      <c r="C109" s="44" t="s">
        <v>562</v>
      </c>
      <c r="D109" s="45" t="s">
        <v>122</v>
      </c>
      <c r="E109" s="45" t="s">
        <v>123</v>
      </c>
      <c r="F109" s="45" t="s">
        <v>124</v>
      </c>
      <c r="G109" s="46">
        <v>7768.6</v>
      </c>
      <c r="H109" s="46">
        <v>0</v>
      </c>
      <c r="I109" s="45">
        <v>0</v>
      </c>
      <c r="J109" s="45">
        <v>0</v>
      </c>
      <c r="K109" s="45">
        <v>0</v>
      </c>
      <c r="L109" s="45">
        <v>1631.4</v>
      </c>
      <c r="M109" s="45">
        <v>0</v>
      </c>
      <c r="N109" s="46">
        <v>0</v>
      </c>
      <c r="O109" s="46">
        <v>9400</v>
      </c>
    </row>
    <row r="110" spans="2:15">
      <c r="B110" s="43" t="s">
        <v>451</v>
      </c>
      <c r="C110" s="44" t="s">
        <v>563</v>
      </c>
      <c r="D110" s="45" t="s">
        <v>122</v>
      </c>
      <c r="E110" s="45" t="s">
        <v>123</v>
      </c>
      <c r="F110" s="45" t="s">
        <v>124</v>
      </c>
      <c r="G110" s="46">
        <v>19256.2</v>
      </c>
      <c r="H110" s="46">
        <v>0</v>
      </c>
      <c r="I110" s="45">
        <v>0</v>
      </c>
      <c r="J110" s="45">
        <v>0</v>
      </c>
      <c r="K110" s="45">
        <v>0</v>
      </c>
      <c r="L110" s="45">
        <v>4043.8</v>
      </c>
      <c r="M110" s="45">
        <v>0</v>
      </c>
      <c r="N110" s="46">
        <v>0</v>
      </c>
      <c r="O110" s="46">
        <v>23300</v>
      </c>
    </row>
    <row r="111" spans="2:15">
      <c r="B111" s="43" t="s">
        <v>451</v>
      </c>
      <c r="C111" s="44" t="s">
        <v>564</v>
      </c>
      <c r="D111" s="45" t="s">
        <v>122</v>
      </c>
      <c r="E111" s="45" t="s">
        <v>123</v>
      </c>
      <c r="F111" s="45" t="s">
        <v>124</v>
      </c>
      <c r="G111" s="46">
        <v>5785.12</v>
      </c>
      <c r="H111" s="46">
        <v>0</v>
      </c>
      <c r="I111" s="45">
        <v>0</v>
      </c>
      <c r="J111" s="45">
        <v>0</v>
      </c>
      <c r="K111" s="45">
        <v>0</v>
      </c>
      <c r="L111" s="45">
        <v>1214.8800000000001</v>
      </c>
      <c r="M111" s="45">
        <v>0</v>
      </c>
      <c r="N111" s="46">
        <v>0</v>
      </c>
      <c r="O111" s="46">
        <v>7000</v>
      </c>
    </row>
    <row r="112" spans="2:15">
      <c r="B112" s="43" t="s">
        <v>451</v>
      </c>
      <c r="C112" s="44" t="s">
        <v>565</v>
      </c>
      <c r="D112" s="45" t="s">
        <v>122</v>
      </c>
      <c r="E112" s="45" t="s">
        <v>123</v>
      </c>
      <c r="F112" s="45" t="s">
        <v>124</v>
      </c>
      <c r="G112" s="46">
        <v>7768.6</v>
      </c>
      <c r="H112" s="46">
        <v>0</v>
      </c>
      <c r="I112" s="45">
        <v>0</v>
      </c>
      <c r="J112" s="45">
        <v>0</v>
      </c>
      <c r="K112" s="45">
        <v>0</v>
      </c>
      <c r="L112" s="45">
        <v>1631.4</v>
      </c>
      <c r="M112" s="45">
        <v>0</v>
      </c>
      <c r="N112" s="46">
        <v>0</v>
      </c>
      <c r="O112" s="46">
        <v>9400</v>
      </c>
    </row>
    <row r="113" spans="2:15">
      <c r="B113" s="43" t="s">
        <v>451</v>
      </c>
      <c r="C113" s="44" t="s">
        <v>566</v>
      </c>
      <c r="D113" s="45" t="s">
        <v>122</v>
      </c>
      <c r="E113" s="45" t="s">
        <v>123</v>
      </c>
      <c r="F113" s="45" t="s">
        <v>124</v>
      </c>
      <c r="G113" s="46">
        <v>8223.14</v>
      </c>
      <c r="H113" s="46">
        <v>0</v>
      </c>
      <c r="I113" s="45">
        <v>0</v>
      </c>
      <c r="J113" s="45">
        <v>0</v>
      </c>
      <c r="K113" s="45">
        <v>0</v>
      </c>
      <c r="L113" s="45">
        <v>1726.86</v>
      </c>
      <c r="M113" s="45">
        <v>0</v>
      </c>
      <c r="N113" s="46">
        <v>0</v>
      </c>
      <c r="O113" s="46">
        <v>9950</v>
      </c>
    </row>
    <row r="114" spans="2:15">
      <c r="B114" s="43" t="s">
        <v>451</v>
      </c>
      <c r="C114" s="44" t="s">
        <v>567</v>
      </c>
      <c r="D114" s="45" t="s">
        <v>122</v>
      </c>
      <c r="E114" s="45" t="s">
        <v>123</v>
      </c>
      <c r="F114" s="45" t="s">
        <v>124</v>
      </c>
      <c r="G114" s="46">
        <v>3305.79</v>
      </c>
      <c r="H114" s="46">
        <v>0</v>
      </c>
      <c r="I114" s="45">
        <v>0</v>
      </c>
      <c r="J114" s="45">
        <v>0</v>
      </c>
      <c r="K114" s="45">
        <v>0</v>
      </c>
      <c r="L114" s="45">
        <v>694.21</v>
      </c>
      <c r="M114" s="45">
        <v>0</v>
      </c>
      <c r="N114" s="46">
        <v>0</v>
      </c>
      <c r="O114" s="46">
        <v>4000</v>
      </c>
    </row>
    <row r="115" spans="2:15">
      <c r="B115" s="43" t="s">
        <v>451</v>
      </c>
      <c r="C115" s="44" t="s">
        <v>568</v>
      </c>
      <c r="D115" s="45" t="s">
        <v>122</v>
      </c>
      <c r="E115" s="45" t="s">
        <v>123</v>
      </c>
      <c r="F115" s="45" t="s">
        <v>124</v>
      </c>
      <c r="G115" s="46">
        <v>3305.79</v>
      </c>
      <c r="H115" s="46">
        <v>0</v>
      </c>
      <c r="I115" s="45">
        <v>0</v>
      </c>
      <c r="J115" s="45">
        <v>0</v>
      </c>
      <c r="K115" s="45">
        <v>0</v>
      </c>
      <c r="L115" s="45">
        <v>694.21</v>
      </c>
      <c r="M115" s="45">
        <v>0</v>
      </c>
      <c r="N115" s="46">
        <v>0</v>
      </c>
      <c r="O115" s="46">
        <v>4000</v>
      </c>
    </row>
    <row r="116" spans="2:15">
      <c r="B116" s="43" t="s">
        <v>451</v>
      </c>
      <c r="C116" s="44" t="s">
        <v>569</v>
      </c>
      <c r="D116" s="45" t="s">
        <v>122</v>
      </c>
      <c r="E116" s="45" t="s">
        <v>123</v>
      </c>
      <c r="F116" s="45" t="s">
        <v>124</v>
      </c>
      <c r="G116" s="46">
        <v>2066.12</v>
      </c>
      <c r="H116" s="46">
        <v>0</v>
      </c>
      <c r="I116" s="45">
        <v>0</v>
      </c>
      <c r="J116" s="45">
        <v>0</v>
      </c>
      <c r="K116" s="45">
        <v>0</v>
      </c>
      <c r="L116" s="45">
        <v>433.88</v>
      </c>
      <c r="M116" s="45">
        <v>0</v>
      </c>
      <c r="N116" s="46">
        <v>0</v>
      </c>
      <c r="O116" s="46">
        <v>2500</v>
      </c>
    </row>
    <row r="117" spans="2:15">
      <c r="B117" s="43" t="s">
        <v>570</v>
      </c>
      <c r="C117" s="44" t="s">
        <v>571</v>
      </c>
      <c r="D117" s="45" t="s">
        <v>122</v>
      </c>
      <c r="E117" s="45" t="s">
        <v>123</v>
      </c>
      <c r="F117" s="45" t="s">
        <v>124</v>
      </c>
      <c r="G117" s="46">
        <v>2975.21</v>
      </c>
      <c r="H117" s="46">
        <v>0</v>
      </c>
      <c r="I117" s="45">
        <v>0</v>
      </c>
      <c r="J117" s="45">
        <v>0</v>
      </c>
      <c r="K117" s="45">
        <v>0</v>
      </c>
      <c r="L117" s="45">
        <v>624.79</v>
      </c>
      <c r="M117" s="45">
        <v>0</v>
      </c>
      <c r="N117" s="46">
        <v>0</v>
      </c>
      <c r="O117" s="46">
        <v>3600</v>
      </c>
    </row>
    <row r="118" spans="2:15">
      <c r="B118" s="43" t="s">
        <v>570</v>
      </c>
      <c r="C118" s="44" t="s">
        <v>572</v>
      </c>
      <c r="D118" s="45" t="s">
        <v>122</v>
      </c>
      <c r="E118" s="45" t="s">
        <v>123</v>
      </c>
      <c r="F118" s="45" t="s">
        <v>124</v>
      </c>
      <c r="G118" s="46">
        <v>2148.7600000000002</v>
      </c>
      <c r="H118" s="46">
        <v>0</v>
      </c>
      <c r="I118" s="45">
        <v>0</v>
      </c>
      <c r="J118" s="45">
        <v>0</v>
      </c>
      <c r="K118" s="45">
        <v>0</v>
      </c>
      <c r="L118" s="45">
        <v>451.24</v>
      </c>
      <c r="M118" s="45">
        <v>0</v>
      </c>
      <c r="N118" s="46">
        <v>0</v>
      </c>
      <c r="O118" s="46">
        <v>2600</v>
      </c>
    </row>
    <row r="119" spans="2:15">
      <c r="B119" s="43" t="s">
        <v>570</v>
      </c>
      <c r="C119" s="44" t="s">
        <v>573</v>
      </c>
      <c r="D119" s="45" t="s">
        <v>122</v>
      </c>
      <c r="E119" s="45" t="s">
        <v>123</v>
      </c>
      <c r="F119" s="45" t="s">
        <v>124</v>
      </c>
      <c r="G119" s="46">
        <v>4214.88</v>
      </c>
      <c r="H119" s="46">
        <v>0</v>
      </c>
      <c r="I119" s="45">
        <v>0</v>
      </c>
      <c r="J119" s="45">
        <v>0</v>
      </c>
      <c r="K119" s="45">
        <v>0</v>
      </c>
      <c r="L119" s="45">
        <v>885.12</v>
      </c>
      <c r="M119" s="45">
        <v>0</v>
      </c>
      <c r="N119" s="46">
        <v>0</v>
      </c>
      <c r="O119" s="46">
        <v>5100</v>
      </c>
    </row>
    <row r="120" spans="2:15">
      <c r="B120" s="43" t="s">
        <v>570</v>
      </c>
      <c r="C120" s="44" t="s">
        <v>574</v>
      </c>
      <c r="D120" s="45" t="s">
        <v>122</v>
      </c>
      <c r="E120" s="45" t="s">
        <v>123</v>
      </c>
      <c r="F120" s="45" t="s">
        <v>124</v>
      </c>
      <c r="G120" s="46">
        <v>2479.34</v>
      </c>
      <c r="H120" s="46">
        <v>0</v>
      </c>
      <c r="I120" s="45">
        <v>0</v>
      </c>
      <c r="J120" s="45">
        <v>0</v>
      </c>
      <c r="K120" s="45">
        <v>0</v>
      </c>
      <c r="L120" s="45">
        <v>520.66</v>
      </c>
      <c r="M120" s="45">
        <v>0</v>
      </c>
      <c r="N120" s="46">
        <v>0</v>
      </c>
      <c r="O120" s="46">
        <v>3000</v>
      </c>
    </row>
    <row r="121" spans="2:15">
      <c r="B121" s="43" t="s">
        <v>570</v>
      </c>
      <c r="C121" s="44" t="s">
        <v>575</v>
      </c>
      <c r="D121" s="45" t="s">
        <v>122</v>
      </c>
      <c r="E121" s="45" t="s">
        <v>123</v>
      </c>
      <c r="F121" s="45" t="s">
        <v>124</v>
      </c>
      <c r="G121" s="46">
        <v>10206.61</v>
      </c>
      <c r="H121" s="46">
        <v>0</v>
      </c>
      <c r="I121" s="45">
        <v>0</v>
      </c>
      <c r="J121" s="45">
        <v>0</v>
      </c>
      <c r="K121" s="45">
        <v>0</v>
      </c>
      <c r="L121" s="45">
        <v>2143.39</v>
      </c>
      <c r="M121" s="45">
        <v>0</v>
      </c>
      <c r="N121" s="46">
        <v>0</v>
      </c>
      <c r="O121" s="46">
        <v>12350</v>
      </c>
    </row>
    <row r="122" spans="2:15">
      <c r="B122" s="43" t="s">
        <v>570</v>
      </c>
      <c r="C122" s="44" t="s">
        <v>576</v>
      </c>
      <c r="D122" s="45" t="s">
        <v>122</v>
      </c>
      <c r="E122" s="45" t="s">
        <v>123</v>
      </c>
      <c r="F122" s="45" t="s">
        <v>124</v>
      </c>
      <c r="G122" s="46">
        <v>5867.77</v>
      </c>
      <c r="H122" s="46">
        <v>0</v>
      </c>
      <c r="I122" s="45">
        <v>0</v>
      </c>
      <c r="J122" s="45">
        <v>0</v>
      </c>
      <c r="K122" s="45">
        <v>0</v>
      </c>
      <c r="L122" s="45">
        <v>1232.23</v>
      </c>
      <c r="M122" s="45">
        <v>0</v>
      </c>
      <c r="N122" s="46">
        <v>0</v>
      </c>
      <c r="O122" s="46">
        <v>7100</v>
      </c>
    </row>
    <row r="123" spans="2:15">
      <c r="B123" s="43" t="s">
        <v>570</v>
      </c>
      <c r="C123" s="44" t="s">
        <v>577</v>
      </c>
      <c r="D123" s="45" t="s">
        <v>122</v>
      </c>
      <c r="E123" s="45" t="s">
        <v>123</v>
      </c>
      <c r="F123" s="45" t="s">
        <v>124</v>
      </c>
      <c r="G123" s="46">
        <v>5330.58</v>
      </c>
      <c r="H123" s="46">
        <v>0</v>
      </c>
      <c r="I123" s="45">
        <v>0</v>
      </c>
      <c r="J123" s="45">
        <v>0</v>
      </c>
      <c r="K123" s="45">
        <v>0</v>
      </c>
      <c r="L123" s="45">
        <v>1119.42</v>
      </c>
      <c r="M123" s="45">
        <v>0</v>
      </c>
      <c r="N123" s="46">
        <v>0</v>
      </c>
      <c r="O123" s="46">
        <v>6450</v>
      </c>
    </row>
    <row r="124" spans="2:15">
      <c r="B124" s="43" t="s">
        <v>570</v>
      </c>
      <c r="C124" s="44" t="s">
        <v>578</v>
      </c>
      <c r="D124" s="45" t="s">
        <v>122</v>
      </c>
      <c r="E124" s="45" t="s">
        <v>123</v>
      </c>
      <c r="F124" s="45" t="s">
        <v>124</v>
      </c>
      <c r="G124" s="46">
        <v>4462.8100000000004</v>
      </c>
      <c r="H124" s="46">
        <v>0</v>
      </c>
      <c r="I124" s="45">
        <v>0</v>
      </c>
      <c r="J124" s="45">
        <v>0</v>
      </c>
      <c r="K124" s="45">
        <v>0</v>
      </c>
      <c r="L124" s="45">
        <v>937.19</v>
      </c>
      <c r="M124" s="45">
        <v>0</v>
      </c>
      <c r="N124" s="46">
        <v>0</v>
      </c>
      <c r="O124" s="46">
        <v>5400</v>
      </c>
    </row>
    <row r="125" spans="2:15">
      <c r="B125" s="43" t="s">
        <v>454</v>
      </c>
      <c r="C125" s="44" t="s">
        <v>579</v>
      </c>
      <c r="D125" s="45" t="s">
        <v>122</v>
      </c>
      <c r="E125" s="45" t="s">
        <v>123</v>
      </c>
      <c r="F125" s="45" t="s">
        <v>124</v>
      </c>
      <c r="G125" s="46">
        <v>4214.88</v>
      </c>
      <c r="H125" s="46">
        <v>0</v>
      </c>
      <c r="I125" s="45">
        <v>0</v>
      </c>
      <c r="J125" s="45">
        <v>0</v>
      </c>
      <c r="K125" s="45">
        <v>0</v>
      </c>
      <c r="L125" s="45">
        <v>885.12</v>
      </c>
      <c r="M125" s="45">
        <v>0</v>
      </c>
      <c r="N125" s="46">
        <v>0</v>
      </c>
      <c r="O125" s="46">
        <v>5100</v>
      </c>
    </row>
    <row r="126" spans="2:15">
      <c r="B126" s="43" t="s">
        <v>454</v>
      </c>
      <c r="C126" s="44" t="s">
        <v>580</v>
      </c>
      <c r="D126" s="45" t="s">
        <v>122</v>
      </c>
      <c r="E126" s="45" t="s">
        <v>123</v>
      </c>
      <c r="F126" s="45" t="s">
        <v>124</v>
      </c>
      <c r="G126" s="46">
        <v>4545.45</v>
      </c>
      <c r="H126" s="46">
        <v>0</v>
      </c>
      <c r="I126" s="45">
        <v>0</v>
      </c>
      <c r="J126" s="45">
        <v>0</v>
      </c>
      <c r="K126" s="45">
        <v>0</v>
      </c>
      <c r="L126" s="45">
        <v>954.55</v>
      </c>
      <c r="M126" s="45">
        <v>0</v>
      </c>
      <c r="N126" s="46">
        <v>0</v>
      </c>
      <c r="O126" s="46">
        <v>5500</v>
      </c>
    </row>
    <row r="127" spans="2:15">
      <c r="B127" s="43" t="s">
        <v>454</v>
      </c>
      <c r="C127" s="44" t="s">
        <v>581</v>
      </c>
      <c r="D127" s="45" t="s">
        <v>122</v>
      </c>
      <c r="E127" s="45" t="s">
        <v>123</v>
      </c>
      <c r="F127" s="45" t="s">
        <v>124</v>
      </c>
      <c r="G127" s="46">
        <v>3305.79</v>
      </c>
      <c r="H127" s="46">
        <v>0</v>
      </c>
      <c r="I127" s="45">
        <v>0</v>
      </c>
      <c r="J127" s="45">
        <v>0</v>
      </c>
      <c r="K127" s="45">
        <v>0</v>
      </c>
      <c r="L127" s="45">
        <v>694.21</v>
      </c>
      <c r="M127" s="45">
        <v>0</v>
      </c>
      <c r="N127" s="46">
        <v>0</v>
      </c>
      <c r="O127" s="46">
        <v>4000</v>
      </c>
    </row>
    <row r="128" spans="2:15">
      <c r="B128" s="43" t="s">
        <v>454</v>
      </c>
      <c r="C128" s="44" t="s">
        <v>582</v>
      </c>
      <c r="D128" s="45" t="s">
        <v>122</v>
      </c>
      <c r="E128" s="45" t="s">
        <v>123</v>
      </c>
      <c r="F128" s="45" t="s">
        <v>124</v>
      </c>
      <c r="G128" s="46">
        <v>4958.68</v>
      </c>
      <c r="H128" s="46">
        <v>0</v>
      </c>
      <c r="I128" s="45">
        <v>0</v>
      </c>
      <c r="J128" s="45">
        <v>0</v>
      </c>
      <c r="K128" s="45">
        <v>0</v>
      </c>
      <c r="L128" s="45">
        <v>1041.32</v>
      </c>
      <c r="M128" s="45">
        <v>0</v>
      </c>
      <c r="N128" s="46">
        <v>0</v>
      </c>
      <c r="O128" s="46">
        <v>6000</v>
      </c>
    </row>
    <row r="129" spans="2:15">
      <c r="B129" s="43" t="s">
        <v>454</v>
      </c>
      <c r="C129" s="44" t="s">
        <v>583</v>
      </c>
      <c r="D129" s="45" t="s">
        <v>122</v>
      </c>
      <c r="E129" s="45" t="s">
        <v>123</v>
      </c>
      <c r="F129" s="45" t="s">
        <v>124</v>
      </c>
      <c r="G129" s="46">
        <v>10661.16</v>
      </c>
      <c r="H129" s="46">
        <v>0</v>
      </c>
      <c r="I129" s="45">
        <v>0</v>
      </c>
      <c r="J129" s="45">
        <v>0</v>
      </c>
      <c r="K129" s="45">
        <v>0</v>
      </c>
      <c r="L129" s="45">
        <v>2238.84</v>
      </c>
      <c r="M129" s="45">
        <v>0</v>
      </c>
      <c r="N129" s="46">
        <v>0</v>
      </c>
      <c r="O129" s="46">
        <v>12900</v>
      </c>
    </row>
    <row r="130" spans="2:15">
      <c r="B130" s="43" t="s">
        <v>454</v>
      </c>
      <c r="C130" s="44" t="s">
        <v>584</v>
      </c>
      <c r="D130" s="45" t="s">
        <v>122</v>
      </c>
      <c r="E130" s="45" t="s">
        <v>123</v>
      </c>
      <c r="F130" s="45" t="s">
        <v>124</v>
      </c>
      <c r="G130" s="46">
        <v>4132.2300000000005</v>
      </c>
      <c r="H130" s="46">
        <v>0</v>
      </c>
      <c r="I130" s="45">
        <v>0</v>
      </c>
      <c r="J130" s="45">
        <v>0</v>
      </c>
      <c r="K130" s="45">
        <v>0</v>
      </c>
      <c r="L130" s="45">
        <v>867.77</v>
      </c>
      <c r="M130" s="45">
        <v>0</v>
      </c>
      <c r="N130" s="46">
        <v>0</v>
      </c>
      <c r="O130" s="46">
        <v>5000</v>
      </c>
    </row>
    <row r="131" spans="2:15">
      <c r="B131" s="43" t="s">
        <v>454</v>
      </c>
      <c r="C131" s="44" t="s">
        <v>585</v>
      </c>
      <c r="D131" s="45" t="s">
        <v>122</v>
      </c>
      <c r="E131" s="45" t="s">
        <v>123</v>
      </c>
      <c r="F131" s="45" t="s">
        <v>124</v>
      </c>
      <c r="G131" s="46">
        <v>28264.46</v>
      </c>
      <c r="H131" s="46">
        <v>0</v>
      </c>
      <c r="I131" s="45">
        <v>0</v>
      </c>
      <c r="J131" s="45">
        <v>0</v>
      </c>
      <c r="K131" s="45">
        <v>0</v>
      </c>
      <c r="L131" s="45">
        <v>5935.54</v>
      </c>
      <c r="M131" s="45">
        <v>0</v>
      </c>
      <c r="N131" s="46">
        <v>0</v>
      </c>
      <c r="O131" s="46">
        <v>34200</v>
      </c>
    </row>
    <row r="132" spans="2:15">
      <c r="B132" s="43" t="s">
        <v>454</v>
      </c>
      <c r="C132" s="44" t="s">
        <v>586</v>
      </c>
      <c r="D132" s="45" t="s">
        <v>122</v>
      </c>
      <c r="E132" s="45" t="s">
        <v>123</v>
      </c>
      <c r="F132" s="45" t="s">
        <v>124</v>
      </c>
      <c r="G132" s="46">
        <v>7768.6</v>
      </c>
      <c r="H132" s="46">
        <v>0</v>
      </c>
      <c r="I132" s="45">
        <v>0</v>
      </c>
      <c r="J132" s="45">
        <v>0</v>
      </c>
      <c r="K132" s="45">
        <v>0</v>
      </c>
      <c r="L132" s="45">
        <v>1631.4</v>
      </c>
      <c r="M132" s="45">
        <v>0</v>
      </c>
      <c r="N132" s="46">
        <v>0</v>
      </c>
      <c r="O132" s="46">
        <v>9400</v>
      </c>
    </row>
    <row r="133" spans="2:15">
      <c r="B133" s="43" t="s">
        <v>454</v>
      </c>
      <c r="C133" s="44" t="s">
        <v>587</v>
      </c>
      <c r="D133" s="45" t="s">
        <v>122</v>
      </c>
      <c r="E133" s="45" t="s">
        <v>123</v>
      </c>
      <c r="F133" s="45" t="s">
        <v>124</v>
      </c>
      <c r="G133" s="46">
        <v>6404.96</v>
      </c>
      <c r="H133" s="46">
        <v>0</v>
      </c>
      <c r="I133" s="45">
        <v>0</v>
      </c>
      <c r="J133" s="45">
        <v>0</v>
      </c>
      <c r="K133" s="45">
        <v>0</v>
      </c>
      <c r="L133" s="45">
        <v>1345.04</v>
      </c>
      <c r="M133" s="45">
        <v>0</v>
      </c>
      <c r="N133" s="46">
        <v>0</v>
      </c>
      <c r="O133" s="46">
        <v>7750</v>
      </c>
    </row>
    <row r="134" spans="2:15">
      <c r="B134" s="43" t="s">
        <v>496</v>
      </c>
      <c r="C134" s="44" t="s">
        <v>588</v>
      </c>
      <c r="D134" s="45" t="s">
        <v>122</v>
      </c>
      <c r="E134" s="45" t="s">
        <v>123</v>
      </c>
      <c r="F134" s="45" t="s">
        <v>124</v>
      </c>
      <c r="G134" s="46">
        <v>9090.91</v>
      </c>
      <c r="H134" s="46">
        <v>0</v>
      </c>
      <c r="I134" s="45">
        <v>0</v>
      </c>
      <c r="J134" s="45">
        <v>0</v>
      </c>
      <c r="K134" s="45">
        <v>0</v>
      </c>
      <c r="L134" s="45">
        <v>1909.09</v>
      </c>
      <c r="M134" s="45">
        <v>0</v>
      </c>
      <c r="N134" s="46">
        <v>0</v>
      </c>
      <c r="O134" s="46">
        <v>11000</v>
      </c>
    </row>
    <row r="135" spans="2:15">
      <c r="B135" s="43" t="s">
        <v>496</v>
      </c>
      <c r="C135" s="44" t="s">
        <v>589</v>
      </c>
      <c r="D135" s="45" t="s">
        <v>122</v>
      </c>
      <c r="E135" s="45" t="s">
        <v>123</v>
      </c>
      <c r="F135" s="45" t="s">
        <v>124</v>
      </c>
      <c r="G135" s="46">
        <v>21239.67</v>
      </c>
      <c r="H135" s="46">
        <v>0</v>
      </c>
      <c r="I135" s="45">
        <v>0</v>
      </c>
      <c r="J135" s="45">
        <v>0</v>
      </c>
      <c r="K135" s="45">
        <v>0</v>
      </c>
      <c r="L135" s="45">
        <v>4460.33</v>
      </c>
      <c r="M135" s="45">
        <v>0</v>
      </c>
      <c r="N135" s="46">
        <v>0</v>
      </c>
      <c r="O135" s="46">
        <v>25700</v>
      </c>
    </row>
    <row r="136" spans="2:15">
      <c r="B136" s="43" t="s">
        <v>496</v>
      </c>
      <c r="C136" s="44" t="s">
        <v>590</v>
      </c>
      <c r="D136" s="45" t="s">
        <v>122</v>
      </c>
      <c r="E136" s="45" t="s">
        <v>123</v>
      </c>
      <c r="F136" s="45" t="s">
        <v>124</v>
      </c>
      <c r="G136" s="46">
        <v>1942.15</v>
      </c>
      <c r="H136" s="46">
        <v>0</v>
      </c>
      <c r="I136" s="45">
        <v>0</v>
      </c>
      <c r="J136" s="45">
        <v>0</v>
      </c>
      <c r="K136" s="45">
        <v>0</v>
      </c>
      <c r="L136" s="45">
        <v>407.85</v>
      </c>
      <c r="M136" s="45">
        <v>0</v>
      </c>
      <c r="N136" s="46">
        <v>0</v>
      </c>
      <c r="O136" s="46">
        <v>2350</v>
      </c>
    </row>
    <row r="137" spans="2:15">
      <c r="B137" s="43" t="s">
        <v>496</v>
      </c>
      <c r="C137" s="44" t="s">
        <v>591</v>
      </c>
      <c r="D137" s="45" t="s">
        <v>122</v>
      </c>
      <c r="E137" s="45" t="s">
        <v>123</v>
      </c>
      <c r="F137" s="45" t="s">
        <v>124</v>
      </c>
      <c r="G137" s="46">
        <v>9090.91</v>
      </c>
      <c r="H137" s="46">
        <v>0</v>
      </c>
      <c r="I137" s="45">
        <v>0</v>
      </c>
      <c r="J137" s="45">
        <v>0</v>
      </c>
      <c r="K137" s="45">
        <v>0</v>
      </c>
      <c r="L137" s="45">
        <v>1909.09</v>
      </c>
      <c r="M137" s="45">
        <v>0</v>
      </c>
      <c r="N137" s="46">
        <v>0</v>
      </c>
      <c r="O137" s="46">
        <v>11000</v>
      </c>
    </row>
    <row r="138" spans="2:15">
      <c r="B138" s="43" t="s">
        <v>496</v>
      </c>
      <c r="C138" s="44" t="s">
        <v>592</v>
      </c>
      <c r="D138" s="45" t="s">
        <v>122</v>
      </c>
      <c r="E138" s="45" t="s">
        <v>123</v>
      </c>
      <c r="F138" s="45" t="s">
        <v>124</v>
      </c>
      <c r="G138" s="46">
        <v>10495.87</v>
      </c>
      <c r="H138" s="46">
        <v>0</v>
      </c>
      <c r="I138" s="45">
        <v>0</v>
      </c>
      <c r="J138" s="45">
        <v>0</v>
      </c>
      <c r="K138" s="45">
        <v>0</v>
      </c>
      <c r="L138" s="45">
        <v>2204.13</v>
      </c>
      <c r="M138" s="45">
        <v>0</v>
      </c>
      <c r="N138" s="46">
        <v>0</v>
      </c>
      <c r="O138" s="46">
        <v>12700</v>
      </c>
    </row>
    <row r="139" spans="2:15">
      <c r="B139" s="43" t="s">
        <v>496</v>
      </c>
      <c r="C139" s="44" t="s">
        <v>593</v>
      </c>
      <c r="D139" s="45" t="s">
        <v>122</v>
      </c>
      <c r="E139" s="45" t="s">
        <v>123</v>
      </c>
      <c r="F139" s="45" t="s">
        <v>124</v>
      </c>
      <c r="G139" s="46">
        <v>2479.34</v>
      </c>
      <c r="H139" s="46">
        <v>0</v>
      </c>
      <c r="I139" s="45">
        <v>0</v>
      </c>
      <c r="J139" s="45">
        <v>0</v>
      </c>
      <c r="K139" s="45">
        <v>0</v>
      </c>
      <c r="L139" s="45">
        <v>520.66</v>
      </c>
      <c r="M139" s="45">
        <v>0</v>
      </c>
      <c r="N139" s="46">
        <v>0</v>
      </c>
      <c r="O139" s="46">
        <v>3000</v>
      </c>
    </row>
    <row r="140" spans="2:15">
      <c r="B140" s="43" t="s">
        <v>594</v>
      </c>
      <c r="C140" s="44" t="s">
        <v>595</v>
      </c>
      <c r="D140" s="45" t="s">
        <v>122</v>
      </c>
      <c r="E140" s="45" t="s">
        <v>123</v>
      </c>
      <c r="F140" s="45" t="s">
        <v>124</v>
      </c>
      <c r="G140" s="46">
        <v>1570.25</v>
      </c>
      <c r="H140" s="46">
        <v>0</v>
      </c>
      <c r="I140" s="45">
        <v>0</v>
      </c>
      <c r="J140" s="45">
        <v>0</v>
      </c>
      <c r="K140" s="45">
        <v>0</v>
      </c>
      <c r="L140" s="45">
        <v>329.75</v>
      </c>
      <c r="M140" s="45">
        <v>0</v>
      </c>
      <c r="N140" s="46">
        <v>0</v>
      </c>
      <c r="O140" s="46">
        <v>1900</v>
      </c>
    </row>
    <row r="141" spans="2:15">
      <c r="B141" s="43" t="s">
        <v>594</v>
      </c>
      <c r="C141" s="44" t="s">
        <v>596</v>
      </c>
      <c r="D141" s="45" t="s">
        <v>122</v>
      </c>
      <c r="E141" s="45" t="s">
        <v>123</v>
      </c>
      <c r="F141" s="45" t="s">
        <v>124</v>
      </c>
      <c r="G141" s="46">
        <v>2231.4</v>
      </c>
      <c r="H141" s="46">
        <v>0</v>
      </c>
      <c r="I141" s="45">
        <v>0</v>
      </c>
      <c r="J141" s="45">
        <v>0</v>
      </c>
      <c r="K141" s="45">
        <v>0</v>
      </c>
      <c r="L141" s="45">
        <v>468.6</v>
      </c>
      <c r="M141" s="45">
        <v>0</v>
      </c>
      <c r="N141" s="46">
        <v>0</v>
      </c>
      <c r="O141" s="46">
        <v>2700</v>
      </c>
    </row>
    <row r="142" spans="2:15">
      <c r="B142" s="43" t="s">
        <v>594</v>
      </c>
      <c r="C142" s="44" t="s">
        <v>597</v>
      </c>
      <c r="D142" s="45" t="s">
        <v>122</v>
      </c>
      <c r="E142" s="45" t="s">
        <v>123</v>
      </c>
      <c r="F142" s="45" t="s">
        <v>124</v>
      </c>
      <c r="G142" s="46">
        <v>2892.56</v>
      </c>
      <c r="H142" s="46">
        <v>0</v>
      </c>
      <c r="I142" s="45">
        <v>0</v>
      </c>
      <c r="J142" s="45">
        <v>0</v>
      </c>
      <c r="K142" s="45">
        <v>0</v>
      </c>
      <c r="L142" s="45">
        <v>607.44000000000005</v>
      </c>
      <c r="M142" s="45">
        <v>0</v>
      </c>
      <c r="N142" s="46">
        <v>0</v>
      </c>
      <c r="O142" s="46">
        <v>3500</v>
      </c>
    </row>
    <row r="143" spans="2:15">
      <c r="B143" s="43" t="s">
        <v>594</v>
      </c>
      <c r="C143" s="44" t="s">
        <v>598</v>
      </c>
      <c r="D143" s="45" t="s">
        <v>122</v>
      </c>
      <c r="E143" s="45" t="s">
        <v>123</v>
      </c>
      <c r="F143" s="45" t="s">
        <v>124</v>
      </c>
      <c r="G143" s="46">
        <v>9752.07</v>
      </c>
      <c r="H143" s="46">
        <v>0</v>
      </c>
      <c r="I143" s="45">
        <v>0</v>
      </c>
      <c r="J143" s="45">
        <v>0</v>
      </c>
      <c r="K143" s="45">
        <v>0</v>
      </c>
      <c r="L143" s="45">
        <v>2047.93</v>
      </c>
      <c r="M143" s="45">
        <v>0</v>
      </c>
      <c r="N143" s="46">
        <v>0</v>
      </c>
      <c r="O143" s="46">
        <v>11800</v>
      </c>
    </row>
    <row r="144" spans="2:15">
      <c r="B144" s="43" t="s">
        <v>594</v>
      </c>
      <c r="C144" s="44" t="s">
        <v>599</v>
      </c>
      <c r="D144" s="45" t="s">
        <v>122</v>
      </c>
      <c r="E144" s="45" t="s">
        <v>123</v>
      </c>
      <c r="F144" s="45" t="s">
        <v>124</v>
      </c>
      <c r="G144" s="46">
        <v>5371.9</v>
      </c>
      <c r="H144" s="46">
        <v>0</v>
      </c>
      <c r="I144" s="45">
        <v>0</v>
      </c>
      <c r="J144" s="45">
        <v>0</v>
      </c>
      <c r="K144" s="45">
        <v>0</v>
      </c>
      <c r="L144" s="45">
        <v>1128.1000000000001</v>
      </c>
      <c r="M144" s="45">
        <v>0</v>
      </c>
      <c r="N144" s="46">
        <v>0</v>
      </c>
      <c r="O144" s="46">
        <v>6500</v>
      </c>
    </row>
    <row r="145" spans="2:15">
      <c r="B145" s="43" t="s">
        <v>594</v>
      </c>
      <c r="C145" s="44" t="s">
        <v>600</v>
      </c>
      <c r="D145" s="45" t="s">
        <v>122</v>
      </c>
      <c r="E145" s="45" t="s">
        <v>123</v>
      </c>
      <c r="F145" s="45" t="s">
        <v>124</v>
      </c>
      <c r="G145" s="46">
        <v>4876.03</v>
      </c>
      <c r="H145" s="46">
        <v>0</v>
      </c>
      <c r="I145" s="45">
        <v>0</v>
      </c>
      <c r="J145" s="45">
        <v>0</v>
      </c>
      <c r="K145" s="45">
        <v>0</v>
      </c>
      <c r="L145" s="45">
        <v>1023.97</v>
      </c>
      <c r="M145" s="45">
        <v>0</v>
      </c>
      <c r="N145" s="46">
        <v>0</v>
      </c>
      <c r="O145" s="46">
        <v>5900</v>
      </c>
    </row>
    <row r="146" spans="2:15">
      <c r="B146" s="43" t="s">
        <v>594</v>
      </c>
      <c r="C146" s="44" t="s">
        <v>601</v>
      </c>
      <c r="D146" s="45" t="s">
        <v>122</v>
      </c>
      <c r="E146" s="45" t="s">
        <v>123</v>
      </c>
      <c r="F146" s="45" t="s">
        <v>124</v>
      </c>
      <c r="G146" s="46">
        <v>9090.91</v>
      </c>
      <c r="H146" s="46">
        <v>0</v>
      </c>
      <c r="I146" s="45">
        <v>0</v>
      </c>
      <c r="J146" s="45">
        <v>0</v>
      </c>
      <c r="K146" s="45">
        <v>0</v>
      </c>
      <c r="L146" s="45">
        <v>1909.09</v>
      </c>
      <c r="M146" s="45">
        <v>0</v>
      </c>
      <c r="N146" s="46">
        <v>0</v>
      </c>
      <c r="O146" s="46">
        <v>11000</v>
      </c>
    </row>
    <row r="147" spans="2:15">
      <c r="B147" s="43" t="s">
        <v>594</v>
      </c>
      <c r="C147" s="44" t="s">
        <v>602</v>
      </c>
      <c r="D147" s="45" t="s">
        <v>122</v>
      </c>
      <c r="E147" s="45" t="s">
        <v>123</v>
      </c>
      <c r="F147" s="45" t="s">
        <v>124</v>
      </c>
      <c r="G147" s="46">
        <v>2479.34</v>
      </c>
      <c r="H147" s="46">
        <v>0</v>
      </c>
      <c r="I147" s="45">
        <v>0</v>
      </c>
      <c r="J147" s="45">
        <v>0</v>
      </c>
      <c r="K147" s="45">
        <v>0</v>
      </c>
      <c r="L147" s="45">
        <v>520.66</v>
      </c>
      <c r="M147" s="45">
        <v>0</v>
      </c>
      <c r="N147" s="46">
        <v>0</v>
      </c>
      <c r="O147" s="46">
        <v>3000</v>
      </c>
    </row>
    <row r="148" spans="2:15">
      <c r="B148" s="43" t="s">
        <v>594</v>
      </c>
      <c r="C148" s="44" t="s">
        <v>603</v>
      </c>
      <c r="D148" s="45" t="s">
        <v>122</v>
      </c>
      <c r="E148" s="45" t="s">
        <v>123</v>
      </c>
      <c r="F148" s="45" t="s">
        <v>124</v>
      </c>
      <c r="G148" s="46">
        <v>1487.6</v>
      </c>
      <c r="H148" s="46">
        <v>0</v>
      </c>
      <c r="I148" s="45">
        <v>0</v>
      </c>
      <c r="J148" s="45">
        <v>0</v>
      </c>
      <c r="K148" s="45">
        <v>0</v>
      </c>
      <c r="L148" s="45">
        <v>312.40000000000003</v>
      </c>
      <c r="M148" s="45">
        <v>0</v>
      </c>
      <c r="N148" s="46">
        <v>0</v>
      </c>
      <c r="O148" s="46">
        <v>1800</v>
      </c>
    </row>
    <row r="149" spans="2:15">
      <c r="B149" s="43" t="s">
        <v>594</v>
      </c>
      <c r="C149" s="44" t="s">
        <v>604</v>
      </c>
      <c r="D149" s="45" t="s">
        <v>122</v>
      </c>
      <c r="E149" s="45" t="s">
        <v>123</v>
      </c>
      <c r="F149" s="45" t="s">
        <v>124</v>
      </c>
      <c r="G149" s="46">
        <v>4876.03</v>
      </c>
      <c r="H149" s="46">
        <v>0</v>
      </c>
      <c r="I149" s="45">
        <v>0</v>
      </c>
      <c r="J149" s="45">
        <v>0</v>
      </c>
      <c r="K149" s="45">
        <v>0</v>
      </c>
      <c r="L149" s="45">
        <v>1023.97</v>
      </c>
      <c r="M149" s="45">
        <v>0</v>
      </c>
      <c r="N149" s="46">
        <v>0</v>
      </c>
      <c r="O149" s="46">
        <v>5900</v>
      </c>
    </row>
    <row r="150" spans="2:15">
      <c r="B150" s="43" t="s">
        <v>605</v>
      </c>
      <c r="C150" s="44" t="s">
        <v>606</v>
      </c>
      <c r="D150" s="45" t="s">
        <v>122</v>
      </c>
      <c r="E150" s="45" t="s">
        <v>123</v>
      </c>
      <c r="F150" s="45" t="s">
        <v>124</v>
      </c>
      <c r="G150" s="46">
        <v>9917.36</v>
      </c>
      <c r="H150" s="46">
        <v>0</v>
      </c>
      <c r="I150" s="45">
        <v>0</v>
      </c>
      <c r="J150" s="45">
        <v>0</v>
      </c>
      <c r="K150" s="45">
        <v>0</v>
      </c>
      <c r="L150" s="45">
        <v>2082.64</v>
      </c>
      <c r="M150" s="45">
        <v>0</v>
      </c>
      <c r="N150" s="46">
        <v>0</v>
      </c>
      <c r="O150" s="46">
        <v>12000</v>
      </c>
    </row>
    <row r="151" spans="2:15">
      <c r="B151" s="43" t="s">
        <v>605</v>
      </c>
      <c r="C151" s="44" t="s">
        <v>607</v>
      </c>
      <c r="D151" s="45" t="s">
        <v>122</v>
      </c>
      <c r="E151" s="45" t="s">
        <v>123</v>
      </c>
      <c r="F151" s="45" t="s">
        <v>124</v>
      </c>
      <c r="G151" s="46">
        <v>4876.03</v>
      </c>
      <c r="H151" s="46">
        <v>0</v>
      </c>
      <c r="I151" s="45">
        <v>0</v>
      </c>
      <c r="J151" s="45">
        <v>0</v>
      </c>
      <c r="K151" s="45">
        <v>0</v>
      </c>
      <c r="L151" s="45">
        <v>1023.97</v>
      </c>
      <c r="M151" s="45">
        <v>0</v>
      </c>
      <c r="N151" s="46">
        <v>0</v>
      </c>
      <c r="O151" s="46">
        <v>5900</v>
      </c>
    </row>
    <row r="152" spans="2:15">
      <c r="B152" s="43" t="s">
        <v>605</v>
      </c>
      <c r="C152" s="44" t="s">
        <v>608</v>
      </c>
      <c r="D152" s="45" t="s">
        <v>122</v>
      </c>
      <c r="E152" s="45" t="s">
        <v>123</v>
      </c>
      <c r="F152" s="45" t="s">
        <v>124</v>
      </c>
      <c r="G152" s="46">
        <v>1735.54</v>
      </c>
      <c r="H152" s="46">
        <v>0</v>
      </c>
      <c r="I152" s="45">
        <v>0</v>
      </c>
      <c r="J152" s="45">
        <v>0</v>
      </c>
      <c r="K152" s="45">
        <v>0</v>
      </c>
      <c r="L152" s="45">
        <v>364.46</v>
      </c>
      <c r="M152" s="45">
        <v>0</v>
      </c>
      <c r="N152" s="46">
        <v>0</v>
      </c>
      <c r="O152" s="46">
        <v>2100</v>
      </c>
    </row>
    <row r="153" spans="2:15">
      <c r="B153" s="43" t="s">
        <v>605</v>
      </c>
      <c r="C153" s="44" t="s">
        <v>609</v>
      </c>
      <c r="D153" s="45" t="s">
        <v>122</v>
      </c>
      <c r="E153" s="45" t="s">
        <v>123</v>
      </c>
      <c r="F153" s="45" t="s">
        <v>124</v>
      </c>
      <c r="G153" s="46">
        <v>1570.25</v>
      </c>
      <c r="H153" s="46">
        <v>0</v>
      </c>
      <c r="I153" s="45">
        <v>0</v>
      </c>
      <c r="J153" s="45">
        <v>0</v>
      </c>
      <c r="K153" s="45">
        <v>0</v>
      </c>
      <c r="L153" s="45">
        <v>329.75</v>
      </c>
      <c r="M153" s="45">
        <v>0</v>
      </c>
      <c r="N153" s="46">
        <v>0</v>
      </c>
      <c r="O153" s="46">
        <v>1900</v>
      </c>
    </row>
    <row r="154" spans="2:15">
      <c r="B154" s="43" t="s">
        <v>605</v>
      </c>
      <c r="C154" s="44" t="s">
        <v>610</v>
      </c>
      <c r="D154" s="45" t="s">
        <v>122</v>
      </c>
      <c r="E154" s="45" t="s">
        <v>123</v>
      </c>
      <c r="F154" s="45" t="s">
        <v>124</v>
      </c>
      <c r="G154" s="46">
        <v>4876.03</v>
      </c>
      <c r="H154" s="46">
        <v>0</v>
      </c>
      <c r="I154" s="45">
        <v>0</v>
      </c>
      <c r="J154" s="45">
        <v>0</v>
      </c>
      <c r="K154" s="45">
        <v>0</v>
      </c>
      <c r="L154" s="45">
        <v>1023.97</v>
      </c>
      <c r="M154" s="45">
        <v>0</v>
      </c>
      <c r="N154" s="46">
        <v>0</v>
      </c>
      <c r="O154" s="46">
        <v>5900</v>
      </c>
    </row>
    <row r="155" spans="2:15">
      <c r="B155" s="43" t="s">
        <v>605</v>
      </c>
      <c r="C155" s="44" t="s">
        <v>611</v>
      </c>
      <c r="D155" s="45" t="s">
        <v>122</v>
      </c>
      <c r="E155" s="45" t="s">
        <v>123</v>
      </c>
      <c r="F155" s="45" t="s">
        <v>124</v>
      </c>
      <c r="G155" s="46">
        <v>867.77</v>
      </c>
      <c r="H155" s="46">
        <v>0</v>
      </c>
      <c r="I155" s="45">
        <v>0</v>
      </c>
      <c r="J155" s="45">
        <v>0</v>
      </c>
      <c r="K155" s="45">
        <v>0</v>
      </c>
      <c r="L155" s="45">
        <v>182.23</v>
      </c>
      <c r="M155" s="45">
        <v>0</v>
      </c>
      <c r="N155" s="46">
        <v>0</v>
      </c>
      <c r="O155" s="46">
        <v>1050</v>
      </c>
    </row>
    <row r="156" spans="2:15">
      <c r="B156" s="43" t="s">
        <v>605</v>
      </c>
      <c r="C156" s="44" t="s">
        <v>612</v>
      </c>
      <c r="D156" s="45" t="s">
        <v>122</v>
      </c>
      <c r="E156" s="45" t="s">
        <v>123</v>
      </c>
      <c r="F156" s="45" t="s">
        <v>124</v>
      </c>
      <c r="G156" s="46">
        <v>5785.12</v>
      </c>
      <c r="H156" s="46">
        <v>0</v>
      </c>
      <c r="I156" s="45">
        <v>0</v>
      </c>
      <c r="J156" s="45">
        <v>0</v>
      </c>
      <c r="K156" s="45">
        <v>0</v>
      </c>
      <c r="L156" s="45">
        <v>1214.8800000000001</v>
      </c>
      <c r="M156" s="45">
        <v>0</v>
      </c>
      <c r="N156" s="46">
        <v>0</v>
      </c>
      <c r="O156" s="46">
        <v>7000</v>
      </c>
    </row>
    <row r="157" spans="2:15">
      <c r="B157" s="43" t="s">
        <v>605</v>
      </c>
      <c r="C157" s="44" t="s">
        <v>613</v>
      </c>
      <c r="D157" s="45" t="s">
        <v>122</v>
      </c>
      <c r="E157" s="45" t="s">
        <v>123</v>
      </c>
      <c r="F157" s="45" t="s">
        <v>124</v>
      </c>
      <c r="G157" s="46">
        <v>4669.42</v>
      </c>
      <c r="H157" s="46">
        <v>0</v>
      </c>
      <c r="I157" s="45">
        <v>0</v>
      </c>
      <c r="J157" s="45">
        <v>0</v>
      </c>
      <c r="K157" s="45">
        <v>0</v>
      </c>
      <c r="L157" s="45">
        <v>980.58</v>
      </c>
      <c r="M157" s="45">
        <v>0</v>
      </c>
      <c r="N157" s="46">
        <v>0</v>
      </c>
      <c r="O157" s="46">
        <v>5650</v>
      </c>
    </row>
    <row r="158" spans="2:15">
      <c r="B158" s="43" t="s">
        <v>605</v>
      </c>
      <c r="C158" s="44" t="s">
        <v>614</v>
      </c>
      <c r="D158" s="45" t="s">
        <v>122</v>
      </c>
      <c r="E158" s="45" t="s">
        <v>123</v>
      </c>
      <c r="F158" s="45" t="s">
        <v>124</v>
      </c>
      <c r="G158" s="46">
        <v>3636.36</v>
      </c>
      <c r="H158" s="46">
        <v>0</v>
      </c>
      <c r="I158" s="45">
        <v>0</v>
      </c>
      <c r="J158" s="45">
        <v>0</v>
      </c>
      <c r="K158" s="45">
        <v>0</v>
      </c>
      <c r="L158" s="45">
        <v>763.64</v>
      </c>
      <c r="M158" s="45">
        <v>0</v>
      </c>
      <c r="N158" s="46">
        <v>0</v>
      </c>
      <c r="O158" s="46">
        <v>4400</v>
      </c>
    </row>
    <row r="159" spans="2:15">
      <c r="B159" s="43" t="s">
        <v>605</v>
      </c>
      <c r="C159" s="44" t="s">
        <v>615</v>
      </c>
      <c r="D159" s="45" t="s">
        <v>122</v>
      </c>
      <c r="E159" s="45" t="s">
        <v>123</v>
      </c>
      <c r="F159" s="45" t="s">
        <v>124</v>
      </c>
      <c r="G159" s="46">
        <v>2314.0500000000002</v>
      </c>
      <c r="H159" s="46">
        <v>0</v>
      </c>
      <c r="I159" s="45">
        <v>0</v>
      </c>
      <c r="J159" s="45">
        <v>0</v>
      </c>
      <c r="K159" s="45">
        <v>0</v>
      </c>
      <c r="L159" s="45">
        <v>485.95</v>
      </c>
      <c r="M159" s="45">
        <v>0</v>
      </c>
      <c r="N159" s="46">
        <v>0</v>
      </c>
      <c r="O159" s="46">
        <v>2800</v>
      </c>
    </row>
    <row r="160" spans="2:15">
      <c r="B160" s="43" t="s">
        <v>605</v>
      </c>
      <c r="C160" s="44" t="s">
        <v>616</v>
      </c>
      <c r="D160" s="45" t="s">
        <v>122</v>
      </c>
      <c r="E160" s="45" t="s">
        <v>123</v>
      </c>
      <c r="F160" s="45" t="s">
        <v>124</v>
      </c>
      <c r="G160" s="46">
        <v>6115.7</v>
      </c>
      <c r="H160" s="46">
        <v>0</v>
      </c>
      <c r="I160" s="45">
        <v>0</v>
      </c>
      <c r="J160" s="45">
        <v>0</v>
      </c>
      <c r="K160" s="45">
        <v>0</v>
      </c>
      <c r="L160" s="45">
        <v>1284.3</v>
      </c>
      <c r="M160" s="45">
        <v>0</v>
      </c>
      <c r="N160" s="46">
        <v>0</v>
      </c>
      <c r="O160" s="46">
        <v>7400</v>
      </c>
    </row>
    <row r="161" spans="2:15">
      <c r="B161" s="43" t="s">
        <v>605</v>
      </c>
      <c r="C161" s="44" t="s">
        <v>617</v>
      </c>
      <c r="D161" s="45" t="s">
        <v>122</v>
      </c>
      <c r="E161" s="45" t="s">
        <v>123</v>
      </c>
      <c r="F161" s="45" t="s">
        <v>124</v>
      </c>
      <c r="G161" s="46">
        <v>1239.67</v>
      </c>
      <c r="H161" s="46">
        <v>0</v>
      </c>
      <c r="I161" s="45">
        <v>0</v>
      </c>
      <c r="J161" s="45">
        <v>0</v>
      </c>
      <c r="K161" s="45">
        <v>0</v>
      </c>
      <c r="L161" s="45">
        <v>260.33</v>
      </c>
      <c r="M161" s="45">
        <v>0</v>
      </c>
      <c r="N161" s="46">
        <v>0</v>
      </c>
      <c r="O161" s="46">
        <v>1500</v>
      </c>
    </row>
    <row r="162" spans="2:15">
      <c r="B162" s="43" t="s">
        <v>605</v>
      </c>
      <c r="C162" s="44" t="s">
        <v>618</v>
      </c>
      <c r="D162" s="45" t="s">
        <v>122</v>
      </c>
      <c r="E162" s="45" t="s">
        <v>123</v>
      </c>
      <c r="F162" s="45" t="s">
        <v>124</v>
      </c>
      <c r="G162" s="46">
        <v>4462.8100000000004</v>
      </c>
      <c r="H162" s="46">
        <v>0</v>
      </c>
      <c r="I162" s="45">
        <v>0</v>
      </c>
      <c r="J162" s="45">
        <v>0</v>
      </c>
      <c r="K162" s="45">
        <v>0</v>
      </c>
      <c r="L162" s="45">
        <v>937.19</v>
      </c>
      <c r="M162" s="45">
        <v>0</v>
      </c>
      <c r="N162" s="46">
        <v>0</v>
      </c>
      <c r="O162" s="46">
        <v>5400</v>
      </c>
    </row>
    <row r="163" spans="2:15">
      <c r="B163" s="43" t="s">
        <v>498</v>
      </c>
      <c r="C163" s="44" t="s">
        <v>619</v>
      </c>
      <c r="D163" s="45" t="s">
        <v>122</v>
      </c>
      <c r="E163" s="45" t="s">
        <v>123</v>
      </c>
      <c r="F163" s="45" t="s">
        <v>124</v>
      </c>
      <c r="G163" s="46">
        <v>4876.03</v>
      </c>
      <c r="H163" s="46">
        <v>0</v>
      </c>
      <c r="I163" s="45">
        <v>0</v>
      </c>
      <c r="J163" s="45">
        <v>0</v>
      </c>
      <c r="K163" s="45">
        <v>0</v>
      </c>
      <c r="L163" s="45">
        <v>1023.97</v>
      </c>
      <c r="M163" s="45">
        <v>0</v>
      </c>
      <c r="N163" s="46">
        <v>0</v>
      </c>
      <c r="O163" s="46">
        <v>5900</v>
      </c>
    </row>
    <row r="164" spans="2:15">
      <c r="B164" s="43" t="s">
        <v>498</v>
      </c>
      <c r="C164" s="44" t="s">
        <v>620</v>
      </c>
      <c r="D164" s="45" t="s">
        <v>122</v>
      </c>
      <c r="E164" s="45" t="s">
        <v>123</v>
      </c>
      <c r="F164" s="45" t="s">
        <v>124</v>
      </c>
      <c r="G164" s="46">
        <v>1652.89</v>
      </c>
      <c r="H164" s="46">
        <v>0</v>
      </c>
      <c r="I164" s="45">
        <v>0</v>
      </c>
      <c r="J164" s="45">
        <v>0</v>
      </c>
      <c r="K164" s="45">
        <v>0</v>
      </c>
      <c r="L164" s="45">
        <v>347.11</v>
      </c>
      <c r="M164" s="45">
        <v>0</v>
      </c>
      <c r="N164" s="46">
        <v>0</v>
      </c>
      <c r="O164" s="46">
        <v>2000</v>
      </c>
    </row>
    <row r="165" spans="2:15">
      <c r="B165" s="43" t="s">
        <v>498</v>
      </c>
      <c r="C165" s="44" t="s">
        <v>621</v>
      </c>
      <c r="D165" s="45" t="s">
        <v>122</v>
      </c>
      <c r="E165" s="45" t="s">
        <v>123</v>
      </c>
      <c r="F165" s="45" t="s">
        <v>124</v>
      </c>
      <c r="G165" s="46">
        <v>12396.69</v>
      </c>
      <c r="H165" s="46">
        <v>0</v>
      </c>
      <c r="I165" s="45">
        <v>0</v>
      </c>
      <c r="J165" s="45">
        <v>0</v>
      </c>
      <c r="K165" s="45">
        <v>0</v>
      </c>
      <c r="L165" s="45">
        <v>2603.31</v>
      </c>
      <c r="M165" s="45">
        <v>0</v>
      </c>
      <c r="N165" s="46">
        <v>0</v>
      </c>
      <c r="O165" s="46">
        <v>15000</v>
      </c>
    </row>
    <row r="166" spans="2:15">
      <c r="B166" s="43" t="s">
        <v>498</v>
      </c>
      <c r="C166" s="44" t="s">
        <v>622</v>
      </c>
      <c r="D166" s="45" t="s">
        <v>122</v>
      </c>
      <c r="E166" s="45" t="s">
        <v>123</v>
      </c>
      <c r="F166" s="45" t="s">
        <v>124</v>
      </c>
      <c r="G166" s="46">
        <v>2892.56</v>
      </c>
      <c r="H166" s="46">
        <v>0</v>
      </c>
      <c r="I166" s="45">
        <v>0</v>
      </c>
      <c r="J166" s="45">
        <v>0</v>
      </c>
      <c r="K166" s="45">
        <v>0</v>
      </c>
      <c r="L166" s="45">
        <v>607.44000000000005</v>
      </c>
      <c r="M166" s="45">
        <v>0</v>
      </c>
      <c r="N166" s="46">
        <v>0</v>
      </c>
      <c r="O166" s="46">
        <v>3500</v>
      </c>
    </row>
    <row r="167" spans="2:15">
      <c r="B167" s="43" t="s">
        <v>498</v>
      </c>
      <c r="C167" s="44" t="s">
        <v>623</v>
      </c>
      <c r="D167" s="45" t="s">
        <v>122</v>
      </c>
      <c r="E167" s="45" t="s">
        <v>123</v>
      </c>
      <c r="F167" s="45" t="s">
        <v>124</v>
      </c>
      <c r="G167" s="46">
        <v>2892.56</v>
      </c>
      <c r="H167" s="46">
        <v>0</v>
      </c>
      <c r="I167" s="45">
        <v>0</v>
      </c>
      <c r="J167" s="45">
        <v>0</v>
      </c>
      <c r="K167" s="45">
        <v>0</v>
      </c>
      <c r="L167" s="45">
        <v>607.44000000000005</v>
      </c>
      <c r="M167" s="45">
        <v>0</v>
      </c>
      <c r="N167" s="46">
        <v>0</v>
      </c>
      <c r="O167" s="46">
        <v>3500</v>
      </c>
    </row>
    <row r="168" spans="2:15">
      <c r="B168" s="43" t="s">
        <v>498</v>
      </c>
      <c r="C168" s="44" t="s">
        <v>624</v>
      </c>
      <c r="D168" s="45" t="s">
        <v>122</v>
      </c>
      <c r="E168" s="45" t="s">
        <v>123</v>
      </c>
      <c r="F168" s="45" t="s">
        <v>124</v>
      </c>
      <c r="G168" s="46">
        <v>5785.12</v>
      </c>
      <c r="H168" s="46">
        <v>0</v>
      </c>
      <c r="I168" s="45">
        <v>0</v>
      </c>
      <c r="J168" s="45">
        <v>0</v>
      </c>
      <c r="K168" s="45">
        <v>0</v>
      </c>
      <c r="L168" s="45">
        <v>1214.8800000000001</v>
      </c>
      <c r="M168" s="45">
        <v>0</v>
      </c>
      <c r="N168" s="46">
        <v>0</v>
      </c>
      <c r="O168" s="46">
        <v>7000</v>
      </c>
    </row>
    <row r="169" spans="2:15">
      <c r="B169" s="43" t="s">
        <v>498</v>
      </c>
      <c r="C169" s="44" t="s">
        <v>625</v>
      </c>
      <c r="D169" s="45" t="s">
        <v>122</v>
      </c>
      <c r="E169" s="45" t="s">
        <v>123</v>
      </c>
      <c r="F169" s="45" t="s">
        <v>124</v>
      </c>
      <c r="G169" s="46">
        <v>3719.01</v>
      </c>
      <c r="H169" s="46">
        <v>0</v>
      </c>
      <c r="I169" s="45">
        <v>0</v>
      </c>
      <c r="J169" s="45">
        <v>0</v>
      </c>
      <c r="K169" s="45">
        <v>0</v>
      </c>
      <c r="L169" s="45">
        <v>780.99</v>
      </c>
      <c r="M169" s="45">
        <v>0</v>
      </c>
      <c r="N169" s="46">
        <v>0</v>
      </c>
      <c r="O169" s="46">
        <v>4500</v>
      </c>
    </row>
    <row r="170" spans="2:15">
      <c r="B170" s="43" t="s">
        <v>498</v>
      </c>
      <c r="C170" s="44" t="s">
        <v>626</v>
      </c>
      <c r="D170" s="45" t="s">
        <v>122</v>
      </c>
      <c r="E170" s="45" t="s">
        <v>123</v>
      </c>
      <c r="F170" s="45" t="s">
        <v>124</v>
      </c>
      <c r="G170" s="46">
        <v>9256.2000000000007</v>
      </c>
      <c r="H170" s="46">
        <v>0</v>
      </c>
      <c r="I170" s="45">
        <v>0</v>
      </c>
      <c r="J170" s="45">
        <v>0</v>
      </c>
      <c r="K170" s="45">
        <v>0</v>
      </c>
      <c r="L170" s="45">
        <v>1943.8</v>
      </c>
      <c r="M170" s="45">
        <v>0</v>
      </c>
      <c r="N170" s="46">
        <v>0</v>
      </c>
      <c r="O170" s="46">
        <v>11200</v>
      </c>
    </row>
    <row r="171" spans="2:15">
      <c r="B171" s="43" t="s">
        <v>498</v>
      </c>
      <c r="C171" s="44" t="s">
        <v>627</v>
      </c>
      <c r="D171" s="45" t="s">
        <v>122</v>
      </c>
      <c r="E171" s="45" t="s">
        <v>123</v>
      </c>
      <c r="F171" s="45" t="s">
        <v>124</v>
      </c>
      <c r="G171" s="46">
        <v>3884.3</v>
      </c>
      <c r="H171" s="46">
        <v>0</v>
      </c>
      <c r="I171" s="45">
        <v>0</v>
      </c>
      <c r="J171" s="45">
        <v>0</v>
      </c>
      <c r="K171" s="45">
        <v>0</v>
      </c>
      <c r="L171" s="45">
        <v>815.7</v>
      </c>
      <c r="M171" s="45">
        <v>0</v>
      </c>
      <c r="N171" s="46">
        <v>0</v>
      </c>
      <c r="O171" s="46">
        <v>4700</v>
      </c>
    </row>
    <row r="172" spans="2:15">
      <c r="B172" s="43" t="s">
        <v>498</v>
      </c>
      <c r="C172" s="44" t="s">
        <v>628</v>
      </c>
      <c r="D172" s="45" t="s">
        <v>122</v>
      </c>
      <c r="E172" s="45" t="s">
        <v>123</v>
      </c>
      <c r="F172" s="45" t="s">
        <v>124</v>
      </c>
      <c r="G172" s="46">
        <v>6942.15</v>
      </c>
      <c r="H172" s="46">
        <v>0</v>
      </c>
      <c r="I172" s="45">
        <v>0</v>
      </c>
      <c r="J172" s="45">
        <v>0</v>
      </c>
      <c r="K172" s="45">
        <v>0</v>
      </c>
      <c r="L172" s="45">
        <v>1457.85</v>
      </c>
      <c r="M172" s="45">
        <v>0</v>
      </c>
      <c r="N172" s="46">
        <v>0</v>
      </c>
      <c r="O172" s="46">
        <v>8400</v>
      </c>
    </row>
    <row r="173" spans="2:15">
      <c r="B173" s="43" t="s">
        <v>509</v>
      </c>
      <c r="C173" s="44" t="s">
        <v>629</v>
      </c>
      <c r="D173" s="45" t="s">
        <v>122</v>
      </c>
      <c r="E173" s="45" t="s">
        <v>123</v>
      </c>
      <c r="F173" s="45" t="s">
        <v>124</v>
      </c>
      <c r="G173" s="46">
        <v>3388.43</v>
      </c>
      <c r="H173" s="46">
        <v>0</v>
      </c>
      <c r="I173" s="45">
        <v>0</v>
      </c>
      <c r="J173" s="45">
        <v>0</v>
      </c>
      <c r="K173" s="45">
        <v>0</v>
      </c>
      <c r="L173" s="45">
        <v>711.57</v>
      </c>
      <c r="M173" s="45">
        <v>0</v>
      </c>
      <c r="N173" s="46">
        <v>0</v>
      </c>
      <c r="O173" s="46">
        <v>4100</v>
      </c>
    </row>
    <row r="174" spans="2:15">
      <c r="B174" s="43" t="s">
        <v>509</v>
      </c>
      <c r="C174" s="44" t="s">
        <v>630</v>
      </c>
      <c r="D174" s="45" t="s">
        <v>122</v>
      </c>
      <c r="E174" s="45" t="s">
        <v>123</v>
      </c>
      <c r="F174" s="45" t="s">
        <v>124</v>
      </c>
      <c r="G174" s="46">
        <v>7892.56</v>
      </c>
      <c r="H174" s="46">
        <v>0</v>
      </c>
      <c r="I174" s="45">
        <v>0</v>
      </c>
      <c r="J174" s="45">
        <v>0</v>
      </c>
      <c r="K174" s="45">
        <v>0</v>
      </c>
      <c r="L174" s="45">
        <v>1657.44</v>
      </c>
      <c r="M174" s="45">
        <v>0</v>
      </c>
      <c r="N174" s="46">
        <v>0</v>
      </c>
      <c r="O174" s="46">
        <v>9550</v>
      </c>
    </row>
    <row r="175" spans="2:15">
      <c r="B175" s="43" t="s">
        <v>509</v>
      </c>
      <c r="C175" s="44" t="s">
        <v>631</v>
      </c>
      <c r="D175" s="45" t="s">
        <v>122</v>
      </c>
      <c r="E175" s="45" t="s">
        <v>123</v>
      </c>
      <c r="F175" s="45" t="s">
        <v>124</v>
      </c>
      <c r="G175" s="46">
        <v>2479.34</v>
      </c>
      <c r="H175" s="46">
        <v>0</v>
      </c>
      <c r="I175" s="45">
        <v>0</v>
      </c>
      <c r="J175" s="45">
        <v>0</v>
      </c>
      <c r="K175" s="45">
        <v>0</v>
      </c>
      <c r="L175" s="45">
        <v>520.66</v>
      </c>
      <c r="M175" s="45">
        <v>0</v>
      </c>
      <c r="N175" s="46">
        <v>0</v>
      </c>
      <c r="O175" s="46">
        <v>3000</v>
      </c>
    </row>
    <row r="176" spans="2:15">
      <c r="B176" s="43" t="s">
        <v>509</v>
      </c>
      <c r="C176" s="44" t="s">
        <v>632</v>
      </c>
      <c r="D176" s="45" t="s">
        <v>122</v>
      </c>
      <c r="E176" s="45" t="s">
        <v>123</v>
      </c>
      <c r="F176" s="45" t="s">
        <v>124</v>
      </c>
      <c r="G176" s="46">
        <v>1446.28</v>
      </c>
      <c r="H176" s="46">
        <v>0</v>
      </c>
      <c r="I176" s="45">
        <v>0</v>
      </c>
      <c r="J176" s="45">
        <v>0</v>
      </c>
      <c r="K176" s="45">
        <v>0</v>
      </c>
      <c r="L176" s="45">
        <v>303.72000000000003</v>
      </c>
      <c r="M176" s="45">
        <v>0</v>
      </c>
      <c r="N176" s="46">
        <v>0</v>
      </c>
      <c r="O176" s="46">
        <v>1750</v>
      </c>
    </row>
    <row r="177" spans="2:15">
      <c r="B177" s="43" t="s">
        <v>509</v>
      </c>
      <c r="C177" s="44" t="s">
        <v>633</v>
      </c>
      <c r="D177" s="45" t="s">
        <v>122</v>
      </c>
      <c r="E177" s="45" t="s">
        <v>123</v>
      </c>
      <c r="F177" s="45" t="s">
        <v>124</v>
      </c>
      <c r="G177" s="46">
        <v>4876.03</v>
      </c>
      <c r="H177" s="46">
        <v>0</v>
      </c>
      <c r="I177" s="45">
        <v>0</v>
      </c>
      <c r="J177" s="45">
        <v>0</v>
      </c>
      <c r="K177" s="45">
        <v>0</v>
      </c>
      <c r="L177" s="45">
        <v>1023.97</v>
      </c>
      <c r="M177" s="45">
        <v>0</v>
      </c>
      <c r="N177" s="46">
        <v>0</v>
      </c>
      <c r="O177" s="46">
        <v>5900</v>
      </c>
    </row>
    <row r="178" spans="2:15">
      <c r="B178" s="43" t="s">
        <v>509</v>
      </c>
      <c r="C178" s="44" t="s">
        <v>634</v>
      </c>
      <c r="D178" s="45" t="s">
        <v>122</v>
      </c>
      <c r="E178" s="45" t="s">
        <v>123</v>
      </c>
      <c r="F178" s="45" t="s">
        <v>124</v>
      </c>
      <c r="G178" s="46">
        <v>4504.13</v>
      </c>
      <c r="H178" s="46">
        <v>0</v>
      </c>
      <c r="I178" s="45">
        <v>0</v>
      </c>
      <c r="J178" s="45">
        <v>0</v>
      </c>
      <c r="K178" s="45">
        <v>0</v>
      </c>
      <c r="L178" s="45">
        <v>945.87</v>
      </c>
      <c r="M178" s="45">
        <v>0</v>
      </c>
      <c r="N178" s="46">
        <v>0</v>
      </c>
      <c r="O178" s="46">
        <v>5450</v>
      </c>
    </row>
    <row r="179" spans="2:15">
      <c r="B179" s="43" t="s">
        <v>509</v>
      </c>
      <c r="C179" s="44" t="s">
        <v>635</v>
      </c>
      <c r="D179" s="45" t="s">
        <v>122</v>
      </c>
      <c r="E179" s="45" t="s">
        <v>123</v>
      </c>
      <c r="F179" s="45" t="s">
        <v>124</v>
      </c>
      <c r="G179" s="46">
        <v>2479.34</v>
      </c>
      <c r="H179" s="46">
        <v>0</v>
      </c>
      <c r="I179" s="45">
        <v>0</v>
      </c>
      <c r="J179" s="45">
        <v>0</v>
      </c>
      <c r="K179" s="45">
        <v>0</v>
      </c>
      <c r="L179" s="45">
        <v>520.66</v>
      </c>
      <c r="M179" s="45">
        <v>0</v>
      </c>
      <c r="N179" s="46">
        <v>0</v>
      </c>
      <c r="O179" s="46">
        <v>3000</v>
      </c>
    </row>
    <row r="180" spans="2:15">
      <c r="B180" s="43" t="s">
        <v>509</v>
      </c>
      <c r="C180" s="44" t="s">
        <v>636</v>
      </c>
      <c r="D180" s="45" t="s">
        <v>122</v>
      </c>
      <c r="E180" s="45" t="s">
        <v>123</v>
      </c>
      <c r="F180" s="45" t="s">
        <v>124</v>
      </c>
      <c r="G180" s="46">
        <v>4462.8100000000004</v>
      </c>
      <c r="H180" s="46">
        <v>0</v>
      </c>
      <c r="I180" s="45">
        <v>0</v>
      </c>
      <c r="J180" s="45">
        <v>0</v>
      </c>
      <c r="K180" s="45">
        <v>0</v>
      </c>
      <c r="L180" s="45">
        <v>937.19</v>
      </c>
      <c r="M180" s="45">
        <v>0</v>
      </c>
      <c r="N180" s="46">
        <v>0</v>
      </c>
      <c r="O180" s="46">
        <v>5400</v>
      </c>
    </row>
    <row r="181" spans="2:15">
      <c r="B181" s="43" t="s">
        <v>509</v>
      </c>
      <c r="C181" s="44" t="s">
        <v>637</v>
      </c>
      <c r="D181" s="45" t="s">
        <v>122</v>
      </c>
      <c r="E181" s="45" t="s">
        <v>123</v>
      </c>
      <c r="F181" s="45" t="s">
        <v>124</v>
      </c>
      <c r="G181" s="46">
        <v>4462.8100000000004</v>
      </c>
      <c r="H181" s="46">
        <v>0</v>
      </c>
      <c r="I181" s="45">
        <v>0</v>
      </c>
      <c r="J181" s="45">
        <v>0</v>
      </c>
      <c r="K181" s="45">
        <v>0</v>
      </c>
      <c r="L181" s="45">
        <v>937.19</v>
      </c>
      <c r="M181" s="45">
        <v>0</v>
      </c>
      <c r="N181" s="46">
        <v>0</v>
      </c>
      <c r="O181" s="46">
        <v>5400</v>
      </c>
    </row>
    <row r="182" spans="2:15">
      <c r="B182" s="43" t="s">
        <v>509</v>
      </c>
      <c r="C182" s="44" t="s">
        <v>638</v>
      </c>
      <c r="D182" s="45" t="s">
        <v>122</v>
      </c>
      <c r="E182" s="45" t="s">
        <v>123</v>
      </c>
      <c r="F182" s="45" t="s">
        <v>124</v>
      </c>
      <c r="G182" s="46">
        <v>5371.9</v>
      </c>
      <c r="H182" s="46">
        <v>0</v>
      </c>
      <c r="I182" s="45">
        <v>0</v>
      </c>
      <c r="J182" s="45">
        <v>0</v>
      </c>
      <c r="K182" s="45">
        <v>0</v>
      </c>
      <c r="L182" s="45">
        <v>1128.1000000000001</v>
      </c>
      <c r="M182" s="45">
        <v>0</v>
      </c>
      <c r="N182" s="46">
        <v>0</v>
      </c>
      <c r="O182" s="46">
        <v>6500</v>
      </c>
    </row>
    <row r="183" spans="2:15">
      <c r="B183" s="43" t="s">
        <v>639</v>
      </c>
      <c r="C183" s="44" t="s">
        <v>640</v>
      </c>
      <c r="D183" s="45" t="s">
        <v>122</v>
      </c>
      <c r="E183" s="45" t="s">
        <v>123</v>
      </c>
      <c r="F183" s="45" t="s">
        <v>124</v>
      </c>
      <c r="G183" s="46">
        <v>2644.63</v>
      </c>
      <c r="H183" s="46">
        <v>0</v>
      </c>
      <c r="I183" s="45">
        <v>0</v>
      </c>
      <c r="J183" s="45">
        <v>0</v>
      </c>
      <c r="K183" s="45">
        <v>0</v>
      </c>
      <c r="L183" s="45">
        <v>555.37</v>
      </c>
      <c r="M183" s="45">
        <v>0</v>
      </c>
      <c r="N183" s="46">
        <v>0</v>
      </c>
      <c r="O183" s="46">
        <v>3200</v>
      </c>
    </row>
    <row r="184" spans="2:15">
      <c r="B184" s="43" t="s">
        <v>639</v>
      </c>
      <c r="C184" s="44" t="s">
        <v>641</v>
      </c>
      <c r="D184" s="45" t="s">
        <v>122</v>
      </c>
      <c r="E184" s="45" t="s">
        <v>123</v>
      </c>
      <c r="F184" s="45" t="s">
        <v>124</v>
      </c>
      <c r="G184" s="46">
        <v>2438.02</v>
      </c>
      <c r="H184" s="46">
        <v>0</v>
      </c>
      <c r="I184" s="45">
        <v>0</v>
      </c>
      <c r="J184" s="45">
        <v>0</v>
      </c>
      <c r="K184" s="45">
        <v>0</v>
      </c>
      <c r="L184" s="45">
        <v>511.98</v>
      </c>
      <c r="M184" s="45">
        <v>0</v>
      </c>
      <c r="N184" s="46">
        <v>0</v>
      </c>
      <c r="O184" s="46">
        <v>2950</v>
      </c>
    </row>
    <row r="185" spans="2:15">
      <c r="B185" s="43" t="s">
        <v>639</v>
      </c>
      <c r="C185" s="44" t="s">
        <v>642</v>
      </c>
      <c r="D185" s="45" t="s">
        <v>122</v>
      </c>
      <c r="E185" s="45" t="s">
        <v>123</v>
      </c>
      <c r="F185" s="45" t="s">
        <v>124</v>
      </c>
      <c r="G185" s="46">
        <v>3223.14</v>
      </c>
      <c r="H185" s="46">
        <v>0</v>
      </c>
      <c r="I185" s="45">
        <v>0</v>
      </c>
      <c r="J185" s="45">
        <v>0</v>
      </c>
      <c r="K185" s="45">
        <v>0</v>
      </c>
      <c r="L185" s="45">
        <v>676.86</v>
      </c>
      <c r="M185" s="45">
        <v>0</v>
      </c>
      <c r="N185" s="46">
        <v>0</v>
      </c>
      <c r="O185" s="46">
        <v>3900</v>
      </c>
    </row>
    <row r="186" spans="2:15">
      <c r="B186" s="43" t="s">
        <v>639</v>
      </c>
      <c r="C186" s="44" t="s">
        <v>643</v>
      </c>
      <c r="D186" s="45" t="s">
        <v>122</v>
      </c>
      <c r="E186" s="45" t="s">
        <v>123</v>
      </c>
      <c r="F186" s="45" t="s">
        <v>124</v>
      </c>
      <c r="G186" s="46">
        <v>3719.01</v>
      </c>
      <c r="H186" s="46">
        <v>0</v>
      </c>
      <c r="I186" s="45">
        <v>0</v>
      </c>
      <c r="J186" s="45">
        <v>0</v>
      </c>
      <c r="K186" s="45">
        <v>0</v>
      </c>
      <c r="L186" s="45">
        <v>780.99</v>
      </c>
      <c r="M186" s="45">
        <v>0</v>
      </c>
      <c r="N186" s="46">
        <v>0</v>
      </c>
      <c r="O186" s="46">
        <v>4500</v>
      </c>
    </row>
    <row r="187" spans="2:15">
      <c r="B187" s="43" t="s">
        <v>639</v>
      </c>
      <c r="C187" s="44" t="s">
        <v>644</v>
      </c>
      <c r="D187" s="45" t="s">
        <v>122</v>
      </c>
      <c r="E187" s="45" t="s">
        <v>123</v>
      </c>
      <c r="F187" s="45" t="s">
        <v>124</v>
      </c>
      <c r="G187" s="46">
        <v>2479.34</v>
      </c>
      <c r="H187" s="46">
        <v>0</v>
      </c>
      <c r="I187" s="45">
        <v>0</v>
      </c>
      <c r="J187" s="45">
        <v>0</v>
      </c>
      <c r="K187" s="45">
        <v>0</v>
      </c>
      <c r="L187" s="45">
        <v>520.66</v>
      </c>
      <c r="M187" s="45">
        <v>0</v>
      </c>
      <c r="N187" s="46">
        <v>0</v>
      </c>
      <c r="O187" s="46">
        <v>3000</v>
      </c>
    </row>
    <row r="188" spans="2:15">
      <c r="B188" s="43" t="s">
        <v>639</v>
      </c>
      <c r="C188" s="44" t="s">
        <v>645</v>
      </c>
      <c r="D188" s="45" t="s">
        <v>122</v>
      </c>
      <c r="E188" s="45" t="s">
        <v>123</v>
      </c>
      <c r="F188" s="45" t="s">
        <v>124</v>
      </c>
      <c r="G188" s="46">
        <v>3512.4</v>
      </c>
      <c r="H188" s="46">
        <v>0</v>
      </c>
      <c r="I188" s="45">
        <v>0</v>
      </c>
      <c r="J188" s="45">
        <v>0</v>
      </c>
      <c r="K188" s="45">
        <v>0</v>
      </c>
      <c r="L188" s="45">
        <v>737.6</v>
      </c>
      <c r="M188" s="45">
        <v>0</v>
      </c>
      <c r="N188" s="46">
        <v>0</v>
      </c>
      <c r="O188" s="46">
        <v>4250</v>
      </c>
    </row>
    <row r="189" spans="2:15">
      <c r="B189" s="43" t="s">
        <v>639</v>
      </c>
      <c r="C189" s="44" t="s">
        <v>646</v>
      </c>
      <c r="D189" s="45" t="s">
        <v>122</v>
      </c>
      <c r="E189" s="45" t="s">
        <v>123</v>
      </c>
      <c r="F189" s="45" t="s">
        <v>124</v>
      </c>
      <c r="G189" s="46">
        <v>3884.3</v>
      </c>
      <c r="H189" s="46">
        <v>0</v>
      </c>
      <c r="I189" s="45">
        <v>0</v>
      </c>
      <c r="J189" s="45">
        <v>0</v>
      </c>
      <c r="K189" s="45">
        <v>0</v>
      </c>
      <c r="L189" s="45">
        <v>815.7</v>
      </c>
      <c r="M189" s="45">
        <v>0</v>
      </c>
      <c r="N189" s="46">
        <v>0</v>
      </c>
      <c r="O189" s="46">
        <v>4700</v>
      </c>
    </row>
    <row r="190" spans="2:15">
      <c r="B190" s="43" t="s">
        <v>639</v>
      </c>
      <c r="C190" s="44" t="s">
        <v>647</v>
      </c>
      <c r="D190" s="45" t="s">
        <v>122</v>
      </c>
      <c r="E190" s="45" t="s">
        <v>123</v>
      </c>
      <c r="F190" s="45" t="s">
        <v>124</v>
      </c>
      <c r="G190" s="46">
        <v>5785.12</v>
      </c>
      <c r="H190" s="46">
        <v>0</v>
      </c>
      <c r="I190" s="45">
        <v>0</v>
      </c>
      <c r="J190" s="45">
        <v>0</v>
      </c>
      <c r="K190" s="45">
        <v>0</v>
      </c>
      <c r="L190" s="45">
        <v>1214.8800000000001</v>
      </c>
      <c r="M190" s="45">
        <v>0</v>
      </c>
      <c r="N190" s="46">
        <v>0</v>
      </c>
      <c r="O190" s="46">
        <v>7000</v>
      </c>
    </row>
    <row r="191" spans="2:15">
      <c r="B191" s="43" t="s">
        <v>639</v>
      </c>
      <c r="C191" s="44" t="s">
        <v>648</v>
      </c>
      <c r="D191" s="45" t="s">
        <v>122</v>
      </c>
      <c r="E191" s="45" t="s">
        <v>123</v>
      </c>
      <c r="F191" s="45" t="s">
        <v>124</v>
      </c>
      <c r="G191" s="46">
        <v>3884.3</v>
      </c>
      <c r="H191" s="46">
        <v>0</v>
      </c>
      <c r="I191" s="45">
        <v>0</v>
      </c>
      <c r="J191" s="45">
        <v>0</v>
      </c>
      <c r="K191" s="45">
        <v>0</v>
      </c>
      <c r="L191" s="45">
        <v>815.7</v>
      </c>
      <c r="M191" s="45">
        <v>0</v>
      </c>
      <c r="N191" s="46">
        <v>0</v>
      </c>
      <c r="O191" s="46">
        <v>4700</v>
      </c>
    </row>
    <row r="192" spans="2:15">
      <c r="B192" s="43" t="s">
        <v>639</v>
      </c>
      <c r="C192" s="44" t="s">
        <v>649</v>
      </c>
      <c r="D192" s="45" t="s">
        <v>122</v>
      </c>
      <c r="E192" s="45" t="s">
        <v>123</v>
      </c>
      <c r="F192" s="45" t="s">
        <v>124</v>
      </c>
      <c r="G192" s="46">
        <v>3636.36</v>
      </c>
      <c r="H192" s="46">
        <v>0</v>
      </c>
      <c r="I192" s="45">
        <v>0</v>
      </c>
      <c r="J192" s="45">
        <v>0</v>
      </c>
      <c r="K192" s="45">
        <v>0</v>
      </c>
      <c r="L192" s="45">
        <v>763.64</v>
      </c>
      <c r="M192" s="45">
        <v>0</v>
      </c>
      <c r="N192" s="46">
        <v>0</v>
      </c>
      <c r="O192" s="46">
        <v>4400</v>
      </c>
    </row>
    <row r="193" spans="2:15">
      <c r="B193" s="43" t="s">
        <v>639</v>
      </c>
      <c r="C193" s="44" t="s">
        <v>650</v>
      </c>
      <c r="D193" s="45" t="s">
        <v>122</v>
      </c>
      <c r="E193" s="45" t="s">
        <v>123</v>
      </c>
      <c r="F193" s="45" t="s">
        <v>124</v>
      </c>
      <c r="G193" s="46">
        <v>1074.3800000000001</v>
      </c>
      <c r="H193" s="46">
        <v>0</v>
      </c>
      <c r="I193" s="45">
        <v>0</v>
      </c>
      <c r="J193" s="45">
        <v>0</v>
      </c>
      <c r="K193" s="45">
        <v>0</v>
      </c>
      <c r="L193" s="45">
        <v>225.62</v>
      </c>
      <c r="M193" s="45">
        <v>0</v>
      </c>
      <c r="N193" s="46">
        <v>0</v>
      </c>
      <c r="O193" s="46">
        <v>1300</v>
      </c>
    </row>
    <row r="194" spans="2:15">
      <c r="B194" s="43" t="s">
        <v>639</v>
      </c>
      <c r="C194" s="44" t="s">
        <v>651</v>
      </c>
      <c r="D194" s="45" t="s">
        <v>122</v>
      </c>
      <c r="E194" s="45" t="s">
        <v>123</v>
      </c>
      <c r="F194" s="45" t="s">
        <v>124</v>
      </c>
      <c r="G194" s="46">
        <v>2479.34</v>
      </c>
      <c r="H194" s="46">
        <v>0</v>
      </c>
      <c r="I194" s="45">
        <v>0</v>
      </c>
      <c r="J194" s="45">
        <v>0</v>
      </c>
      <c r="K194" s="45">
        <v>0</v>
      </c>
      <c r="L194" s="45">
        <v>520.66</v>
      </c>
      <c r="M194" s="45">
        <v>0</v>
      </c>
      <c r="N194" s="46">
        <v>0</v>
      </c>
      <c r="O194" s="46">
        <v>3000</v>
      </c>
    </row>
    <row r="195" spans="2:15">
      <c r="B195" s="43" t="s">
        <v>639</v>
      </c>
      <c r="C195" s="44" t="s">
        <v>652</v>
      </c>
      <c r="D195" s="45" t="s">
        <v>122</v>
      </c>
      <c r="E195" s="45" t="s">
        <v>123</v>
      </c>
      <c r="F195" s="45" t="s">
        <v>124</v>
      </c>
      <c r="G195" s="46">
        <v>1570.25</v>
      </c>
      <c r="H195" s="46">
        <v>0</v>
      </c>
      <c r="I195" s="45">
        <v>0</v>
      </c>
      <c r="J195" s="45">
        <v>0</v>
      </c>
      <c r="K195" s="45">
        <v>0</v>
      </c>
      <c r="L195" s="45">
        <v>329.75</v>
      </c>
      <c r="M195" s="45">
        <v>0</v>
      </c>
      <c r="N195" s="46">
        <v>0</v>
      </c>
      <c r="O195" s="46">
        <v>1900</v>
      </c>
    </row>
    <row r="196" spans="2:15">
      <c r="B196" s="43" t="s">
        <v>639</v>
      </c>
      <c r="C196" s="44" t="s">
        <v>653</v>
      </c>
      <c r="D196" s="45" t="s">
        <v>122</v>
      </c>
      <c r="E196" s="45" t="s">
        <v>123</v>
      </c>
      <c r="F196" s="45" t="s">
        <v>124</v>
      </c>
      <c r="G196" s="46">
        <v>5578.51</v>
      </c>
      <c r="H196" s="46">
        <v>0</v>
      </c>
      <c r="I196" s="45">
        <v>0</v>
      </c>
      <c r="J196" s="45">
        <v>0</v>
      </c>
      <c r="K196" s="45">
        <v>0</v>
      </c>
      <c r="L196" s="45">
        <v>1171.49</v>
      </c>
      <c r="M196" s="45">
        <v>0</v>
      </c>
      <c r="N196" s="46">
        <v>0</v>
      </c>
      <c r="O196" s="46">
        <v>6750</v>
      </c>
    </row>
    <row r="197" spans="2:15">
      <c r="B197" s="43" t="s">
        <v>639</v>
      </c>
      <c r="C197" s="44" t="s">
        <v>654</v>
      </c>
      <c r="D197" s="45" t="s">
        <v>122</v>
      </c>
      <c r="E197" s="45" t="s">
        <v>123</v>
      </c>
      <c r="F197" s="45" t="s">
        <v>124</v>
      </c>
      <c r="G197" s="46">
        <v>4876.03</v>
      </c>
      <c r="H197" s="46">
        <v>0</v>
      </c>
      <c r="I197" s="45">
        <v>0</v>
      </c>
      <c r="J197" s="45">
        <v>0</v>
      </c>
      <c r="K197" s="45">
        <v>0</v>
      </c>
      <c r="L197" s="45">
        <v>1023.97</v>
      </c>
      <c r="M197" s="45">
        <v>0</v>
      </c>
      <c r="N197" s="46">
        <v>0</v>
      </c>
      <c r="O197" s="46">
        <v>5900</v>
      </c>
    </row>
    <row r="198" spans="2:15">
      <c r="B198" s="43" t="s">
        <v>639</v>
      </c>
      <c r="C198" s="44" t="s">
        <v>655</v>
      </c>
      <c r="D198" s="45" t="s">
        <v>122</v>
      </c>
      <c r="E198" s="45" t="s">
        <v>123</v>
      </c>
      <c r="F198" s="45" t="s">
        <v>124</v>
      </c>
      <c r="G198" s="46">
        <v>10661.16</v>
      </c>
      <c r="H198" s="46">
        <v>0</v>
      </c>
      <c r="I198" s="45">
        <v>0</v>
      </c>
      <c r="J198" s="45">
        <v>0</v>
      </c>
      <c r="K198" s="45">
        <v>0</v>
      </c>
      <c r="L198" s="45">
        <v>2238.84</v>
      </c>
      <c r="M198" s="45">
        <v>0</v>
      </c>
      <c r="N198" s="46">
        <v>0</v>
      </c>
      <c r="O198" s="46">
        <v>12900</v>
      </c>
    </row>
    <row r="199" spans="2:15">
      <c r="B199" s="43" t="s">
        <v>438</v>
      </c>
      <c r="C199" s="44" t="s">
        <v>656</v>
      </c>
      <c r="D199" s="45" t="s">
        <v>122</v>
      </c>
      <c r="E199" s="45" t="s">
        <v>123</v>
      </c>
      <c r="F199" s="45" t="s">
        <v>124</v>
      </c>
      <c r="G199" s="46">
        <v>3884.3</v>
      </c>
      <c r="H199" s="46">
        <v>0</v>
      </c>
      <c r="I199" s="45">
        <v>0</v>
      </c>
      <c r="J199" s="45">
        <v>0</v>
      </c>
      <c r="K199" s="45">
        <v>0</v>
      </c>
      <c r="L199" s="45">
        <v>815.7</v>
      </c>
      <c r="M199" s="45">
        <v>0</v>
      </c>
      <c r="N199" s="46">
        <v>0</v>
      </c>
      <c r="O199" s="46">
        <v>4700</v>
      </c>
    </row>
    <row r="200" spans="2:15">
      <c r="B200" s="43" t="s">
        <v>438</v>
      </c>
      <c r="C200" s="44" t="s">
        <v>657</v>
      </c>
      <c r="D200" s="45" t="s">
        <v>122</v>
      </c>
      <c r="E200" s="45" t="s">
        <v>123</v>
      </c>
      <c r="F200" s="45" t="s">
        <v>124</v>
      </c>
      <c r="G200" s="46">
        <v>3884.3</v>
      </c>
      <c r="H200" s="46">
        <v>0</v>
      </c>
      <c r="I200" s="45">
        <v>0</v>
      </c>
      <c r="J200" s="45">
        <v>0</v>
      </c>
      <c r="K200" s="45">
        <v>0</v>
      </c>
      <c r="L200" s="45">
        <v>815.7</v>
      </c>
      <c r="M200" s="45">
        <v>0</v>
      </c>
      <c r="N200" s="46">
        <v>0</v>
      </c>
      <c r="O200" s="46">
        <v>4700</v>
      </c>
    </row>
    <row r="201" spans="2:15">
      <c r="B201" s="43" t="s">
        <v>438</v>
      </c>
      <c r="C201" s="44" t="s">
        <v>658</v>
      </c>
      <c r="D201" s="45" t="s">
        <v>122</v>
      </c>
      <c r="E201" s="45" t="s">
        <v>123</v>
      </c>
      <c r="F201" s="45" t="s">
        <v>124</v>
      </c>
      <c r="G201" s="46">
        <v>991.74</v>
      </c>
      <c r="H201" s="46">
        <v>0</v>
      </c>
      <c r="I201" s="45">
        <v>0</v>
      </c>
      <c r="J201" s="45">
        <v>0</v>
      </c>
      <c r="K201" s="45">
        <v>0</v>
      </c>
      <c r="L201" s="45">
        <v>208.26</v>
      </c>
      <c r="M201" s="45">
        <v>0</v>
      </c>
      <c r="N201" s="46">
        <v>0</v>
      </c>
      <c r="O201" s="46">
        <v>1200</v>
      </c>
    </row>
    <row r="202" spans="2:15">
      <c r="B202" s="43" t="s">
        <v>438</v>
      </c>
      <c r="C202" s="44" t="s">
        <v>659</v>
      </c>
      <c r="D202" s="45" t="s">
        <v>122</v>
      </c>
      <c r="E202" s="45" t="s">
        <v>123</v>
      </c>
      <c r="F202" s="45" t="s">
        <v>124</v>
      </c>
      <c r="G202" s="46">
        <v>9008.26</v>
      </c>
      <c r="H202" s="46">
        <v>0</v>
      </c>
      <c r="I202" s="45">
        <v>0</v>
      </c>
      <c r="J202" s="45">
        <v>0</v>
      </c>
      <c r="K202" s="45">
        <v>0</v>
      </c>
      <c r="L202" s="45">
        <v>1891.74</v>
      </c>
      <c r="M202" s="45">
        <v>0</v>
      </c>
      <c r="N202" s="46">
        <v>0</v>
      </c>
      <c r="O202" s="46">
        <v>10900</v>
      </c>
    </row>
    <row r="203" spans="2:15">
      <c r="B203" s="43" t="s">
        <v>438</v>
      </c>
      <c r="C203" s="44" t="s">
        <v>660</v>
      </c>
      <c r="D203" s="45" t="s">
        <v>122</v>
      </c>
      <c r="E203" s="45" t="s">
        <v>123</v>
      </c>
      <c r="F203" s="45" t="s">
        <v>124</v>
      </c>
      <c r="G203" s="46">
        <v>1404.96</v>
      </c>
      <c r="H203" s="46">
        <v>0</v>
      </c>
      <c r="I203" s="45">
        <v>0</v>
      </c>
      <c r="J203" s="45">
        <v>0</v>
      </c>
      <c r="K203" s="45">
        <v>0</v>
      </c>
      <c r="L203" s="45">
        <v>295.04000000000002</v>
      </c>
      <c r="M203" s="45">
        <v>0</v>
      </c>
      <c r="N203" s="46">
        <v>0</v>
      </c>
      <c r="O203" s="46">
        <v>1700</v>
      </c>
    </row>
    <row r="204" spans="2:15">
      <c r="B204" s="43" t="s">
        <v>438</v>
      </c>
      <c r="C204" s="44" t="s">
        <v>661</v>
      </c>
      <c r="D204" s="45" t="s">
        <v>662</v>
      </c>
      <c r="E204" s="45" t="s">
        <v>276</v>
      </c>
      <c r="F204" s="45">
        <v>30525274450</v>
      </c>
      <c r="G204" s="46">
        <v>4297.5200000000004</v>
      </c>
      <c r="H204" s="46">
        <v>0</v>
      </c>
      <c r="I204" s="45">
        <v>0</v>
      </c>
      <c r="J204" s="45">
        <v>0</v>
      </c>
      <c r="K204" s="45">
        <v>0</v>
      </c>
      <c r="L204" s="45">
        <v>902.48</v>
      </c>
      <c r="M204" s="45">
        <v>0</v>
      </c>
      <c r="N204" s="46">
        <v>0</v>
      </c>
      <c r="O204" s="46">
        <v>5200</v>
      </c>
    </row>
    <row r="205" spans="2:15">
      <c r="B205" s="43" t="s">
        <v>438</v>
      </c>
      <c r="C205" s="44" t="s">
        <v>663</v>
      </c>
      <c r="D205" s="45" t="s">
        <v>122</v>
      </c>
      <c r="E205" s="45" t="s">
        <v>123</v>
      </c>
      <c r="F205" s="45" t="s">
        <v>124</v>
      </c>
      <c r="G205" s="46">
        <v>4876.03</v>
      </c>
      <c r="H205" s="46">
        <v>0</v>
      </c>
      <c r="I205" s="45">
        <v>0</v>
      </c>
      <c r="J205" s="45">
        <v>0</v>
      </c>
      <c r="K205" s="45">
        <v>0</v>
      </c>
      <c r="L205" s="45">
        <v>1023.97</v>
      </c>
      <c r="M205" s="45">
        <v>0</v>
      </c>
      <c r="N205" s="46">
        <v>0</v>
      </c>
      <c r="O205" s="46">
        <v>5900</v>
      </c>
    </row>
    <row r="206" spans="2:15">
      <c r="B206" s="43" t="s">
        <v>438</v>
      </c>
      <c r="C206" s="44" t="s">
        <v>664</v>
      </c>
      <c r="D206" s="45" t="s">
        <v>122</v>
      </c>
      <c r="E206" s="45" t="s">
        <v>123</v>
      </c>
      <c r="F206" s="45" t="s">
        <v>124</v>
      </c>
      <c r="G206" s="46">
        <v>2892.56</v>
      </c>
      <c r="H206" s="46">
        <v>0</v>
      </c>
      <c r="I206" s="45">
        <v>0</v>
      </c>
      <c r="J206" s="45">
        <v>0</v>
      </c>
      <c r="K206" s="45">
        <v>0</v>
      </c>
      <c r="L206" s="45">
        <v>607.44000000000005</v>
      </c>
      <c r="M206" s="45">
        <v>0</v>
      </c>
      <c r="N206" s="46">
        <v>0</v>
      </c>
      <c r="O206" s="46">
        <v>3500</v>
      </c>
    </row>
    <row r="207" spans="2:15">
      <c r="B207" s="43" t="s">
        <v>438</v>
      </c>
      <c r="C207" s="44" t="s">
        <v>665</v>
      </c>
      <c r="D207" s="45" t="s">
        <v>122</v>
      </c>
      <c r="E207" s="45" t="s">
        <v>123</v>
      </c>
      <c r="F207" s="45" t="s">
        <v>124</v>
      </c>
      <c r="G207" s="46">
        <v>7066.12</v>
      </c>
      <c r="H207" s="46">
        <v>0</v>
      </c>
      <c r="I207" s="45">
        <v>0</v>
      </c>
      <c r="J207" s="45">
        <v>0</v>
      </c>
      <c r="K207" s="45">
        <v>0</v>
      </c>
      <c r="L207" s="45">
        <v>1483.88</v>
      </c>
      <c r="M207" s="45">
        <v>0</v>
      </c>
      <c r="N207" s="46">
        <v>0</v>
      </c>
      <c r="O207" s="46">
        <v>8550</v>
      </c>
    </row>
    <row r="208" spans="2:15">
      <c r="B208" s="43" t="s">
        <v>438</v>
      </c>
      <c r="C208" s="44" t="s">
        <v>666</v>
      </c>
      <c r="D208" s="45" t="s">
        <v>122</v>
      </c>
      <c r="E208" s="45" t="s">
        <v>123</v>
      </c>
      <c r="F208" s="45" t="s">
        <v>124</v>
      </c>
      <c r="G208" s="46">
        <v>2066.12</v>
      </c>
      <c r="H208" s="46">
        <v>0</v>
      </c>
      <c r="I208" s="45">
        <v>0</v>
      </c>
      <c r="J208" s="45">
        <v>0</v>
      </c>
      <c r="K208" s="45">
        <v>0</v>
      </c>
      <c r="L208" s="45">
        <v>433.88</v>
      </c>
      <c r="M208" s="45">
        <v>0</v>
      </c>
      <c r="N208" s="46">
        <v>0</v>
      </c>
      <c r="O208" s="46">
        <v>2500</v>
      </c>
    </row>
    <row r="209" spans="2:15">
      <c r="B209" s="43" t="s">
        <v>438</v>
      </c>
      <c r="C209" s="44" t="s">
        <v>667</v>
      </c>
      <c r="D209" s="45" t="s">
        <v>122</v>
      </c>
      <c r="E209" s="45" t="s">
        <v>123</v>
      </c>
      <c r="F209" s="45" t="s">
        <v>124</v>
      </c>
      <c r="G209" s="46">
        <v>2892.56</v>
      </c>
      <c r="H209" s="46">
        <v>0</v>
      </c>
      <c r="I209" s="45">
        <v>0</v>
      </c>
      <c r="J209" s="45">
        <v>0</v>
      </c>
      <c r="K209" s="45">
        <v>0</v>
      </c>
      <c r="L209" s="45">
        <v>607.44000000000005</v>
      </c>
      <c r="M209" s="45">
        <v>0</v>
      </c>
      <c r="N209" s="46">
        <v>0</v>
      </c>
      <c r="O209" s="46">
        <v>3500</v>
      </c>
    </row>
    <row r="210" spans="2:15">
      <c r="B210" s="43" t="s">
        <v>459</v>
      </c>
      <c r="C210" s="44" t="s">
        <v>668</v>
      </c>
      <c r="D210" s="45" t="s">
        <v>122</v>
      </c>
      <c r="E210" s="45" t="s">
        <v>123</v>
      </c>
      <c r="F210" s="45" t="s">
        <v>124</v>
      </c>
      <c r="G210" s="46">
        <v>4793.3900000000003</v>
      </c>
      <c r="H210" s="46">
        <v>0</v>
      </c>
      <c r="I210" s="45">
        <v>0</v>
      </c>
      <c r="J210" s="45">
        <v>0</v>
      </c>
      <c r="K210" s="45">
        <v>0</v>
      </c>
      <c r="L210" s="45">
        <v>1006.61</v>
      </c>
      <c r="M210" s="45">
        <v>0</v>
      </c>
      <c r="N210" s="46">
        <v>0</v>
      </c>
      <c r="O210" s="46">
        <v>5800</v>
      </c>
    </row>
    <row r="211" spans="2:15">
      <c r="B211" s="43" t="s">
        <v>459</v>
      </c>
      <c r="C211" s="44" t="s">
        <v>669</v>
      </c>
      <c r="D211" s="45" t="s">
        <v>122</v>
      </c>
      <c r="E211" s="45" t="s">
        <v>123</v>
      </c>
      <c r="F211" s="45" t="s">
        <v>124</v>
      </c>
      <c r="G211" s="46">
        <v>1652.89</v>
      </c>
      <c r="H211" s="46">
        <v>0</v>
      </c>
      <c r="I211" s="45">
        <v>0</v>
      </c>
      <c r="J211" s="45">
        <v>0</v>
      </c>
      <c r="K211" s="45">
        <v>0</v>
      </c>
      <c r="L211" s="45">
        <v>347.11</v>
      </c>
      <c r="M211" s="45">
        <v>0</v>
      </c>
      <c r="N211" s="46">
        <v>0</v>
      </c>
      <c r="O211" s="46">
        <v>2000</v>
      </c>
    </row>
    <row r="212" spans="2:15">
      <c r="B212" s="43" t="s">
        <v>459</v>
      </c>
      <c r="C212" s="44" t="s">
        <v>670</v>
      </c>
      <c r="D212" s="45" t="s">
        <v>122</v>
      </c>
      <c r="E212" s="45" t="s">
        <v>123</v>
      </c>
      <c r="F212" s="45" t="s">
        <v>124</v>
      </c>
      <c r="G212" s="46">
        <v>1652.89</v>
      </c>
      <c r="H212" s="46">
        <v>0</v>
      </c>
      <c r="I212" s="45">
        <v>0</v>
      </c>
      <c r="J212" s="45">
        <v>0</v>
      </c>
      <c r="K212" s="45">
        <v>0</v>
      </c>
      <c r="L212" s="45">
        <v>347.11</v>
      </c>
      <c r="M212" s="45">
        <v>0</v>
      </c>
      <c r="N212" s="46">
        <v>0</v>
      </c>
      <c r="O212" s="46">
        <v>2000</v>
      </c>
    </row>
    <row r="213" spans="2:15">
      <c r="B213" s="43" t="s">
        <v>459</v>
      </c>
      <c r="C213" s="44" t="s">
        <v>671</v>
      </c>
      <c r="D213" s="45" t="s">
        <v>122</v>
      </c>
      <c r="E213" s="45" t="s">
        <v>123</v>
      </c>
      <c r="F213" s="45" t="s">
        <v>124</v>
      </c>
      <c r="G213" s="46">
        <v>9090.91</v>
      </c>
      <c r="H213" s="46">
        <v>0</v>
      </c>
      <c r="I213" s="45">
        <v>0</v>
      </c>
      <c r="J213" s="45">
        <v>0</v>
      </c>
      <c r="K213" s="45">
        <v>0</v>
      </c>
      <c r="L213" s="45">
        <v>1909.09</v>
      </c>
      <c r="M213" s="45">
        <v>0</v>
      </c>
      <c r="N213" s="46">
        <v>0</v>
      </c>
      <c r="O213" s="46">
        <v>11000</v>
      </c>
    </row>
    <row r="214" spans="2:15">
      <c r="B214" s="43" t="s">
        <v>459</v>
      </c>
      <c r="C214" s="44" t="s">
        <v>672</v>
      </c>
      <c r="D214" s="45" t="s">
        <v>122</v>
      </c>
      <c r="E214" s="45" t="s">
        <v>123</v>
      </c>
      <c r="F214" s="45" t="s">
        <v>124</v>
      </c>
      <c r="G214" s="46">
        <v>3223.14</v>
      </c>
      <c r="H214" s="46">
        <v>0</v>
      </c>
      <c r="I214" s="45">
        <v>0</v>
      </c>
      <c r="J214" s="45">
        <v>0</v>
      </c>
      <c r="K214" s="45">
        <v>0</v>
      </c>
      <c r="L214" s="45">
        <v>676.86</v>
      </c>
      <c r="M214" s="45">
        <v>0</v>
      </c>
      <c r="N214" s="46">
        <v>0</v>
      </c>
      <c r="O214" s="46">
        <v>3900</v>
      </c>
    </row>
    <row r="215" spans="2:15">
      <c r="B215" s="43" t="s">
        <v>459</v>
      </c>
      <c r="C215" s="44" t="s">
        <v>673</v>
      </c>
      <c r="D215" s="45" t="s">
        <v>122</v>
      </c>
      <c r="E215" s="45" t="s">
        <v>123</v>
      </c>
      <c r="F215" s="45" t="s">
        <v>124</v>
      </c>
      <c r="G215" s="46">
        <v>9917.36</v>
      </c>
      <c r="H215" s="46">
        <v>0</v>
      </c>
      <c r="I215" s="45">
        <v>0</v>
      </c>
      <c r="J215" s="45">
        <v>0</v>
      </c>
      <c r="K215" s="45">
        <v>0</v>
      </c>
      <c r="L215" s="45">
        <v>2082.64</v>
      </c>
      <c r="M215" s="45">
        <v>0</v>
      </c>
      <c r="N215" s="46">
        <v>0</v>
      </c>
      <c r="O215" s="46">
        <v>12000</v>
      </c>
    </row>
    <row r="216" spans="2:15">
      <c r="B216" s="43" t="s">
        <v>459</v>
      </c>
      <c r="C216" s="44" t="s">
        <v>674</v>
      </c>
      <c r="D216" s="45" t="s">
        <v>122</v>
      </c>
      <c r="E216" s="45" t="s">
        <v>123</v>
      </c>
      <c r="F216" s="45" t="s">
        <v>124</v>
      </c>
      <c r="G216" s="46">
        <v>5371.9</v>
      </c>
      <c r="H216" s="46">
        <v>0</v>
      </c>
      <c r="I216" s="45">
        <v>0</v>
      </c>
      <c r="J216" s="45">
        <v>0</v>
      </c>
      <c r="K216" s="45">
        <v>0</v>
      </c>
      <c r="L216" s="45">
        <v>1128.1000000000001</v>
      </c>
      <c r="M216" s="45">
        <v>0</v>
      </c>
      <c r="N216" s="46">
        <v>0</v>
      </c>
      <c r="O216" s="46">
        <v>6500</v>
      </c>
    </row>
    <row r="217" spans="2:15">
      <c r="B217" s="43" t="s">
        <v>459</v>
      </c>
      <c r="C217" s="44" t="s">
        <v>675</v>
      </c>
      <c r="D217" s="45" t="s">
        <v>122</v>
      </c>
      <c r="E217" s="45" t="s">
        <v>123</v>
      </c>
      <c r="F217" s="45" t="s">
        <v>124</v>
      </c>
      <c r="G217" s="46">
        <v>6528.93</v>
      </c>
      <c r="H217" s="46">
        <v>0</v>
      </c>
      <c r="I217" s="45">
        <v>0</v>
      </c>
      <c r="J217" s="45">
        <v>0</v>
      </c>
      <c r="K217" s="45">
        <v>0</v>
      </c>
      <c r="L217" s="45">
        <v>1371.07</v>
      </c>
      <c r="M217" s="45">
        <v>0</v>
      </c>
      <c r="N217" s="46">
        <v>0</v>
      </c>
      <c r="O217" s="46">
        <v>7900</v>
      </c>
    </row>
    <row r="218" spans="2:15">
      <c r="B218" s="43" t="s">
        <v>459</v>
      </c>
      <c r="C218" s="44" t="s">
        <v>676</v>
      </c>
      <c r="D218" s="45" t="s">
        <v>122</v>
      </c>
      <c r="E218" s="45" t="s">
        <v>123</v>
      </c>
      <c r="F218" s="45" t="s">
        <v>124</v>
      </c>
      <c r="G218" s="46">
        <v>4214.88</v>
      </c>
      <c r="H218" s="46">
        <v>0</v>
      </c>
      <c r="I218" s="45">
        <v>0</v>
      </c>
      <c r="J218" s="45">
        <v>0</v>
      </c>
      <c r="K218" s="45">
        <v>0</v>
      </c>
      <c r="L218" s="45">
        <v>885.12</v>
      </c>
      <c r="M218" s="45">
        <v>0</v>
      </c>
      <c r="N218" s="46">
        <v>0</v>
      </c>
      <c r="O218" s="46">
        <v>5100</v>
      </c>
    </row>
    <row r="219" spans="2:15">
      <c r="B219" s="43" t="s">
        <v>459</v>
      </c>
      <c r="C219" s="44" t="s">
        <v>677</v>
      </c>
      <c r="D219" s="45" t="s">
        <v>122</v>
      </c>
      <c r="E219" s="45" t="s">
        <v>123</v>
      </c>
      <c r="F219" s="45" t="s">
        <v>124</v>
      </c>
      <c r="G219" s="46">
        <v>2479.34</v>
      </c>
      <c r="H219" s="46">
        <v>0</v>
      </c>
      <c r="I219" s="45">
        <v>0</v>
      </c>
      <c r="J219" s="45">
        <v>0</v>
      </c>
      <c r="K219" s="45">
        <v>0</v>
      </c>
      <c r="L219" s="45">
        <v>520.66</v>
      </c>
      <c r="M219" s="45">
        <v>0</v>
      </c>
      <c r="N219" s="46">
        <v>0</v>
      </c>
      <c r="O219" s="46">
        <v>3000</v>
      </c>
    </row>
    <row r="220" spans="2:15">
      <c r="B220" s="43" t="s">
        <v>459</v>
      </c>
      <c r="C220" s="44" t="s">
        <v>678</v>
      </c>
      <c r="D220" s="45" t="s">
        <v>122</v>
      </c>
      <c r="E220" s="45" t="s">
        <v>123</v>
      </c>
      <c r="F220" s="45" t="s">
        <v>124</v>
      </c>
      <c r="G220" s="46">
        <v>6198.35</v>
      </c>
      <c r="H220" s="46">
        <v>0</v>
      </c>
      <c r="I220" s="45">
        <v>0</v>
      </c>
      <c r="J220" s="45">
        <v>0</v>
      </c>
      <c r="K220" s="45">
        <v>0</v>
      </c>
      <c r="L220" s="45">
        <v>1301.6500000000001</v>
      </c>
      <c r="M220" s="45">
        <v>0</v>
      </c>
      <c r="N220" s="46">
        <v>0</v>
      </c>
      <c r="O220" s="46">
        <v>7500</v>
      </c>
    </row>
    <row r="221" spans="2:15">
      <c r="B221" s="43" t="s">
        <v>459</v>
      </c>
      <c r="C221" s="44" t="s">
        <v>679</v>
      </c>
      <c r="D221" s="45" t="s">
        <v>122</v>
      </c>
      <c r="E221" s="45" t="s">
        <v>123</v>
      </c>
      <c r="F221" s="45" t="s">
        <v>124</v>
      </c>
      <c r="G221" s="46">
        <v>10206.61</v>
      </c>
      <c r="H221" s="46">
        <v>0</v>
      </c>
      <c r="I221" s="45">
        <v>0</v>
      </c>
      <c r="J221" s="45">
        <v>0</v>
      </c>
      <c r="K221" s="45">
        <v>0</v>
      </c>
      <c r="L221" s="45">
        <v>2143.39</v>
      </c>
      <c r="M221" s="45">
        <v>0</v>
      </c>
      <c r="N221" s="46">
        <v>0</v>
      </c>
      <c r="O221" s="46">
        <v>12350</v>
      </c>
    </row>
    <row r="222" spans="2:15">
      <c r="B222" s="43" t="s">
        <v>459</v>
      </c>
      <c r="C222" s="44" t="s">
        <v>680</v>
      </c>
      <c r="D222" s="45" t="s">
        <v>122</v>
      </c>
      <c r="E222" s="45" t="s">
        <v>123</v>
      </c>
      <c r="F222" s="45" t="s">
        <v>124</v>
      </c>
      <c r="G222" s="46">
        <v>2148.7600000000002</v>
      </c>
      <c r="H222" s="46">
        <v>0</v>
      </c>
      <c r="I222" s="45">
        <v>0</v>
      </c>
      <c r="J222" s="45">
        <v>0</v>
      </c>
      <c r="K222" s="45">
        <v>0</v>
      </c>
      <c r="L222" s="45">
        <v>451.24</v>
      </c>
      <c r="M222" s="45">
        <v>0</v>
      </c>
      <c r="N222" s="46">
        <v>0</v>
      </c>
      <c r="O222" s="46">
        <v>2600</v>
      </c>
    </row>
    <row r="223" spans="2:15">
      <c r="B223" s="43" t="s">
        <v>459</v>
      </c>
      <c r="C223" s="44" t="s">
        <v>681</v>
      </c>
      <c r="D223" s="45" t="s">
        <v>122</v>
      </c>
      <c r="E223" s="45" t="s">
        <v>123</v>
      </c>
      <c r="F223" s="45" t="s">
        <v>124</v>
      </c>
      <c r="G223" s="46">
        <v>7851.24</v>
      </c>
      <c r="H223" s="46">
        <v>0</v>
      </c>
      <c r="I223" s="45">
        <v>0</v>
      </c>
      <c r="J223" s="45">
        <v>0</v>
      </c>
      <c r="K223" s="45">
        <v>0</v>
      </c>
      <c r="L223" s="45">
        <v>1648.76</v>
      </c>
      <c r="M223" s="45">
        <v>0</v>
      </c>
      <c r="N223" s="46">
        <v>0</v>
      </c>
      <c r="O223" s="46">
        <v>9500</v>
      </c>
    </row>
    <row r="224" spans="2:15">
      <c r="B224" s="43" t="s">
        <v>682</v>
      </c>
      <c r="C224" s="44" t="s">
        <v>683</v>
      </c>
      <c r="D224" s="45" t="s">
        <v>122</v>
      </c>
      <c r="E224" s="45" t="s">
        <v>123</v>
      </c>
      <c r="F224" s="45" t="s">
        <v>124</v>
      </c>
      <c r="G224" s="46">
        <v>3884.3</v>
      </c>
      <c r="H224" s="46">
        <v>0</v>
      </c>
      <c r="I224" s="45">
        <v>0</v>
      </c>
      <c r="J224" s="45">
        <v>0</v>
      </c>
      <c r="K224" s="45">
        <v>0</v>
      </c>
      <c r="L224" s="45">
        <v>815.7</v>
      </c>
      <c r="M224" s="45">
        <v>0</v>
      </c>
      <c r="N224" s="46">
        <v>0</v>
      </c>
      <c r="O224" s="46">
        <v>4700</v>
      </c>
    </row>
    <row r="225" spans="2:15">
      <c r="B225" s="43" t="s">
        <v>682</v>
      </c>
      <c r="C225" s="44" t="s">
        <v>684</v>
      </c>
      <c r="D225" s="45" t="s">
        <v>122</v>
      </c>
      <c r="E225" s="45" t="s">
        <v>123</v>
      </c>
      <c r="F225" s="45" t="s">
        <v>124</v>
      </c>
      <c r="G225" s="46">
        <v>3884.3</v>
      </c>
      <c r="H225" s="46">
        <v>0</v>
      </c>
      <c r="I225" s="45">
        <v>0</v>
      </c>
      <c r="J225" s="45">
        <v>0</v>
      </c>
      <c r="K225" s="45">
        <v>0</v>
      </c>
      <c r="L225" s="45">
        <v>815.7</v>
      </c>
      <c r="M225" s="45">
        <v>0</v>
      </c>
      <c r="N225" s="46">
        <v>0</v>
      </c>
      <c r="O225" s="46">
        <v>4700</v>
      </c>
    </row>
    <row r="226" spans="2:15">
      <c r="B226" s="43" t="s">
        <v>682</v>
      </c>
      <c r="C226" s="44" t="s">
        <v>685</v>
      </c>
      <c r="D226" s="45" t="s">
        <v>122</v>
      </c>
      <c r="E226" s="45" t="s">
        <v>123</v>
      </c>
      <c r="F226" s="45" t="s">
        <v>124</v>
      </c>
      <c r="G226" s="46">
        <v>4876.03</v>
      </c>
      <c r="H226" s="46">
        <v>0</v>
      </c>
      <c r="I226" s="45">
        <v>0</v>
      </c>
      <c r="J226" s="45">
        <v>0</v>
      </c>
      <c r="K226" s="45">
        <v>0</v>
      </c>
      <c r="L226" s="45">
        <v>1023.97</v>
      </c>
      <c r="M226" s="45">
        <v>0</v>
      </c>
      <c r="N226" s="46">
        <v>0</v>
      </c>
      <c r="O226" s="46">
        <v>5900</v>
      </c>
    </row>
    <row r="227" spans="2:15">
      <c r="B227" s="43" t="s">
        <v>682</v>
      </c>
      <c r="C227" s="44" t="s">
        <v>686</v>
      </c>
      <c r="D227" s="45" t="s">
        <v>122</v>
      </c>
      <c r="E227" s="45" t="s">
        <v>123</v>
      </c>
      <c r="F227" s="45" t="s">
        <v>124</v>
      </c>
      <c r="G227" s="46">
        <v>2479.34</v>
      </c>
      <c r="H227" s="46">
        <v>0</v>
      </c>
      <c r="I227" s="45">
        <v>0</v>
      </c>
      <c r="J227" s="45">
        <v>0</v>
      </c>
      <c r="K227" s="45">
        <v>0</v>
      </c>
      <c r="L227" s="45">
        <v>520.66</v>
      </c>
      <c r="M227" s="45">
        <v>0</v>
      </c>
      <c r="N227" s="46">
        <v>0</v>
      </c>
      <c r="O227" s="46">
        <v>3000</v>
      </c>
    </row>
    <row r="228" spans="2:15">
      <c r="B228" s="43" t="s">
        <v>682</v>
      </c>
      <c r="C228" s="44" t="s">
        <v>687</v>
      </c>
      <c r="D228" s="45" t="s">
        <v>122</v>
      </c>
      <c r="E228" s="45" t="s">
        <v>123</v>
      </c>
      <c r="F228" s="45" t="s">
        <v>124</v>
      </c>
      <c r="G228" s="46">
        <v>7272.73</v>
      </c>
      <c r="H228" s="46">
        <v>0</v>
      </c>
      <c r="I228" s="45">
        <v>0</v>
      </c>
      <c r="J228" s="45">
        <v>0</v>
      </c>
      <c r="K228" s="45">
        <v>0</v>
      </c>
      <c r="L228" s="45">
        <v>1527.27</v>
      </c>
      <c r="M228" s="45">
        <v>0</v>
      </c>
      <c r="N228" s="46">
        <v>0</v>
      </c>
      <c r="O228" s="46">
        <v>8800</v>
      </c>
    </row>
    <row r="229" spans="2:15">
      <c r="B229" s="43" t="s">
        <v>682</v>
      </c>
      <c r="C229" s="44" t="s">
        <v>688</v>
      </c>
      <c r="D229" s="45" t="s">
        <v>122</v>
      </c>
      <c r="E229" s="45" t="s">
        <v>123</v>
      </c>
      <c r="F229" s="45" t="s">
        <v>124</v>
      </c>
      <c r="G229" s="46">
        <v>4876.03</v>
      </c>
      <c r="H229" s="46">
        <v>0</v>
      </c>
      <c r="I229" s="45">
        <v>0</v>
      </c>
      <c r="J229" s="45">
        <v>0</v>
      </c>
      <c r="K229" s="45">
        <v>0</v>
      </c>
      <c r="L229" s="45">
        <v>1023.97</v>
      </c>
      <c r="M229" s="45">
        <v>0</v>
      </c>
      <c r="N229" s="46">
        <v>0</v>
      </c>
      <c r="O229" s="46">
        <v>5900</v>
      </c>
    </row>
    <row r="230" spans="2:15">
      <c r="B230" s="43" t="s">
        <v>682</v>
      </c>
      <c r="C230" s="44" t="s">
        <v>689</v>
      </c>
      <c r="D230" s="45" t="s">
        <v>122</v>
      </c>
      <c r="E230" s="45" t="s">
        <v>123</v>
      </c>
      <c r="F230" s="45" t="s">
        <v>124</v>
      </c>
      <c r="G230" s="46">
        <v>2479.34</v>
      </c>
      <c r="H230" s="46">
        <v>0</v>
      </c>
      <c r="I230" s="45">
        <v>0</v>
      </c>
      <c r="J230" s="45">
        <v>0</v>
      </c>
      <c r="K230" s="45">
        <v>0</v>
      </c>
      <c r="L230" s="45">
        <v>520.66</v>
      </c>
      <c r="M230" s="45">
        <v>0</v>
      </c>
      <c r="N230" s="46">
        <v>0</v>
      </c>
      <c r="O230" s="46">
        <v>3000</v>
      </c>
    </row>
    <row r="231" spans="2:15">
      <c r="B231" s="43" t="s">
        <v>682</v>
      </c>
      <c r="C231" s="44" t="s">
        <v>690</v>
      </c>
      <c r="D231" s="45" t="s">
        <v>122</v>
      </c>
      <c r="E231" s="45" t="s">
        <v>123</v>
      </c>
      <c r="F231" s="45" t="s">
        <v>124</v>
      </c>
      <c r="G231" s="46">
        <v>6942.15</v>
      </c>
      <c r="H231" s="46">
        <v>0</v>
      </c>
      <c r="I231" s="45">
        <v>0</v>
      </c>
      <c r="J231" s="45">
        <v>0</v>
      </c>
      <c r="K231" s="45">
        <v>0</v>
      </c>
      <c r="L231" s="45">
        <v>1457.85</v>
      </c>
      <c r="M231" s="45">
        <v>0</v>
      </c>
      <c r="N231" s="46">
        <v>0</v>
      </c>
      <c r="O231" s="46">
        <v>8400</v>
      </c>
    </row>
    <row r="232" spans="2:15">
      <c r="B232" s="43" t="s">
        <v>682</v>
      </c>
      <c r="C232" s="44" t="s">
        <v>691</v>
      </c>
      <c r="D232" s="45" t="s">
        <v>122</v>
      </c>
      <c r="E232" s="45" t="s">
        <v>123</v>
      </c>
      <c r="F232" s="45" t="s">
        <v>124</v>
      </c>
      <c r="G232" s="46">
        <v>2148.7600000000002</v>
      </c>
      <c r="H232" s="46">
        <v>0</v>
      </c>
      <c r="I232" s="45">
        <v>0</v>
      </c>
      <c r="J232" s="45">
        <v>0</v>
      </c>
      <c r="K232" s="45">
        <v>0</v>
      </c>
      <c r="L232" s="45">
        <v>451.24</v>
      </c>
      <c r="M232" s="45">
        <v>0</v>
      </c>
      <c r="N232" s="46">
        <v>0</v>
      </c>
      <c r="O232" s="46">
        <v>2600</v>
      </c>
    </row>
    <row r="233" spans="2:15">
      <c r="B233" s="43" t="s">
        <v>682</v>
      </c>
      <c r="C233" s="44" t="s">
        <v>692</v>
      </c>
      <c r="D233" s="45" t="s">
        <v>122</v>
      </c>
      <c r="E233" s="45" t="s">
        <v>123</v>
      </c>
      <c r="F233" s="45" t="s">
        <v>124</v>
      </c>
      <c r="G233" s="46">
        <v>2148.7600000000002</v>
      </c>
      <c r="H233" s="46">
        <v>0</v>
      </c>
      <c r="I233" s="45">
        <v>0</v>
      </c>
      <c r="J233" s="45">
        <v>0</v>
      </c>
      <c r="K233" s="45">
        <v>0</v>
      </c>
      <c r="L233" s="45">
        <v>451.24</v>
      </c>
      <c r="M233" s="45">
        <v>0</v>
      </c>
      <c r="N233" s="46">
        <v>0</v>
      </c>
      <c r="O233" s="46">
        <v>2600</v>
      </c>
    </row>
    <row r="234" spans="2:15">
      <c r="B234" s="43" t="s">
        <v>682</v>
      </c>
      <c r="C234" s="44" t="s">
        <v>693</v>
      </c>
      <c r="D234" s="45" t="s">
        <v>122</v>
      </c>
      <c r="E234" s="45" t="s">
        <v>123</v>
      </c>
      <c r="F234" s="45" t="s">
        <v>124</v>
      </c>
      <c r="G234" s="46">
        <v>11157.03</v>
      </c>
      <c r="H234" s="46">
        <v>0</v>
      </c>
      <c r="I234" s="45">
        <v>0</v>
      </c>
      <c r="J234" s="45">
        <v>0</v>
      </c>
      <c r="K234" s="45">
        <v>0</v>
      </c>
      <c r="L234" s="45">
        <v>2342.9700000000003</v>
      </c>
      <c r="M234" s="45">
        <v>0</v>
      </c>
      <c r="N234" s="46">
        <v>0</v>
      </c>
      <c r="O234" s="46">
        <v>13500</v>
      </c>
    </row>
    <row r="235" spans="2:15">
      <c r="B235" s="43" t="s">
        <v>682</v>
      </c>
      <c r="C235" s="44" t="s">
        <v>694</v>
      </c>
      <c r="D235" s="45" t="s">
        <v>122</v>
      </c>
      <c r="E235" s="45" t="s">
        <v>123</v>
      </c>
      <c r="F235" s="45" t="s">
        <v>124</v>
      </c>
      <c r="G235" s="46">
        <v>12148.76</v>
      </c>
      <c r="H235" s="46">
        <v>0</v>
      </c>
      <c r="I235" s="45">
        <v>0</v>
      </c>
      <c r="J235" s="45">
        <v>0</v>
      </c>
      <c r="K235" s="45">
        <v>0</v>
      </c>
      <c r="L235" s="45">
        <v>2551.2400000000002</v>
      </c>
      <c r="M235" s="45">
        <v>0</v>
      </c>
      <c r="N235" s="46">
        <v>0</v>
      </c>
      <c r="O235" s="46">
        <v>14700</v>
      </c>
    </row>
    <row r="236" spans="2:15">
      <c r="B236" s="43" t="s">
        <v>682</v>
      </c>
      <c r="C236" s="44" t="s">
        <v>695</v>
      </c>
      <c r="D236" s="45" t="s">
        <v>122</v>
      </c>
      <c r="E236" s="45" t="s">
        <v>123</v>
      </c>
      <c r="F236" s="45" t="s">
        <v>124</v>
      </c>
      <c r="G236" s="46">
        <v>3636.36</v>
      </c>
      <c r="H236" s="46">
        <v>0</v>
      </c>
      <c r="I236" s="45">
        <v>0</v>
      </c>
      <c r="J236" s="45">
        <v>0</v>
      </c>
      <c r="K236" s="45">
        <v>0</v>
      </c>
      <c r="L236" s="45">
        <v>763.64</v>
      </c>
      <c r="M236" s="45">
        <v>0</v>
      </c>
      <c r="N236" s="46">
        <v>0</v>
      </c>
      <c r="O236" s="46">
        <v>4400</v>
      </c>
    </row>
    <row r="237" spans="2:15">
      <c r="B237" s="43" t="s">
        <v>441</v>
      </c>
      <c r="C237" s="44" t="s">
        <v>696</v>
      </c>
      <c r="D237" s="45" t="s">
        <v>122</v>
      </c>
      <c r="E237" s="45" t="s">
        <v>123</v>
      </c>
      <c r="F237" s="45" t="s">
        <v>124</v>
      </c>
      <c r="G237" s="46">
        <v>4462.8100000000004</v>
      </c>
      <c r="H237" s="46">
        <v>0</v>
      </c>
      <c r="I237" s="45">
        <v>0</v>
      </c>
      <c r="J237" s="45">
        <v>0</v>
      </c>
      <c r="K237" s="45">
        <v>0</v>
      </c>
      <c r="L237" s="45">
        <v>937.19</v>
      </c>
      <c r="M237" s="45">
        <v>0</v>
      </c>
      <c r="N237" s="46">
        <v>0</v>
      </c>
      <c r="O237" s="46">
        <v>5400</v>
      </c>
    </row>
    <row r="238" spans="2:15">
      <c r="B238" s="43" t="s">
        <v>441</v>
      </c>
      <c r="C238" s="44" t="s">
        <v>697</v>
      </c>
      <c r="D238" s="45" t="s">
        <v>122</v>
      </c>
      <c r="E238" s="45" t="s">
        <v>123</v>
      </c>
      <c r="F238" s="45" t="s">
        <v>124</v>
      </c>
      <c r="G238" s="46">
        <v>3305.79</v>
      </c>
      <c r="H238" s="46">
        <v>0</v>
      </c>
      <c r="I238" s="45">
        <v>0</v>
      </c>
      <c r="J238" s="45">
        <v>0</v>
      </c>
      <c r="K238" s="45">
        <v>0</v>
      </c>
      <c r="L238" s="45">
        <v>694.21</v>
      </c>
      <c r="M238" s="45">
        <v>0</v>
      </c>
      <c r="N238" s="46">
        <v>0</v>
      </c>
      <c r="O238" s="46">
        <v>4000</v>
      </c>
    </row>
    <row r="239" spans="2:15">
      <c r="B239" s="43" t="s">
        <v>441</v>
      </c>
      <c r="C239" s="44" t="s">
        <v>698</v>
      </c>
      <c r="D239" s="45" t="s">
        <v>122</v>
      </c>
      <c r="E239" s="45" t="s">
        <v>123</v>
      </c>
      <c r="F239" s="45" t="s">
        <v>124</v>
      </c>
      <c r="G239" s="46">
        <v>4297.5200000000004</v>
      </c>
      <c r="H239" s="46">
        <v>0</v>
      </c>
      <c r="I239" s="45">
        <v>0</v>
      </c>
      <c r="J239" s="45">
        <v>0</v>
      </c>
      <c r="K239" s="45">
        <v>0</v>
      </c>
      <c r="L239" s="45">
        <v>902.48</v>
      </c>
      <c r="M239" s="45">
        <v>0</v>
      </c>
      <c r="N239" s="46">
        <v>0</v>
      </c>
      <c r="O239" s="46">
        <v>5200</v>
      </c>
    </row>
    <row r="240" spans="2:15">
      <c r="B240" s="43" t="s">
        <v>441</v>
      </c>
      <c r="C240" s="44" t="s">
        <v>699</v>
      </c>
      <c r="D240" s="45" t="s">
        <v>122</v>
      </c>
      <c r="E240" s="45" t="s">
        <v>123</v>
      </c>
      <c r="F240" s="45" t="s">
        <v>124</v>
      </c>
      <c r="G240" s="46">
        <v>3305.79</v>
      </c>
      <c r="H240" s="46">
        <v>0</v>
      </c>
      <c r="I240" s="45">
        <v>0</v>
      </c>
      <c r="J240" s="45">
        <v>0</v>
      </c>
      <c r="K240" s="45">
        <v>0</v>
      </c>
      <c r="L240" s="45">
        <v>694.21</v>
      </c>
      <c r="M240" s="45">
        <v>0</v>
      </c>
      <c r="N240" s="46">
        <v>0</v>
      </c>
      <c r="O240" s="46">
        <v>4000</v>
      </c>
    </row>
    <row r="241" spans="2:15">
      <c r="B241" s="43" t="s">
        <v>441</v>
      </c>
      <c r="C241" s="44" t="s">
        <v>700</v>
      </c>
      <c r="D241" s="45" t="s">
        <v>122</v>
      </c>
      <c r="E241" s="45" t="s">
        <v>123</v>
      </c>
      <c r="F241" s="45" t="s">
        <v>124</v>
      </c>
      <c r="G241" s="46">
        <v>4876.03</v>
      </c>
      <c r="H241" s="46">
        <v>0</v>
      </c>
      <c r="I241" s="45">
        <v>0</v>
      </c>
      <c r="J241" s="45">
        <v>0</v>
      </c>
      <c r="K241" s="45">
        <v>0</v>
      </c>
      <c r="L241" s="45">
        <v>1023.97</v>
      </c>
      <c r="M241" s="45">
        <v>0</v>
      </c>
      <c r="N241" s="46">
        <v>0</v>
      </c>
      <c r="O241" s="46">
        <v>5900</v>
      </c>
    </row>
    <row r="242" spans="2:15">
      <c r="B242" s="43" t="s">
        <v>441</v>
      </c>
      <c r="C242" s="44" t="s">
        <v>701</v>
      </c>
      <c r="D242" s="45" t="s">
        <v>122</v>
      </c>
      <c r="E242" s="45" t="s">
        <v>123</v>
      </c>
      <c r="F242" s="45" t="s">
        <v>124</v>
      </c>
      <c r="G242" s="46">
        <v>2066.12</v>
      </c>
      <c r="H242" s="46">
        <v>0</v>
      </c>
      <c r="I242" s="45">
        <v>0</v>
      </c>
      <c r="J242" s="45">
        <v>0</v>
      </c>
      <c r="K242" s="45">
        <v>0</v>
      </c>
      <c r="L242" s="45">
        <v>433.88</v>
      </c>
      <c r="M242" s="45">
        <v>0</v>
      </c>
      <c r="N242" s="46">
        <v>0</v>
      </c>
      <c r="O242" s="46">
        <v>2500</v>
      </c>
    </row>
    <row r="243" spans="2:15">
      <c r="B243" s="43" t="s">
        <v>441</v>
      </c>
      <c r="C243" s="44" t="s">
        <v>702</v>
      </c>
      <c r="D243" s="45" t="s">
        <v>122</v>
      </c>
      <c r="E243" s="45" t="s">
        <v>123</v>
      </c>
      <c r="F243" s="45" t="s">
        <v>124</v>
      </c>
      <c r="G243" s="46">
        <v>4504.13</v>
      </c>
      <c r="H243" s="46">
        <v>0</v>
      </c>
      <c r="I243" s="45">
        <v>0</v>
      </c>
      <c r="J243" s="45">
        <v>0</v>
      </c>
      <c r="K243" s="45">
        <v>0</v>
      </c>
      <c r="L243" s="45">
        <v>945.87</v>
      </c>
      <c r="M243" s="45">
        <v>0</v>
      </c>
      <c r="N243" s="46">
        <v>0</v>
      </c>
      <c r="O243" s="46">
        <v>5450</v>
      </c>
    </row>
    <row r="244" spans="2:15">
      <c r="B244" s="43" t="s">
        <v>441</v>
      </c>
      <c r="C244" s="44" t="s">
        <v>703</v>
      </c>
      <c r="D244" s="45" t="s">
        <v>122</v>
      </c>
      <c r="E244" s="45" t="s">
        <v>123</v>
      </c>
      <c r="F244" s="45" t="s">
        <v>124</v>
      </c>
      <c r="G244" s="46">
        <v>5289.26</v>
      </c>
      <c r="H244" s="46">
        <v>0</v>
      </c>
      <c r="I244" s="45">
        <v>0</v>
      </c>
      <c r="J244" s="45">
        <v>0</v>
      </c>
      <c r="K244" s="45">
        <v>0</v>
      </c>
      <c r="L244" s="45">
        <v>1110.74</v>
      </c>
      <c r="M244" s="45">
        <v>0</v>
      </c>
      <c r="N244" s="46">
        <v>0</v>
      </c>
      <c r="O244" s="46">
        <v>6400</v>
      </c>
    </row>
    <row r="245" spans="2:15">
      <c r="B245" s="43" t="s">
        <v>441</v>
      </c>
      <c r="C245" s="44" t="s">
        <v>704</v>
      </c>
      <c r="D245" s="45" t="s">
        <v>122</v>
      </c>
      <c r="E245" s="45" t="s">
        <v>123</v>
      </c>
      <c r="F245" s="45" t="s">
        <v>124</v>
      </c>
      <c r="G245" s="46">
        <v>7272.73</v>
      </c>
      <c r="H245" s="46">
        <v>0</v>
      </c>
      <c r="I245" s="45">
        <v>0</v>
      </c>
      <c r="J245" s="45">
        <v>0</v>
      </c>
      <c r="K245" s="45">
        <v>0</v>
      </c>
      <c r="L245" s="45">
        <v>1527.27</v>
      </c>
      <c r="M245" s="45">
        <v>0</v>
      </c>
      <c r="N245" s="46">
        <v>0</v>
      </c>
      <c r="O245" s="46">
        <v>8800</v>
      </c>
    </row>
    <row r="246" spans="2:15">
      <c r="B246" s="43" t="s">
        <v>441</v>
      </c>
      <c r="C246" s="44" t="s">
        <v>705</v>
      </c>
      <c r="D246" s="45" t="s">
        <v>706</v>
      </c>
      <c r="E246" s="45" t="s">
        <v>123</v>
      </c>
      <c r="F246" s="45">
        <v>4358855</v>
      </c>
      <c r="G246" s="46">
        <v>12528.93</v>
      </c>
      <c r="H246" s="46">
        <v>0</v>
      </c>
      <c r="I246" s="45">
        <v>0</v>
      </c>
      <c r="J246" s="45">
        <v>0</v>
      </c>
      <c r="K246" s="45">
        <v>0</v>
      </c>
      <c r="L246" s="45">
        <v>2631.07</v>
      </c>
      <c r="M246" s="45">
        <v>0</v>
      </c>
      <c r="N246" s="46">
        <v>0</v>
      </c>
      <c r="O246" s="46">
        <v>15160</v>
      </c>
    </row>
    <row r="247" spans="2:15">
      <c r="B247" s="43" t="s">
        <v>441</v>
      </c>
      <c r="C247" s="44" t="s">
        <v>707</v>
      </c>
      <c r="D247" s="45" t="s">
        <v>122</v>
      </c>
      <c r="E247" s="45" t="s">
        <v>123</v>
      </c>
      <c r="F247" s="45" t="s">
        <v>124</v>
      </c>
      <c r="G247" s="46">
        <v>4876.03</v>
      </c>
      <c r="H247" s="46">
        <v>0</v>
      </c>
      <c r="I247" s="45">
        <v>0</v>
      </c>
      <c r="J247" s="45">
        <v>0</v>
      </c>
      <c r="K247" s="45">
        <v>0</v>
      </c>
      <c r="L247" s="45">
        <v>1023.97</v>
      </c>
      <c r="M247" s="45">
        <v>0</v>
      </c>
      <c r="N247" s="46">
        <v>0</v>
      </c>
      <c r="O247" s="46">
        <v>5900</v>
      </c>
    </row>
    <row r="248" spans="2:15">
      <c r="B248" s="43" t="s">
        <v>505</v>
      </c>
      <c r="C248" s="44" t="s">
        <v>708</v>
      </c>
      <c r="D248" s="45" t="s">
        <v>122</v>
      </c>
      <c r="E248" s="45" t="s">
        <v>123</v>
      </c>
      <c r="F248" s="45" t="s">
        <v>124</v>
      </c>
      <c r="G248" s="46">
        <v>10000</v>
      </c>
      <c r="H248" s="46">
        <v>0</v>
      </c>
      <c r="I248" s="45">
        <v>0</v>
      </c>
      <c r="J248" s="45">
        <v>0</v>
      </c>
      <c r="K248" s="45">
        <v>0</v>
      </c>
      <c r="L248" s="45">
        <v>2100</v>
      </c>
      <c r="M248" s="45">
        <v>0</v>
      </c>
      <c r="N248" s="46">
        <v>0</v>
      </c>
      <c r="O248" s="46">
        <v>12100</v>
      </c>
    </row>
    <row r="249" spans="2:15">
      <c r="B249" s="43" t="s">
        <v>505</v>
      </c>
      <c r="C249" s="44" t="s">
        <v>709</v>
      </c>
      <c r="D249" s="45" t="s">
        <v>122</v>
      </c>
      <c r="E249" s="45" t="s">
        <v>123</v>
      </c>
      <c r="F249" s="45" t="s">
        <v>124</v>
      </c>
      <c r="G249" s="46">
        <v>7768.6</v>
      </c>
      <c r="H249" s="46">
        <v>0</v>
      </c>
      <c r="I249" s="45">
        <v>0</v>
      </c>
      <c r="J249" s="45">
        <v>0</v>
      </c>
      <c r="K249" s="45">
        <v>0</v>
      </c>
      <c r="L249" s="45">
        <v>1631.4</v>
      </c>
      <c r="M249" s="45">
        <v>0</v>
      </c>
      <c r="N249" s="46">
        <v>0</v>
      </c>
      <c r="O249" s="46">
        <v>9400</v>
      </c>
    </row>
    <row r="250" spans="2:15">
      <c r="B250" s="43" t="s">
        <v>505</v>
      </c>
      <c r="C250" s="44" t="s">
        <v>710</v>
      </c>
      <c r="D250" s="45" t="s">
        <v>122</v>
      </c>
      <c r="E250" s="45" t="s">
        <v>123</v>
      </c>
      <c r="F250" s="45" t="s">
        <v>124</v>
      </c>
      <c r="G250" s="46">
        <v>4504.13</v>
      </c>
      <c r="H250" s="46">
        <v>0</v>
      </c>
      <c r="I250" s="45">
        <v>0</v>
      </c>
      <c r="J250" s="45">
        <v>0</v>
      </c>
      <c r="K250" s="45">
        <v>0</v>
      </c>
      <c r="L250" s="45">
        <v>945.87</v>
      </c>
      <c r="M250" s="45">
        <v>0</v>
      </c>
      <c r="N250" s="46">
        <v>0</v>
      </c>
      <c r="O250" s="46">
        <v>5450</v>
      </c>
    </row>
    <row r="251" spans="2:15">
      <c r="B251" s="43" t="s">
        <v>505</v>
      </c>
      <c r="C251" s="44" t="s">
        <v>711</v>
      </c>
      <c r="D251" s="45" t="s">
        <v>122</v>
      </c>
      <c r="E251" s="45" t="s">
        <v>123</v>
      </c>
      <c r="F251" s="45" t="s">
        <v>124</v>
      </c>
      <c r="G251" s="46">
        <v>15041.33</v>
      </c>
      <c r="H251" s="46">
        <v>0</v>
      </c>
      <c r="I251" s="45">
        <v>0</v>
      </c>
      <c r="J251" s="45">
        <v>0</v>
      </c>
      <c r="K251" s="45">
        <v>0</v>
      </c>
      <c r="L251" s="45">
        <v>3158.67</v>
      </c>
      <c r="M251" s="45">
        <v>0</v>
      </c>
      <c r="N251" s="46">
        <v>0</v>
      </c>
      <c r="O251" s="46">
        <v>18200</v>
      </c>
    </row>
    <row r="252" spans="2:15">
      <c r="B252" s="43" t="s">
        <v>505</v>
      </c>
      <c r="C252" s="44" t="s">
        <v>712</v>
      </c>
      <c r="D252" s="45" t="s">
        <v>122</v>
      </c>
      <c r="E252" s="45" t="s">
        <v>123</v>
      </c>
      <c r="F252" s="45" t="s">
        <v>124</v>
      </c>
      <c r="G252" s="46">
        <v>9917.36</v>
      </c>
      <c r="H252" s="46">
        <v>0</v>
      </c>
      <c r="I252" s="45">
        <v>0</v>
      </c>
      <c r="J252" s="45">
        <v>0</v>
      </c>
      <c r="K252" s="45">
        <v>0</v>
      </c>
      <c r="L252" s="45">
        <v>2082.64</v>
      </c>
      <c r="M252" s="45">
        <v>0</v>
      </c>
      <c r="N252" s="46">
        <v>0</v>
      </c>
      <c r="O252" s="46">
        <v>12000</v>
      </c>
    </row>
    <row r="253" spans="2:15">
      <c r="B253" s="43" t="s">
        <v>505</v>
      </c>
      <c r="C253" s="44" t="s">
        <v>713</v>
      </c>
      <c r="D253" s="45" t="s">
        <v>122</v>
      </c>
      <c r="E253" s="45" t="s">
        <v>123</v>
      </c>
      <c r="F253" s="45" t="s">
        <v>124</v>
      </c>
      <c r="G253" s="46">
        <v>2396.69</v>
      </c>
      <c r="H253" s="46">
        <v>0</v>
      </c>
      <c r="I253" s="45">
        <v>0</v>
      </c>
      <c r="J253" s="45">
        <v>0</v>
      </c>
      <c r="K253" s="45">
        <v>0</v>
      </c>
      <c r="L253" s="45">
        <v>503.31</v>
      </c>
      <c r="M253" s="45">
        <v>0</v>
      </c>
      <c r="N253" s="46">
        <v>0</v>
      </c>
      <c r="O253" s="46">
        <v>2900</v>
      </c>
    </row>
    <row r="254" spans="2:15">
      <c r="B254" s="43" t="s">
        <v>714</v>
      </c>
      <c r="C254" s="44" t="s">
        <v>715</v>
      </c>
      <c r="D254" s="45" t="s">
        <v>122</v>
      </c>
      <c r="E254" s="45" t="s">
        <v>123</v>
      </c>
      <c r="F254" s="45" t="s">
        <v>124</v>
      </c>
      <c r="G254" s="46">
        <v>2479.34</v>
      </c>
      <c r="H254" s="46">
        <v>0</v>
      </c>
      <c r="I254" s="45">
        <v>0</v>
      </c>
      <c r="J254" s="45">
        <v>0</v>
      </c>
      <c r="K254" s="45">
        <v>0</v>
      </c>
      <c r="L254" s="45">
        <v>520.66</v>
      </c>
      <c r="M254" s="45">
        <v>0</v>
      </c>
      <c r="N254" s="46">
        <v>0</v>
      </c>
      <c r="O254" s="46">
        <v>3000</v>
      </c>
    </row>
    <row r="255" spans="2:15">
      <c r="B255" s="43" t="s">
        <v>714</v>
      </c>
      <c r="C255" s="44" t="s">
        <v>716</v>
      </c>
      <c r="D255" s="45" t="s">
        <v>122</v>
      </c>
      <c r="E255" s="45" t="s">
        <v>123</v>
      </c>
      <c r="F255" s="45" t="s">
        <v>124</v>
      </c>
      <c r="G255" s="46">
        <v>3305.79</v>
      </c>
      <c r="H255" s="46">
        <v>0</v>
      </c>
      <c r="I255" s="45">
        <v>0</v>
      </c>
      <c r="J255" s="45">
        <v>0</v>
      </c>
      <c r="K255" s="45">
        <v>0</v>
      </c>
      <c r="L255" s="45">
        <v>694.21</v>
      </c>
      <c r="M255" s="45">
        <v>0</v>
      </c>
      <c r="N255" s="46">
        <v>0</v>
      </c>
      <c r="O255" s="46">
        <v>4000</v>
      </c>
    </row>
    <row r="256" spans="2:15">
      <c r="B256" s="43" t="s">
        <v>714</v>
      </c>
      <c r="C256" s="44" t="s">
        <v>717</v>
      </c>
      <c r="D256" s="45" t="s">
        <v>122</v>
      </c>
      <c r="E256" s="45" t="s">
        <v>123</v>
      </c>
      <c r="F256" s="45" t="s">
        <v>124</v>
      </c>
      <c r="G256" s="46">
        <v>5785.12</v>
      </c>
      <c r="H256" s="46">
        <v>0</v>
      </c>
      <c r="I256" s="45">
        <v>0</v>
      </c>
      <c r="J256" s="45">
        <v>0</v>
      </c>
      <c r="K256" s="45">
        <v>0</v>
      </c>
      <c r="L256" s="45">
        <v>1214.8800000000001</v>
      </c>
      <c r="M256" s="45">
        <v>0</v>
      </c>
      <c r="N256" s="46">
        <v>0</v>
      </c>
      <c r="O256" s="46">
        <v>7000</v>
      </c>
    </row>
    <row r="257" spans="2:15">
      <c r="B257" s="43" t="s">
        <v>714</v>
      </c>
      <c r="C257" s="44" t="s">
        <v>718</v>
      </c>
      <c r="D257" s="45" t="s">
        <v>122</v>
      </c>
      <c r="E257" s="45" t="s">
        <v>123</v>
      </c>
      <c r="F257" s="45" t="s">
        <v>124</v>
      </c>
      <c r="G257" s="46">
        <v>2479.34</v>
      </c>
      <c r="H257" s="46">
        <v>0</v>
      </c>
      <c r="I257" s="45">
        <v>0</v>
      </c>
      <c r="J257" s="45">
        <v>0</v>
      </c>
      <c r="K257" s="45">
        <v>0</v>
      </c>
      <c r="L257" s="45">
        <v>520.66</v>
      </c>
      <c r="M257" s="45">
        <v>0</v>
      </c>
      <c r="N257" s="46">
        <v>0</v>
      </c>
      <c r="O257" s="46">
        <v>3000</v>
      </c>
    </row>
    <row r="258" spans="2:15">
      <c r="B258" s="43" t="s">
        <v>714</v>
      </c>
      <c r="C258" s="44" t="s">
        <v>719</v>
      </c>
      <c r="D258" s="45" t="s">
        <v>122</v>
      </c>
      <c r="E258" s="45" t="s">
        <v>123</v>
      </c>
      <c r="F258" s="45" t="s">
        <v>124</v>
      </c>
      <c r="G258" s="46">
        <v>2396.69</v>
      </c>
      <c r="H258" s="46">
        <v>0</v>
      </c>
      <c r="I258" s="45">
        <v>0</v>
      </c>
      <c r="J258" s="45">
        <v>0</v>
      </c>
      <c r="K258" s="45">
        <v>0</v>
      </c>
      <c r="L258" s="45">
        <v>503.31</v>
      </c>
      <c r="M258" s="45">
        <v>0</v>
      </c>
      <c r="N258" s="46">
        <v>0</v>
      </c>
      <c r="O258" s="46">
        <v>2900</v>
      </c>
    </row>
    <row r="259" spans="2:15">
      <c r="B259" s="43" t="s">
        <v>714</v>
      </c>
      <c r="C259" s="44" t="s">
        <v>720</v>
      </c>
      <c r="D259" s="45" t="s">
        <v>122</v>
      </c>
      <c r="E259" s="45" t="s">
        <v>123</v>
      </c>
      <c r="F259" s="45" t="s">
        <v>124</v>
      </c>
      <c r="G259" s="46">
        <v>2314.0500000000002</v>
      </c>
      <c r="H259" s="46">
        <v>0</v>
      </c>
      <c r="I259" s="45">
        <v>0</v>
      </c>
      <c r="J259" s="45">
        <v>0</v>
      </c>
      <c r="K259" s="45">
        <v>0</v>
      </c>
      <c r="L259" s="45">
        <v>485.95</v>
      </c>
      <c r="M259" s="45">
        <v>0</v>
      </c>
      <c r="N259" s="46">
        <v>0</v>
      </c>
      <c r="O259" s="46">
        <v>2800</v>
      </c>
    </row>
    <row r="260" spans="2:15">
      <c r="B260" s="43" t="s">
        <v>714</v>
      </c>
      <c r="C260" s="44" t="s">
        <v>721</v>
      </c>
      <c r="D260" s="45" t="s">
        <v>122</v>
      </c>
      <c r="E260" s="45" t="s">
        <v>123</v>
      </c>
      <c r="F260" s="45" t="s">
        <v>124</v>
      </c>
      <c r="G260" s="46">
        <v>2066.12</v>
      </c>
      <c r="H260" s="46">
        <v>0</v>
      </c>
      <c r="I260" s="45">
        <v>0</v>
      </c>
      <c r="J260" s="45">
        <v>0</v>
      </c>
      <c r="K260" s="45">
        <v>0</v>
      </c>
      <c r="L260" s="45">
        <v>433.88</v>
      </c>
      <c r="M260" s="45">
        <v>0</v>
      </c>
      <c r="N260" s="46">
        <v>0</v>
      </c>
      <c r="O260" s="46">
        <v>2500</v>
      </c>
    </row>
    <row r="261" spans="2:15">
      <c r="B261" s="43" t="s">
        <v>714</v>
      </c>
      <c r="C261" s="44" t="s">
        <v>722</v>
      </c>
      <c r="D261" s="45" t="s">
        <v>122</v>
      </c>
      <c r="E261" s="45" t="s">
        <v>123</v>
      </c>
      <c r="F261" s="45" t="s">
        <v>124</v>
      </c>
      <c r="G261" s="46">
        <v>5495.87</v>
      </c>
      <c r="H261" s="46">
        <v>0</v>
      </c>
      <c r="I261" s="45">
        <v>0</v>
      </c>
      <c r="J261" s="45">
        <v>0</v>
      </c>
      <c r="K261" s="45">
        <v>0</v>
      </c>
      <c r="L261" s="45">
        <v>1154.1300000000001</v>
      </c>
      <c r="M261" s="45">
        <v>0</v>
      </c>
      <c r="N261" s="46">
        <v>0</v>
      </c>
      <c r="O261" s="46">
        <v>6650</v>
      </c>
    </row>
    <row r="262" spans="2:15">
      <c r="B262" s="43" t="s">
        <v>714</v>
      </c>
      <c r="C262" s="44" t="s">
        <v>723</v>
      </c>
      <c r="D262" s="45" t="s">
        <v>724</v>
      </c>
      <c r="E262" s="45" t="s">
        <v>123</v>
      </c>
      <c r="F262" s="45">
        <v>54629693</v>
      </c>
      <c r="G262" s="46">
        <v>73884.3</v>
      </c>
      <c r="H262" s="46">
        <v>0</v>
      </c>
      <c r="I262" s="45">
        <v>0</v>
      </c>
      <c r="J262" s="45">
        <v>0</v>
      </c>
      <c r="K262" s="45">
        <v>0</v>
      </c>
      <c r="L262" s="45">
        <v>15515.7</v>
      </c>
      <c r="M262" s="45">
        <v>0</v>
      </c>
      <c r="N262" s="46">
        <v>0</v>
      </c>
      <c r="O262" s="46">
        <v>89400</v>
      </c>
    </row>
    <row r="263" spans="2:15">
      <c r="B263" s="43" t="s">
        <v>714</v>
      </c>
      <c r="C263" s="44" t="s">
        <v>725</v>
      </c>
      <c r="D263" s="45" t="s">
        <v>726</v>
      </c>
      <c r="E263" s="45" t="s">
        <v>123</v>
      </c>
      <c r="F263" s="45">
        <v>49623209</v>
      </c>
      <c r="G263" s="46">
        <v>7768.6</v>
      </c>
      <c r="H263" s="46">
        <v>0</v>
      </c>
      <c r="I263" s="45">
        <v>0</v>
      </c>
      <c r="J263" s="45">
        <v>0</v>
      </c>
      <c r="K263" s="45">
        <v>0</v>
      </c>
      <c r="L263" s="45">
        <v>1631.4</v>
      </c>
      <c r="M263" s="45">
        <v>0</v>
      </c>
      <c r="N263" s="46">
        <v>0</v>
      </c>
      <c r="O263" s="46">
        <v>9400</v>
      </c>
    </row>
    <row r="264" spans="2:15">
      <c r="B264" s="43" t="s">
        <v>714</v>
      </c>
      <c r="C264" s="44" t="s">
        <v>727</v>
      </c>
      <c r="D264" s="45" t="s">
        <v>122</v>
      </c>
      <c r="E264" s="45" t="s">
        <v>123</v>
      </c>
      <c r="F264" s="45" t="s">
        <v>124</v>
      </c>
      <c r="G264" s="46">
        <v>1652.89</v>
      </c>
      <c r="H264" s="46">
        <v>0</v>
      </c>
      <c r="I264" s="45">
        <v>0</v>
      </c>
      <c r="J264" s="45">
        <v>0</v>
      </c>
      <c r="K264" s="45">
        <v>0</v>
      </c>
      <c r="L264" s="45">
        <v>347.11</v>
      </c>
      <c r="M264" s="45">
        <v>0</v>
      </c>
      <c r="N264" s="46">
        <v>0</v>
      </c>
      <c r="O264" s="46">
        <v>2000</v>
      </c>
    </row>
    <row r="265" spans="2:15">
      <c r="B265" s="43" t="s">
        <v>714</v>
      </c>
      <c r="C265" s="44" t="s">
        <v>728</v>
      </c>
      <c r="D265" s="45" t="s">
        <v>122</v>
      </c>
      <c r="E265" s="45" t="s">
        <v>123</v>
      </c>
      <c r="F265" s="45" t="s">
        <v>124</v>
      </c>
      <c r="G265" s="46">
        <v>10495.87</v>
      </c>
      <c r="H265" s="46">
        <v>0</v>
      </c>
      <c r="I265" s="45">
        <v>0</v>
      </c>
      <c r="J265" s="45">
        <v>0</v>
      </c>
      <c r="K265" s="45">
        <v>0</v>
      </c>
      <c r="L265" s="45">
        <v>2204.13</v>
      </c>
      <c r="M265" s="45">
        <v>0</v>
      </c>
      <c r="N265" s="46">
        <v>0</v>
      </c>
      <c r="O265" s="46">
        <v>12700</v>
      </c>
    </row>
    <row r="266" spans="2:15">
      <c r="B266" s="43" t="s">
        <v>714</v>
      </c>
      <c r="C266" s="44" t="s">
        <v>729</v>
      </c>
      <c r="D266" s="45" t="s">
        <v>122</v>
      </c>
      <c r="E266" s="45" t="s">
        <v>123</v>
      </c>
      <c r="F266" s="45" t="s">
        <v>124</v>
      </c>
      <c r="G266" s="46">
        <v>3884.3</v>
      </c>
      <c r="H266" s="46">
        <v>0</v>
      </c>
      <c r="I266" s="45">
        <v>0</v>
      </c>
      <c r="J266" s="45">
        <v>0</v>
      </c>
      <c r="K266" s="45">
        <v>0</v>
      </c>
      <c r="L266" s="45">
        <v>815.7</v>
      </c>
      <c r="M266" s="45">
        <v>0</v>
      </c>
      <c r="N266" s="46">
        <v>0</v>
      </c>
      <c r="O266" s="46">
        <v>4700</v>
      </c>
    </row>
    <row r="267" spans="2:15">
      <c r="B267" s="43" t="s">
        <v>714</v>
      </c>
      <c r="C267" s="44" t="s">
        <v>730</v>
      </c>
      <c r="D267" s="45" t="s">
        <v>122</v>
      </c>
      <c r="E267" s="45" t="s">
        <v>123</v>
      </c>
      <c r="F267" s="45" t="s">
        <v>124</v>
      </c>
      <c r="G267" s="46">
        <v>4628.1000000000004</v>
      </c>
      <c r="H267" s="46">
        <v>0</v>
      </c>
      <c r="I267" s="45">
        <v>0</v>
      </c>
      <c r="J267" s="45">
        <v>0</v>
      </c>
      <c r="K267" s="45">
        <v>0</v>
      </c>
      <c r="L267" s="45">
        <v>971.9</v>
      </c>
      <c r="M267" s="45">
        <v>0</v>
      </c>
      <c r="N267" s="46">
        <v>0</v>
      </c>
      <c r="O267" s="46">
        <v>5600</v>
      </c>
    </row>
    <row r="268" spans="2:15">
      <c r="B268" s="43" t="s">
        <v>461</v>
      </c>
      <c r="C268" s="44" t="s">
        <v>731</v>
      </c>
      <c r="D268" s="45" t="s">
        <v>275</v>
      </c>
      <c r="E268" s="45" t="s">
        <v>276</v>
      </c>
      <c r="F268" s="45">
        <v>30590354798</v>
      </c>
      <c r="G268" s="46">
        <v>225840.16</v>
      </c>
      <c r="H268" s="46">
        <v>0</v>
      </c>
      <c r="I268" s="45">
        <v>0</v>
      </c>
      <c r="J268" s="45">
        <v>0</v>
      </c>
      <c r="K268" s="45">
        <v>0</v>
      </c>
      <c r="L268" s="45">
        <v>47426.43</v>
      </c>
      <c r="M268" s="45">
        <v>0</v>
      </c>
      <c r="N268" s="46">
        <v>0</v>
      </c>
      <c r="O268" s="46">
        <v>273266.59000000003</v>
      </c>
    </row>
    <row r="269" spans="2:15">
      <c r="B269" s="43" t="s">
        <v>465</v>
      </c>
      <c r="C269" s="44" t="s">
        <v>732</v>
      </c>
      <c r="D269" s="45" t="s">
        <v>321</v>
      </c>
      <c r="E269" s="45" t="s">
        <v>123</v>
      </c>
      <c r="F269" s="45" t="s">
        <v>124</v>
      </c>
      <c r="G269" s="46">
        <v>1239.6600000000001</v>
      </c>
      <c r="H269" s="46">
        <v>0</v>
      </c>
      <c r="I269" s="45">
        <v>0</v>
      </c>
      <c r="J269" s="45">
        <v>0</v>
      </c>
      <c r="K269" s="45">
        <v>0</v>
      </c>
      <c r="L269" s="45">
        <v>260.34000000000003</v>
      </c>
      <c r="M269" s="45">
        <v>0</v>
      </c>
      <c r="N269" s="46">
        <v>0</v>
      </c>
      <c r="O269" s="46">
        <v>1500</v>
      </c>
    </row>
    <row r="270" spans="2:15">
      <c r="B270" s="43" t="s">
        <v>465</v>
      </c>
      <c r="C270" s="44" t="s">
        <v>733</v>
      </c>
      <c r="D270" s="45" t="s">
        <v>321</v>
      </c>
      <c r="E270" s="45" t="s">
        <v>123</v>
      </c>
      <c r="F270" s="45" t="s">
        <v>124</v>
      </c>
      <c r="G270" s="46">
        <v>1487.61</v>
      </c>
      <c r="H270" s="46">
        <v>0</v>
      </c>
      <c r="I270" s="45">
        <v>0</v>
      </c>
      <c r="J270" s="45">
        <v>0</v>
      </c>
      <c r="K270" s="45">
        <v>0</v>
      </c>
      <c r="L270" s="45">
        <v>312.39</v>
      </c>
      <c r="M270" s="45">
        <v>0</v>
      </c>
      <c r="N270" s="46">
        <v>0</v>
      </c>
      <c r="O270" s="46">
        <v>1800</v>
      </c>
    </row>
    <row r="271" spans="2:15">
      <c r="B271" s="43" t="s">
        <v>465</v>
      </c>
      <c r="C271" s="44" t="s">
        <v>734</v>
      </c>
      <c r="D271" s="45" t="s">
        <v>302</v>
      </c>
      <c r="E271" s="45" t="s">
        <v>123</v>
      </c>
      <c r="F271" s="45">
        <v>4648296</v>
      </c>
      <c r="G271" s="46">
        <v>4132.2300000000005</v>
      </c>
      <c r="H271" s="46">
        <v>0</v>
      </c>
      <c r="I271" s="45">
        <v>0</v>
      </c>
      <c r="J271" s="45">
        <v>0</v>
      </c>
      <c r="K271" s="45">
        <v>0</v>
      </c>
      <c r="L271" s="45">
        <v>867.77</v>
      </c>
      <c r="M271" s="45">
        <v>0</v>
      </c>
      <c r="N271" s="46">
        <v>0</v>
      </c>
      <c r="O271" s="46">
        <v>5000</v>
      </c>
    </row>
    <row r="272" spans="2:15">
      <c r="B272" s="43" t="s">
        <v>465</v>
      </c>
      <c r="C272" s="44" t="s">
        <v>735</v>
      </c>
      <c r="D272" s="45" t="s">
        <v>348</v>
      </c>
      <c r="E272" s="45" t="s">
        <v>123</v>
      </c>
      <c r="F272" s="45">
        <v>26542077</v>
      </c>
      <c r="G272" s="46">
        <v>8677.68</v>
      </c>
      <c r="H272" s="46">
        <v>0</v>
      </c>
      <c r="I272" s="45">
        <v>0</v>
      </c>
      <c r="J272" s="45">
        <v>0</v>
      </c>
      <c r="K272" s="45">
        <v>0</v>
      </c>
      <c r="L272" s="45">
        <v>1822.32</v>
      </c>
      <c r="M272" s="45">
        <v>0</v>
      </c>
      <c r="N272" s="46">
        <v>0</v>
      </c>
      <c r="O272" s="46">
        <v>10500</v>
      </c>
    </row>
    <row r="273" spans="2:15">
      <c r="B273" s="43" t="s">
        <v>465</v>
      </c>
      <c r="C273" s="44" t="s">
        <v>736</v>
      </c>
      <c r="D273" s="45" t="s">
        <v>737</v>
      </c>
      <c r="E273" s="45" t="s">
        <v>123</v>
      </c>
      <c r="F273" s="45">
        <v>4847221</v>
      </c>
      <c r="G273" s="46">
        <v>19008.260000000002</v>
      </c>
      <c r="H273" s="46">
        <v>0</v>
      </c>
      <c r="I273" s="45">
        <v>0</v>
      </c>
      <c r="J273" s="45">
        <v>0</v>
      </c>
      <c r="K273" s="45">
        <v>0</v>
      </c>
      <c r="L273" s="45">
        <v>3991.74</v>
      </c>
      <c r="M273" s="45">
        <v>0</v>
      </c>
      <c r="N273" s="46">
        <v>0</v>
      </c>
      <c r="O273" s="46">
        <v>23000</v>
      </c>
    </row>
    <row r="274" spans="2:15">
      <c r="B274" s="43" t="s">
        <v>443</v>
      </c>
      <c r="C274" s="44" t="s">
        <v>738</v>
      </c>
      <c r="D274" s="45" t="s">
        <v>399</v>
      </c>
      <c r="E274" s="45" t="s">
        <v>123</v>
      </c>
      <c r="F274" s="45" t="s">
        <v>124</v>
      </c>
      <c r="G274" s="46">
        <v>7024.79</v>
      </c>
      <c r="H274" s="46">
        <v>0</v>
      </c>
      <c r="I274" s="45">
        <v>0</v>
      </c>
      <c r="J274" s="45">
        <v>0</v>
      </c>
      <c r="K274" s="45">
        <v>0</v>
      </c>
      <c r="L274" s="45">
        <v>1475.21</v>
      </c>
      <c r="M274" s="45">
        <v>0</v>
      </c>
      <c r="N274" s="46">
        <v>0</v>
      </c>
      <c r="O274" s="46">
        <v>8500</v>
      </c>
    </row>
    <row r="275" spans="2:15">
      <c r="B275" s="43" t="s">
        <v>446</v>
      </c>
      <c r="C275" s="44" t="s">
        <v>739</v>
      </c>
      <c r="D275" s="45" t="s">
        <v>740</v>
      </c>
      <c r="E275" s="45" t="s">
        <v>123</v>
      </c>
      <c r="F275" s="45">
        <v>4553744</v>
      </c>
      <c r="G275" s="46">
        <v>4132.2300000000005</v>
      </c>
      <c r="H275" s="46">
        <v>0</v>
      </c>
      <c r="I275" s="45">
        <v>0</v>
      </c>
      <c r="J275" s="45">
        <v>0</v>
      </c>
      <c r="K275" s="45">
        <v>0</v>
      </c>
      <c r="L275" s="45">
        <v>867.77</v>
      </c>
      <c r="M275" s="45">
        <v>0</v>
      </c>
      <c r="N275" s="46">
        <v>0</v>
      </c>
      <c r="O275" s="46">
        <v>5000</v>
      </c>
    </row>
    <row r="276" spans="2:15">
      <c r="B276" s="43" t="s">
        <v>446</v>
      </c>
      <c r="C276" s="44" t="s">
        <v>741</v>
      </c>
      <c r="D276" s="45" t="s">
        <v>740</v>
      </c>
      <c r="E276" s="45" t="s">
        <v>123</v>
      </c>
      <c r="F276" s="45">
        <v>4553744</v>
      </c>
      <c r="G276" s="46">
        <v>5702.48</v>
      </c>
      <c r="H276" s="46">
        <v>0</v>
      </c>
      <c r="I276" s="45">
        <v>0</v>
      </c>
      <c r="J276" s="45">
        <v>0</v>
      </c>
      <c r="K276" s="45">
        <v>0</v>
      </c>
      <c r="L276" s="45">
        <v>1197.52</v>
      </c>
      <c r="M276" s="45">
        <v>0</v>
      </c>
      <c r="N276" s="46">
        <v>0</v>
      </c>
      <c r="O276" s="46">
        <v>6900</v>
      </c>
    </row>
    <row r="277" spans="2:15">
      <c r="B277" s="43" t="s">
        <v>446</v>
      </c>
      <c r="C277" s="44" t="s">
        <v>742</v>
      </c>
      <c r="D277" s="45" t="s">
        <v>743</v>
      </c>
      <c r="E277" s="45" t="s">
        <v>123</v>
      </c>
      <c r="F277" s="45">
        <v>22885249</v>
      </c>
      <c r="G277" s="46">
        <v>7768.6</v>
      </c>
      <c r="H277" s="46">
        <v>0</v>
      </c>
      <c r="I277" s="45">
        <v>0</v>
      </c>
      <c r="J277" s="45">
        <v>0</v>
      </c>
      <c r="K277" s="45">
        <v>0</v>
      </c>
      <c r="L277" s="45">
        <v>1631.4</v>
      </c>
      <c r="M277" s="45">
        <v>0</v>
      </c>
      <c r="N277" s="46">
        <v>0</v>
      </c>
      <c r="O277" s="46">
        <v>9400</v>
      </c>
    </row>
    <row r="278" spans="2:15">
      <c r="B278" s="43" t="s">
        <v>446</v>
      </c>
      <c r="C278" s="44" t="s">
        <v>744</v>
      </c>
      <c r="D278" s="45" t="s">
        <v>745</v>
      </c>
      <c r="E278" s="45" t="s">
        <v>123</v>
      </c>
      <c r="F278" s="45">
        <v>93382549</v>
      </c>
      <c r="G278" s="46">
        <v>19834.71</v>
      </c>
      <c r="H278" s="46">
        <v>0</v>
      </c>
      <c r="I278" s="45">
        <v>0</v>
      </c>
      <c r="J278" s="45">
        <v>0</v>
      </c>
      <c r="K278" s="45">
        <v>0</v>
      </c>
      <c r="L278" s="45">
        <v>4165.29</v>
      </c>
      <c r="M278" s="45">
        <v>0</v>
      </c>
      <c r="N278" s="46">
        <v>0</v>
      </c>
      <c r="O278" s="46">
        <v>24000</v>
      </c>
    </row>
    <row r="279" spans="2:15">
      <c r="B279" s="43" t="s">
        <v>446</v>
      </c>
      <c r="C279" s="44" t="s">
        <v>746</v>
      </c>
      <c r="D279" s="45" t="s">
        <v>747</v>
      </c>
      <c r="E279" s="45" t="s">
        <v>123</v>
      </c>
      <c r="F279" s="45" t="s">
        <v>124</v>
      </c>
      <c r="G279" s="46">
        <v>24793.39</v>
      </c>
      <c r="H279" s="46">
        <v>0</v>
      </c>
      <c r="I279" s="45">
        <v>0</v>
      </c>
      <c r="J279" s="45">
        <v>0</v>
      </c>
      <c r="K279" s="45">
        <v>0</v>
      </c>
      <c r="L279" s="45">
        <v>5206.6099999999997</v>
      </c>
      <c r="M279" s="45">
        <v>0</v>
      </c>
      <c r="N279" s="46">
        <v>0</v>
      </c>
      <c r="O279" s="46">
        <v>30000</v>
      </c>
    </row>
    <row r="280" spans="2:15">
      <c r="B280" s="43" t="s">
        <v>449</v>
      </c>
      <c r="C280" s="44" t="s">
        <v>748</v>
      </c>
      <c r="D280" s="45" t="s">
        <v>749</v>
      </c>
      <c r="E280" s="45" t="s">
        <v>123</v>
      </c>
      <c r="F280" s="45">
        <v>5086612</v>
      </c>
      <c r="G280" s="46">
        <v>14876.03</v>
      </c>
      <c r="H280" s="46">
        <v>0</v>
      </c>
      <c r="I280" s="45">
        <v>0</v>
      </c>
      <c r="J280" s="45">
        <v>0</v>
      </c>
      <c r="K280" s="45">
        <v>0</v>
      </c>
      <c r="L280" s="45">
        <v>3123.97</v>
      </c>
      <c r="M280" s="45">
        <v>0</v>
      </c>
      <c r="N280" s="46">
        <v>0</v>
      </c>
      <c r="O280" s="46">
        <v>18000</v>
      </c>
    </row>
    <row r="281" spans="2:15">
      <c r="B281" s="43" t="s">
        <v>449</v>
      </c>
      <c r="C281" s="44" t="s">
        <v>750</v>
      </c>
      <c r="D281" s="45" t="s">
        <v>298</v>
      </c>
      <c r="E281" s="45" t="s">
        <v>123</v>
      </c>
      <c r="F281" s="45">
        <v>24448662</v>
      </c>
      <c r="G281" s="46">
        <v>4958.68</v>
      </c>
      <c r="H281" s="46">
        <v>0</v>
      </c>
      <c r="I281" s="45">
        <v>0</v>
      </c>
      <c r="J281" s="45">
        <v>0</v>
      </c>
      <c r="K281" s="45">
        <v>0</v>
      </c>
      <c r="L281" s="45">
        <v>1041.32</v>
      </c>
      <c r="M281" s="45">
        <v>0</v>
      </c>
      <c r="N281" s="46">
        <v>0</v>
      </c>
      <c r="O281" s="46">
        <v>6000</v>
      </c>
    </row>
    <row r="282" spans="2:15">
      <c r="B282" s="43" t="s">
        <v>449</v>
      </c>
      <c r="C282" s="44" t="s">
        <v>751</v>
      </c>
      <c r="D282" s="45" t="s">
        <v>752</v>
      </c>
      <c r="E282" s="45" t="s">
        <v>123</v>
      </c>
      <c r="F282" s="45">
        <v>16481086</v>
      </c>
      <c r="G282" s="46">
        <v>4958.68</v>
      </c>
      <c r="H282" s="46">
        <v>0</v>
      </c>
      <c r="I282" s="45">
        <v>0</v>
      </c>
      <c r="J282" s="45">
        <v>0</v>
      </c>
      <c r="K282" s="45">
        <v>0</v>
      </c>
      <c r="L282" s="45">
        <v>1041.32</v>
      </c>
      <c r="M282" s="45">
        <v>0</v>
      </c>
      <c r="N282" s="46">
        <v>0</v>
      </c>
      <c r="O282" s="46">
        <v>6000</v>
      </c>
    </row>
    <row r="283" spans="2:15">
      <c r="B283" s="43" t="s">
        <v>482</v>
      </c>
      <c r="C283" s="44" t="s">
        <v>753</v>
      </c>
      <c r="D283" s="45" t="s">
        <v>307</v>
      </c>
      <c r="E283" s="45" t="s">
        <v>276</v>
      </c>
      <c r="F283" s="45">
        <v>30571766287</v>
      </c>
      <c r="G283" s="46">
        <v>17415.43</v>
      </c>
      <c r="H283" s="46">
        <v>0</v>
      </c>
      <c r="I283" s="45">
        <v>0</v>
      </c>
      <c r="J283" s="45">
        <v>0</v>
      </c>
      <c r="K283" s="45">
        <v>0</v>
      </c>
      <c r="L283" s="45">
        <v>3657.24</v>
      </c>
      <c r="M283" s="45">
        <v>0</v>
      </c>
      <c r="N283" s="46">
        <v>0</v>
      </c>
      <c r="O283" s="46">
        <v>21072.67</v>
      </c>
    </row>
    <row r="284" spans="2:15">
      <c r="B284" s="43" t="s">
        <v>482</v>
      </c>
      <c r="C284" s="44" t="s">
        <v>754</v>
      </c>
      <c r="D284" s="45" t="s">
        <v>307</v>
      </c>
      <c r="E284" s="45" t="s">
        <v>276</v>
      </c>
      <c r="F284" s="45">
        <v>30571766287</v>
      </c>
      <c r="G284" s="46">
        <v>15454.55</v>
      </c>
      <c r="H284" s="46">
        <v>0</v>
      </c>
      <c r="I284" s="45">
        <v>0</v>
      </c>
      <c r="J284" s="45">
        <v>0</v>
      </c>
      <c r="K284" s="45">
        <v>0</v>
      </c>
      <c r="L284" s="45">
        <v>3245.45</v>
      </c>
      <c r="M284" s="45">
        <v>0</v>
      </c>
      <c r="N284" s="46">
        <v>0</v>
      </c>
      <c r="O284" s="46">
        <v>18700</v>
      </c>
    </row>
    <row r="285" spans="2:15">
      <c r="B285" s="43" t="s">
        <v>482</v>
      </c>
      <c r="C285" s="44" t="s">
        <v>755</v>
      </c>
      <c r="D285" s="45" t="s">
        <v>314</v>
      </c>
      <c r="E285" s="45" t="s">
        <v>276</v>
      </c>
      <c r="F285" s="45">
        <v>30658137642</v>
      </c>
      <c r="G285" s="46">
        <v>42508.49</v>
      </c>
      <c r="H285" s="46">
        <v>0</v>
      </c>
      <c r="I285" s="45">
        <v>0</v>
      </c>
      <c r="J285" s="45">
        <v>0</v>
      </c>
      <c r="K285" s="45">
        <v>0</v>
      </c>
      <c r="L285" s="45">
        <v>8926.7800000000007</v>
      </c>
      <c r="M285" s="45">
        <v>0</v>
      </c>
      <c r="N285" s="46">
        <v>0</v>
      </c>
      <c r="O285" s="46">
        <v>51435.27</v>
      </c>
    </row>
    <row r="286" spans="2:15">
      <c r="B286" s="43" t="s">
        <v>482</v>
      </c>
      <c r="C286" s="44" t="s">
        <v>756</v>
      </c>
      <c r="D286" s="45" t="s">
        <v>314</v>
      </c>
      <c r="E286" s="45" t="s">
        <v>276</v>
      </c>
      <c r="F286" s="45">
        <v>30658137642</v>
      </c>
      <c r="G286" s="46">
        <v>25107.439999999999</v>
      </c>
      <c r="H286" s="46">
        <v>0</v>
      </c>
      <c r="I286" s="45">
        <v>0</v>
      </c>
      <c r="J286" s="45">
        <v>0</v>
      </c>
      <c r="K286" s="45">
        <v>0</v>
      </c>
      <c r="L286" s="45">
        <v>5272.56</v>
      </c>
      <c r="M286" s="45">
        <v>0</v>
      </c>
      <c r="N286" s="46">
        <v>0</v>
      </c>
      <c r="O286" s="46">
        <v>30380</v>
      </c>
    </row>
    <row r="287" spans="2:15">
      <c r="B287" s="43" t="s">
        <v>451</v>
      </c>
      <c r="C287" s="44" t="s">
        <v>757</v>
      </c>
      <c r="D287" s="45" t="s">
        <v>350</v>
      </c>
      <c r="E287" s="45" t="s">
        <v>123</v>
      </c>
      <c r="F287" s="45">
        <v>21645724</v>
      </c>
      <c r="G287" s="46">
        <v>7438.02</v>
      </c>
      <c r="H287" s="46">
        <v>0</v>
      </c>
      <c r="I287" s="45">
        <v>0</v>
      </c>
      <c r="J287" s="45">
        <v>0</v>
      </c>
      <c r="K287" s="45">
        <v>0</v>
      </c>
      <c r="L287" s="45">
        <v>1561.98</v>
      </c>
      <c r="M287" s="45">
        <v>0</v>
      </c>
      <c r="N287" s="46">
        <v>0</v>
      </c>
      <c r="O287" s="46">
        <v>9000</v>
      </c>
    </row>
    <row r="288" spans="2:15">
      <c r="B288" s="43" t="s">
        <v>451</v>
      </c>
      <c r="C288" s="44" t="s">
        <v>758</v>
      </c>
      <c r="D288" s="45" t="s">
        <v>354</v>
      </c>
      <c r="E288" s="45" t="s">
        <v>123</v>
      </c>
      <c r="F288" s="45">
        <v>382591</v>
      </c>
      <c r="G288" s="46">
        <v>4049.59</v>
      </c>
      <c r="H288" s="46">
        <v>0</v>
      </c>
      <c r="I288" s="45">
        <v>0</v>
      </c>
      <c r="J288" s="45">
        <v>0</v>
      </c>
      <c r="K288" s="45">
        <v>0</v>
      </c>
      <c r="L288" s="45">
        <v>850.41</v>
      </c>
      <c r="M288" s="45">
        <v>0</v>
      </c>
      <c r="N288" s="46">
        <v>0</v>
      </c>
      <c r="O288" s="46">
        <v>4900</v>
      </c>
    </row>
    <row r="289" spans="2:15">
      <c r="B289" s="43" t="s">
        <v>451</v>
      </c>
      <c r="C289" s="44" t="s">
        <v>759</v>
      </c>
      <c r="D289" s="45" t="s">
        <v>760</v>
      </c>
      <c r="E289" s="45" t="s">
        <v>123</v>
      </c>
      <c r="F289" s="45">
        <v>29248121</v>
      </c>
      <c r="G289" s="46">
        <v>4132.2300000000005</v>
      </c>
      <c r="H289" s="46">
        <v>0</v>
      </c>
      <c r="I289" s="45">
        <v>0</v>
      </c>
      <c r="J289" s="45">
        <v>0</v>
      </c>
      <c r="K289" s="45">
        <v>0</v>
      </c>
      <c r="L289" s="45">
        <v>867.77</v>
      </c>
      <c r="M289" s="45">
        <v>0</v>
      </c>
      <c r="N289" s="46">
        <v>0</v>
      </c>
      <c r="O289" s="46">
        <v>5000</v>
      </c>
    </row>
    <row r="290" spans="2:15">
      <c r="B290" s="43" t="s">
        <v>570</v>
      </c>
      <c r="C290" s="44" t="s">
        <v>761</v>
      </c>
      <c r="D290" s="45" t="s">
        <v>762</v>
      </c>
      <c r="E290" s="45" t="s">
        <v>123</v>
      </c>
      <c r="F290" s="45">
        <v>29152187</v>
      </c>
      <c r="G290" s="46">
        <v>4132.2300000000005</v>
      </c>
      <c r="H290" s="46">
        <v>0</v>
      </c>
      <c r="I290" s="45">
        <v>0</v>
      </c>
      <c r="J290" s="45">
        <v>0</v>
      </c>
      <c r="K290" s="45">
        <v>0</v>
      </c>
      <c r="L290" s="45">
        <v>867.77</v>
      </c>
      <c r="M290" s="45">
        <v>0</v>
      </c>
      <c r="N290" s="46">
        <v>0</v>
      </c>
      <c r="O290" s="46">
        <v>5000</v>
      </c>
    </row>
    <row r="291" spans="2:15">
      <c r="B291" s="43" t="s">
        <v>570</v>
      </c>
      <c r="C291" s="44" t="s">
        <v>763</v>
      </c>
      <c r="D291" s="45" t="s">
        <v>304</v>
      </c>
      <c r="E291" s="45" t="s">
        <v>123</v>
      </c>
      <c r="F291" s="45">
        <v>93354584</v>
      </c>
      <c r="G291" s="46">
        <v>4132.2300000000005</v>
      </c>
      <c r="H291" s="46">
        <v>0</v>
      </c>
      <c r="I291" s="45">
        <v>0</v>
      </c>
      <c r="J291" s="45">
        <v>0</v>
      </c>
      <c r="K291" s="45">
        <v>0</v>
      </c>
      <c r="L291" s="45">
        <v>867.77</v>
      </c>
      <c r="M291" s="45">
        <v>0</v>
      </c>
      <c r="N291" s="46">
        <v>0</v>
      </c>
      <c r="O291" s="46">
        <v>5000</v>
      </c>
    </row>
    <row r="292" spans="2:15">
      <c r="B292" s="43" t="s">
        <v>570</v>
      </c>
      <c r="C292" s="44" t="s">
        <v>764</v>
      </c>
      <c r="D292" s="45" t="s">
        <v>765</v>
      </c>
      <c r="E292" s="45" t="s">
        <v>123</v>
      </c>
      <c r="F292" s="45">
        <v>56980</v>
      </c>
      <c r="G292" s="46">
        <v>6611.57</v>
      </c>
      <c r="H292" s="46">
        <v>0</v>
      </c>
      <c r="I292" s="45">
        <v>0</v>
      </c>
      <c r="J292" s="45">
        <v>0</v>
      </c>
      <c r="K292" s="45">
        <v>0</v>
      </c>
      <c r="L292" s="45">
        <v>1388.43</v>
      </c>
      <c r="M292" s="45">
        <v>0</v>
      </c>
      <c r="N292" s="46">
        <v>0</v>
      </c>
      <c r="O292" s="46">
        <v>8000</v>
      </c>
    </row>
    <row r="293" spans="2:15">
      <c r="B293" s="43" t="s">
        <v>570</v>
      </c>
      <c r="C293" s="44" t="s">
        <v>766</v>
      </c>
      <c r="D293" s="45" t="s">
        <v>767</v>
      </c>
      <c r="E293" s="45" t="s">
        <v>123</v>
      </c>
      <c r="F293" s="45">
        <v>8208160</v>
      </c>
      <c r="G293" s="46">
        <v>2644.63</v>
      </c>
      <c r="H293" s="46">
        <v>0</v>
      </c>
      <c r="I293" s="45">
        <v>0</v>
      </c>
      <c r="J293" s="45">
        <v>0</v>
      </c>
      <c r="K293" s="45">
        <v>0</v>
      </c>
      <c r="L293" s="45">
        <v>555.37</v>
      </c>
      <c r="M293" s="45">
        <v>0</v>
      </c>
      <c r="N293" s="46">
        <v>0</v>
      </c>
      <c r="O293" s="46">
        <v>3200</v>
      </c>
    </row>
    <row r="294" spans="2:15">
      <c r="B294" s="43" t="s">
        <v>570</v>
      </c>
      <c r="C294" s="44" t="s">
        <v>768</v>
      </c>
      <c r="D294" s="45" t="s">
        <v>769</v>
      </c>
      <c r="E294" s="45" t="s">
        <v>123</v>
      </c>
      <c r="F294" s="45">
        <v>21363216</v>
      </c>
      <c r="G294" s="46">
        <v>4545.45</v>
      </c>
      <c r="H294" s="46">
        <v>0</v>
      </c>
      <c r="I294" s="45">
        <v>0</v>
      </c>
      <c r="J294" s="45">
        <v>0</v>
      </c>
      <c r="K294" s="45">
        <v>0</v>
      </c>
      <c r="L294" s="45">
        <v>954.55</v>
      </c>
      <c r="M294" s="45">
        <v>0</v>
      </c>
      <c r="N294" s="46">
        <v>0</v>
      </c>
      <c r="O294" s="46">
        <v>5500</v>
      </c>
    </row>
    <row r="295" spans="2:15">
      <c r="B295" s="43" t="s">
        <v>570</v>
      </c>
      <c r="C295" s="44" t="s">
        <v>770</v>
      </c>
      <c r="D295" s="45" t="s">
        <v>346</v>
      </c>
      <c r="E295" s="45" t="s">
        <v>123</v>
      </c>
      <c r="F295" s="45">
        <v>14728351</v>
      </c>
      <c r="G295" s="46">
        <v>6198.34</v>
      </c>
      <c r="H295" s="46">
        <v>0</v>
      </c>
      <c r="I295" s="45">
        <v>0</v>
      </c>
      <c r="J295" s="45">
        <v>0</v>
      </c>
      <c r="K295" s="45">
        <v>0</v>
      </c>
      <c r="L295" s="45">
        <v>1301.6600000000001</v>
      </c>
      <c r="M295" s="45">
        <v>0</v>
      </c>
      <c r="N295" s="46">
        <v>0</v>
      </c>
      <c r="O295" s="46">
        <v>7500</v>
      </c>
    </row>
    <row r="296" spans="2:15">
      <c r="B296" s="43" t="s">
        <v>570</v>
      </c>
      <c r="C296" s="44" t="s">
        <v>771</v>
      </c>
      <c r="D296" s="45" t="s">
        <v>772</v>
      </c>
      <c r="E296" s="45" t="s">
        <v>123</v>
      </c>
      <c r="F296" s="45">
        <v>705467</v>
      </c>
      <c r="G296" s="46">
        <v>3719.01</v>
      </c>
      <c r="H296" s="46">
        <v>0</v>
      </c>
      <c r="I296" s="45">
        <v>0</v>
      </c>
      <c r="J296" s="45">
        <v>0</v>
      </c>
      <c r="K296" s="45">
        <v>0</v>
      </c>
      <c r="L296" s="45">
        <v>780.99</v>
      </c>
      <c r="M296" s="45">
        <v>0</v>
      </c>
      <c r="N296" s="46">
        <v>0</v>
      </c>
      <c r="O296" s="46">
        <v>4500</v>
      </c>
    </row>
    <row r="297" spans="2:15">
      <c r="B297" s="43" t="s">
        <v>570</v>
      </c>
      <c r="C297" s="44" t="s">
        <v>773</v>
      </c>
      <c r="D297" s="45" t="s">
        <v>360</v>
      </c>
      <c r="E297" s="45" t="s">
        <v>123</v>
      </c>
      <c r="F297" s="45">
        <v>5804480</v>
      </c>
      <c r="G297" s="46">
        <v>7933.88</v>
      </c>
      <c r="H297" s="46">
        <v>0</v>
      </c>
      <c r="I297" s="45">
        <v>0</v>
      </c>
      <c r="J297" s="45">
        <v>0</v>
      </c>
      <c r="K297" s="45">
        <v>0</v>
      </c>
      <c r="L297" s="45">
        <v>1666.12</v>
      </c>
      <c r="M297" s="45">
        <v>0</v>
      </c>
      <c r="N297" s="46">
        <v>0</v>
      </c>
      <c r="O297" s="46">
        <v>9600</v>
      </c>
    </row>
    <row r="298" spans="2:15">
      <c r="B298" s="43" t="s">
        <v>570</v>
      </c>
      <c r="C298" s="44" t="s">
        <v>774</v>
      </c>
      <c r="D298" s="45" t="s">
        <v>775</v>
      </c>
      <c r="E298" s="45" t="s">
        <v>123</v>
      </c>
      <c r="F298" s="45">
        <v>20404430</v>
      </c>
      <c r="G298" s="46">
        <v>5785.12</v>
      </c>
      <c r="H298" s="46">
        <v>0</v>
      </c>
      <c r="I298" s="45">
        <v>0</v>
      </c>
      <c r="J298" s="45">
        <v>0</v>
      </c>
      <c r="K298" s="45">
        <v>0</v>
      </c>
      <c r="L298" s="45">
        <v>1214.8800000000001</v>
      </c>
      <c r="M298" s="45">
        <v>0</v>
      </c>
      <c r="N298" s="46">
        <v>0</v>
      </c>
      <c r="O298" s="46">
        <v>7000</v>
      </c>
    </row>
    <row r="299" spans="2:15">
      <c r="B299" s="43" t="s">
        <v>570</v>
      </c>
      <c r="C299" s="44" t="s">
        <v>776</v>
      </c>
      <c r="D299" s="45" t="s">
        <v>358</v>
      </c>
      <c r="E299" s="45" t="s">
        <v>123</v>
      </c>
      <c r="F299" s="45">
        <v>93195134</v>
      </c>
      <c r="G299" s="46">
        <v>2644.63</v>
      </c>
      <c r="H299" s="46">
        <v>0</v>
      </c>
      <c r="I299" s="45">
        <v>0</v>
      </c>
      <c r="J299" s="45">
        <v>0</v>
      </c>
      <c r="K299" s="45">
        <v>0</v>
      </c>
      <c r="L299" s="45">
        <v>555.37</v>
      </c>
      <c r="M299" s="45">
        <v>0</v>
      </c>
      <c r="N299" s="46">
        <v>0</v>
      </c>
      <c r="O299" s="46">
        <v>3200</v>
      </c>
    </row>
    <row r="300" spans="2:15">
      <c r="B300" s="43" t="s">
        <v>454</v>
      </c>
      <c r="C300" s="44" t="s">
        <v>777</v>
      </c>
      <c r="D300" s="45" t="s">
        <v>778</v>
      </c>
      <c r="E300" s="45" t="s">
        <v>123</v>
      </c>
      <c r="F300" s="45">
        <v>22001100</v>
      </c>
      <c r="G300" s="46">
        <v>9917.35</v>
      </c>
      <c r="H300" s="46">
        <v>0</v>
      </c>
      <c r="I300" s="45">
        <v>0</v>
      </c>
      <c r="J300" s="45">
        <v>0</v>
      </c>
      <c r="K300" s="45">
        <v>0</v>
      </c>
      <c r="L300" s="45">
        <v>2082.65</v>
      </c>
      <c r="M300" s="45">
        <v>0</v>
      </c>
      <c r="N300" s="46">
        <v>0</v>
      </c>
      <c r="O300" s="46">
        <v>12000</v>
      </c>
    </row>
    <row r="301" spans="2:15">
      <c r="B301" s="43" t="s">
        <v>454</v>
      </c>
      <c r="C301" s="44" t="s">
        <v>779</v>
      </c>
      <c r="D301" s="45" t="s">
        <v>780</v>
      </c>
      <c r="E301" s="45" t="s">
        <v>123</v>
      </c>
      <c r="F301" s="45">
        <v>25811314</v>
      </c>
      <c r="G301" s="46">
        <v>5826.45</v>
      </c>
      <c r="H301" s="46">
        <v>0</v>
      </c>
      <c r="I301" s="45">
        <v>0</v>
      </c>
      <c r="J301" s="45">
        <v>0</v>
      </c>
      <c r="K301" s="45">
        <v>0</v>
      </c>
      <c r="L301" s="45">
        <v>1223.55</v>
      </c>
      <c r="M301" s="45">
        <v>0</v>
      </c>
      <c r="N301" s="46">
        <v>0</v>
      </c>
      <c r="O301" s="46">
        <v>7050</v>
      </c>
    </row>
    <row r="302" spans="2:15">
      <c r="B302" s="43" t="s">
        <v>454</v>
      </c>
      <c r="C302" s="44" t="s">
        <v>781</v>
      </c>
      <c r="D302" s="45" t="s">
        <v>782</v>
      </c>
      <c r="E302" s="45" t="s">
        <v>123</v>
      </c>
      <c r="F302" s="45">
        <v>95746152</v>
      </c>
      <c r="G302" s="46">
        <v>6942.15</v>
      </c>
      <c r="H302" s="46">
        <v>0</v>
      </c>
      <c r="I302" s="45">
        <v>0</v>
      </c>
      <c r="J302" s="45">
        <v>0</v>
      </c>
      <c r="K302" s="45">
        <v>0</v>
      </c>
      <c r="L302" s="45">
        <v>1457.85</v>
      </c>
      <c r="M302" s="45">
        <v>0</v>
      </c>
      <c r="N302" s="46">
        <v>0</v>
      </c>
      <c r="O302" s="46">
        <v>8400</v>
      </c>
    </row>
    <row r="303" spans="2:15">
      <c r="B303" s="43" t="s">
        <v>454</v>
      </c>
      <c r="C303" s="44" t="s">
        <v>783</v>
      </c>
      <c r="D303" s="45" t="s">
        <v>275</v>
      </c>
      <c r="E303" s="45" t="s">
        <v>276</v>
      </c>
      <c r="F303" s="45">
        <v>30590354798</v>
      </c>
      <c r="G303" s="46">
        <v>1422727.27</v>
      </c>
      <c r="H303" s="46">
        <v>0</v>
      </c>
      <c r="I303" s="45">
        <v>0</v>
      </c>
      <c r="J303" s="45">
        <v>0</v>
      </c>
      <c r="K303" s="45">
        <v>0</v>
      </c>
      <c r="L303" s="45">
        <v>298772.73</v>
      </c>
      <c r="M303" s="45">
        <v>0</v>
      </c>
      <c r="N303" s="46">
        <v>0</v>
      </c>
      <c r="O303" s="46">
        <v>1721500</v>
      </c>
    </row>
    <row r="304" spans="2:15">
      <c r="B304" s="43" t="s">
        <v>594</v>
      </c>
      <c r="C304" s="44" t="s">
        <v>784</v>
      </c>
      <c r="D304" s="45" t="s">
        <v>331</v>
      </c>
      <c r="E304" s="45" t="s">
        <v>276</v>
      </c>
      <c r="F304" s="45">
        <v>30685228501</v>
      </c>
      <c r="G304" s="46">
        <v>13181.82</v>
      </c>
      <c r="H304" s="46">
        <v>0</v>
      </c>
      <c r="I304" s="45">
        <v>0</v>
      </c>
      <c r="J304" s="45">
        <v>0</v>
      </c>
      <c r="K304" s="45">
        <v>0</v>
      </c>
      <c r="L304" s="45">
        <v>2768.18</v>
      </c>
      <c r="M304" s="45">
        <v>0</v>
      </c>
      <c r="N304" s="46">
        <v>0</v>
      </c>
      <c r="O304" s="46">
        <v>15950</v>
      </c>
    </row>
    <row r="305" spans="2:15">
      <c r="B305" s="43" t="s">
        <v>594</v>
      </c>
      <c r="C305" s="44" t="s">
        <v>785</v>
      </c>
      <c r="D305" s="45" t="s">
        <v>331</v>
      </c>
      <c r="E305" s="45" t="s">
        <v>276</v>
      </c>
      <c r="F305" s="45">
        <v>30685228501</v>
      </c>
      <c r="G305" s="46">
        <v>52892.57</v>
      </c>
      <c r="H305" s="46">
        <v>0</v>
      </c>
      <c r="I305" s="45">
        <v>0</v>
      </c>
      <c r="J305" s="45">
        <v>0</v>
      </c>
      <c r="K305" s="45">
        <v>0</v>
      </c>
      <c r="L305" s="45">
        <v>11107.43</v>
      </c>
      <c r="M305" s="45">
        <v>0</v>
      </c>
      <c r="N305" s="46">
        <v>0</v>
      </c>
      <c r="O305" s="46">
        <v>64000</v>
      </c>
    </row>
    <row r="306" spans="2:15">
      <c r="B306" s="43" t="s">
        <v>605</v>
      </c>
      <c r="C306" s="44" t="s">
        <v>786</v>
      </c>
      <c r="D306" s="45" t="s">
        <v>787</v>
      </c>
      <c r="E306" s="45" t="s">
        <v>123</v>
      </c>
      <c r="F306" s="45">
        <v>14547155</v>
      </c>
      <c r="G306" s="46">
        <v>3305.78</v>
      </c>
      <c r="H306" s="46">
        <v>0</v>
      </c>
      <c r="I306" s="45">
        <v>0</v>
      </c>
      <c r="J306" s="45">
        <v>0</v>
      </c>
      <c r="K306" s="45">
        <v>0</v>
      </c>
      <c r="L306" s="45">
        <v>694.22</v>
      </c>
      <c r="M306" s="45">
        <v>0</v>
      </c>
      <c r="N306" s="46">
        <v>0</v>
      </c>
      <c r="O306" s="46">
        <v>4000</v>
      </c>
    </row>
    <row r="307" spans="2:15">
      <c r="B307" s="43" t="s">
        <v>605</v>
      </c>
      <c r="C307" s="44" t="s">
        <v>788</v>
      </c>
      <c r="D307" s="45" t="s">
        <v>787</v>
      </c>
      <c r="E307" s="45" t="s">
        <v>123</v>
      </c>
      <c r="F307" s="45">
        <v>14547155</v>
      </c>
      <c r="G307" s="46">
        <v>16528.920000000002</v>
      </c>
      <c r="H307" s="46">
        <v>0</v>
      </c>
      <c r="I307" s="45">
        <v>0</v>
      </c>
      <c r="J307" s="45">
        <v>0</v>
      </c>
      <c r="K307" s="45">
        <v>0</v>
      </c>
      <c r="L307" s="45">
        <v>3471.08</v>
      </c>
      <c r="M307" s="45">
        <v>0</v>
      </c>
      <c r="N307" s="46">
        <v>0</v>
      </c>
      <c r="O307" s="46">
        <v>20000</v>
      </c>
    </row>
    <row r="308" spans="2:15">
      <c r="B308" s="43" t="s">
        <v>498</v>
      </c>
      <c r="C308" s="44" t="s">
        <v>789</v>
      </c>
      <c r="D308" s="45" t="s">
        <v>379</v>
      </c>
      <c r="E308" s="45" t="s">
        <v>123</v>
      </c>
      <c r="F308" s="45">
        <v>14123802</v>
      </c>
      <c r="G308" s="46">
        <v>7685.96</v>
      </c>
      <c r="H308" s="46">
        <v>0</v>
      </c>
      <c r="I308" s="45">
        <v>0</v>
      </c>
      <c r="J308" s="45">
        <v>0</v>
      </c>
      <c r="K308" s="45">
        <v>0</v>
      </c>
      <c r="L308" s="45">
        <v>1614.04</v>
      </c>
      <c r="M308" s="45">
        <v>0</v>
      </c>
      <c r="N308" s="46">
        <v>0</v>
      </c>
      <c r="O308" s="46">
        <v>9300</v>
      </c>
    </row>
    <row r="309" spans="2:15">
      <c r="B309" s="43" t="s">
        <v>498</v>
      </c>
      <c r="C309" s="44" t="s">
        <v>790</v>
      </c>
      <c r="D309" s="45" t="s">
        <v>791</v>
      </c>
      <c r="E309" s="45" t="s">
        <v>123</v>
      </c>
      <c r="F309" s="45">
        <v>95554460</v>
      </c>
      <c r="G309" s="46">
        <v>3471.08</v>
      </c>
      <c r="H309" s="46">
        <v>0</v>
      </c>
      <c r="I309" s="45">
        <v>0</v>
      </c>
      <c r="J309" s="45">
        <v>0</v>
      </c>
      <c r="K309" s="45">
        <v>0</v>
      </c>
      <c r="L309" s="45">
        <v>728.92</v>
      </c>
      <c r="M309" s="45">
        <v>0</v>
      </c>
      <c r="N309" s="46">
        <v>0</v>
      </c>
      <c r="O309" s="46">
        <v>4200</v>
      </c>
    </row>
    <row r="310" spans="2:15">
      <c r="B310" s="43" t="s">
        <v>498</v>
      </c>
      <c r="C310" s="44" t="s">
        <v>792</v>
      </c>
      <c r="D310" s="45" t="s">
        <v>424</v>
      </c>
      <c r="E310" s="45" t="s">
        <v>123</v>
      </c>
      <c r="F310" s="45">
        <v>29654556</v>
      </c>
      <c r="G310" s="46">
        <v>9917.35</v>
      </c>
      <c r="H310" s="46">
        <v>0</v>
      </c>
      <c r="I310" s="45">
        <v>0</v>
      </c>
      <c r="J310" s="45">
        <v>0</v>
      </c>
      <c r="K310" s="45">
        <v>0</v>
      </c>
      <c r="L310" s="45">
        <v>2082.65</v>
      </c>
      <c r="M310" s="45">
        <v>0</v>
      </c>
      <c r="N310" s="46">
        <v>0</v>
      </c>
      <c r="O310" s="46">
        <v>12000</v>
      </c>
    </row>
    <row r="311" spans="2:15">
      <c r="B311" s="43" t="s">
        <v>498</v>
      </c>
      <c r="C311" s="44" t="s">
        <v>793</v>
      </c>
      <c r="D311" s="45" t="s">
        <v>387</v>
      </c>
      <c r="E311" s="45" t="s">
        <v>123</v>
      </c>
      <c r="F311" s="45">
        <v>94008078</v>
      </c>
      <c r="G311" s="46">
        <v>3471.07</v>
      </c>
      <c r="H311" s="46">
        <v>0</v>
      </c>
      <c r="I311" s="45">
        <v>0</v>
      </c>
      <c r="J311" s="45">
        <v>0</v>
      </c>
      <c r="K311" s="45">
        <v>0</v>
      </c>
      <c r="L311" s="45">
        <v>728.93</v>
      </c>
      <c r="M311" s="45">
        <v>0</v>
      </c>
      <c r="N311" s="46">
        <v>0</v>
      </c>
      <c r="O311" s="46">
        <v>4200</v>
      </c>
    </row>
    <row r="312" spans="2:15">
      <c r="B312" s="43" t="s">
        <v>498</v>
      </c>
      <c r="C312" s="44" t="s">
        <v>794</v>
      </c>
      <c r="D312" s="45" t="s">
        <v>795</v>
      </c>
      <c r="E312" s="45" t="s">
        <v>123</v>
      </c>
      <c r="F312" s="45">
        <v>38354047</v>
      </c>
      <c r="G312" s="46">
        <v>3719.01</v>
      </c>
      <c r="H312" s="46">
        <v>0</v>
      </c>
      <c r="I312" s="45">
        <v>0</v>
      </c>
      <c r="J312" s="45">
        <v>0</v>
      </c>
      <c r="K312" s="45">
        <v>0</v>
      </c>
      <c r="L312" s="45">
        <v>780.99</v>
      </c>
      <c r="M312" s="45">
        <v>0</v>
      </c>
      <c r="N312" s="46">
        <v>0</v>
      </c>
      <c r="O312" s="46">
        <v>4500</v>
      </c>
    </row>
    <row r="313" spans="2:15">
      <c r="B313" s="43" t="s">
        <v>498</v>
      </c>
      <c r="C313" s="44" t="s">
        <v>796</v>
      </c>
      <c r="D313" s="45" t="s">
        <v>426</v>
      </c>
      <c r="E313" s="45" t="s">
        <v>123</v>
      </c>
      <c r="F313" s="45">
        <v>28692323</v>
      </c>
      <c r="G313" s="46">
        <v>16570.260000000002</v>
      </c>
      <c r="H313" s="46">
        <v>0</v>
      </c>
      <c r="I313" s="45">
        <v>0</v>
      </c>
      <c r="J313" s="45">
        <v>0</v>
      </c>
      <c r="K313" s="45">
        <v>0</v>
      </c>
      <c r="L313" s="45">
        <v>3479.74</v>
      </c>
      <c r="M313" s="45">
        <v>0</v>
      </c>
      <c r="N313" s="46">
        <v>0</v>
      </c>
      <c r="O313" s="46">
        <v>20050</v>
      </c>
    </row>
    <row r="314" spans="2:15">
      <c r="B314" s="43" t="s">
        <v>498</v>
      </c>
      <c r="C314" s="44" t="s">
        <v>797</v>
      </c>
      <c r="D314" s="45" t="s">
        <v>798</v>
      </c>
      <c r="E314" s="45" t="s">
        <v>123</v>
      </c>
      <c r="F314" s="45">
        <v>23177996</v>
      </c>
      <c r="G314" s="46">
        <v>4132.2300000000005</v>
      </c>
      <c r="H314" s="46">
        <v>0</v>
      </c>
      <c r="I314" s="45">
        <v>0</v>
      </c>
      <c r="J314" s="45">
        <v>0</v>
      </c>
      <c r="K314" s="45">
        <v>0</v>
      </c>
      <c r="L314" s="45">
        <v>867.77</v>
      </c>
      <c r="M314" s="45">
        <v>0</v>
      </c>
      <c r="N314" s="46">
        <v>0</v>
      </c>
      <c r="O314" s="46">
        <v>5000</v>
      </c>
    </row>
    <row r="315" spans="2:15">
      <c r="B315" s="43" t="s">
        <v>509</v>
      </c>
      <c r="C315" s="44" t="s">
        <v>799</v>
      </c>
      <c r="D315" s="45" t="s">
        <v>800</v>
      </c>
      <c r="E315" s="45" t="s">
        <v>123</v>
      </c>
      <c r="F315" s="45">
        <v>7599136</v>
      </c>
      <c r="G315" s="46">
        <v>2644.63</v>
      </c>
      <c r="H315" s="46">
        <v>0</v>
      </c>
      <c r="I315" s="45">
        <v>0</v>
      </c>
      <c r="J315" s="45">
        <v>0</v>
      </c>
      <c r="K315" s="45">
        <v>0</v>
      </c>
      <c r="L315" s="45">
        <v>555.37</v>
      </c>
      <c r="M315" s="45">
        <v>0</v>
      </c>
      <c r="N315" s="46">
        <v>0</v>
      </c>
      <c r="O315" s="46">
        <v>3200</v>
      </c>
    </row>
    <row r="316" spans="2:15">
      <c r="B316" s="43" t="s">
        <v>509</v>
      </c>
      <c r="C316" s="44" t="s">
        <v>801</v>
      </c>
      <c r="D316" s="45" t="s">
        <v>802</v>
      </c>
      <c r="E316" s="45" t="s">
        <v>123</v>
      </c>
      <c r="F316" s="45">
        <v>37904748</v>
      </c>
      <c r="G316" s="46">
        <v>7024.79</v>
      </c>
      <c r="H316" s="46">
        <v>0</v>
      </c>
      <c r="I316" s="45">
        <v>0</v>
      </c>
      <c r="J316" s="45">
        <v>0</v>
      </c>
      <c r="K316" s="45">
        <v>0</v>
      </c>
      <c r="L316" s="45">
        <v>1475.21</v>
      </c>
      <c r="M316" s="45">
        <v>0</v>
      </c>
      <c r="N316" s="46">
        <v>0</v>
      </c>
      <c r="O316" s="46">
        <v>8500</v>
      </c>
    </row>
    <row r="317" spans="2:15">
      <c r="B317" s="43" t="s">
        <v>509</v>
      </c>
      <c r="C317" s="44" t="s">
        <v>803</v>
      </c>
      <c r="D317" s="45" t="s">
        <v>333</v>
      </c>
      <c r="E317" s="45" t="s">
        <v>123</v>
      </c>
      <c r="F317" s="45">
        <v>16596298</v>
      </c>
      <c r="G317" s="46">
        <v>7438.02</v>
      </c>
      <c r="H317" s="46">
        <v>0</v>
      </c>
      <c r="I317" s="45">
        <v>0</v>
      </c>
      <c r="J317" s="45">
        <v>0</v>
      </c>
      <c r="K317" s="45">
        <v>0</v>
      </c>
      <c r="L317" s="45">
        <v>1561.98</v>
      </c>
      <c r="M317" s="45">
        <v>0</v>
      </c>
      <c r="N317" s="46">
        <v>0</v>
      </c>
      <c r="O317" s="46">
        <v>9000</v>
      </c>
    </row>
    <row r="318" spans="2:15">
      <c r="B318" s="43" t="s">
        <v>509</v>
      </c>
      <c r="C318" s="44" t="s">
        <v>804</v>
      </c>
      <c r="D318" s="45" t="s">
        <v>428</v>
      </c>
      <c r="E318" s="45" t="s">
        <v>123</v>
      </c>
      <c r="F318" s="45">
        <v>30206585</v>
      </c>
      <c r="G318" s="46">
        <v>3471.07</v>
      </c>
      <c r="H318" s="46">
        <v>0</v>
      </c>
      <c r="I318" s="45">
        <v>0</v>
      </c>
      <c r="J318" s="45">
        <v>0</v>
      </c>
      <c r="K318" s="45">
        <v>0</v>
      </c>
      <c r="L318" s="45">
        <v>728.93</v>
      </c>
      <c r="M318" s="45">
        <v>0</v>
      </c>
      <c r="N318" s="46">
        <v>0</v>
      </c>
      <c r="O318" s="46">
        <v>4200</v>
      </c>
    </row>
    <row r="319" spans="2:15">
      <c r="B319" s="43" t="s">
        <v>509</v>
      </c>
      <c r="C319" s="44" t="s">
        <v>805</v>
      </c>
      <c r="D319" s="45" t="s">
        <v>806</v>
      </c>
      <c r="E319" s="45" t="s">
        <v>123</v>
      </c>
      <c r="F319" s="45">
        <v>26201386</v>
      </c>
      <c r="G319" s="46">
        <v>13223.14</v>
      </c>
      <c r="H319" s="46">
        <v>0</v>
      </c>
      <c r="I319" s="45">
        <v>0</v>
      </c>
      <c r="J319" s="45">
        <v>0</v>
      </c>
      <c r="K319" s="45">
        <v>0</v>
      </c>
      <c r="L319" s="45">
        <v>2776.86</v>
      </c>
      <c r="M319" s="45">
        <v>0</v>
      </c>
      <c r="N319" s="46">
        <v>0</v>
      </c>
      <c r="O319" s="46">
        <v>16000</v>
      </c>
    </row>
    <row r="320" spans="2:15">
      <c r="B320" s="43" t="s">
        <v>509</v>
      </c>
      <c r="C320" s="44" t="s">
        <v>807</v>
      </c>
      <c r="D320" s="45" t="s">
        <v>387</v>
      </c>
      <c r="E320" s="45" t="s">
        <v>123</v>
      </c>
      <c r="F320" s="45">
        <v>94008078</v>
      </c>
      <c r="G320" s="46">
        <v>4132.2300000000005</v>
      </c>
      <c r="H320" s="46">
        <v>0</v>
      </c>
      <c r="I320" s="45">
        <v>0</v>
      </c>
      <c r="J320" s="45">
        <v>0</v>
      </c>
      <c r="K320" s="45">
        <v>0</v>
      </c>
      <c r="L320" s="45">
        <v>867.77</v>
      </c>
      <c r="M320" s="45">
        <v>0</v>
      </c>
      <c r="N320" s="46">
        <v>0</v>
      </c>
      <c r="O320" s="46">
        <v>5000</v>
      </c>
    </row>
    <row r="321" spans="2:15">
      <c r="B321" s="43" t="s">
        <v>639</v>
      </c>
      <c r="C321" s="44" t="s">
        <v>808</v>
      </c>
      <c r="D321" s="45" t="s">
        <v>809</v>
      </c>
      <c r="E321" s="45" t="s">
        <v>123</v>
      </c>
      <c r="F321" s="45">
        <v>4856348</v>
      </c>
      <c r="G321" s="46">
        <v>4132.2300000000005</v>
      </c>
      <c r="H321" s="46">
        <v>0</v>
      </c>
      <c r="I321" s="45">
        <v>0</v>
      </c>
      <c r="J321" s="45">
        <v>0</v>
      </c>
      <c r="K321" s="45">
        <v>0</v>
      </c>
      <c r="L321" s="45">
        <v>867.77</v>
      </c>
      <c r="M321" s="45">
        <v>0</v>
      </c>
      <c r="N321" s="46">
        <v>0</v>
      </c>
      <c r="O321" s="46">
        <v>5000</v>
      </c>
    </row>
    <row r="322" spans="2:15">
      <c r="B322" s="43" t="s">
        <v>639</v>
      </c>
      <c r="C322" s="44" t="s">
        <v>810</v>
      </c>
      <c r="D322" s="45" t="s">
        <v>811</v>
      </c>
      <c r="E322" s="45" t="s">
        <v>123</v>
      </c>
      <c r="F322" s="45">
        <v>119875133</v>
      </c>
      <c r="G322" s="46">
        <v>12892.56</v>
      </c>
      <c r="H322" s="46">
        <v>0</v>
      </c>
      <c r="I322" s="45">
        <v>0</v>
      </c>
      <c r="J322" s="45">
        <v>0</v>
      </c>
      <c r="K322" s="45">
        <v>0</v>
      </c>
      <c r="L322" s="45">
        <v>2707.44</v>
      </c>
      <c r="M322" s="45">
        <v>0</v>
      </c>
      <c r="N322" s="46">
        <v>0</v>
      </c>
      <c r="O322" s="46">
        <v>15600</v>
      </c>
    </row>
    <row r="323" spans="2:15">
      <c r="B323" s="43" t="s">
        <v>639</v>
      </c>
      <c r="C323" s="44" t="s">
        <v>812</v>
      </c>
      <c r="D323" s="45" t="s">
        <v>399</v>
      </c>
      <c r="E323" s="45" t="s">
        <v>123</v>
      </c>
      <c r="F323" s="45" t="s">
        <v>124</v>
      </c>
      <c r="G323" s="46">
        <v>7024.79</v>
      </c>
      <c r="H323" s="46">
        <v>0</v>
      </c>
      <c r="I323" s="45">
        <v>0</v>
      </c>
      <c r="J323" s="45">
        <v>0</v>
      </c>
      <c r="K323" s="45">
        <v>0</v>
      </c>
      <c r="L323" s="45">
        <v>1475.21</v>
      </c>
      <c r="M323" s="45">
        <v>0</v>
      </c>
      <c r="N323" s="46">
        <v>0</v>
      </c>
      <c r="O323" s="46">
        <v>8500</v>
      </c>
    </row>
    <row r="324" spans="2:15">
      <c r="B324" s="43" t="s">
        <v>639</v>
      </c>
      <c r="C324" s="44" t="s">
        <v>813</v>
      </c>
      <c r="D324" s="45" t="s">
        <v>814</v>
      </c>
      <c r="E324" s="45" t="s">
        <v>123</v>
      </c>
      <c r="F324" s="45">
        <v>21925869</v>
      </c>
      <c r="G324" s="46">
        <v>4628.1000000000004</v>
      </c>
      <c r="H324" s="46">
        <v>0</v>
      </c>
      <c r="I324" s="45">
        <v>0</v>
      </c>
      <c r="J324" s="45">
        <v>0</v>
      </c>
      <c r="K324" s="45">
        <v>0</v>
      </c>
      <c r="L324" s="45">
        <v>971.9</v>
      </c>
      <c r="M324" s="45">
        <v>0</v>
      </c>
      <c r="N324" s="46">
        <v>0</v>
      </c>
      <c r="O324" s="46">
        <v>5600</v>
      </c>
    </row>
    <row r="325" spans="2:15">
      <c r="B325" s="43" t="s">
        <v>639</v>
      </c>
      <c r="C325" s="44" t="s">
        <v>815</v>
      </c>
      <c r="D325" s="45" t="s">
        <v>381</v>
      </c>
      <c r="E325" s="45" t="s">
        <v>123</v>
      </c>
      <c r="F325" s="45" t="s">
        <v>124</v>
      </c>
      <c r="G325" s="46">
        <v>3305.79</v>
      </c>
      <c r="H325" s="46">
        <v>0</v>
      </c>
      <c r="I325" s="45">
        <v>0</v>
      </c>
      <c r="J325" s="45">
        <v>0</v>
      </c>
      <c r="K325" s="45">
        <v>0</v>
      </c>
      <c r="L325" s="45">
        <v>694.21</v>
      </c>
      <c r="M325" s="45">
        <v>0</v>
      </c>
      <c r="N325" s="46">
        <v>0</v>
      </c>
      <c r="O325" s="46">
        <v>4000</v>
      </c>
    </row>
    <row r="326" spans="2:15">
      <c r="B326" s="43" t="s">
        <v>639</v>
      </c>
      <c r="C326" s="44" t="s">
        <v>816</v>
      </c>
      <c r="D326" s="45" t="s">
        <v>369</v>
      </c>
      <c r="E326" s="45" t="s">
        <v>123</v>
      </c>
      <c r="F326" s="45">
        <v>92316435</v>
      </c>
      <c r="G326" s="46">
        <v>5785.12</v>
      </c>
      <c r="H326" s="46">
        <v>0</v>
      </c>
      <c r="I326" s="45">
        <v>0</v>
      </c>
      <c r="J326" s="45">
        <v>0</v>
      </c>
      <c r="K326" s="45">
        <v>0</v>
      </c>
      <c r="L326" s="45">
        <v>1214.8800000000001</v>
      </c>
      <c r="M326" s="45">
        <v>0</v>
      </c>
      <c r="N326" s="46">
        <v>0</v>
      </c>
      <c r="O326" s="46">
        <v>7000</v>
      </c>
    </row>
    <row r="327" spans="2:15">
      <c r="B327" s="43" t="s">
        <v>639</v>
      </c>
      <c r="C327" s="44" t="s">
        <v>817</v>
      </c>
      <c r="D327" s="45" t="s">
        <v>369</v>
      </c>
      <c r="E327" s="45" t="s">
        <v>123</v>
      </c>
      <c r="F327" s="45">
        <v>92316435</v>
      </c>
      <c r="G327" s="46">
        <v>3471.08</v>
      </c>
      <c r="H327" s="46">
        <v>0</v>
      </c>
      <c r="I327" s="45">
        <v>0</v>
      </c>
      <c r="J327" s="45">
        <v>0</v>
      </c>
      <c r="K327" s="45">
        <v>0</v>
      </c>
      <c r="L327" s="45">
        <v>728.92</v>
      </c>
      <c r="M327" s="45">
        <v>0</v>
      </c>
      <c r="N327" s="46">
        <v>0</v>
      </c>
      <c r="O327" s="46">
        <v>4200</v>
      </c>
    </row>
    <row r="328" spans="2:15">
      <c r="B328" s="43" t="s">
        <v>639</v>
      </c>
      <c r="C328" s="44" t="s">
        <v>818</v>
      </c>
      <c r="D328" s="45" t="s">
        <v>337</v>
      </c>
      <c r="E328" s="45" t="s">
        <v>123</v>
      </c>
      <c r="F328" s="45">
        <v>4164120</v>
      </c>
      <c r="G328" s="46">
        <v>991.73</v>
      </c>
      <c r="H328" s="46">
        <v>0</v>
      </c>
      <c r="I328" s="45">
        <v>0</v>
      </c>
      <c r="J328" s="45">
        <v>0</v>
      </c>
      <c r="K328" s="45">
        <v>0</v>
      </c>
      <c r="L328" s="45">
        <v>208.27</v>
      </c>
      <c r="M328" s="45">
        <v>0</v>
      </c>
      <c r="N328" s="46">
        <v>0</v>
      </c>
      <c r="O328" s="46">
        <v>1200</v>
      </c>
    </row>
    <row r="329" spans="2:15">
      <c r="B329" s="43" t="s">
        <v>639</v>
      </c>
      <c r="C329" s="44" t="s">
        <v>819</v>
      </c>
      <c r="D329" s="45" t="s">
        <v>820</v>
      </c>
      <c r="E329" s="45" t="s">
        <v>123</v>
      </c>
      <c r="F329" s="45">
        <v>94197222</v>
      </c>
      <c r="G329" s="46">
        <v>8264.4600000000009</v>
      </c>
      <c r="H329" s="46">
        <v>0</v>
      </c>
      <c r="I329" s="45">
        <v>0</v>
      </c>
      <c r="J329" s="45">
        <v>0</v>
      </c>
      <c r="K329" s="45">
        <v>0</v>
      </c>
      <c r="L329" s="45">
        <v>1735.54</v>
      </c>
      <c r="M329" s="45">
        <v>0</v>
      </c>
      <c r="N329" s="46">
        <v>0</v>
      </c>
      <c r="O329" s="46">
        <v>10000</v>
      </c>
    </row>
    <row r="330" spans="2:15">
      <c r="B330" s="43" t="s">
        <v>639</v>
      </c>
      <c r="C330" s="44" t="s">
        <v>821</v>
      </c>
      <c r="D330" s="45" t="s">
        <v>822</v>
      </c>
      <c r="E330" s="45" t="s">
        <v>123</v>
      </c>
      <c r="F330" s="45">
        <v>22608522</v>
      </c>
      <c r="G330" s="46">
        <v>5371.9</v>
      </c>
      <c r="H330" s="46">
        <v>0</v>
      </c>
      <c r="I330" s="45">
        <v>0</v>
      </c>
      <c r="J330" s="45">
        <v>0</v>
      </c>
      <c r="K330" s="45">
        <v>0</v>
      </c>
      <c r="L330" s="45">
        <v>1128.1000000000001</v>
      </c>
      <c r="M330" s="45">
        <v>0</v>
      </c>
      <c r="N330" s="46">
        <v>0</v>
      </c>
      <c r="O330" s="46">
        <v>6500</v>
      </c>
    </row>
    <row r="331" spans="2:15">
      <c r="B331" s="43" t="s">
        <v>639</v>
      </c>
      <c r="C331" s="44" t="s">
        <v>823</v>
      </c>
      <c r="D331" s="45" t="s">
        <v>406</v>
      </c>
      <c r="E331" s="45" t="s">
        <v>123</v>
      </c>
      <c r="F331" s="45">
        <v>12791306</v>
      </c>
      <c r="G331" s="46">
        <v>5454.54</v>
      </c>
      <c r="H331" s="46">
        <v>0</v>
      </c>
      <c r="I331" s="45">
        <v>0</v>
      </c>
      <c r="J331" s="45">
        <v>0</v>
      </c>
      <c r="K331" s="45">
        <v>0</v>
      </c>
      <c r="L331" s="45">
        <v>1145.46</v>
      </c>
      <c r="M331" s="45">
        <v>0</v>
      </c>
      <c r="N331" s="46">
        <v>0</v>
      </c>
      <c r="O331" s="46">
        <v>6600</v>
      </c>
    </row>
    <row r="332" spans="2:15">
      <c r="B332" s="43" t="s">
        <v>639</v>
      </c>
      <c r="C332" s="44" t="s">
        <v>824</v>
      </c>
      <c r="D332" s="45" t="s">
        <v>391</v>
      </c>
      <c r="E332" s="45" t="s">
        <v>123</v>
      </c>
      <c r="F332" s="45">
        <v>4702938</v>
      </c>
      <c r="G332" s="46">
        <v>9669.41</v>
      </c>
      <c r="H332" s="46">
        <v>0</v>
      </c>
      <c r="I332" s="45">
        <v>0</v>
      </c>
      <c r="J332" s="45">
        <v>0</v>
      </c>
      <c r="K332" s="45">
        <v>0</v>
      </c>
      <c r="L332" s="45">
        <v>2030.59</v>
      </c>
      <c r="M332" s="45">
        <v>0</v>
      </c>
      <c r="N332" s="46">
        <v>0</v>
      </c>
      <c r="O332" s="46">
        <v>11700</v>
      </c>
    </row>
    <row r="333" spans="2:15">
      <c r="B333" s="43" t="s">
        <v>438</v>
      </c>
      <c r="C333" s="44" t="s">
        <v>825</v>
      </c>
      <c r="D333" s="45" t="s">
        <v>826</v>
      </c>
      <c r="E333" s="45" t="s">
        <v>276</v>
      </c>
      <c r="F333" s="45">
        <v>30547339416</v>
      </c>
      <c r="G333" s="46">
        <v>35449.590000000004</v>
      </c>
      <c r="H333" s="46">
        <v>0</v>
      </c>
      <c r="I333" s="45">
        <v>0</v>
      </c>
      <c r="J333" s="45">
        <v>0</v>
      </c>
      <c r="K333" s="45">
        <v>0</v>
      </c>
      <c r="L333" s="45">
        <v>7444.41</v>
      </c>
      <c r="M333" s="45">
        <v>0</v>
      </c>
      <c r="N333" s="46">
        <v>0</v>
      </c>
      <c r="O333" s="46">
        <v>42894</v>
      </c>
    </row>
    <row r="334" spans="2:15">
      <c r="B334" s="43" t="s">
        <v>438</v>
      </c>
      <c r="C334" s="44" t="s">
        <v>827</v>
      </c>
      <c r="D334" s="45" t="s">
        <v>828</v>
      </c>
      <c r="E334" s="45" t="s">
        <v>276</v>
      </c>
      <c r="F334" s="45">
        <v>30609521941</v>
      </c>
      <c r="G334" s="46">
        <v>221487.6</v>
      </c>
      <c r="H334" s="46">
        <v>0</v>
      </c>
      <c r="I334" s="45">
        <v>0</v>
      </c>
      <c r="J334" s="45">
        <v>0</v>
      </c>
      <c r="K334" s="45">
        <v>0</v>
      </c>
      <c r="L334" s="45">
        <v>46512.4</v>
      </c>
      <c r="M334" s="45">
        <v>0</v>
      </c>
      <c r="N334" s="46">
        <v>0</v>
      </c>
      <c r="O334" s="46">
        <v>268000</v>
      </c>
    </row>
    <row r="335" spans="2:15">
      <c r="B335" s="43" t="s">
        <v>438</v>
      </c>
      <c r="C335" s="44" t="s">
        <v>829</v>
      </c>
      <c r="D335" s="45" t="s">
        <v>830</v>
      </c>
      <c r="E335" s="45" t="s">
        <v>123</v>
      </c>
      <c r="F335" s="45">
        <v>34156665</v>
      </c>
      <c r="G335" s="46">
        <v>3966.95</v>
      </c>
      <c r="H335" s="46">
        <v>0</v>
      </c>
      <c r="I335" s="45">
        <v>0</v>
      </c>
      <c r="J335" s="45">
        <v>0</v>
      </c>
      <c r="K335" s="45">
        <v>0</v>
      </c>
      <c r="L335" s="45">
        <v>833.05</v>
      </c>
      <c r="M335" s="45">
        <v>0</v>
      </c>
      <c r="N335" s="46">
        <v>0</v>
      </c>
      <c r="O335" s="46">
        <v>4800</v>
      </c>
    </row>
    <row r="336" spans="2:15">
      <c r="B336" s="43" t="s">
        <v>438</v>
      </c>
      <c r="C336" s="44" t="s">
        <v>831</v>
      </c>
      <c r="D336" s="45" t="s">
        <v>415</v>
      </c>
      <c r="E336" s="45" t="s">
        <v>123</v>
      </c>
      <c r="F336" s="45">
        <v>10093884</v>
      </c>
      <c r="G336" s="46">
        <v>3247.04</v>
      </c>
      <c r="H336" s="46">
        <v>0</v>
      </c>
      <c r="I336" s="45">
        <v>0</v>
      </c>
      <c r="J336" s="45">
        <v>0</v>
      </c>
      <c r="K336" s="45">
        <v>0</v>
      </c>
      <c r="L336" s="45">
        <v>681.88</v>
      </c>
      <c r="M336" s="45">
        <v>0</v>
      </c>
      <c r="N336" s="46">
        <v>0</v>
      </c>
      <c r="O336" s="46">
        <v>3928.92</v>
      </c>
    </row>
    <row r="337" spans="2:15">
      <c r="B337" s="43" t="s">
        <v>459</v>
      </c>
      <c r="C337" s="44" t="s">
        <v>832</v>
      </c>
      <c r="D337" s="45" t="s">
        <v>833</v>
      </c>
      <c r="E337" s="45" t="s">
        <v>123</v>
      </c>
      <c r="F337" s="45">
        <v>1304464</v>
      </c>
      <c r="G337" s="46">
        <v>3719.01</v>
      </c>
      <c r="H337" s="46">
        <v>0</v>
      </c>
      <c r="I337" s="45">
        <v>0</v>
      </c>
      <c r="J337" s="45">
        <v>0</v>
      </c>
      <c r="K337" s="45">
        <v>0</v>
      </c>
      <c r="L337" s="45">
        <v>780.99</v>
      </c>
      <c r="M337" s="45">
        <v>0</v>
      </c>
      <c r="N337" s="46">
        <v>0</v>
      </c>
      <c r="O337" s="46">
        <v>4500</v>
      </c>
    </row>
    <row r="338" spans="2:15">
      <c r="B338" s="43" t="s">
        <v>459</v>
      </c>
      <c r="C338" s="44" t="s">
        <v>834</v>
      </c>
      <c r="D338" s="45" t="s">
        <v>428</v>
      </c>
      <c r="E338" s="45" t="s">
        <v>123</v>
      </c>
      <c r="F338" s="45">
        <v>30206585</v>
      </c>
      <c r="G338" s="46">
        <v>3966.95</v>
      </c>
      <c r="H338" s="46">
        <v>0</v>
      </c>
      <c r="I338" s="45">
        <v>0</v>
      </c>
      <c r="J338" s="45">
        <v>0</v>
      </c>
      <c r="K338" s="45">
        <v>0</v>
      </c>
      <c r="L338" s="45">
        <v>833.05</v>
      </c>
      <c r="M338" s="45">
        <v>0</v>
      </c>
      <c r="N338" s="46">
        <v>0</v>
      </c>
      <c r="O338" s="46">
        <v>4800</v>
      </c>
    </row>
    <row r="339" spans="2:15">
      <c r="B339" s="43" t="s">
        <v>459</v>
      </c>
      <c r="C339" s="44" t="s">
        <v>835</v>
      </c>
      <c r="D339" s="45" t="s">
        <v>752</v>
      </c>
      <c r="E339" s="45" t="s">
        <v>123</v>
      </c>
      <c r="F339" s="45">
        <v>16481086</v>
      </c>
      <c r="G339" s="46">
        <v>5702.47</v>
      </c>
      <c r="H339" s="46">
        <v>0</v>
      </c>
      <c r="I339" s="45">
        <v>0</v>
      </c>
      <c r="J339" s="45">
        <v>0</v>
      </c>
      <c r="K339" s="45">
        <v>0</v>
      </c>
      <c r="L339" s="45">
        <v>1197.53</v>
      </c>
      <c r="M339" s="45">
        <v>0</v>
      </c>
      <c r="N339" s="46">
        <v>0</v>
      </c>
      <c r="O339" s="46">
        <v>6900</v>
      </c>
    </row>
    <row r="340" spans="2:15">
      <c r="B340" s="43" t="s">
        <v>459</v>
      </c>
      <c r="C340" s="44" t="s">
        <v>836</v>
      </c>
      <c r="D340" s="45" t="s">
        <v>281</v>
      </c>
      <c r="E340" s="45" t="s">
        <v>123</v>
      </c>
      <c r="F340" s="45">
        <v>16246667</v>
      </c>
      <c r="G340" s="46">
        <v>9008.26</v>
      </c>
      <c r="H340" s="46">
        <v>0</v>
      </c>
      <c r="I340" s="45">
        <v>0</v>
      </c>
      <c r="J340" s="45">
        <v>0</v>
      </c>
      <c r="K340" s="45">
        <v>0</v>
      </c>
      <c r="L340" s="45">
        <v>1891.74</v>
      </c>
      <c r="M340" s="45">
        <v>0</v>
      </c>
      <c r="N340" s="46">
        <v>0</v>
      </c>
      <c r="O340" s="46">
        <v>10900</v>
      </c>
    </row>
    <row r="341" spans="2:15">
      <c r="B341" s="43" t="s">
        <v>459</v>
      </c>
      <c r="C341" s="44" t="s">
        <v>837</v>
      </c>
      <c r="D341" s="45" t="s">
        <v>281</v>
      </c>
      <c r="E341" s="45" t="s">
        <v>123</v>
      </c>
      <c r="F341" s="45">
        <v>16246667</v>
      </c>
      <c r="G341" s="46">
        <v>9008.26</v>
      </c>
      <c r="H341" s="46">
        <v>0</v>
      </c>
      <c r="I341" s="45">
        <v>0</v>
      </c>
      <c r="J341" s="45">
        <v>0</v>
      </c>
      <c r="K341" s="45">
        <v>0</v>
      </c>
      <c r="L341" s="45">
        <v>1891.74</v>
      </c>
      <c r="M341" s="45">
        <v>0</v>
      </c>
      <c r="N341" s="46">
        <v>0</v>
      </c>
      <c r="O341" s="46">
        <v>10900</v>
      </c>
    </row>
    <row r="342" spans="2:15">
      <c r="B342" s="43" t="s">
        <v>459</v>
      </c>
      <c r="C342" s="44" t="s">
        <v>838</v>
      </c>
      <c r="D342" s="45" t="s">
        <v>296</v>
      </c>
      <c r="E342" s="45" t="s">
        <v>123</v>
      </c>
      <c r="F342" s="45">
        <v>1166487515</v>
      </c>
      <c r="G342" s="46">
        <v>18595.04</v>
      </c>
      <c r="H342" s="46">
        <v>0</v>
      </c>
      <c r="I342" s="45">
        <v>0</v>
      </c>
      <c r="J342" s="45">
        <v>0</v>
      </c>
      <c r="K342" s="45">
        <v>0</v>
      </c>
      <c r="L342" s="45">
        <v>3904.96</v>
      </c>
      <c r="M342" s="45">
        <v>0</v>
      </c>
      <c r="N342" s="46">
        <v>0</v>
      </c>
      <c r="O342" s="46">
        <v>22500</v>
      </c>
    </row>
    <row r="343" spans="2:15">
      <c r="B343" s="43" t="s">
        <v>459</v>
      </c>
      <c r="C343" s="44" t="s">
        <v>839</v>
      </c>
      <c r="D343" s="45" t="s">
        <v>840</v>
      </c>
      <c r="E343" s="45" t="s">
        <v>123</v>
      </c>
      <c r="F343" s="45">
        <v>27312091</v>
      </c>
      <c r="G343" s="46">
        <v>3719.01</v>
      </c>
      <c r="H343" s="46">
        <v>0</v>
      </c>
      <c r="I343" s="45">
        <v>0</v>
      </c>
      <c r="J343" s="45">
        <v>0</v>
      </c>
      <c r="K343" s="45">
        <v>0</v>
      </c>
      <c r="L343" s="45">
        <v>780.99</v>
      </c>
      <c r="M343" s="45">
        <v>0</v>
      </c>
      <c r="N343" s="46">
        <v>0</v>
      </c>
      <c r="O343" s="46">
        <v>4500</v>
      </c>
    </row>
    <row r="344" spans="2:15">
      <c r="B344" s="43" t="s">
        <v>459</v>
      </c>
      <c r="C344" s="44" t="s">
        <v>841</v>
      </c>
      <c r="D344" s="45" t="s">
        <v>840</v>
      </c>
      <c r="E344" s="45" t="s">
        <v>123</v>
      </c>
      <c r="F344" s="45">
        <v>27312091</v>
      </c>
      <c r="G344" s="46">
        <v>7438.02</v>
      </c>
      <c r="H344" s="46">
        <v>0</v>
      </c>
      <c r="I344" s="45">
        <v>0</v>
      </c>
      <c r="J344" s="45">
        <v>0</v>
      </c>
      <c r="K344" s="45">
        <v>0</v>
      </c>
      <c r="L344" s="45">
        <v>1561.98</v>
      </c>
      <c r="M344" s="45">
        <v>0</v>
      </c>
      <c r="N344" s="46">
        <v>0</v>
      </c>
      <c r="O344" s="46">
        <v>9000</v>
      </c>
    </row>
    <row r="345" spans="2:15">
      <c r="B345" s="43" t="s">
        <v>682</v>
      </c>
      <c r="C345" s="44" t="s">
        <v>842</v>
      </c>
      <c r="D345" s="45" t="s">
        <v>843</v>
      </c>
      <c r="E345" s="45" t="s">
        <v>123</v>
      </c>
      <c r="F345" s="45">
        <v>25376974</v>
      </c>
      <c r="G345" s="46">
        <v>3966.94</v>
      </c>
      <c r="H345" s="46">
        <v>0</v>
      </c>
      <c r="I345" s="45">
        <v>0</v>
      </c>
      <c r="J345" s="45">
        <v>0</v>
      </c>
      <c r="K345" s="45">
        <v>0</v>
      </c>
      <c r="L345" s="45">
        <v>833.06</v>
      </c>
      <c r="M345" s="45">
        <v>0</v>
      </c>
      <c r="N345" s="46">
        <v>0</v>
      </c>
      <c r="O345" s="46">
        <v>4800</v>
      </c>
    </row>
    <row r="346" spans="2:15">
      <c r="B346" s="43" t="s">
        <v>682</v>
      </c>
      <c r="C346" s="44" t="s">
        <v>844</v>
      </c>
      <c r="D346" s="45" t="s">
        <v>845</v>
      </c>
      <c r="E346" s="45" t="s">
        <v>123</v>
      </c>
      <c r="F346" s="45">
        <v>26348034</v>
      </c>
      <c r="G346" s="46">
        <v>29752.07</v>
      </c>
      <c r="H346" s="46">
        <v>0</v>
      </c>
      <c r="I346" s="45">
        <v>0</v>
      </c>
      <c r="J346" s="45">
        <v>0</v>
      </c>
      <c r="K346" s="45">
        <v>0</v>
      </c>
      <c r="L346" s="45">
        <v>6247.93</v>
      </c>
      <c r="M346" s="45">
        <v>0</v>
      </c>
      <c r="N346" s="46">
        <v>0</v>
      </c>
      <c r="O346" s="46">
        <v>36000</v>
      </c>
    </row>
    <row r="347" spans="2:15">
      <c r="B347" s="43" t="s">
        <v>441</v>
      </c>
      <c r="C347" s="44" t="s">
        <v>846</v>
      </c>
      <c r="D347" s="45" t="s">
        <v>375</v>
      </c>
      <c r="E347" s="45" t="s">
        <v>123</v>
      </c>
      <c r="F347" s="45">
        <v>22990821</v>
      </c>
      <c r="G347" s="46">
        <v>5206.6099999999997</v>
      </c>
      <c r="H347" s="46">
        <v>0</v>
      </c>
      <c r="I347" s="45">
        <v>0</v>
      </c>
      <c r="J347" s="45">
        <v>0</v>
      </c>
      <c r="K347" s="45">
        <v>0</v>
      </c>
      <c r="L347" s="45">
        <v>1093.3900000000001</v>
      </c>
      <c r="M347" s="45">
        <v>0</v>
      </c>
      <c r="N347" s="46">
        <v>0</v>
      </c>
      <c r="O347" s="46">
        <v>6300</v>
      </c>
    </row>
    <row r="348" spans="2:15">
      <c r="B348" s="43" t="s">
        <v>441</v>
      </c>
      <c r="C348" s="44" t="s">
        <v>847</v>
      </c>
      <c r="D348" s="45" t="s">
        <v>431</v>
      </c>
      <c r="E348" s="45" t="s">
        <v>123</v>
      </c>
      <c r="F348" s="45" t="s">
        <v>124</v>
      </c>
      <c r="G348" s="46">
        <v>10743.8</v>
      </c>
      <c r="H348" s="46">
        <v>0</v>
      </c>
      <c r="I348" s="45">
        <v>0</v>
      </c>
      <c r="J348" s="45">
        <v>0</v>
      </c>
      <c r="K348" s="45">
        <v>0</v>
      </c>
      <c r="L348" s="45">
        <v>2256.2000000000003</v>
      </c>
      <c r="M348" s="45">
        <v>0</v>
      </c>
      <c r="N348" s="46">
        <v>0</v>
      </c>
      <c r="O348" s="46">
        <v>13000</v>
      </c>
    </row>
    <row r="349" spans="2:15">
      <c r="B349" s="43" t="s">
        <v>441</v>
      </c>
      <c r="C349" s="44" t="s">
        <v>848</v>
      </c>
      <c r="D349" s="45" t="s">
        <v>706</v>
      </c>
      <c r="E349" s="45" t="s">
        <v>123</v>
      </c>
      <c r="F349" s="45">
        <v>4358855</v>
      </c>
      <c r="G349" s="46">
        <v>4628.1000000000004</v>
      </c>
      <c r="H349" s="46">
        <v>0</v>
      </c>
      <c r="I349" s="45">
        <v>0</v>
      </c>
      <c r="J349" s="45">
        <v>0</v>
      </c>
      <c r="K349" s="45">
        <v>0</v>
      </c>
      <c r="L349" s="45">
        <v>971.9</v>
      </c>
      <c r="M349" s="45">
        <v>0</v>
      </c>
      <c r="N349" s="46">
        <v>0</v>
      </c>
      <c r="O349" s="46">
        <v>5600</v>
      </c>
    </row>
    <row r="350" spans="2:15">
      <c r="B350" s="43" t="s">
        <v>441</v>
      </c>
      <c r="C350" s="44" t="s">
        <v>849</v>
      </c>
      <c r="D350" s="45" t="s">
        <v>286</v>
      </c>
      <c r="E350" s="45" t="s">
        <v>123</v>
      </c>
      <c r="F350" s="45">
        <v>10138957</v>
      </c>
      <c r="G350" s="46">
        <v>3140.5</v>
      </c>
      <c r="H350" s="46">
        <v>0</v>
      </c>
      <c r="I350" s="45">
        <v>0</v>
      </c>
      <c r="J350" s="45">
        <v>0</v>
      </c>
      <c r="K350" s="45">
        <v>0</v>
      </c>
      <c r="L350" s="45">
        <v>659.5</v>
      </c>
      <c r="M350" s="45">
        <v>0</v>
      </c>
      <c r="N350" s="46">
        <v>0</v>
      </c>
      <c r="O350" s="46">
        <v>3800</v>
      </c>
    </row>
    <row r="351" spans="2:15">
      <c r="B351" s="43" t="s">
        <v>505</v>
      </c>
      <c r="C351" s="44" t="s">
        <v>850</v>
      </c>
      <c r="D351" s="45" t="s">
        <v>352</v>
      </c>
      <c r="E351" s="45" t="s">
        <v>123</v>
      </c>
      <c r="F351" s="45">
        <v>11361026</v>
      </c>
      <c r="G351" s="46">
        <v>3057.85</v>
      </c>
      <c r="H351" s="46">
        <v>0</v>
      </c>
      <c r="I351" s="45">
        <v>0</v>
      </c>
      <c r="J351" s="45">
        <v>0</v>
      </c>
      <c r="K351" s="45">
        <v>0</v>
      </c>
      <c r="L351" s="45">
        <v>642.15</v>
      </c>
      <c r="M351" s="45">
        <v>0</v>
      </c>
      <c r="N351" s="46">
        <v>0</v>
      </c>
      <c r="O351" s="46">
        <v>3700</v>
      </c>
    </row>
    <row r="352" spans="2:15">
      <c r="B352" s="43" t="s">
        <v>714</v>
      </c>
      <c r="C352" s="44" t="s">
        <v>851</v>
      </c>
      <c r="D352" s="45" t="s">
        <v>852</v>
      </c>
      <c r="E352" s="45" t="s">
        <v>123</v>
      </c>
      <c r="F352" s="45">
        <v>14157581</v>
      </c>
      <c r="G352" s="46">
        <v>3719.01</v>
      </c>
      <c r="H352" s="46">
        <v>0</v>
      </c>
      <c r="I352" s="45">
        <v>0</v>
      </c>
      <c r="J352" s="45">
        <v>0</v>
      </c>
      <c r="K352" s="45">
        <v>0</v>
      </c>
      <c r="L352" s="45">
        <v>780.99</v>
      </c>
      <c r="M352" s="45">
        <v>0</v>
      </c>
      <c r="N352" s="46">
        <v>0</v>
      </c>
      <c r="O352" s="46">
        <v>4500</v>
      </c>
    </row>
    <row r="353" spans="2:17">
      <c r="B353" s="43" t="s">
        <v>714</v>
      </c>
      <c r="C353" s="44" t="s">
        <v>853</v>
      </c>
      <c r="D353" s="45" t="s">
        <v>854</v>
      </c>
      <c r="E353" s="45" t="s">
        <v>123</v>
      </c>
      <c r="F353" s="45">
        <v>24699538</v>
      </c>
      <c r="G353" s="46">
        <v>5785.12</v>
      </c>
      <c r="H353" s="46">
        <v>0</v>
      </c>
      <c r="I353" s="45">
        <v>0</v>
      </c>
      <c r="J353" s="45">
        <v>0</v>
      </c>
      <c r="K353" s="45">
        <v>0</v>
      </c>
      <c r="L353" s="45">
        <v>1214.8800000000001</v>
      </c>
      <c r="M353" s="45">
        <v>0</v>
      </c>
      <c r="N353" s="46">
        <v>0</v>
      </c>
      <c r="O353" s="46">
        <v>7000</v>
      </c>
    </row>
    <row r="354" spans="2:17">
      <c r="B354" s="43" t="s">
        <v>714</v>
      </c>
      <c r="C354" s="44" t="s">
        <v>855</v>
      </c>
      <c r="D354" s="45" t="s">
        <v>856</v>
      </c>
      <c r="E354" s="45" t="s">
        <v>123</v>
      </c>
      <c r="F354" s="45">
        <v>36622635</v>
      </c>
      <c r="G354" s="46">
        <v>4132.2300000000005</v>
      </c>
      <c r="H354" s="46">
        <v>0</v>
      </c>
      <c r="I354" s="45">
        <v>0</v>
      </c>
      <c r="J354" s="45">
        <v>0</v>
      </c>
      <c r="K354" s="45">
        <v>0</v>
      </c>
      <c r="L354" s="45">
        <v>867.77</v>
      </c>
      <c r="M354" s="45">
        <v>0</v>
      </c>
      <c r="N354" s="46">
        <v>0</v>
      </c>
      <c r="O354" s="46">
        <v>5000</v>
      </c>
    </row>
    <row r="355" spans="2:17">
      <c r="B355" s="43" t="s">
        <v>714</v>
      </c>
      <c r="C355" s="44" t="s">
        <v>857</v>
      </c>
      <c r="D355" s="45" t="s">
        <v>856</v>
      </c>
      <c r="E355" s="45" t="s">
        <v>123</v>
      </c>
      <c r="F355" s="45">
        <v>36622635</v>
      </c>
      <c r="G355" s="46">
        <v>3140.5</v>
      </c>
      <c r="H355" s="46">
        <v>0</v>
      </c>
      <c r="I355" s="45">
        <v>0</v>
      </c>
      <c r="J355" s="45">
        <v>0</v>
      </c>
      <c r="K355" s="45">
        <v>0</v>
      </c>
      <c r="L355" s="45">
        <v>659.5</v>
      </c>
      <c r="M355" s="45">
        <v>0</v>
      </c>
      <c r="N355" s="46">
        <v>0</v>
      </c>
      <c r="O355" s="46">
        <v>3800</v>
      </c>
    </row>
    <row r="356" spans="2:17">
      <c r="B356" s="43" t="s">
        <v>570</v>
      </c>
      <c r="C356" s="44" t="s">
        <v>858</v>
      </c>
      <c r="D356" s="45" t="s">
        <v>275</v>
      </c>
      <c r="E356" s="45" t="s">
        <v>276</v>
      </c>
      <c r="F356" s="45">
        <v>30590354798</v>
      </c>
      <c r="G356" s="46">
        <v>-314049.59000000003</v>
      </c>
      <c r="H356" s="46">
        <v>0</v>
      </c>
      <c r="I356" s="45">
        <v>0</v>
      </c>
      <c r="J356" s="45">
        <v>0</v>
      </c>
      <c r="K356" s="45">
        <v>0</v>
      </c>
      <c r="L356" s="45">
        <v>-65950.41</v>
      </c>
      <c r="M356" s="45">
        <v>0</v>
      </c>
      <c r="N356" s="46">
        <v>0</v>
      </c>
      <c r="O356" s="46">
        <v>-380000</v>
      </c>
    </row>
    <row r="357" spans="2:17">
      <c r="B357" s="43" t="s">
        <v>639</v>
      </c>
      <c r="C357" s="44" t="s">
        <v>859</v>
      </c>
      <c r="D357" s="45" t="s">
        <v>369</v>
      </c>
      <c r="E357" s="45" t="s">
        <v>123</v>
      </c>
      <c r="F357" s="45">
        <v>92316435</v>
      </c>
      <c r="G357" s="46">
        <v>-5785.12</v>
      </c>
      <c r="H357" s="46">
        <v>0</v>
      </c>
      <c r="I357" s="45">
        <v>0</v>
      </c>
      <c r="J357" s="45">
        <v>0</v>
      </c>
      <c r="K357" s="45">
        <v>0</v>
      </c>
      <c r="L357" s="45">
        <v>-1214.8800000000001</v>
      </c>
      <c r="M357" s="45">
        <v>0</v>
      </c>
      <c r="N357" s="46">
        <v>0</v>
      </c>
      <c r="O357" s="46">
        <v>-7000</v>
      </c>
    </row>
    <row r="358" spans="2:17">
      <c r="B358" s="43"/>
      <c r="C358" s="44"/>
      <c r="D358" s="45"/>
      <c r="E358" s="45"/>
      <c r="F358" s="45"/>
      <c r="G358" s="42"/>
      <c r="H358" s="42"/>
      <c r="I358" s="41"/>
      <c r="J358" s="41"/>
      <c r="K358" s="41"/>
      <c r="L358" s="41"/>
      <c r="M358" s="41"/>
      <c r="N358" s="42"/>
      <c r="O358" s="42"/>
    </row>
    <row r="359" spans="2:17">
      <c r="B359" s="43"/>
      <c r="C359" s="44"/>
      <c r="D359" s="45"/>
      <c r="E359" s="45"/>
      <c r="F359" s="45"/>
      <c r="G359" s="42">
        <f>SUM(G63:G358)</f>
        <v>3512832.66</v>
      </c>
      <c r="H359" s="42"/>
      <c r="I359" s="41"/>
      <c r="J359" s="41"/>
      <c r="K359" s="41"/>
      <c r="L359">
        <f>SUM(L63:L358)</f>
        <v>737694.7900000005</v>
      </c>
      <c r="M359" s="41"/>
      <c r="N359" s="42"/>
      <c r="O359" s="42"/>
    </row>
    <row r="360" spans="2:17">
      <c r="B360" s="47" t="s">
        <v>432</v>
      </c>
      <c r="C360" s="47" t="s">
        <v>433</v>
      </c>
      <c r="D360" s="47" t="s">
        <v>434</v>
      </c>
      <c r="E360" s="47" t="s">
        <v>435</v>
      </c>
      <c r="F360" s="47" t="s">
        <v>436</v>
      </c>
      <c r="G360" s="14">
        <f>G62+G359</f>
        <v>35166331.109999999</v>
      </c>
      <c r="H360" s="14">
        <f t="shared" ref="H360:O360" si="0">SUM(H3:H357)</f>
        <v>0</v>
      </c>
      <c r="I360" s="14">
        <f t="shared" si="0"/>
        <v>0</v>
      </c>
      <c r="J360" s="14">
        <f t="shared" si="0"/>
        <v>0</v>
      </c>
      <c r="K360" s="14">
        <f t="shared" si="0"/>
        <v>0</v>
      </c>
      <c r="L360" s="14">
        <f>L62+L359</f>
        <v>7384929.459999999</v>
      </c>
      <c r="M360" s="14">
        <f t="shared" si="0"/>
        <v>0</v>
      </c>
      <c r="N360" s="14">
        <f t="shared" si="0"/>
        <v>0</v>
      </c>
      <c r="O360" s="14">
        <f t="shared" si="0"/>
        <v>42551260.580000013</v>
      </c>
      <c r="Q360" s="50">
        <f>SUM(L63:L357)</f>
        <v>737694.7900000005</v>
      </c>
    </row>
    <row r="361" spans="2:17">
      <c r="L361" s="48">
        <v>-7384929.46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22"/>
  <sheetViews>
    <sheetView topLeftCell="A184" workbookViewId="0">
      <selection activeCell="C12" sqref="C12"/>
    </sheetView>
  </sheetViews>
  <sheetFormatPr baseColWidth="10" defaultRowHeight="15"/>
  <cols>
    <col min="3" max="3" width="18.42578125" bestFit="1" customWidth="1"/>
    <col min="4" max="4" width="73" bestFit="1" customWidth="1"/>
    <col min="5" max="5" width="22" bestFit="1" customWidth="1"/>
    <col min="6" max="6" width="12" bestFit="1" customWidth="1"/>
    <col min="7" max="7" width="15.5703125" bestFit="1" customWidth="1"/>
    <col min="8" max="8" width="11.42578125" bestFit="1" customWidth="1"/>
    <col min="9" max="9" width="8.85546875" bestFit="1" customWidth="1"/>
    <col min="10" max="10" width="7.28515625" bestFit="1" customWidth="1"/>
    <col min="11" max="11" width="9.85546875" bestFit="1" customWidth="1"/>
    <col min="12" max="12" width="14.5703125" bestFit="1" customWidth="1"/>
    <col min="13" max="13" width="8.28515625" bestFit="1" customWidth="1"/>
    <col min="14" max="14" width="9.85546875" bestFit="1" customWidth="1"/>
    <col min="15" max="15" width="15.5703125" bestFit="1" customWidth="1"/>
  </cols>
  <sheetData>
    <row r="2" spans="2: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>
      <c r="B3" s="3" t="s">
        <v>1172</v>
      </c>
      <c r="C3" s="4" t="s">
        <v>1198</v>
      </c>
      <c r="D3" s="5" t="s">
        <v>16</v>
      </c>
      <c r="E3" s="5" t="s">
        <v>17</v>
      </c>
      <c r="F3" s="5">
        <v>30522428163</v>
      </c>
      <c r="G3" s="56">
        <v>-5454.55</v>
      </c>
      <c r="H3" s="56">
        <v>0</v>
      </c>
      <c r="I3" s="5">
        <v>0</v>
      </c>
      <c r="J3" s="5">
        <v>0</v>
      </c>
      <c r="K3" s="5">
        <v>0</v>
      </c>
      <c r="L3" s="5">
        <v>-1145.46</v>
      </c>
      <c r="M3" s="5">
        <v>0</v>
      </c>
      <c r="N3" s="56">
        <v>0</v>
      </c>
      <c r="O3" s="56">
        <v>-6600.01</v>
      </c>
    </row>
    <row r="4" spans="2:15">
      <c r="B4" s="3" t="s">
        <v>1172</v>
      </c>
      <c r="C4" s="4" t="s">
        <v>1197</v>
      </c>
      <c r="D4" s="5" t="s">
        <v>16</v>
      </c>
      <c r="E4" s="5" t="s">
        <v>17</v>
      </c>
      <c r="F4" s="5">
        <v>30522428163</v>
      </c>
      <c r="G4" s="56">
        <v>-62926.44</v>
      </c>
      <c r="H4" s="56">
        <v>0</v>
      </c>
      <c r="I4" s="5">
        <v>0</v>
      </c>
      <c r="J4" s="5">
        <v>0</v>
      </c>
      <c r="K4" s="5">
        <v>0</v>
      </c>
      <c r="L4" s="5">
        <v>-13214.55</v>
      </c>
      <c r="M4" s="5">
        <v>0</v>
      </c>
      <c r="N4" s="56">
        <v>0</v>
      </c>
      <c r="O4" s="56">
        <v>-76140.990000000005</v>
      </c>
    </row>
    <row r="5" spans="2:15">
      <c r="B5" s="3" t="s">
        <v>1007</v>
      </c>
      <c r="C5" s="4" t="s">
        <v>1027</v>
      </c>
      <c r="D5" s="5" t="s">
        <v>60</v>
      </c>
      <c r="E5" s="5" t="s">
        <v>17</v>
      </c>
      <c r="F5" s="5">
        <v>30710538014</v>
      </c>
      <c r="G5" s="56">
        <v>-952.89</v>
      </c>
      <c r="H5" s="56">
        <v>0</v>
      </c>
      <c r="I5" s="5">
        <v>0</v>
      </c>
      <c r="J5" s="5">
        <v>0</v>
      </c>
      <c r="K5" s="5">
        <v>0</v>
      </c>
      <c r="L5" s="5">
        <v>-200.11</v>
      </c>
      <c r="M5" s="5">
        <v>0</v>
      </c>
      <c r="N5" s="56">
        <v>0</v>
      </c>
      <c r="O5" s="56">
        <v>-1153</v>
      </c>
    </row>
    <row r="6" spans="2:15">
      <c r="B6" s="3" t="s">
        <v>955</v>
      </c>
      <c r="C6" s="4" t="s">
        <v>970</v>
      </c>
      <c r="D6" s="5" t="s">
        <v>80</v>
      </c>
      <c r="E6" s="5" t="s">
        <v>17</v>
      </c>
      <c r="F6" s="5">
        <v>30608716390</v>
      </c>
      <c r="G6" s="56">
        <v>-1239.67</v>
      </c>
      <c r="H6" s="56">
        <v>0</v>
      </c>
      <c r="I6" s="5">
        <v>0</v>
      </c>
      <c r="J6" s="5">
        <v>0</v>
      </c>
      <c r="K6" s="5">
        <v>0</v>
      </c>
      <c r="L6" s="5">
        <v>-260.33</v>
      </c>
      <c r="M6" s="5">
        <v>0</v>
      </c>
      <c r="N6" s="56">
        <v>0</v>
      </c>
      <c r="O6" s="56">
        <v>-1500</v>
      </c>
    </row>
    <row r="7" spans="2:15">
      <c r="B7" s="3" t="s">
        <v>955</v>
      </c>
      <c r="C7" s="4" t="s">
        <v>969</v>
      </c>
      <c r="D7" s="5" t="s">
        <v>80</v>
      </c>
      <c r="E7" s="5" t="s">
        <v>17</v>
      </c>
      <c r="F7" s="5">
        <v>30608716390</v>
      </c>
      <c r="G7" s="56">
        <v>-19421.490000000002</v>
      </c>
      <c r="H7" s="56">
        <v>0</v>
      </c>
      <c r="I7" s="5">
        <v>0</v>
      </c>
      <c r="J7" s="5">
        <v>0</v>
      </c>
      <c r="K7" s="5">
        <v>0</v>
      </c>
      <c r="L7" s="5">
        <v>-4078.51</v>
      </c>
      <c r="M7" s="5">
        <v>0</v>
      </c>
      <c r="N7" s="56">
        <v>0</v>
      </c>
      <c r="O7" s="56">
        <v>-23500</v>
      </c>
    </row>
    <row r="8" spans="2:15">
      <c r="B8" s="3" t="s">
        <v>1172</v>
      </c>
      <c r="C8" s="4" t="s">
        <v>1196</v>
      </c>
      <c r="D8" s="5" t="s">
        <v>16</v>
      </c>
      <c r="E8" s="5" t="s">
        <v>17</v>
      </c>
      <c r="F8" s="5">
        <v>30522428163</v>
      </c>
      <c r="G8" s="56">
        <v>-122314.05</v>
      </c>
      <c r="H8" s="56">
        <v>0</v>
      </c>
      <c r="I8" s="5">
        <v>0</v>
      </c>
      <c r="J8" s="5">
        <v>0</v>
      </c>
      <c r="K8" s="5">
        <v>0</v>
      </c>
      <c r="L8" s="5">
        <v>-25685.95</v>
      </c>
      <c r="M8" s="5">
        <v>0</v>
      </c>
      <c r="N8" s="56">
        <v>0</v>
      </c>
      <c r="O8" s="56">
        <v>-148000</v>
      </c>
    </row>
    <row r="9" spans="2:15">
      <c r="B9" s="3" t="s">
        <v>1172</v>
      </c>
      <c r="C9" s="4" t="s">
        <v>1195</v>
      </c>
      <c r="D9" s="5" t="s">
        <v>16</v>
      </c>
      <c r="E9" s="5" t="s">
        <v>17</v>
      </c>
      <c r="F9" s="5">
        <v>30522428163</v>
      </c>
      <c r="G9" s="56">
        <v>-247107.44</v>
      </c>
      <c r="H9" s="56">
        <v>0</v>
      </c>
      <c r="I9" s="5">
        <v>0</v>
      </c>
      <c r="J9" s="5">
        <v>0</v>
      </c>
      <c r="K9" s="5">
        <v>0</v>
      </c>
      <c r="L9" s="5">
        <v>-51892.56</v>
      </c>
      <c r="M9" s="5">
        <v>0</v>
      </c>
      <c r="N9" s="56">
        <v>0</v>
      </c>
      <c r="O9" s="56">
        <v>-299000</v>
      </c>
    </row>
    <row r="10" spans="2:15">
      <c r="B10" s="3" t="s">
        <v>1172</v>
      </c>
      <c r="C10" s="4" t="s">
        <v>1194</v>
      </c>
      <c r="D10" s="5" t="s">
        <v>16</v>
      </c>
      <c r="E10" s="5" t="s">
        <v>17</v>
      </c>
      <c r="F10" s="5">
        <v>30522428163</v>
      </c>
      <c r="G10" s="56">
        <v>-7355.37</v>
      </c>
      <c r="H10" s="56">
        <v>0</v>
      </c>
      <c r="I10" s="5">
        <v>0</v>
      </c>
      <c r="J10" s="5">
        <v>0</v>
      </c>
      <c r="K10" s="5">
        <v>0</v>
      </c>
      <c r="L10" s="5">
        <v>-1544.63</v>
      </c>
      <c r="M10" s="5">
        <v>0</v>
      </c>
      <c r="N10" s="56">
        <v>0</v>
      </c>
      <c r="O10" s="56">
        <v>-8900</v>
      </c>
    </row>
    <row r="11" spans="2:15">
      <c r="B11" s="3" t="s">
        <v>1172</v>
      </c>
      <c r="C11" s="4" t="s">
        <v>1193</v>
      </c>
      <c r="D11" s="5" t="s">
        <v>16</v>
      </c>
      <c r="E11" s="5" t="s">
        <v>17</v>
      </c>
      <c r="F11" s="5">
        <v>30522428163</v>
      </c>
      <c r="G11" s="56">
        <v>-38829.17</v>
      </c>
      <c r="H11" s="56">
        <v>0</v>
      </c>
      <c r="I11" s="5">
        <v>0</v>
      </c>
      <c r="J11" s="5">
        <v>0</v>
      </c>
      <c r="K11" s="5">
        <v>0</v>
      </c>
      <c r="L11" s="5">
        <v>-8154.13</v>
      </c>
      <c r="M11" s="5">
        <v>0</v>
      </c>
      <c r="N11" s="56">
        <v>0</v>
      </c>
      <c r="O11" s="56">
        <v>-46983.3</v>
      </c>
    </row>
    <row r="12" spans="2:15">
      <c r="B12" s="3" t="s">
        <v>1172</v>
      </c>
      <c r="C12" s="4" t="s">
        <v>1192</v>
      </c>
      <c r="D12" s="5" t="s">
        <v>16</v>
      </c>
      <c r="E12" s="5" t="s">
        <v>17</v>
      </c>
      <c r="F12" s="5">
        <v>30522428163</v>
      </c>
      <c r="G12" s="56">
        <v>-14809.5</v>
      </c>
      <c r="H12" s="56">
        <v>0</v>
      </c>
      <c r="I12" s="5">
        <v>0</v>
      </c>
      <c r="J12" s="5">
        <v>0</v>
      </c>
      <c r="K12" s="5">
        <v>0</v>
      </c>
      <c r="L12" s="5">
        <v>-3110</v>
      </c>
      <c r="M12" s="5">
        <v>0</v>
      </c>
      <c r="N12" s="56">
        <v>0</v>
      </c>
      <c r="O12" s="56">
        <v>-17919.5</v>
      </c>
    </row>
    <row r="13" spans="2:15">
      <c r="B13" s="3" t="s">
        <v>1172</v>
      </c>
      <c r="C13" s="4" t="s">
        <v>1191</v>
      </c>
      <c r="D13" s="5" t="s">
        <v>16</v>
      </c>
      <c r="E13" s="5" t="s">
        <v>17</v>
      </c>
      <c r="F13" s="5">
        <v>30522428163</v>
      </c>
      <c r="G13" s="56">
        <v>-8101.62</v>
      </c>
      <c r="H13" s="56">
        <v>0</v>
      </c>
      <c r="I13" s="5">
        <v>0</v>
      </c>
      <c r="J13" s="5">
        <v>0</v>
      </c>
      <c r="K13" s="5">
        <v>0</v>
      </c>
      <c r="L13" s="5">
        <v>-1701.34</v>
      </c>
      <c r="M13" s="5">
        <v>0</v>
      </c>
      <c r="N13" s="56">
        <v>0</v>
      </c>
      <c r="O13" s="56">
        <v>-9802.9600000000009</v>
      </c>
    </row>
    <row r="14" spans="2:15">
      <c r="B14" s="3" t="s">
        <v>1172</v>
      </c>
      <c r="C14" s="4" t="s">
        <v>1190</v>
      </c>
      <c r="D14" s="5" t="s">
        <v>16</v>
      </c>
      <c r="E14" s="5" t="s">
        <v>17</v>
      </c>
      <c r="F14" s="5">
        <v>30522428163</v>
      </c>
      <c r="G14" s="56">
        <v>-6831.6</v>
      </c>
      <c r="H14" s="56">
        <v>0</v>
      </c>
      <c r="I14" s="5">
        <v>0</v>
      </c>
      <c r="J14" s="5">
        <v>0</v>
      </c>
      <c r="K14" s="5">
        <v>0</v>
      </c>
      <c r="L14" s="5">
        <v>-1434.64</v>
      </c>
      <c r="M14" s="5">
        <v>0</v>
      </c>
      <c r="N14" s="56">
        <v>0</v>
      </c>
      <c r="O14" s="56">
        <v>-8266.24</v>
      </c>
    </row>
    <row r="15" spans="2:15">
      <c r="B15" s="3" t="s">
        <v>1172</v>
      </c>
      <c r="C15" s="4" t="s">
        <v>1189</v>
      </c>
      <c r="D15" s="5" t="s">
        <v>16</v>
      </c>
      <c r="E15" s="5" t="s">
        <v>17</v>
      </c>
      <c r="F15" s="5">
        <v>30522428163</v>
      </c>
      <c r="G15" s="56">
        <v>-13667.1</v>
      </c>
      <c r="H15" s="56">
        <v>0</v>
      </c>
      <c r="I15" s="5">
        <v>0</v>
      </c>
      <c r="J15" s="5">
        <v>0</v>
      </c>
      <c r="K15" s="5">
        <v>0</v>
      </c>
      <c r="L15" s="5">
        <v>-2870.09</v>
      </c>
      <c r="M15" s="5">
        <v>0</v>
      </c>
      <c r="N15" s="56">
        <v>0</v>
      </c>
      <c r="O15" s="56">
        <v>-16537.189999999999</v>
      </c>
    </row>
    <row r="16" spans="2:15">
      <c r="B16" s="3" t="s">
        <v>1096</v>
      </c>
      <c r="C16" s="4" t="s">
        <v>1102</v>
      </c>
      <c r="D16" s="5" t="s">
        <v>16</v>
      </c>
      <c r="E16" s="5" t="s">
        <v>17</v>
      </c>
      <c r="F16" s="5">
        <v>30522428163</v>
      </c>
      <c r="G16" s="56">
        <v>17206.61</v>
      </c>
      <c r="H16" s="56">
        <v>0</v>
      </c>
      <c r="I16" s="5">
        <v>0</v>
      </c>
      <c r="J16" s="5">
        <v>0</v>
      </c>
      <c r="K16" s="5">
        <v>0</v>
      </c>
      <c r="L16" s="5">
        <v>3613.39</v>
      </c>
      <c r="M16" s="5">
        <v>0</v>
      </c>
      <c r="N16" s="56">
        <v>0</v>
      </c>
      <c r="O16" s="56">
        <v>20820</v>
      </c>
    </row>
    <row r="17" spans="2:15">
      <c r="B17" s="3" t="s">
        <v>1096</v>
      </c>
      <c r="C17" s="4" t="s">
        <v>1101</v>
      </c>
      <c r="D17" s="5" t="s">
        <v>16</v>
      </c>
      <c r="E17" s="5" t="s">
        <v>17</v>
      </c>
      <c r="F17" s="5">
        <v>30522428163</v>
      </c>
      <c r="G17" s="56">
        <v>48958.68</v>
      </c>
      <c r="H17" s="56">
        <v>0</v>
      </c>
      <c r="I17" s="5">
        <v>0</v>
      </c>
      <c r="J17" s="5">
        <v>0</v>
      </c>
      <c r="K17" s="5">
        <v>0</v>
      </c>
      <c r="L17" s="5">
        <v>10281.32</v>
      </c>
      <c r="M17" s="5">
        <v>0</v>
      </c>
      <c r="N17" s="56">
        <v>0</v>
      </c>
      <c r="O17" s="56">
        <v>59240</v>
      </c>
    </row>
    <row r="18" spans="2:15">
      <c r="B18" s="3" t="s">
        <v>1081</v>
      </c>
      <c r="C18" s="4" t="s">
        <v>1092</v>
      </c>
      <c r="D18" s="5" t="s">
        <v>84</v>
      </c>
      <c r="E18" s="5" t="s">
        <v>17</v>
      </c>
      <c r="F18" s="5">
        <v>30709016012</v>
      </c>
      <c r="G18" s="56">
        <v>10008.26</v>
      </c>
      <c r="H18" s="56">
        <v>0</v>
      </c>
      <c r="I18" s="5">
        <v>0</v>
      </c>
      <c r="J18" s="5">
        <v>0</v>
      </c>
      <c r="K18" s="5">
        <v>0</v>
      </c>
      <c r="L18" s="5">
        <v>2101.73</v>
      </c>
      <c r="M18" s="5">
        <v>0</v>
      </c>
      <c r="N18" s="56">
        <v>0</v>
      </c>
      <c r="O18" s="56">
        <v>12109.99</v>
      </c>
    </row>
    <row r="19" spans="2:15">
      <c r="B19" s="3" t="s">
        <v>1081</v>
      </c>
      <c r="C19" s="4" t="s">
        <v>1091</v>
      </c>
      <c r="D19" s="5" t="s">
        <v>80</v>
      </c>
      <c r="E19" s="5" t="s">
        <v>17</v>
      </c>
      <c r="F19" s="5">
        <v>30608716390</v>
      </c>
      <c r="G19" s="56">
        <v>1710.74</v>
      </c>
      <c r="H19" s="56">
        <v>0</v>
      </c>
      <c r="I19" s="5">
        <v>0</v>
      </c>
      <c r="J19" s="5">
        <v>0</v>
      </c>
      <c r="K19" s="5">
        <v>0</v>
      </c>
      <c r="L19" s="5">
        <v>359.26</v>
      </c>
      <c r="M19" s="5">
        <v>0</v>
      </c>
      <c r="N19" s="56">
        <v>0</v>
      </c>
      <c r="O19" s="56">
        <v>2070</v>
      </c>
    </row>
    <row r="20" spans="2:15">
      <c r="B20" s="3" t="s">
        <v>1081</v>
      </c>
      <c r="C20" s="4" t="s">
        <v>1090</v>
      </c>
      <c r="D20" s="5" t="s">
        <v>80</v>
      </c>
      <c r="E20" s="5" t="s">
        <v>17</v>
      </c>
      <c r="F20" s="5">
        <v>30608716390</v>
      </c>
      <c r="G20" s="56">
        <v>4049.58</v>
      </c>
      <c r="H20" s="56">
        <v>0</v>
      </c>
      <c r="I20" s="5">
        <v>0</v>
      </c>
      <c r="J20" s="5">
        <v>0</v>
      </c>
      <c r="K20" s="5">
        <v>0</v>
      </c>
      <c r="L20" s="5">
        <v>850.42</v>
      </c>
      <c r="M20" s="5">
        <v>0</v>
      </c>
      <c r="N20" s="56">
        <v>0</v>
      </c>
      <c r="O20" s="56">
        <v>4900</v>
      </c>
    </row>
    <row r="21" spans="2:15">
      <c r="B21" s="3" t="s">
        <v>1081</v>
      </c>
      <c r="C21" s="4" t="s">
        <v>1089</v>
      </c>
      <c r="D21" s="5" t="s">
        <v>80</v>
      </c>
      <c r="E21" s="5" t="s">
        <v>17</v>
      </c>
      <c r="F21" s="5">
        <v>30608716390</v>
      </c>
      <c r="G21" s="56">
        <v>1487.6</v>
      </c>
      <c r="H21" s="56">
        <v>0</v>
      </c>
      <c r="I21" s="5">
        <v>0</v>
      </c>
      <c r="J21" s="5">
        <v>0</v>
      </c>
      <c r="K21" s="5">
        <v>0</v>
      </c>
      <c r="L21" s="5">
        <v>312.40000000000003</v>
      </c>
      <c r="M21" s="5">
        <v>0</v>
      </c>
      <c r="N21" s="56">
        <v>0</v>
      </c>
      <c r="O21" s="56">
        <v>1800</v>
      </c>
    </row>
    <row r="22" spans="2:15">
      <c r="B22" s="3" t="s">
        <v>1081</v>
      </c>
      <c r="C22" s="4" t="s">
        <v>1088</v>
      </c>
      <c r="D22" s="5" t="s">
        <v>80</v>
      </c>
      <c r="E22" s="5" t="s">
        <v>17</v>
      </c>
      <c r="F22" s="5">
        <v>30608716390</v>
      </c>
      <c r="G22" s="56">
        <v>3471.08</v>
      </c>
      <c r="H22" s="56">
        <v>0</v>
      </c>
      <c r="I22" s="5">
        <v>0</v>
      </c>
      <c r="J22" s="5">
        <v>0</v>
      </c>
      <c r="K22" s="5">
        <v>0</v>
      </c>
      <c r="L22" s="5">
        <v>728.93</v>
      </c>
      <c r="M22" s="5">
        <v>0</v>
      </c>
      <c r="N22" s="56">
        <v>0</v>
      </c>
      <c r="O22" s="56">
        <v>4200.01</v>
      </c>
    </row>
    <row r="23" spans="2:15">
      <c r="B23" s="3" t="s">
        <v>1081</v>
      </c>
      <c r="C23" s="4" t="s">
        <v>1087</v>
      </c>
      <c r="D23" s="5" t="s">
        <v>80</v>
      </c>
      <c r="E23" s="5" t="s">
        <v>17</v>
      </c>
      <c r="F23" s="5">
        <v>30608716390</v>
      </c>
      <c r="G23" s="56">
        <v>1140.5</v>
      </c>
      <c r="H23" s="56">
        <v>0</v>
      </c>
      <c r="I23" s="5">
        <v>0</v>
      </c>
      <c r="J23" s="5">
        <v>0</v>
      </c>
      <c r="K23" s="5">
        <v>0</v>
      </c>
      <c r="L23" s="5">
        <v>239.51</v>
      </c>
      <c r="M23" s="5">
        <v>0</v>
      </c>
      <c r="N23" s="56">
        <v>0</v>
      </c>
      <c r="O23" s="56">
        <v>1380.01</v>
      </c>
    </row>
    <row r="24" spans="2:15">
      <c r="B24" s="3" t="s">
        <v>1066</v>
      </c>
      <c r="C24" s="4" t="s">
        <v>1080</v>
      </c>
      <c r="D24" s="5" t="s">
        <v>80</v>
      </c>
      <c r="E24" s="5" t="s">
        <v>17</v>
      </c>
      <c r="F24" s="5">
        <v>30608716390</v>
      </c>
      <c r="G24" s="56">
        <v>3471.06</v>
      </c>
      <c r="H24" s="56">
        <v>0</v>
      </c>
      <c r="I24" s="5">
        <v>0</v>
      </c>
      <c r="J24" s="5">
        <v>0</v>
      </c>
      <c r="K24" s="5">
        <v>0</v>
      </c>
      <c r="L24" s="5">
        <v>728.92</v>
      </c>
      <c r="M24" s="5">
        <v>0</v>
      </c>
      <c r="N24" s="56">
        <v>0</v>
      </c>
      <c r="O24" s="56">
        <v>4199.9800000000005</v>
      </c>
    </row>
    <row r="25" spans="2:15">
      <c r="B25" s="3" t="s">
        <v>1066</v>
      </c>
      <c r="C25" s="4" t="s">
        <v>1079</v>
      </c>
      <c r="D25" s="5" t="s">
        <v>16</v>
      </c>
      <c r="E25" s="5" t="s">
        <v>17</v>
      </c>
      <c r="F25" s="5">
        <v>30522428163</v>
      </c>
      <c r="G25" s="56">
        <v>20138.34</v>
      </c>
      <c r="H25" s="56">
        <v>0</v>
      </c>
      <c r="I25" s="5">
        <v>0</v>
      </c>
      <c r="J25" s="5">
        <v>0</v>
      </c>
      <c r="K25" s="5">
        <v>0</v>
      </c>
      <c r="L25" s="5">
        <v>4229.05</v>
      </c>
      <c r="M25" s="5">
        <v>0</v>
      </c>
      <c r="N25" s="56">
        <v>0</v>
      </c>
      <c r="O25" s="56">
        <v>24367.39</v>
      </c>
    </row>
    <row r="26" spans="2:15">
      <c r="B26" s="3" t="s">
        <v>1066</v>
      </c>
      <c r="C26" s="4" t="s">
        <v>1078</v>
      </c>
      <c r="D26" s="5" t="s">
        <v>16</v>
      </c>
      <c r="E26" s="5" t="s">
        <v>17</v>
      </c>
      <c r="F26" s="5">
        <v>30522428163</v>
      </c>
      <c r="G26" s="56">
        <v>137123.82</v>
      </c>
      <c r="H26" s="56">
        <v>0</v>
      </c>
      <c r="I26" s="5">
        <v>0</v>
      </c>
      <c r="J26" s="5">
        <v>0</v>
      </c>
      <c r="K26" s="5">
        <v>0</v>
      </c>
      <c r="L26" s="5">
        <v>28796</v>
      </c>
      <c r="M26" s="5">
        <v>0</v>
      </c>
      <c r="N26" s="56">
        <v>0</v>
      </c>
      <c r="O26" s="56">
        <v>165919.82</v>
      </c>
    </row>
    <row r="27" spans="2:15">
      <c r="B27" s="3" t="s">
        <v>955</v>
      </c>
      <c r="C27" s="4" t="s">
        <v>976</v>
      </c>
      <c r="D27" s="5" t="s">
        <v>66</v>
      </c>
      <c r="E27" s="5" t="s">
        <v>17</v>
      </c>
      <c r="F27" s="5">
        <v>30710961790</v>
      </c>
      <c r="G27" s="56">
        <v>45380.99</v>
      </c>
      <c r="H27" s="56">
        <v>0</v>
      </c>
      <c r="I27" s="5">
        <v>0</v>
      </c>
      <c r="J27" s="5">
        <v>0</v>
      </c>
      <c r="K27" s="5">
        <v>0</v>
      </c>
      <c r="L27" s="5">
        <v>9530.01</v>
      </c>
      <c r="M27" s="5">
        <v>0</v>
      </c>
      <c r="N27" s="56">
        <v>0</v>
      </c>
      <c r="O27" s="56">
        <v>54911</v>
      </c>
    </row>
    <row r="28" spans="2:15">
      <c r="B28" s="3" t="s">
        <v>955</v>
      </c>
      <c r="C28" s="4" t="s">
        <v>975</v>
      </c>
      <c r="D28" s="5" t="s">
        <v>70</v>
      </c>
      <c r="E28" s="5" t="s">
        <v>17</v>
      </c>
      <c r="F28" s="5">
        <v>30645337979</v>
      </c>
      <c r="G28" s="56">
        <v>10705.79</v>
      </c>
      <c r="H28" s="56">
        <v>0</v>
      </c>
      <c r="I28" s="5">
        <v>0</v>
      </c>
      <c r="J28" s="5">
        <v>0</v>
      </c>
      <c r="K28" s="5">
        <v>0</v>
      </c>
      <c r="L28" s="5">
        <v>2248.2200000000003</v>
      </c>
      <c r="M28" s="5">
        <v>0</v>
      </c>
      <c r="N28" s="56">
        <v>0</v>
      </c>
      <c r="O28" s="56">
        <v>12954.01</v>
      </c>
    </row>
    <row r="29" spans="2:15">
      <c r="B29" s="3" t="s">
        <v>955</v>
      </c>
      <c r="C29" s="4" t="s">
        <v>974</v>
      </c>
      <c r="D29" s="5" t="s">
        <v>80</v>
      </c>
      <c r="E29" s="5" t="s">
        <v>17</v>
      </c>
      <c r="F29" s="5">
        <v>30608716390</v>
      </c>
      <c r="G29" s="56">
        <v>1239.67</v>
      </c>
      <c r="H29" s="56">
        <v>0</v>
      </c>
      <c r="I29" s="5">
        <v>0</v>
      </c>
      <c r="J29" s="5">
        <v>0</v>
      </c>
      <c r="K29" s="5">
        <v>0</v>
      </c>
      <c r="L29" s="5">
        <v>260.33</v>
      </c>
      <c r="M29" s="5">
        <v>0</v>
      </c>
      <c r="N29" s="56">
        <v>0</v>
      </c>
      <c r="O29" s="56">
        <v>1500</v>
      </c>
    </row>
    <row r="30" spans="2:15">
      <c r="B30" s="3" t="s">
        <v>955</v>
      </c>
      <c r="C30" s="4" t="s">
        <v>973</v>
      </c>
      <c r="D30" s="5" t="s">
        <v>80</v>
      </c>
      <c r="E30" s="5" t="s">
        <v>17</v>
      </c>
      <c r="F30" s="5">
        <v>30608716390</v>
      </c>
      <c r="G30" s="56">
        <v>19421.490000000002</v>
      </c>
      <c r="H30" s="56">
        <v>0</v>
      </c>
      <c r="I30" s="5">
        <v>0</v>
      </c>
      <c r="J30" s="5">
        <v>0</v>
      </c>
      <c r="K30" s="5">
        <v>0</v>
      </c>
      <c r="L30" s="5">
        <v>4078.51</v>
      </c>
      <c r="M30" s="5">
        <v>0</v>
      </c>
      <c r="N30" s="56">
        <v>0</v>
      </c>
      <c r="O30" s="56">
        <v>23500</v>
      </c>
    </row>
    <row r="31" spans="2:15">
      <c r="B31" s="3" t="s">
        <v>955</v>
      </c>
      <c r="C31" s="4" t="s">
        <v>972</v>
      </c>
      <c r="D31" s="5" t="s">
        <v>68</v>
      </c>
      <c r="E31" s="5" t="s">
        <v>17</v>
      </c>
      <c r="F31" s="5">
        <v>30711244383</v>
      </c>
      <c r="G31" s="56">
        <v>5623.97</v>
      </c>
      <c r="H31" s="56">
        <v>0</v>
      </c>
      <c r="I31" s="5">
        <v>0</v>
      </c>
      <c r="J31" s="5">
        <v>0</v>
      </c>
      <c r="K31" s="5">
        <v>0</v>
      </c>
      <c r="L31" s="5">
        <v>1181.03</v>
      </c>
      <c r="M31" s="5">
        <v>0</v>
      </c>
      <c r="N31" s="56">
        <v>0</v>
      </c>
      <c r="O31" s="56">
        <v>6805</v>
      </c>
    </row>
    <row r="32" spans="2:15">
      <c r="B32" s="3" t="s">
        <v>955</v>
      </c>
      <c r="C32" s="4" t="s">
        <v>971</v>
      </c>
      <c r="D32" s="5" t="s">
        <v>72</v>
      </c>
      <c r="E32" s="5" t="s">
        <v>17</v>
      </c>
      <c r="F32" s="5">
        <v>30657418877</v>
      </c>
      <c r="G32" s="56">
        <v>2892.56</v>
      </c>
      <c r="H32" s="56">
        <v>0</v>
      </c>
      <c r="I32" s="5">
        <v>0</v>
      </c>
      <c r="J32" s="5">
        <v>0</v>
      </c>
      <c r="K32" s="5">
        <v>0</v>
      </c>
      <c r="L32" s="5">
        <v>607.44000000000005</v>
      </c>
      <c r="M32" s="5">
        <v>0</v>
      </c>
      <c r="N32" s="56">
        <v>0</v>
      </c>
      <c r="O32" s="56">
        <v>3500</v>
      </c>
    </row>
    <row r="33" spans="2:15">
      <c r="B33" s="3" t="s">
        <v>922</v>
      </c>
      <c r="C33" s="4" t="s">
        <v>936</v>
      </c>
      <c r="D33" s="5" t="s">
        <v>80</v>
      </c>
      <c r="E33" s="5" t="s">
        <v>17</v>
      </c>
      <c r="F33" s="5">
        <v>30608716390</v>
      </c>
      <c r="G33" s="56">
        <v>1280.99</v>
      </c>
      <c r="H33" s="56">
        <v>0</v>
      </c>
      <c r="I33" s="5">
        <v>0</v>
      </c>
      <c r="J33" s="5">
        <v>0</v>
      </c>
      <c r="K33" s="5">
        <v>0</v>
      </c>
      <c r="L33" s="5">
        <v>269.01</v>
      </c>
      <c r="M33" s="5">
        <v>0</v>
      </c>
      <c r="N33" s="56">
        <v>0</v>
      </c>
      <c r="O33" s="56">
        <v>1550</v>
      </c>
    </row>
    <row r="34" spans="2:15">
      <c r="B34" s="3" t="s">
        <v>922</v>
      </c>
      <c r="C34" s="4" t="s">
        <v>935</v>
      </c>
      <c r="D34" s="5" t="s">
        <v>64</v>
      </c>
      <c r="E34" s="5" t="s">
        <v>17</v>
      </c>
      <c r="F34" s="5">
        <v>30546771314</v>
      </c>
      <c r="G34" s="56">
        <v>10247.92</v>
      </c>
      <c r="H34" s="56">
        <v>0</v>
      </c>
      <c r="I34" s="5">
        <v>0</v>
      </c>
      <c r="J34" s="5">
        <v>0</v>
      </c>
      <c r="K34" s="5">
        <v>0</v>
      </c>
      <c r="L34" s="5">
        <v>2152.06</v>
      </c>
      <c r="M34" s="5">
        <v>0</v>
      </c>
      <c r="N34" s="56">
        <v>0</v>
      </c>
      <c r="O34" s="56">
        <v>12399.98</v>
      </c>
    </row>
    <row r="35" spans="2:15">
      <c r="B35" s="3" t="s">
        <v>922</v>
      </c>
      <c r="C35" s="4" t="s">
        <v>934</v>
      </c>
      <c r="D35" s="5" t="s">
        <v>33</v>
      </c>
      <c r="E35" s="5" t="s">
        <v>17</v>
      </c>
      <c r="F35" s="5">
        <v>30683032227</v>
      </c>
      <c r="G35" s="56">
        <v>21671.65</v>
      </c>
      <c r="H35" s="56">
        <v>0</v>
      </c>
      <c r="I35" s="5">
        <v>0</v>
      </c>
      <c r="J35" s="5">
        <v>0</v>
      </c>
      <c r="K35" s="5">
        <v>0</v>
      </c>
      <c r="L35" s="5">
        <v>4551.05</v>
      </c>
      <c r="M35" s="5">
        <v>0</v>
      </c>
      <c r="N35" s="56">
        <v>0</v>
      </c>
      <c r="O35" s="56">
        <v>26222.7</v>
      </c>
    </row>
    <row r="36" spans="2:15">
      <c r="B36" s="3" t="s">
        <v>922</v>
      </c>
      <c r="C36" s="4" t="s">
        <v>933</v>
      </c>
      <c r="D36" s="5" t="s">
        <v>33</v>
      </c>
      <c r="E36" s="5" t="s">
        <v>17</v>
      </c>
      <c r="F36" s="5">
        <v>30683032227</v>
      </c>
      <c r="G36" s="56">
        <v>245305.54</v>
      </c>
      <c r="H36" s="56">
        <v>0</v>
      </c>
      <c r="I36" s="5">
        <v>0</v>
      </c>
      <c r="J36" s="5">
        <v>0</v>
      </c>
      <c r="K36" s="5">
        <v>0</v>
      </c>
      <c r="L36" s="5">
        <v>51514.16</v>
      </c>
      <c r="M36" s="5">
        <v>0</v>
      </c>
      <c r="N36" s="56">
        <v>0</v>
      </c>
      <c r="O36" s="56">
        <v>296819.7</v>
      </c>
    </row>
    <row r="37" spans="2:15">
      <c r="B37" s="3" t="s">
        <v>906</v>
      </c>
      <c r="C37" s="4" t="s">
        <v>919</v>
      </c>
      <c r="D37" s="5" t="s">
        <v>62</v>
      </c>
      <c r="E37" s="5" t="s">
        <v>17</v>
      </c>
      <c r="F37" s="5">
        <v>30713669004</v>
      </c>
      <c r="G37" s="56">
        <v>13541.32</v>
      </c>
      <c r="H37" s="56">
        <v>0</v>
      </c>
      <c r="I37" s="5">
        <v>0</v>
      </c>
      <c r="J37" s="5">
        <v>0</v>
      </c>
      <c r="K37" s="5">
        <v>0</v>
      </c>
      <c r="L37" s="5">
        <v>2843.68</v>
      </c>
      <c r="M37" s="5">
        <v>0</v>
      </c>
      <c r="N37" s="56">
        <v>0</v>
      </c>
      <c r="O37" s="56">
        <v>16385</v>
      </c>
    </row>
    <row r="38" spans="2:15">
      <c r="B38" s="3" t="s">
        <v>906</v>
      </c>
      <c r="C38" s="4" t="s">
        <v>918</v>
      </c>
      <c r="D38" s="5" t="s">
        <v>64</v>
      </c>
      <c r="E38" s="5" t="s">
        <v>17</v>
      </c>
      <c r="F38" s="5">
        <v>30546771314</v>
      </c>
      <c r="G38" s="56">
        <v>9813.2199999999993</v>
      </c>
      <c r="H38" s="56">
        <v>0</v>
      </c>
      <c r="I38" s="5">
        <v>0</v>
      </c>
      <c r="J38" s="5">
        <v>0</v>
      </c>
      <c r="K38" s="5">
        <v>0</v>
      </c>
      <c r="L38" s="5">
        <v>2060.7800000000002</v>
      </c>
      <c r="M38" s="5">
        <v>0</v>
      </c>
      <c r="N38" s="56">
        <v>0</v>
      </c>
      <c r="O38" s="56">
        <v>11874</v>
      </c>
    </row>
    <row r="39" spans="2:15">
      <c r="B39" s="3" t="s">
        <v>906</v>
      </c>
      <c r="C39" s="4" t="s">
        <v>917</v>
      </c>
      <c r="D39" s="5" t="s">
        <v>60</v>
      </c>
      <c r="E39" s="5" t="s">
        <v>17</v>
      </c>
      <c r="F39" s="5">
        <v>30710538014</v>
      </c>
      <c r="G39" s="56">
        <v>23828.93</v>
      </c>
      <c r="H39" s="56">
        <v>0</v>
      </c>
      <c r="I39" s="5">
        <v>0</v>
      </c>
      <c r="J39" s="5">
        <v>0</v>
      </c>
      <c r="K39" s="5">
        <v>0</v>
      </c>
      <c r="L39" s="5">
        <v>5004.08</v>
      </c>
      <c r="M39" s="5">
        <v>0</v>
      </c>
      <c r="N39" s="56">
        <v>0</v>
      </c>
      <c r="O39" s="56">
        <v>28833.01</v>
      </c>
    </row>
    <row r="40" spans="2:15">
      <c r="B40" s="3" t="s">
        <v>906</v>
      </c>
      <c r="C40" s="4" t="s">
        <v>916</v>
      </c>
      <c r="D40" s="5" t="s">
        <v>16</v>
      </c>
      <c r="E40" s="5" t="s">
        <v>17</v>
      </c>
      <c r="F40" s="5">
        <v>30522428163</v>
      </c>
      <c r="G40" s="56">
        <v>177503.17</v>
      </c>
      <c r="H40" s="56">
        <v>0</v>
      </c>
      <c r="I40" s="5">
        <v>0</v>
      </c>
      <c r="J40" s="5">
        <v>0</v>
      </c>
      <c r="K40" s="5">
        <v>0</v>
      </c>
      <c r="L40" s="5">
        <v>37275.67</v>
      </c>
      <c r="M40" s="5">
        <v>0</v>
      </c>
      <c r="N40" s="56">
        <v>0</v>
      </c>
      <c r="O40" s="56">
        <v>214778.84</v>
      </c>
    </row>
    <row r="41" spans="2:15">
      <c r="B41" s="3" t="s">
        <v>885</v>
      </c>
      <c r="C41" s="4" t="s">
        <v>901</v>
      </c>
      <c r="D41" s="5" t="s">
        <v>16</v>
      </c>
      <c r="E41" s="5" t="s">
        <v>17</v>
      </c>
      <c r="F41" s="5">
        <v>30522428163</v>
      </c>
      <c r="G41" s="56">
        <v>3681.09</v>
      </c>
      <c r="H41" s="56">
        <v>0</v>
      </c>
      <c r="I41" s="5">
        <v>0</v>
      </c>
      <c r="J41" s="5">
        <v>0</v>
      </c>
      <c r="K41" s="5">
        <v>0</v>
      </c>
      <c r="L41" s="5">
        <v>773.03</v>
      </c>
      <c r="M41" s="5">
        <v>0</v>
      </c>
      <c r="N41" s="56">
        <v>0</v>
      </c>
      <c r="O41" s="56">
        <v>4454.12</v>
      </c>
    </row>
    <row r="42" spans="2:15">
      <c r="B42" s="3" t="s">
        <v>862</v>
      </c>
      <c r="C42" s="4" t="s">
        <v>881</v>
      </c>
      <c r="D42" s="5" t="s">
        <v>80</v>
      </c>
      <c r="E42" s="5" t="s">
        <v>17</v>
      </c>
      <c r="F42" s="5">
        <v>30608716390</v>
      </c>
      <c r="G42" s="56">
        <v>6033.06</v>
      </c>
      <c r="H42" s="56">
        <v>0</v>
      </c>
      <c r="I42" s="5">
        <v>0</v>
      </c>
      <c r="J42" s="5">
        <v>0</v>
      </c>
      <c r="K42" s="5">
        <v>0</v>
      </c>
      <c r="L42" s="5">
        <v>1266.94</v>
      </c>
      <c r="M42" s="5">
        <v>0</v>
      </c>
      <c r="N42" s="56">
        <v>0</v>
      </c>
      <c r="O42" s="56">
        <v>7300</v>
      </c>
    </row>
    <row r="43" spans="2:15">
      <c r="B43" s="3" t="s">
        <v>862</v>
      </c>
      <c r="C43" s="4" t="s">
        <v>880</v>
      </c>
      <c r="D43" s="5" t="s">
        <v>80</v>
      </c>
      <c r="E43" s="5" t="s">
        <v>17</v>
      </c>
      <c r="F43" s="5">
        <v>30608716390</v>
      </c>
      <c r="G43" s="56">
        <v>1487.6</v>
      </c>
      <c r="H43" s="56">
        <v>0</v>
      </c>
      <c r="I43" s="5">
        <v>0</v>
      </c>
      <c r="J43" s="5">
        <v>0</v>
      </c>
      <c r="K43" s="5">
        <v>0</v>
      </c>
      <c r="L43" s="5">
        <v>312.40000000000003</v>
      </c>
      <c r="M43" s="5">
        <v>0</v>
      </c>
      <c r="N43" s="56">
        <v>0</v>
      </c>
      <c r="O43" s="56">
        <v>1800</v>
      </c>
    </row>
    <row r="44" spans="2:15">
      <c r="B44" s="3" t="s">
        <v>862</v>
      </c>
      <c r="C44" s="4" t="s">
        <v>879</v>
      </c>
      <c r="D44" s="5" t="s">
        <v>98</v>
      </c>
      <c r="E44" s="5" t="s">
        <v>17</v>
      </c>
      <c r="F44" s="5">
        <v>30707118454</v>
      </c>
      <c r="G44" s="56">
        <v>4003.3</v>
      </c>
      <c r="H44" s="56">
        <v>0</v>
      </c>
      <c r="I44" s="5">
        <v>0</v>
      </c>
      <c r="J44" s="5">
        <v>0</v>
      </c>
      <c r="K44" s="5">
        <v>0</v>
      </c>
      <c r="L44" s="5">
        <v>840.69</v>
      </c>
      <c r="M44" s="5">
        <v>0</v>
      </c>
      <c r="N44" s="56">
        <v>0</v>
      </c>
      <c r="O44" s="56">
        <v>4843.99</v>
      </c>
    </row>
    <row r="45" spans="2:15">
      <c r="B45" s="3" t="s">
        <v>862</v>
      </c>
      <c r="C45" s="4" t="s">
        <v>878</v>
      </c>
      <c r="D45" s="5" t="s">
        <v>74</v>
      </c>
      <c r="E45" s="5" t="s">
        <v>17</v>
      </c>
      <c r="F45" s="5">
        <v>30707612971</v>
      </c>
      <c r="G45" s="56">
        <v>8796.31</v>
      </c>
      <c r="H45" s="56">
        <v>0</v>
      </c>
      <c r="I45" s="5">
        <v>0</v>
      </c>
      <c r="J45" s="5">
        <v>0</v>
      </c>
      <c r="K45" s="5">
        <v>0</v>
      </c>
      <c r="L45" s="5">
        <v>1847.23</v>
      </c>
      <c r="M45" s="5">
        <v>0</v>
      </c>
      <c r="N45" s="56">
        <v>0</v>
      </c>
      <c r="O45" s="56">
        <v>10643.54</v>
      </c>
    </row>
    <row r="46" spans="2:15">
      <c r="B46" s="3" t="s">
        <v>862</v>
      </c>
      <c r="C46" s="4" t="s">
        <v>877</v>
      </c>
      <c r="D46" s="5" t="s">
        <v>57</v>
      </c>
      <c r="E46" s="5" t="s">
        <v>17</v>
      </c>
      <c r="F46" s="5">
        <v>30715186655</v>
      </c>
      <c r="G46" s="56">
        <v>3512.4</v>
      </c>
      <c r="H46" s="56">
        <v>0</v>
      </c>
      <c r="I46" s="5">
        <v>0</v>
      </c>
      <c r="J46" s="5">
        <v>0</v>
      </c>
      <c r="K46" s="5">
        <v>0</v>
      </c>
      <c r="L46" s="5">
        <v>737.6</v>
      </c>
      <c r="M46" s="5">
        <v>0</v>
      </c>
      <c r="N46" s="56">
        <v>0</v>
      </c>
      <c r="O46" s="56">
        <v>4250</v>
      </c>
    </row>
    <row r="47" spans="2:15">
      <c r="B47" s="3" t="s">
        <v>862</v>
      </c>
      <c r="C47" s="4" t="s">
        <v>876</v>
      </c>
      <c r="D47" s="5" t="s">
        <v>57</v>
      </c>
      <c r="E47" s="5" t="s">
        <v>17</v>
      </c>
      <c r="F47" s="5">
        <v>30715186655</v>
      </c>
      <c r="G47" s="56">
        <v>58674.1</v>
      </c>
      <c r="H47" s="56">
        <v>0</v>
      </c>
      <c r="I47" s="5">
        <v>0</v>
      </c>
      <c r="J47" s="5">
        <v>0</v>
      </c>
      <c r="K47" s="5">
        <v>0</v>
      </c>
      <c r="L47" s="5">
        <v>12321.56</v>
      </c>
      <c r="M47" s="5">
        <v>0</v>
      </c>
      <c r="N47" s="56">
        <v>0</v>
      </c>
      <c r="O47" s="56">
        <v>70995.66</v>
      </c>
    </row>
    <row r="48" spans="2:15">
      <c r="B48" s="3" t="s">
        <v>1106</v>
      </c>
      <c r="C48" s="4" t="s">
        <v>1120</v>
      </c>
      <c r="D48" s="5" t="s">
        <v>16</v>
      </c>
      <c r="E48" s="5" t="s">
        <v>17</v>
      </c>
      <c r="F48" s="5">
        <v>30522428163</v>
      </c>
      <c r="G48" s="56">
        <v>3516859.5</v>
      </c>
      <c r="H48" s="56">
        <v>0</v>
      </c>
      <c r="I48" s="5">
        <v>0</v>
      </c>
      <c r="J48" s="5">
        <v>0</v>
      </c>
      <c r="K48" s="5">
        <v>0</v>
      </c>
      <c r="L48" s="5">
        <v>738540.5</v>
      </c>
      <c r="M48" s="5">
        <v>0</v>
      </c>
      <c r="N48" s="56">
        <v>0</v>
      </c>
      <c r="O48" s="56">
        <v>4255400</v>
      </c>
    </row>
    <row r="49" spans="2:15">
      <c r="B49" s="3" t="s">
        <v>1106</v>
      </c>
      <c r="C49" s="4" t="s">
        <v>1119</v>
      </c>
      <c r="D49" s="5" t="s">
        <v>16</v>
      </c>
      <c r="E49" s="5" t="s">
        <v>17</v>
      </c>
      <c r="F49" s="5">
        <v>30522428163</v>
      </c>
      <c r="G49" s="56">
        <v>869586.76</v>
      </c>
      <c r="H49" s="56">
        <v>0</v>
      </c>
      <c r="I49" s="5">
        <v>0</v>
      </c>
      <c r="J49" s="5">
        <v>0</v>
      </c>
      <c r="K49" s="5">
        <v>0</v>
      </c>
      <c r="L49" s="5">
        <v>182613.24</v>
      </c>
      <c r="M49" s="5">
        <v>0</v>
      </c>
      <c r="N49" s="56">
        <v>0</v>
      </c>
      <c r="O49" s="56">
        <v>1052200</v>
      </c>
    </row>
    <row r="50" spans="2:15">
      <c r="B50" s="3" t="s">
        <v>1106</v>
      </c>
      <c r="C50" s="4" t="s">
        <v>1118</v>
      </c>
      <c r="D50" s="5" t="s">
        <v>16</v>
      </c>
      <c r="E50" s="5" t="s">
        <v>17</v>
      </c>
      <c r="F50" s="5">
        <v>30522428163</v>
      </c>
      <c r="G50" s="56">
        <v>4890126.45</v>
      </c>
      <c r="H50" s="56">
        <v>0</v>
      </c>
      <c r="I50" s="5">
        <v>0</v>
      </c>
      <c r="J50" s="5">
        <v>0</v>
      </c>
      <c r="K50" s="5">
        <v>0</v>
      </c>
      <c r="L50" s="5">
        <v>1026926.55</v>
      </c>
      <c r="M50" s="5">
        <v>0</v>
      </c>
      <c r="N50" s="56">
        <v>0</v>
      </c>
      <c r="O50" s="56">
        <v>5917053</v>
      </c>
    </row>
    <row r="51" spans="2:15">
      <c r="B51" s="3" t="s">
        <v>1096</v>
      </c>
      <c r="C51" s="4" t="s">
        <v>1100</v>
      </c>
      <c r="D51" s="5" t="s">
        <v>16</v>
      </c>
      <c r="E51" s="5" t="s">
        <v>17</v>
      </c>
      <c r="F51" s="5">
        <v>30522428163</v>
      </c>
      <c r="G51" s="56">
        <v>1982644.63</v>
      </c>
      <c r="H51" s="56">
        <v>0</v>
      </c>
      <c r="I51" s="5">
        <v>0</v>
      </c>
      <c r="J51" s="5">
        <v>0</v>
      </c>
      <c r="K51" s="5">
        <v>0</v>
      </c>
      <c r="L51" s="5">
        <v>416355.37</v>
      </c>
      <c r="M51" s="5">
        <v>0</v>
      </c>
      <c r="N51" s="56">
        <v>0</v>
      </c>
      <c r="O51" s="56">
        <v>2399000</v>
      </c>
    </row>
    <row r="52" spans="2:15">
      <c r="B52" s="3" t="s">
        <v>1007</v>
      </c>
      <c r="C52" s="4" t="s">
        <v>1026</v>
      </c>
      <c r="D52" s="5" t="s">
        <v>16</v>
      </c>
      <c r="E52" s="5" t="s">
        <v>17</v>
      </c>
      <c r="F52" s="5">
        <v>30522428163</v>
      </c>
      <c r="G52" s="56">
        <v>2838760.16</v>
      </c>
      <c r="H52" s="56">
        <v>0</v>
      </c>
      <c r="I52" s="5">
        <v>0</v>
      </c>
      <c r="J52" s="5">
        <v>0</v>
      </c>
      <c r="K52" s="5">
        <v>0</v>
      </c>
      <c r="L52" s="5">
        <v>596139.64</v>
      </c>
      <c r="M52" s="5">
        <v>0</v>
      </c>
      <c r="N52" s="56">
        <v>0</v>
      </c>
      <c r="O52" s="56">
        <v>3434899.8</v>
      </c>
    </row>
    <row r="53" spans="2:15">
      <c r="B53" s="3" t="s">
        <v>990</v>
      </c>
      <c r="C53" s="4" t="s">
        <v>1005</v>
      </c>
      <c r="D53" s="5" t="s">
        <v>16</v>
      </c>
      <c r="E53" s="5" t="s">
        <v>17</v>
      </c>
      <c r="F53" s="5">
        <v>30522428163</v>
      </c>
      <c r="G53" s="56">
        <v>4200537.1900000004</v>
      </c>
      <c r="H53" s="56">
        <v>0</v>
      </c>
      <c r="I53" s="5">
        <v>0</v>
      </c>
      <c r="J53" s="5">
        <v>0</v>
      </c>
      <c r="K53" s="5">
        <v>0</v>
      </c>
      <c r="L53" s="5">
        <v>882112.8</v>
      </c>
      <c r="M53" s="5">
        <v>0</v>
      </c>
      <c r="N53" s="56">
        <v>0</v>
      </c>
      <c r="O53" s="56">
        <v>5082649.99</v>
      </c>
    </row>
    <row r="54" spans="2:15">
      <c r="B54" s="3" t="s">
        <v>906</v>
      </c>
      <c r="C54" s="4" t="s">
        <v>915</v>
      </c>
      <c r="D54" s="5" t="s">
        <v>16</v>
      </c>
      <c r="E54" s="5" t="s">
        <v>17</v>
      </c>
      <c r="F54" s="5">
        <v>30522428163</v>
      </c>
      <c r="G54" s="56">
        <v>2177449.15</v>
      </c>
      <c r="H54" s="56">
        <v>0</v>
      </c>
      <c r="I54" s="5">
        <v>0</v>
      </c>
      <c r="J54" s="5">
        <v>0</v>
      </c>
      <c r="K54" s="5">
        <v>0</v>
      </c>
      <c r="L54" s="5">
        <v>457264.32</v>
      </c>
      <c r="M54" s="5">
        <v>0</v>
      </c>
      <c r="N54" s="56">
        <v>0</v>
      </c>
      <c r="O54" s="56">
        <v>2634713.4700000002</v>
      </c>
    </row>
    <row r="55" spans="2:15">
      <c r="B55" s="3" t="s">
        <v>885</v>
      </c>
      <c r="C55" s="4" t="s">
        <v>899</v>
      </c>
      <c r="D55" s="5" t="s">
        <v>16</v>
      </c>
      <c r="E55" s="5" t="s">
        <v>17</v>
      </c>
      <c r="F55" s="5">
        <v>30522428163</v>
      </c>
      <c r="G55" s="56">
        <v>4398512.4000000004</v>
      </c>
      <c r="H55" s="56">
        <v>0</v>
      </c>
      <c r="I55" s="5">
        <v>0</v>
      </c>
      <c r="J55" s="5">
        <v>0</v>
      </c>
      <c r="K55" s="5">
        <v>0</v>
      </c>
      <c r="L55" s="5">
        <v>923687.6</v>
      </c>
      <c r="M55" s="5">
        <v>0</v>
      </c>
      <c r="N55" s="56">
        <v>0</v>
      </c>
      <c r="O55" s="56">
        <v>5322200</v>
      </c>
    </row>
    <row r="56" spans="2:15">
      <c r="B56" s="3" t="s">
        <v>885</v>
      </c>
      <c r="C56" s="4" t="s">
        <v>898</v>
      </c>
      <c r="D56" s="5" t="s">
        <v>16</v>
      </c>
      <c r="E56" s="5" t="s">
        <v>17</v>
      </c>
      <c r="F56" s="5">
        <v>30522428163</v>
      </c>
      <c r="G56" s="56">
        <v>297527.82</v>
      </c>
      <c r="H56" s="56">
        <v>0</v>
      </c>
      <c r="I56" s="5">
        <v>0</v>
      </c>
      <c r="J56" s="5">
        <v>0</v>
      </c>
      <c r="K56" s="5">
        <v>0</v>
      </c>
      <c r="L56" s="5">
        <v>62480.84</v>
      </c>
      <c r="M56" s="5">
        <v>0</v>
      </c>
      <c r="N56" s="56">
        <v>0</v>
      </c>
      <c r="O56" s="56">
        <v>360008.66</v>
      </c>
    </row>
    <row r="57" spans="2:15">
      <c r="B57" s="3" t="s">
        <v>862</v>
      </c>
      <c r="C57" s="4" t="s">
        <v>875</v>
      </c>
      <c r="D57" s="5" t="s">
        <v>16</v>
      </c>
      <c r="E57" s="5" t="s">
        <v>17</v>
      </c>
      <c r="F57" s="5">
        <v>30522428163</v>
      </c>
      <c r="G57" s="56">
        <v>2042975.19</v>
      </c>
      <c r="H57" s="56">
        <v>0</v>
      </c>
      <c r="I57" s="5">
        <v>0</v>
      </c>
      <c r="J57" s="5">
        <v>0</v>
      </c>
      <c r="K57" s="5">
        <v>0</v>
      </c>
      <c r="L57" s="5">
        <v>429024.8</v>
      </c>
      <c r="M57" s="5">
        <v>0</v>
      </c>
      <c r="N57" s="56">
        <v>0</v>
      </c>
      <c r="O57" s="56">
        <v>2471999.9900000002</v>
      </c>
    </row>
    <row r="58" spans="2:15">
      <c r="B58" s="3" t="s">
        <v>955</v>
      </c>
      <c r="C58" s="4" t="s">
        <v>956</v>
      </c>
      <c r="D58" s="5" t="s">
        <v>957</v>
      </c>
      <c r="E58" s="5" t="s">
        <v>17</v>
      </c>
      <c r="F58" s="5">
        <v>30708436506</v>
      </c>
      <c r="G58" s="56">
        <v>8033.06</v>
      </c>
      <c r="H58" s="56">
        <v>0</v>
      </c>
      <c r="I58" s="5">
        <v>0</v>
      </c>
      <c r="J58" s="5">
        <v>0</v>
      </c>
      <c r="K58" s="5">
        <v>0</v>
      </c>
      <c r="L58" s="5">
        <v>1686.94</v>
      </c>
      <c r="M58" s="5">
        <v>0</v>
      </c>
      <c r="N58" s="56">
        <v>0</v>
      </c>
      <c r="O58" s="56">
        <v>9720</v>
      </c>
    </row>
    <row r="59" spans="2:15">
      <c r="B59" s="3" t="s">
        <v>885</v>
      </c>
      <c r="C59" s="4" t="s">
        <v>900</v>
      </c>
      <c r="D59" s="5" t="s">
        <v>275</v>
      </c>
      <c r="E59" s="5" t="s">
        <v>276</v>
      </c>
      <c r="F59" s="5">
        <v>30590354798</v>
      </c>
      <c r="G59" s="56">
        <v>-4087.13</v>
      </c>
      <c r="H59" s="56">
        <v>0</v>
      </c>
      <c r="I59" s="5">
        <v>0</v>
      </c>
      <c r="J59" s="5">
        <v>0</v>
      </c>
      <c r="K59" s="5">
        <v>0</v>
      </c>
      <c r="L59" s="5">
        <v>-858.3</v>
      </c>
      <c r="M59" s="5">
        <v>0</v>
      </c>
      <c r="N59" s="56">
        <v>0</v>
      </c>
      <c r="O59" s="56">
        <v>-4945.43</v>
      </c>
    </row>
    <row r="60" spans="2:15">
      <c r="B60" s="3" t="s">
        <v>906</v>
      </c>
      <c r="C60" s="4" t="s">
        <v>907</v>
      </c>
      <c r="D60" s="5" t="s">
        <v>891</v>
      </c>
      <c r="E60" s="5" t="s">
        <v>123</v>
      </c>
      <c r="F60" s="5">
        <v>32315178</v>
      </c>
      <c r="G60" s="56">
        <v>-21074.38</v>
      </c>
      <c r="H60" s="56">
        <v>0</v>
      </c>
      <c r="I60" s="5">
        <v>0</v>
      </c>
      <c r="J60" s="5">
        <v>0</v>
      </c>
      <c r="K60" s="5">
        <v>0</v>
      </c>
      <c r="L60" s="5">
        <v>-4425.62</v>
      </c>
      <c r="M60" s="5">
        <v>0</v>
      </c>
      <c r="N60" s="56">
        <v>0</v>
      </c>
      <c r="O60" s="56">
        <v>-25500</v>
      </c>
    </row>
    <row r="61" spans="2:15">
      <c r="B61" s="3" t="s">
        <v>1201</v>
      </c>
      <c r="C61" s="4" t="s">
        <v>1220</v>
      </c>
      <c r="D61" s="5" t="s">
        <v>1221</v>
      </c>
      <c r="E61" s="5" t="s">
        <v>123</v>
      </c>
      <c r="F61" s="5">
        <v>52168895</v>
      </c>
      <c r="G61" s="56">
        <v>4132.2300000000005</v>
      </c>
      <c r="H61" s="56">
        <v>0</v>
      </c>
      <c r="I61" s="5">
        <v>0</v>
      </c>
      <c r="J61" s="5">
        <v>0</v>
      </c>
      <c r="K61" s="5">
        <v>0</v>
      </c>
      <c r="L61" s="5">
        <v>867.77</v>
      </c>
      <c r="M61" s="5">
        <v>0</v>
      </c>
      <c r="N61" s="56">
        <v>0</v>
      </c>
      <c r="O61" s="56">
        <v>5000</v>
      </c>
    </row>
    <row r="62" spans="2:15">
      <c r="B62" s="3" t="s">
        <v>1201</v>
      </c>
      <c r="C62" s="4" t="s">
        <v>1219</v>
      </c>
      <c r="D62" s="5" t="s">
        <v>354</v>
      </c>
      <c r="E62" s="5" t="s">
        <v>123</v>
      </c>
      <c r="F62" s="5">
        <v>382591</v>
      </c>
      <c r="G62" s="56">
        <v>4049.58</v>
      </c>
      <c r="H62" s="56">
        <v>0</v>
      </c>
      <c r="I62" s="5">
        <v>0</v>
      </c>
      <c r="J62" s="5">
        <v>0</v>
      </c>
      <c r="K62" s="5">
        <v>0</v>
      </c>
      <c r="L62" s="5">
        <v>850.42</v>
      </c>
      <c r="M62" s="5">
        <v>0</v>
      </c>
      <c r="N62" s="56">
        <v>0</v>
      </c>
      <c r="O62" s="56">
        <v>4900</v>
      </c>
    </row>
    <row r="63" spans="2:15">
      <c r="B63" s="3" t="s">
        <v>1201</v>
      </c>
      <c r="C63" s="4" t="s">
        <v>1218</v>
      </c>
      <c r="D63" s="5" t="s">
        <v>854</v>
      </c>
      <c r="E63" s="5" t="s">
        <v>123</v>
      </c>
      <c r="F63" s="5">
        <v>24699538</v>
      </c>
      <c r="G63" s="56">
        <v>5785.12</v>
      </c>
      <c r="H63" s="56">
        <v>0</v>
      </c>
      <c r="I63" s="5">
        <v>0</v>
      </c>
      <c r="J63" s="5">
        <v>0</v>
      </c>
      <c r="K63" s="5">
        <v>0</v>
      </c>
      <c r="L63" s="5">
        <v>1214.8800000000001</v>
      </c>
      <c r="M63" s="5">
        <v>0</v>
      </c>
      <c r="N63" s="56">
        <v>0</v>
      </c>
      <c r="O63" s="56">
        <v>7000</v>
      </c>
    </row>
    <row r="64" spans="2:15">
      <c r="B64" s="3" t="s">
        <v>1201</v>
      </c>
      <c r="C64" s="4" t="s">
        <v>1217</v>
      </c>
      <c r="D64" s="5" t="s">
        <v>281</v>
      </c>
      <c r="E64" s="5" t="s">
        <v>123</v>
      </c>
      <c r="F64" s="5">
        <v>16246667</v>
      </c>
      <c r="G64" s="56">
        <v>11107.44</v>
      </c>
      <c r="H64" s="56">
        <v>0</v>
      </c>
      <c r="I64" s="5">
        <v>0</v>
      </c>
      <c r="J64" s="5">
        <v>0</v>
      </c>
      <c r="K64" s="5">
        <v>0</v>
      </c>
      <c r="L64" s="5">
        <v>2332.56</v>
      </c>
      <c r="M64" s="5">
        <v>0</v>
      </c>
      <c r="N64" s="56">
        <v>0</v>
      </c>
      <c r="O64" s="56">
        <v>13440</v>
      </c>
    </row>
    <row r="65" spans="2:15">
      <c r="B65" s="3" t="s">
        <v>1201</v>
      </c>
      <c r="C65" s="4" t="s">
        <v>1216</v>
      </c>
      <c r="D65" s="5" t="s">
        <v>296</v>
      </c>
      <c r="E65" s="5" t="s">
        <v>123</v>
      </c>
      <c r="F65" s="5">
        <v>1166487515</v>
      </c>
      <c r="G65" s="56">
        <v>9090.91</v>
      </c>
      <c r="H65" s="56">
        <v>0</v>
      </c>
      <c r="I65" s="5">
        <v>0</v>
      </c>
      <c r="J65" s="5">
        <v>0</v>
      </c>
      <c r="K65" s="5">
        <v>0</v>
      </c>
      <c r="L65" s="5">
        <v>1909.09</v>
      </c>
      <c r="M65" s="5">
        <v>0</v>
      </c>
      <c r="N65" s="56">
        <v>0</v>
      </c>
      <c r="O65" s="56">
        <v>11000</v>
      </c>
    </row>
    <row r="66" spans="2:15">
      <c r="B66" s="3" t="s">
        <v>1201</v>
      </c>
      <c r="C66" s="4" t="s">
        <v>1215</v>
      </c>
      <c r="D66" s="5" t="s">
        <v>323</v>
      </c>
      <c r="E66" s="5" t="s">
        <v>123</v>
      </c>
      <c r="F66" s="5">
        <v>94061699</v>
      </c>
      <c r="G66" s="56">
        <v>6446.28</v>
      </c>
      <c r="H66" s="56">
        <v>0</v>
      </c>
      <c r="I66" s="5">
        <v>0</v>
      </c>
      <c r="J66" s="5">
        <v>0</v>
      </c>
      <c r="K66" s="5">
        <v>0</v>
      </c>
      <c r="L66" s="5">
        <v>1353.72</v>
      </c>
      <c r="M66" s="5">
        <v>0</v>
      </c>
      <c r="N66" s="56">
        <v>0</v>
      </c>
      <c r="O66" s="56">
        <v>7800</v>
      </c>
    </row>
    <row r="67" spans="2:15">
      <c r="B67" s="3" t="s">
        <v>1201</v>
      </c>
      <c r="C67" s="4" t="s">
        <v>1214</v>
      </c>
      <c r="D67" s="5" t="s">
        <v>752</v>
      </c>
      <c r="E67" s="5" t="s">
        <v>123</v>
      </c>
      <c r="F67" s="5">
        <v>16481086</v>
      </c>
      <c r="G67" s="56">
        <v>5702.48</v>
      </c>
      <c r="H67" s="56">
        <v>0</v>
      </c>
      <c r="I67" s="5">
        <v>0</v>
      </c>
      <c r="J67" s="5">
        <v>0</v>
      </c>
      <c r="K67" s="5">
        <v>0</v>
      </c>
      <c r="L67" s="5">
        <v>1197.52</v>
      </c>
      <c r="M67" s="5">
        <v>0</v>
      </c>
      <c r="N67" s="56">
        <v>0</v>
      </c>
      <c r="O67" s="56">
        <v>6900</v>
      </c>
    </row>
    <row r="68" spans="2:15">
      <c r="B68" s="3" t="s">
        <v>1201</v>
      </c>
      <c r="C68" s="4" t="s">
        <v>1213</v>
      </c>
      <c r="D68" s="5" t="s">
        <v>387</v>
      </c>
      <c r="E68" s="5" t="s">
        <v>123</v>
      </c>
      <c r="F68" s="5">
        <v>94008078</v>
      </c>
      <c r="G68" s="56">
        <v>3966.94</v>
      </c>
      <c r="H68" s="56">
        <v>0</v>
      </c>
      <c r="I68" s="5">
        <v>0</v>
      </c>
      <c r="J68" s="5">
        <v>0</v>
      </c>
      <c r="K68" s="5">
        <v>0</v>
      </c>
      <c r="L68" s="5">
        <v>833.06</v>
      </c>
      <c r="M68" s="5">
        <v>0</v>
      </c>
      <c r="N68" s="56">
        <v>0</v>
      </c>
      <c r="O68" s="56">
        <v>4800</v>
      </c>
    </row>
    <row r="69" spans="2:15">
      <c r="B69" s="3" t="s">
        <v>1201</v>
      </c>
      <c r="C69" s="4" t="s">
        <v>1212</v>
      </c>
      <c r="D69" s="5" t="s">
        <v>387</v>
      </c>
      <c r="E69" s="5" t="s">
        <v>123</v>
      </c>
      <c r="F69" s="5">
        <v>94008078</v>
      </c>
      <c r="G69" s="56">
        <v>4132.2300000000005</v>
      </c>
      <c r="H69" s="56">
        <v>0</v>
      </c>
      <c r="I69" s="5">
        <v>0</v>
      </c>
      <c r="J69" s="5">
        <v>0</v>
      </c>
      <c r="K69" s="5">
        <v>0</v>
      </c>
      <c r="L69" s="5">
        <v>867.77</v>
      </c>
      <c r="M69" s="5">
        <v>0</v>
      </c>
      <c r="N69" s="56">
        <v>0</v>
      </c>
      <c r="O69" s="56">
        <v>5000</v>
      </c>
    </row>
    <row r="70" spans="2:15">
      <c r="B70" s="3" t="s">
        <v>1201</v>
      </c>
      <c r="C70" s="4" t="s">
        <v>1210</v>
      </c>
      <c r="D70" s="5" t="s">
        <v>1211</v>
      </c>
      <c r="E70" s="5" t="s">
        <v>123</v>
      </c>
      <c r="F70" s="5">
        <v>17400669</v>
      </c>
      <c r="G70" s="56">
        <v>3223.14</v>
      </c>
      <c r="H70" s="56">
        <v>0</v>
      </c>
      <c r="I70" s="5">
        <v>0</v>
      </c>
      <c r="J70" s="5">
        <v>0</v>
      </c>
      <c r="K70" s="5">
        <v>0</v>
      </c>
      <c r="L70" s="5">
        <v>676.86</v>
      </c>
      <c r="M70" s="5">
        <v>0</v>
      </c>
      <c r="N70" s="56">
        <v>0</v>
      </c>
      <c r="O70" s="56">
        <v>3900</v>
      </c>
    </row>
    <row r="71" spans="2:15">
      <c r="B71" s="3" t="s">
        <v>1172</v>
      </c>
      <c r="C71" s="4" t="s">
        <v>1200</v>
      </c>
      <c r="D71" s="5" t="s">
        <v>428</v>
      </c>
      <c r="E71" s="5" t="s">
        <v>123</v>
      </c>
      <c r="F71" s="5">
        <v>30206585</v>
      </c>
      <c r="G71" s="56">
        <v>3966.94</v>
      </c>
      <c r="H71" s="56">
        <v>0</v>
      </c>
      <c r="I71" s="5">
        <v>0</v>
      </c>
      <c r="J71" s="5">
        <v>0</v>
      </c>
      <c r="K71" s="5">
        <v>0</v>
      </c>
      <c r="L71" s="5">
        <v>833.06</v>
      </c>
      <c r="M71" s="5">
        <v>0</v>
      </c>
      <c r="N71" s="56">
        <v>0</v>
      </c>
      <c r="O71" s="56">
        <v>4800</v>
      </c>
    </row>
    <row r="72" spans="2:15">
      <c r="B72" s="3" t="s">
        <v>1172</v>
      </c>
      <c r="C72" s="4" t="s">
        <v>1199</v>
      </c>
      <c r="D72" s="5" t="s">
        <v>802</v>
      </c>
      <c r="E72" s="5" t="s">
        <v>123</v>
      </c>
      <c r="F72" s="5">
        <v>37904748</v>
      </c>
      <c r="G72" s="56">
        <v>7024.79</v>
      </c>
      <c r="H72" s="56">
        <v>0</v>
      </c>
      <c r="I72" s="5">
        <v>0</v>
      </c>
      <c r="J72" s="5">
        <v>0</v>
      </c>
      <c r="K72" s="5">
        <v>0</v>
      </c>
      <c r="L72" s="5">
        <v>1475.21</v>
      </c>
      <c r="M72" s="5">
        <v>0</v>
      </c>
      <c r="N72" s="56">
        <v>0</v>
      </c>
      <c r="O72" s="56">
        <v>8500</v>
      </c>
    </row>
    <row r="73" spans="2:15">
      <c r="B73" s="3" t="s">
        <v>1147</v>
      </c>
      <c r="C73" s="4" t="s">
        <v>1171</v>
      </c>
      <c r="D73" s="5" t="s">
        <v>300</v>
      </c>
      <c r="E73" s="5" t="s">
        <v>123</v>
      </c>
      <c r="F73" s="5">
        <v>23103620</v>
      </c>
      <c r="G73" s="56">
        <v>6198.34</v>
      </c>
      <c r="H73" s="56">
        <v>0</v>
      </c>
      <c r="I73" s="5">
        <v>0</v>
      </c>
      <c r="J73" s="5">
        <v>0</v>
      </c>
      <c r="K73" s="5">
        <v>0</v>
      </c>
      <c r="L73" s="5">
        <v>1301.6600000000001</v>
      </c>
      <c r="M73" s="5">
        <v>0</v>
      </c>
      <c r="N73" s="56">
        <v>0</v>
      </c>
      <c r="O73" s="56">
        <v>7500</v>
      </c>
    </row>
    <row r="74" spans="2:15">
      <c r="B74" s="3" t="s">
        <v>1147</v>
      </c>
      <c r="C74" s="4" t="s">
        <v>1170</v>
      </c>
      <c r="D74" s="5" t="s">
        <v>375</v>
      </c>
      <c r="E74" s="5" t="s">
        <v>123</v>
      </c>
      <c r="F74" s="5">
        <v>22990821</v>
      </c>
      <c r="G74" s="56">
        <v>6611.57</v>
      </c>
      <c r="H74" s="56">
        <v>0</v>
      </c>
      <c r="I74" s="5">
        <v>0</v>
      </c>
      <c r="J74" s="5">
        <v>0</v>
      </c>
      <c r="K74" s="5">
        <v>0</v>
      </c>
      <c r="L74" s="5">
        <v>1388.43</v>
      </c>
      <c r="M74" s="5">
        <v>0</v>
      </c>
      <c r="N74" s="56">
        <v>0</v>
      </c>
      <c r="O74" s="56">
        <v>8000</v>
      </c>
    </row>
    <row r="75" spans="2:15">
      <c r="B75" s="3" t="s">
        <v>1147</v>
      </c>
      <c r="C75" s="4" t="s">
        <v>1169</v>
      </c>
      <c r="D75" s="5" t="s">
        <v>275</v>
      </c>
      <c r="E75" s="5" t="s">
        <v>276</v>
      </c>
      <c r="F75" s="5">
        <v>30590354798</v>
      </c>
      <c r="G75" s="56">
        <v>23553.72</v>
      </c>
      <c r="H75" s="56">
        <v>0</v>
      </c>
      <c r="I75" s="5">
        <v>0</v>
      </c>
      <c r="J75" s="5">
        <v>0</v>
      </c>
      <c r="K75" s="5">
        <v>0</v>
      </c>
      <c r="L75" s="5">
        <v>4946.28</v>
      </c>
      <c r="M75" s="5">
        <v>0</v>
      </c>
      <c r="N75" s="56">
        <v>0</v>
      </c>
      <c r="O75" s="56">
        <v>28500</v>
      </c>
    </row>
    <row r="76" spans="2:15">
      <c r="B76" s="3" t="s">
        <v>1147</v>
      </c>
      <c r="C76" s="4" t="s">
        <v>1167</v>
      </c>
      <c r="D76" s="5" t="s">
        <v>1168</v>
      </c>
      <c r="E76" s="5" t="s">
        <v>123</v>
      </c>
      <c r="F76" s="5">
        <v>25790890</v>
      </c>
      <c r="G76" s="56">
        <v>4132.2300000000005</v>
      </c>
      <c r="H76" s="56">
        <v>0</v>
      </c>
      <c r="I76" s="5">
        <v>0</v>
      </c>
      <c r="J76" s="5">
        <v>0</v>
      </c>
      <c r="K76" s="5">
        <v>0</v>
      </c>
      <c r="L76" s="5">
        <v>867.77</v>
      </c>
      <c r="M76" s="5">
        <v>0</v>
      </c>
      <c r="N76" s="56">
        <v>0</v>
      </c>
      <c r="O76" s="56">
        <v>5000</v>
      </c>
    </row>
    <row r="77" spans="2:15">
      <c r="B77" s="3" t="s">
        <v>1147</v>
      </c>
      <c r="C77" s="4" t="s">
        <v>1166</v>
      </c>
      <c r="D77" s="5" t="s">
        <v>348</v>
      </c>
      <c r="E77" s="5" t="s">
        <v>123</v>
      </c>
      <c r="F77" s="5">
        <v>26542077</v>
      </c>
      <c r="G77" s="56">
        <v>8677.68</v>
      </c>
      <c r="H77" s="56">
        <v>0</v>
      </c>
      <c r="I77" s="5">
        <v>0</v>
      </c>
      <c r="J77" s="5">
        <v>0</v>
      </c>
      <c r="K77" s="5">
        <v>0</v>
      </c>
      <c r="L77" s="5">
        <v>1822.32</v>
      </c>
      <c r="M77" s="5">
        <v>0</v>
      </c>
      <c r="N77" s="56">
        <v>0</v>
      </c>
      <c r="O77" s="56">
        <v>10500</v>
      </c>
    </row>
    <row r="78" spans="2:15">
      <c r="B78" s="3" t="s">
        <v>1147</v>
      </c>
      <c r="C78" s="4" t="s">
        <v>1165</v>
      </c>
      <c r="D78" s="5" t="s">
        <v>286</v>
      </c>
      <c r="E78" s="5" t="s">
        <v>123</v>
      </c>
      <c r="F78" s="5">
        <v>10138957</v>
      </c>
      <c r="G78" s="56">
        <v>3140.5</v>
      </c>
      <c r="H78" s="56">
        <v>0</v>
      </c>
      <c r="I78" s="5">
        <v>0</v>
      </c>
      <c r="J78" s="5">
        <v>0</v>
      </c>
      <c r="K78" s="5">
        <v>0</v>
      </c>
      <c r="L78" s="5">
        <v>659.5</v>
      </c>
      <c r="M78" s="5">
        <v>0</v>
      </c>
      <c r="N78" s="56">
        <v>0</v>
      </c>
      <c r="O78" s="56">
        <v>3800</v>
      </c>
    </row>
    <row r="79" spans="2:15">
      <c r="B79" s="3" t="s">
        <v>1147</v>
      </c>
      <c r="C79" s="4" t="s">
        <v>1163</v>
      </c>
      <c r="D79" s="5" t="s">
        <v>1164</v>
      </c>
      <c r="E79" s="5" t="s">
        <v>123</v>
      </c>
      <c r="F79" s="5">
        <v>29767433</v>
      </c>
      <c r="G79" s="56">
        <v>22727.27</v>
      </c>
      <c r="H79" s="56">
        <v>0</v>
      </c>
      <c r="I79" s="5">
        <v>0</v>
      </c>
      <c r="J79" s="5">
        <v>0</v>
      </c>
      <c r="K79" s="5">
        <v>0</v>
      </c>
      <c r="L79" s="5">
        <v>4772.7300000000005</v>
      </c>
      <c r="M79" s="5">
        <v>0</v>
      </c>
      <c r="N79" s="56">
        <v>0</v>
      </c>
      <c r="O79" s="56">
        <v>27500</v>
      </c>
    </row>
    <row r="80" spans="2:15">
      <c r="B80" s="3" t="s">
        <v>1147</v>
      </c>
      <c r="C80" s="4" t="s">
        <v>1162</v>
      </c>
      <c r="D80" s="5" t="s">
        <v>346</v>
      </c>
      <c r="E80" s="5" t="s">
        <v>123</v>
      </c>
      <c r="F80" s="5">
        <v>14728351</v>
      </c>
      <c r="G80" s="56">
        <v>6776.86</v>
      </c>
      <c r="H80" s="56">
        <v>0</v>
      </c>
      <c r="I80" s="5">
        <v>0</v>
      </c>
      <c r="J80" s="5">
        <v>0</v>
      </c>
      <c r="K80" s="5">
        <v>0</v>
      </c>
      <c r="L80" s="5">
        <v>1423.14</v>
      </c>
      <c r="M80" s="5">
        <v>0</v>
      </c>
      <c r="N80" s="56">
        <v>0</v>
      </c>
      <c r="O80" s="56">
        <v>8200</v>
      </c>
    </row>
    <row r="81" spans="2:15">
      <c r="B81" s="3" t="s">
        <v>1147</v>
      </c>
      <c r="C81" s="4" t="s">
        <v>1161</v>
      </c>
      <c r="D81" s="5" t="s">
        <v>814</v>
      </c>
      <c r="E81" s="5" t="s">
        <v>123</v>
      </c>
      <c r="F81" s="5">
        <v>21925869</v>
      </c>
      <c r="G81" s="56">
        <v>4628.1000000000004</v>
      </c>
      <c r="H81" s="56">
        <v>0</v>
      </c>
      <c r="I81" s="5">
        <v>0</v>
      </c>
      <c r="J81" s="5">
        <v>0</v>
      </c>
      <c r="K81" s="5">
        <v>0</v>
      </c>
      <c r="L81" s="5">
        <v>971.9</v>
      </c>
      <c r="M81" s="5">
        <v>0</v>
      </c>
      <c r="N81" s="56">
        <v>0</v>
      </c>
      <c r="O81" s="56">
        <v>5600</v>
      </c>
    </row>
    <row r="82" spans="2:15">
      <c r="B82" s="3" t="s">
        <v>1147</v>
      </c>
      <c r="C82" s="4" t="s">
        <v>1159</v>
      </c>
      <c r="D82" s="5" t="s">
        <v>1160</v>
      </c>
      <c r="E82" s="5" t="s">
        <v>123</v>
      </c>
      <c r="F82" s="5">
        <v>20399563</v>
      </c>
      <c r="G82" s="56">
        <v>9752.07</v>
      </c>
      <c r="H82" s="56">
        <v>0</v>
      </c>
      <c r="I82" s="5">
        <v>0</v>
      </c>
      <c r="J82" s="5">
        <v>0</v>
      </c>
      <c r="K82" s="5">
        <v>0</v>
      </c>
      <c r="L82" s="5">
        <v>2047.93</v>
      </c>
      <c r="M82" s="5">
        <v>0</v>
      </c>
      <c r="N82" s="56">
        <v>0</v>
      </c>
      <c r="O82" s="56">
        <v>11800</v>
      </c>
    </row>
    <row r="83" spans="2:15">
      <c r="B83" s="3" t="s">
        <v>1147</v>
      </c>
      <c r="C83" s="4" t="s">
        <v>1157</v>
      </c>
      <c r="D83" s="5" t="s">
        <v>1158</v>
      </c>
      <c r="E83" s="5" t="s">
        <v>123</v>
      </c>
      <c r="F83" s="5">
        <v>46800312</v>
      </c>
      <c r="G83" s="56">
        <v>9752.07</v>
      </c>
      <c r="H83" s="56">
        <v>0</v>
      </c>
      <c r="I83" s="5">
        <v>0</v>
      </c>
      <c r="J83" s="5">
        <v>0</v>
      </c>
      <c r="K83" s="5">
        <v>0</v>
      </c>
      <c r="L83" s="5">
        <v>2047.93</v>
      </c>
      <c r="M83" s="5">
        <v>0</v>
      </c>
      <c r="N83" s="56">
        <v>0</v>
      </c>
      <c r="O83" s="56">
        <v>11800</v>
      </c>
    </row>
    <row r="84" spans="2:15">
      <c r="B84" s="3" t="s">
        <v>1147</v>
      </c>
      <c r="C84" s="4" t="s">
        <v>1155</v>
      </c>
      <c r="D84" s="5" t="s">
        <v>1156</v>
      </c>
      <c r="E84" s="5" t="s">
        <v>123</v>
      </c>
      <c r="F84" s="5">
        <v>50009082</v>
      </c>
      <c r="G84" s="56">
        <v>9752.07</v>
      </c>
      <c r="H84" s="56">
        <v>0</v>
      </c>
      <c r="I84" s="5">
        <v>0</v>
      </c>
      <c r="J84" s="5">
        <v>0</v>
      </c>
      <c r="K84" s="5">
        <v>0</v>
      </c>
      <c r="L84" s="5">
        <v>2047.93</v>
      </c>
      <c r="M84" s="5">
        <v>0</v>
      </c>
      <c r="N84" s="56">
        <v>0</v>
      </c>
      <c r="O84" s="56">
        <v>11800</v>
      </c>
    </row>
    <row r="85" spans="2:15">
      <c r="B85" s="3" t="s">
        <v>1147</v>
      </c>
      <c r="C85" s="4" t="s">
        <v>1153</v>
      </c>
      <c r="D85" s="5" t="s">
        <v>1154</v>
      </c>
      <c r="E85" s="5" t="s">
        <v>123</v>
      </c>
      <c r="F85" s="5">
        <v>4550221</v>
      </c>
      <c r="G85" s="56">
        <v>7438.02</v>
      </c>
      <c r="H85" s="56">
        <v>0</v>
      </c>
      <c r="I85" s="5">
        <v>0</v>
      </c>
      <c r="J85" s="5">
        <v>0</v>
      </c>
      <c r="K85" s="5">
        <v>0</v>
      </c>
      <c r="L85" s="5">
        <v>1561.98</v>
      </c>
      <c r="M85" s="5">
        <v>0</v>
      </c>
      <c r="N85" s="56">
        <v>0</v>
      </c>
      <c r="O85" s="56">
        <v>9000</v>
      </c>
    </row>
    <row r="86" spans="2:15">
      <c r="B86" s="3" t="s">
        <v>1129</v>
      </c>
      <c r="C86" s="4" t="s">
        <v>1146</v>
      </c>
      <c r="D86" s="5" t="s">
        <v>406</v>
      </c>
      <c r="E86" s="5" t="s">
        <v>123</v>
      </c>
      <c r="F86" s="5">
        <v>12791306</v>
      </c>
      <c r="G86" s="56">
        <v>7438.02</v>
      </c>
      <c r="H86" s="56">
        <v>0</v>
      </c>
      <c r="I86" s="5">
        <v>0</v>
      </c>
      <c r="J86" s="5">
        <v>0</v>
      </c>
      <c r="K86" s="5">
        <v>0</v>
      </c>
      <c r="L86" s="5">
        <v>1561.98</v>
      </c>
      <c r="M86" s="5">
        <v>0</v>
      </c>
      <c r="N86" s="56">
        <v>0</v>
      </c>
      <c r="O86" s="56">
        <v>9000</v>
      </c>
    </row>
    <row r="87" spans="2:15">
      <c r="B87" s="3" t="s">
        <v>1129</v>
      </c>
      <c r="C87" s="4" t="s">
        <v>1145</v>
      </c>
      <c r="D87" s="5" t="s">
        <v>772</v>
      </c>
      <c r="E87" s="5" t="s">
        <v>123</v>
      </c>
      <c r="F87" s="5">
        <v>705467</v>
      </c>
      <c r="G87" s="56">
        <v>4545.45</v>
      </c>
      <c r="H87" s="56">
        <v>0</v>
      </c>
      <c r="I87" s="5">
        <v>0</v>
      </c>
      <c r="J87" s="5">
        <v>0</v>
      </c>
      <c r="K87" s="5">
        <v>0</v>
      </c>
      <c r="L87" s="5">
        <v>954.55</v>
      </c>
      <c r="M87" s="5">
        <v>0</v>
      </c>
      <c r="N87" s="56">
        <v>0</v>
      </c>
      <c r="O87" s="56">
        <v>5500</v>
      </c>
    </row>
    <row r="88" spans="2:15">
      <c r="B88" s="3" t="s">
        <v>1129</v>
      </c>
      <c r="C88" s="4" t="s">
        <v>1144</v>
      </c>
      <c r="D88" s="5" t="s">
        <v>391</v>
      </c>
      <c r="E88" s="5" t="s">
        <v>123</v>
      </c>
      <c r="F88" s="5">
        <v>4702938</v>
      </c>
      <c r="G88" s="56">
        <v>11983.48</v>
      </c>
      <c r="H88" s="56">
        <v>0</v>
      </c>
      <c r="I88" s="5">
        <v>0</v>
      </c>
      <c r="J88" s="5">
        <v>0</v>
      </c>
      <c r="K88" s="5">
        <v>0</v>
      </c>
      <c r="L88" s="5">
        <v>2516.52</v>
      </c>
      <c r="M88" s="5">
        <v>0</v>
      </c>
      <c r="N88" s="56">
        <v>0</v>
      </c>
      <c r="O88" s="56">
        <v>14500</v>
      </c>
    </row>
    <row r="89" spans="2:15">
      <c r="B89" s="3" t="s">
        <v>1129</v>
      </c>
      <c r="C89" s="4" t="s">
        <v>1143</v>
      </c>
      <c r="D89" s="5" t="s">
        <v>289</v>
      </c>
      <c r="E89" s="5" t="s">
        <v>123</v>
      </c>
      <c r="F89" s="5">
        <v>5289939</v>
      </c>
      <c r="G89" s="56">
        <v>2479.34</v>
      </c>
      <c r="H89" s="56">
        <v>0</v>
      </c>
      <c r="I89" s="5">
        <v>0</v>
      </c>
      <c r="J89" s="5">
        <v>0</v>
      </c>
      <c r="K89" s="5">
        <v>0</v>
      </c>
      <c r="L89" s="5">
        <v>520.66</v>
      </c>
      <c r="M89" s="5">
        <v>0</v>
      </c>
      <c r="N89" s="56">
        <v>0</v>
      </c>
      <c r="O89" s="56">
        <v>3000</v>
      </c>
    </row>
    <row r="90" spans="2:15">
      <c r="B90" s="3" t="s">
        <v>1129</v>
      </c>
      <c r="C90" s="4" t="s">
        <v>1142</v>
      </c>
      <c r="D90" s="5" t="s">
        <v>289</v>
      </c>
      <c r="E90" s="5" t="s">
        <v>123</v>
      </c>
      <c r="F90" s="5">
        <v>5289939</v>
      </c>
      <c r="G90" s="56">
        <v>1652.9</v>
      </c>
      <c r="H90" s="56">
        <v>0</v>
      </c>
      <c r="I90" s="5">
        <v>0</v>
      </c>
      <c r="J90" s="5">
        <v>0</v>
      </c>
      <c r="K90" s="5">
        <v>0</v>
      </c>
      <c r="L90" s="5">
        <v>347.1</v>
      </c>
      <c r="M90" s="5">
        <v>0</v>
      </c>
      <c r="N90" s="56">
        <v>0</v>
      </c>
      <c r="O90" s="56">
        <v>2000</v>
      </c>
    </row>
    <row r="91" spans="2:15">
      <c r="B91" s="3" t="s">
        <v>1106</v>
      </c>
      <c r="C91" s="4" t="s">
        <v>1128</v>
      </c>
      <c r="D91" s="5" t="s">
        <v>302</v>
      </c>
      <c r="E91" s="5" t="s">
        <v>123</v>
      </c>
      <c r="F91" s="5">
        <v>4648296</v>
      </c>
      <c r="G91" s="56">
        <v>4132.2300000000005</v>
      </c>
      <c r="H91" s="56">
        <v>0</v>
      </c>
      <c r="I91" s="5">
        <v>0</v>
      </c>
      <c r="J91" s="5">
        <v>0</v>
      </c>
      <c r="K91" s="5">
        <v>0</v>
      </c>
      <c r="L91" s="5">
        <v>867.77</v>
      </c>
      <c r="M91" s="5">
        <v>0</v>
      </c>
      <c r="N91" s="56">
        <v>0</v>
      </c>
      <c r="O91" s="56">
        <v>5000</v>
      </c>
    </row>
    <row r="92" spans="2:15">
      <c r="B92" s="3" t="s">
        <v>1106</v>
      </c>
      <c r="C92" s="4" t="s">
        <v>1127</v>
      </c>
      <c r="D92" s="5" t="s">
        <v>304</v>
      </c>
      <c r="E92" s="5" t="s">
        <v>123</v>
      </c>
      <c r="F92" s="5">
        <v>93354584</v>
      </c>
      <c r="G92" s="56">
        <v>4132.2300000000005</v>
      </c>
      <c r="H92" s="56">
        <v>0</v>
      </c>
      <c r="I92" s="5">
        <v>0</v>
      </c>
      <c r="J92" s="5">
        <v>0</v>
      </c>
      <c r="K92" s="5">
        <v>0</v>
      </c>
      <c r="L92" s="5">
        <v>867.77</v>
      </c>
      <c r="M92" s="5">
        <v>0</v>
      </c>
      <c r="N92" s="56">
        <v>0</v>
      </c>
      <c r="O92" s="56">
        <v>5000</v>
      </c>
    </row>
    <row r="93" spans="2:15">
      <c r="B93" s="3" t="s">
        <v>1106</v>
      </c>
      <c r="C93" s="4" t="s">
        <v>1126</v>
      </c>
      <c r="D93" s="5" t="s">
        <v>369</v>
      </c>
      <c r="E93" s="5" t="s">
        <v>123</v>
      </c>
      <c r="F93" s="5">
        <v>92316435</v>
      </c>
      <c r="G93" s="56">
        <v>5785.12</v>
      </c>
      <c r="H93" s="56">
        <v>0</v>
      </c>
      <c r="I93" s="5">
        <v>0</v>
      </c>
      <c r="J93" s="5">
        <v>0</v>
      </c>
      <c r="K93" s="5">
        <v>0</v>
      </c>
      <c r="L93" s="5">
        <v>1214.8800000000001</v>
      </c>
      <c r="M93" s="5">
        <v>0</v>
      </c>
      <c r="N93" s="56">
        <v>0</v>
      </c>
      <c r="O93" s="56">
        <v>7000</v>
      </c>
    </row>
    <row r="94" spans="2:15">
      <c r="B94" s="3" t="s">
        <v>1106</v>
      </c>
      <c r="C94" s="4" t="s">
        <v>1124</v>
      </c>
      <c r="D94" s="5" t="s">
        <v>1125</v>
      </c>
      <c r="E94" s="5" t="s">
        <v>123</v>
      </c>
      <c r="F94" s="5">
        <v>8607637</v>
      </c>
      <c r="G94" s="56">
        <v>18446.28</v>
      </c>
      <c r="H94" s="56">
        <v>0</v>
      </c>
      <c r="I94" s="5">
        <v>0</v>
      </c>
      <c r="J94" s="5">
        <v>0</v>
      </c>
      <c r="K94" s="5">
        <v>0</v>
      </c>
      <c r="L94" s="5">
        <v>3873.72</v>
      </c>
      <c r="M94" s="5">
        <v>0</v>
      </c>
      <c r="N94" s="56">
        <v>0</v>
      </c>
      <c r="O94" s="56">
        <v>22320</v>
      </c>
    </row>
    <row r="95" spans="2:15">
      <c r="B95" s="3" t="s">
        <v>1106</v>
      </c>
      <c r="C95" s="4" t="s">
        <v>1123</v>
      </c>
      <c r="D95" s="5" t="s">
        <v>426</v>
      </c>
      <c r="E95" s="5" t="s">
        <v>123</v>
      </c>
      <c r="F95" s="5">
        <v>28692323</v>
      </c>
      <c r="G95" s="56">
        <v>8285.130000000001</v>
      </c>
      <c r="H95" s="56">
        <v>0</v>
      </c>
      <c r="I95" s="5">
        <v>0</v>
      </c>
      <c r="J95" s="5">
        <v>0</v>
      </c>
      <c r="K95" s="5">
        <v>0</v>
      </c>
      <c r="L95" s="5">
        <v>1739.87</v>
      </c>
      <c r="M95" s="5">
        <v>0</v>
      </c>
      <c r="N95" s="56">
        <v>0</v>
      </c>
      <c r="O95" s="56">
        <v>10025</v>
      </c>
    </row>
    <row r="96" spans="2:15">
      <c r="B96" s="3" t="s">
        <v>1106</v>
      </c>
      <c r="C96" s="4" t="s">
        <v>1122</v>
      </c>
      <c r="D96" s="5" t="s">
        <v>379</v>
      </c>
      <c r="E96" s="5" t="s">
        <v>123</v>
      </c>
      <c r="F96" s="5">
        <v>14123802</v>
      </c>
      <c r="G96" s="56">
        <v>3719.01</v>
      </c>
      <c r="H96" s="56">
        <v>0</v>
      </c>
      <c r="I96" s="5">
        <v>0</v>
      </c>
      <c r="J96" s="5">
        <v>0</v>
      </c>
      <c r="K96" s="5">
        <v>0</v>
      </c>
      <c r="L96" s="5">
        <v>780.99</v>
      </c>
      <c r="M96" s="5">
        <v>0</v>
      </c>
      <c r="N96" s="56">
        <v>0</v>
      </c>
      <c r="O96" s="56">
        <v>4500</v>
      </c>
    </row>
    <row r="97" spans="2:15">
      <c r="B97" s="3" t="s">
        <v>1106</v>
      </c>
      <c r="C97" s="4" t="s">
        <v>1121</v>
      </c>
      <c r="D97" s="5" t="s">
        <v>275</v>
      </c>
      <c r="E97" s="5" t="s">
        <v>276</v>
      </c>
      <c r="F97" s="5">
        <v>30590354798</v>
      </c>
      <c r="G97" s="56">
        <v>105785.12</v>
      </c>
      <c r="H97" s="56">
        <v>0</v>
      </c>
      <c r="I97" s="5">
        <v>0</v>
      </c>
      <c r="J97" s="5">
        <v>0</v>
      </c>
      <c r="K97" s="5">
        <v>0</v>
      </c>
      <c r="L97" s="5">
        <v>22214.880000000001</v>
      </c>
      <c r="M97" s="5">
        <v>0</v>
      </c>
      <c r="N97" s="56">
        <v>0</v>
      </c>
      <c r="O97" s="56">
        <v>128000</v>
      </c>
    </row>
    <row r="98" spans="2:15">
      <c r="B98" s="3" t="s">
        <v>1096</v>
      </c>
      <c r="C98" s="4" t="s">
        <v>1105</v>
      </c>
      <c r="D98" s="5" t="s">
        <v>333</v>
      </c>
      <c r="E98" s="5" t="s">
        <v>123</v>
      </c>
      <c r="F98" s="5">
        <v>16596298</v>
      </c>
      <c r="G98" s="56">
        <v>4132.2300000000005</v>
      </c>
      <c r="H98" s="56">
        <v>0</v>
      </c>
      <c r="I98" s="5">
        <v>0</v>
      </c>
      <c r="J98" s="5">
        <v>0</v>
      </c>
      <c r="K98" s="5">
        <v>0</v>
      </c>
      <c r="L98" s="5">
        <v>867.77</v>
      </c>
      <c r="M98" s="5">
        <v>0</v>
      </c>
      <c r="N98" s="56">
        <v>0</v>
      </c>
      <c r="O98" s="56">
        <v>5000</v>
      </c>
    </row>
    <row r="99" spans="2:15">
      <c r="B99" s="3" t="s">
        <v>1096</v>
      </c>
      <c r="C99" s="4" t="s">
        <v>1104</v>
      </c>
      <c r="D99" s="5" t="s">
        <v>1035</v>
      </c>
      <c r="E99" s="5" t="s">
        <v>123</v>
      </c>
      <c r="F99" s="5">
        <v>53588753</v>
      </c>
      <c r="G99" s="56">
        <v>7768.6</v>
      </c>
      <c r="H99" s="56">
        <v>0</v>
      </c>
      <c r="I99" s="5">
        <v>0</v>
      </c>
      <c r="J99" s="5">
        <v>0</v>
      </c>
      <c r="K99" s="5">
        <v>0</v>
      </c>
      <c r="L99" s="5">
        <v>1631.4</v>
      </c>
      <c r="M99" s="5">
        <v>0</v>
      </c>
      <c r="N99" s="56">
        <v>0</v>
      </c>
      <c r="O99" s="56">
        <v>9400</v>
      </c>
    </row>
    <row r="100" spans="2:15">
      <c r="B100" s="3" t="s">
        <v>1096</v>
      </c>
      <c r="C100" s="4" t="s">
        <v>1103</v>
      </c>
      <c r="D100" s="5" t="s">
        <v>337</v>
      </c>
      <c r="E100" s="5" t="s">
        <v>123</v>
      </c>
      <c r="F100" s="5">
        <v>4164120</v>
      </c>
      <c r="G100" s="56">
        <v>1140.5</v>
      </c>
      <c r="H100" s="56">
        <v>0</v>
      </c>
      <c r="I100" s="5">
        <v>0</v>
      </c>
      <c r="J100" s="5">
        <v>0</v>
      </c>
      <c r="K100" s="5">
        <v>0</v>
      </c>
      <c r="L100" s="5">
        <v>239.5</v>
      </c>
      <c r="M100" s="5">
        <v>0</v>
      </c>
      <c r="N100" s="56">
        <v>0</v>
      </c>
      <c r="O100" s="56">
        <v>1380</v>
      </c>
    </row>
    <row r="101" spans="2:15">
      <c r="B101" s="3" t="s">
        <v>1081</v>
      </c>
      <c r="C101" s="4" t="s">
        <v>1094</v>
      </c>
      <c r="D101" s="5" t="s">
        <v>1095</v>
      </c>
      <c r="E101" s="5" t="s">
        <v>123</v>
      </c>
      <c r="F101" s="5">
        <v>35122158</v>
      </c>
      <c r="G101" s="56">
        <v>5785.12</v>
      </c>
      <c r="H101" s="56">
        <v>0</v>
      </c>
      <c r="I101" s="5">
        <v>0</v>
      </c>
      <c r="J101" s="5">
        <v>0</v>
      </c>
      <c r="K101" s="5">
        <v>0</v>
      </c>
      <c r="L101" s="5">
        <v>1214.8800000000001</v>
      </c>
      <c r="M101" s="5">
        <v>0</v>
      </c>
      <c r="N101" s="56">
        <v>0</v>
      </c>
      <c r="O101" s="56">
        <v>7000</v>
      </c>
    </row>
    <row r="102" spans="2:15">
      <c r="B102" s="3" t="s">
        <v>1081</v>
      </c>
      <c r="C102" s="4" t="s">
        <v>1093</v>
      </c>
      <c r="D102" s="5" t="s">
        <v>381</v>
      </c>
      <c r="E102" s="5" t="s">
        <v>123</v>
      </c>
      <c r="F102" s="5" t="s">
        <v>124</v>
      </c>
      <c r="G102" s="56">
        <v>3305.78</v>
      </c>
      <c r="H102" s="56">
        <v>0</v>
      </c>
      <c r="I102" s="5">
        <v>0</v>
      </c>
      <c r="J102" s="5">
        <v>0</v>
      </c>
      <c r="K102" s="5">
        <v>0</v>
      </c>
      <c r="L102" s="5">
        <v>694.22</v>
      </c>
      <c r="M102" s="5">
        <v>0</v>
      </c>
      <c r="N102" s="56">
        <v>0</v>
      </c>
      <c r="O102" s="56">
        <v>4000</v>
      </c>
    </row>
    <row r="103" spans="2:15">
      <c r="B103" s="3" t="s">
        <v>1043</v>
      </c>
      <c r="C103" s="4" t="s">
        <v>1065</v>
      </c>
      <c r="D103" s="5" t="s">
        <v>765</v>
      </c>
      <c r="E103" s="5" t="s">
        <v>123</v>
      </c>
      <c r="F103" s="5">
        <v>56980</v>
      </c>
      <c r="G103" s="56">
        <v>4132.2300000000005</v>
      </c>
      <c r="H103" s="56">
        <v>0</v>
      </c>
      <c r="I103" s="5">
        <v>0</v>
      </c>
      <c r="J103" s="5">
        <v>0</v>
      </c>
      <c r="K103" s="5">
        <v>0</v>
      </c>
      <c r="L103" s="5">
        <v>867.77</v>
      </c>
      <c r="M103" s="5">
        <v>0</v>
      </c>
      <c r="N103" s="56">
        <v>0</v>
      </c>
      <c r="O103" s="56">
        <v>5000</v>
      </c>
    </row>
    <row r="104" spans="2:15">
      <c r="B104" s="3" t="s">
        <v>1043</v>
      </c>
      <c r="C104" s="4" t="s">
        <v>1064</v>
      </c>
      <c r="D104" s="5" t="s">
        <v>833</v>
      </c>
      <c r="E104" s="5" t="s">
        <v>123</v>
      </c>
      <c r="F104" s="5">
        <v>1304464</v>
      </c>
      <c r="G104" s="56">
        <v>3719.01</v>
      </c>
      <c r="H104" s="56">
        <v>0</v>
      </c>
      <c r="I104" s="5">
        <v>0</v>
      </c>
      <c r="J104" s="5">
        <v>0</v>
      </c>
      <c r="K104" s="5">
        <v>0</v>
      </c>
      <c r="L104" s="5">
        <v>780.99</v>
      </c>
      <c r="M104" s="5">
        <v>0</v>
      </c>
      <c r="N104" s="56">
        <v>0</v>
      </c>
      <c r="O104" s="56">
        <v>4500</v>
      </c>
    </row>
    <row r="105" spans="2:15">
      <c r="B105" s="3" t="s">
        <v>1043</v>
      </c>
      <c r="C105" s="4" t="s">
        <v>1063</v>
      </c>
      <c r="D105" s="5" t="s">
        <v>767</v>
      </c>
      <c r="E105" s="5" t="s">
        <v>123</v>
      </c>
      <c r="F105" s="5">
        <v>8208160</v>
      </c>
      <c r="G105" s="56">
        <v>2644.63</v>
      </c>
      <c r="H105" s="56">
        <v>0</v>
      </c>
      <c r="I105" s="5">
        <v>0</v>
      </c>
      <c r="J105" s="5">
        <v>0</v>
      </c>
      <c r="K105" s="5">
        <v>0</v>
      </c>
      <c r="L105" s="5">
        <v>555.37</v>
      </c>
      <c r="M105" s="5">
        <v>0</v>
      </c>
      <c r="N105" s="56">
        <v>0</v>
      </c>
      <c r="O105" s="56">
        <v>3200</v>
      </c>
    </row>
    <row r="106" spans="2:15">
      <c r="B106" s="3" t="s">
        <v>1043</v>
      </c>
      <c r="C106" s="4" t="s">
        <v>1062</v>
      </c>
      <c r="D106" s="5" t="s">
        <v>822</v>
      </c>
      <c r="E106" s="5" t="s">
        <v>123</v>
      </c>
      <c r="F106" s="5">
        <v>22608522</v>
      </c>
      <c r="G106" s="56">
        <v>5371.9</v>
      </c>
      <c r="H106" s="56">
        <v>0</v>
      </c>
      <c r="I106" s="5">
        <v>0</v>
      </c>
      <c r="J106" s="5">
        <v>0</v>
      </c>
      <c r="K106" s="5">
        <v>0</v>
      </c>
      <c r="L106" s="5">
        <v>1128.1000000000001</v>
      </c>
      <c r="M106" s="5">
        <v>0</v>
      </c>
      <c r="N106" s="56">
        <v>0</v>
      </c>
      <c r="O106" s="56">
        <v>6500</v>
      </c>
    </row>
    <row r="107" spans="2:15">
      <c r="B107" s="3" t="s">
        <v>1043</v>
      </c>
      <c r="C107" s="4" t="s">
        <v>1061</v>
      </c>
      <c r="D107" s="5" t="s">
        <v>393</v>
      </c>
      <c r="E107" s="5" t="s">
        <v>123</v>
      </c>
      <c r="F107" s="5" t="s">
        <v>124</v>
      </c>
      <c r="G107" s="56">
        <v>7438.02</v>
      </c>
      <c r="H107" s="56">
        <v>0</v>
      </c>
      <c r="I107" s="5">
        <v>0</v>
      </c>
      <c r="J107" s="5">
        <v>0</v>
      </c>
      <c r="K107" s="5">
        <v>0</v>
      </c>
      <c r="L107" s="5">
        <v>1561.98</v>
      </c>
      <c r="M107" s="5">
        <v>0</v>
      </c>
      <c r="N107" s="56">
        <v>0</v>
      </c>
      <c r="O107" s="56">
        <v>9000</v>
      </c>
    </row>
    <row r="108" spans="2:15">
      <c r="B108" s="3" t="s">
        <v>1043</v>
      </c>
      <c r="C108" s="4" t="s">
        <v>1060</v>
      </c>
      <c r="D108" s="5" t="s">
        <v>360</v>
      </c>
      <c r="E108" s="5" t="s">
        <v>123</v>
      </c>
      <c r="F108" s="5">
        <v>5804480</v>
      </c>
      <c r="G108" s="56">
        <v>3966.95</v>
      </c>
      <c r="H108" s="56">
        <v>0</v>
      </c>
      <c r="I108" s="5">
        <v>0</v>
      </c>
      <c r="J108" s="5">
        <v>0</v>
      </c>
      <c r="K108" s="5">
        <v>0</v>
      </c>
      <c r="L108" s="5">
        <v>833.05</v>
      </c>
      <c r="M108" s="5">
        <v>0</v>
      </c>
      <c r="N108" s="56">
        <v>0</v>
      </c>
      <c r="O108" s="56">
        <v>4800</v>
      </c>
    </row>
    <row r="109" spans="2:15">
      <c r="B109" s="3" t="s">
        <v>1043</v>
      </c>
      <c r="C109" s="4" t="s">
        <v>1059</v>
      </c>
      <c r="D109" s="5" t="s">
        <v>358</v>
      </c>
      <c r="E109" s="5" t="s">
        <v>123</v>
      </c>
      <c r="F109" s="5">
        <v>93195134</v>
      </c>
      <c r="G109" s="56">
        <v>2644.63</v>
      </c>
      <c r="H109" s="56">
        <v>0</v>
      </c>
      <c r="I109" s="5">
        <v>0</v>
      </c>
      <c r="J109" s="5">
        <v>0</v>
      </c>
      <c r="K109" s="5">
        <v>0</v>
      </c>
      <c r="L109" s="5">
        <v>555.37</v>
      </c>
      <c r="M109" s="5">
        <v>0</v>
      </c>
      <c r="N109" s="56">
        <v>0</v>
      </c>
      <c r="O109" s="56">
        <v>3200</v>
      </c>
    </row>
    <row r="110" spans="2:15">
      <c r="B110" s="3" t="s">
        <v>1043</v>
      </c>
      <c r="C110" s="4" t="s">
        <v>1057</v>
      </c>
      <c r="D110" s="5" t="s">
        <v>1058</v>
      </c>
      <c r="E110" s="5" t="s">
        <v>123</v>
      </c>
      <c r="F110" s="5">
        <v>94466696</v>
      </c>
      <c r="G110" s="56">
        <v>6942.15</v>
      </c>
      <c r="H110" s="56">
        <v>0</v>
      </c>
      <c r="I110" s="5">
        <v>0</v>
      </c>
      <c r="J110" s="5">
        <v>0</v>
      </c>
      <c r="K110" s="5">
        <v>0</v>
      </c>
      <c r="L110" s="5">
        <v>1457.85</v>
      </c>
      <c r="M110" s="5">
        <v>0</v>
      </c>
      <c r="N110" s="56">
        <v>0</v>
      </c>
      <c r="O110" s="56">
        <v>8400</v>
      </c>
    </row>
    <row r="111" spans="2:15">
      <c r="B111" s="3" t="s">
        <v>1007</v>
      </c>
      <c r="C111" s="4" t="s">
        <v>1041</v>
      </c>
      <c r="D111" s="5" t="s">
        <v>1042</v>
      </c>
      <c r="E111" s="5" t="s">
        <v>123</v>
      </c>
      <c r="F111" s="5">
        <v>36567455</v>
      </c>
      <c r="G111" s="56">
        <v>4132.2300000000005</v>
      </c>
      <c r="H111" s="56">
        <v>0</v>
      </c>
      <c r="I111" s="5">
        <v>0</v>
      </c>
      <c r="J111" s="5">
        <v>0</v>
      </c>
      <c r="K111" s="5">
        <v>0</v>
      </c>
      <c r="L111" s="5">
        <v>867.77</v>
      </c>
      <c r="M111" s="5">
        <v>0</v>
      </c>
      <c r="N111" s="56">
        <v>0</v>
      </c>
      <c r="O111" s="56">
        <v>5000</v>
      </c>
    </row>
    <row r="112" spans="2:15">
      <c r="B112" s="3" t="s">
        <v>1007</v>
      </c>
      <c r="C112" s="4" t="s">
        <v>1039</v>
      </c>
      <c r="D112" s="5" t="s">
        <v>1040</v>
      </c>
      <c r="E112" s="5" t="s">
        <v>123</v>
      </c>
      <c r="F112" s="5">
        <v>18276388</v>
      </c>
      <c r="G112" s="56">
        <v>8099.17</v>
      </c>
      <c r="H112" s="56">
        <v>0</v>
      </c>
      <c r="I112" s="5">
        <v>0</v>
      </c>
      <c r="J112" s="5">
        <v>0</v>
      </c>
      <c r="K112" s="5">
        <v>0</v>
      </c>
      <c r="L112" s="5">
        <v>1700.83</v>
      </c>
      <c r="M112" s="5">
        <v>0</v>
      </c>
      <c r="N112" s="56">
        <v>0</v>
      </c>
      <c r="O112" s="56">
        <v>9800</v>
      </c>
    </row>
    <row r="113" spans="2:15">
      <c r="B113" s="3" t="s">
        <v>1007</v>
      </c>
      <c r="C113" s="4" t="s">
        <v>1038</v>
      </c>
      <c r="D113" s="5" t="s">
        <v>275</v>
      </c>
      <c r="E113" s="5" t="s">
        <v>276</v>
      </c>
      <c r="F113" s="5">
        <v>30590354798</v>
      </c>
      <c r="G113" s="56">
        <v>99173.55</v>
      </c>
      <c r="H113" s="56">
        <v>0</v>
      </c>
      <c r="I113" s="5">
        <v>0</v>
      </c>
      <c r="J113" s="5">
        <v>0</v>
      </c>
      <c r="K113" s="5">
        <v>0</v>
      </c>
      <c r="L113" s="5">
        <v>20826.45</v>
      </c>
      <c r="M113" s="5">
        <v>0</v>
      </c>
      <c r="N113" s="56">
        <v>0</v>
      </c>
      <c r="O113" s="56">
        <v>120000</v>
      </c>
    </row>
    <row r="114" spans="2:15">
      <c r="B114" s="3" t="s">
        <v>1007</v>
      </c>
      <c r="C114" s="4" t="s">
        <v>1037</v>
      </c>
      <c r="D114" s="5" t="s">
        <v>795</v>
      </c>
      <c r="E114" s="5" t="s">
        <v>123</v>
      </c>
      <c r="F114" s="5">
        <v>38354047</v>
      </c>
      <c r="G114" s="56">
        <v>3719.01</v>
      </c>
      <c r="H114" s="56">
        <v>0</v>
      </c>
      <c r="I114" s="5">
        <v>0</v>
      </c>
      <c r="J114" s="5">
        <v>0</v>
      </c>
      <c r="K114" s="5">
        <v>0</v>
      </c>
      <c r="L114" s="5">
        <v>780.99</v>
      </c>
      <c r="M114" s="5">
        <v>0</v>
      </c>
      <c r="N114" s="56">
        <v>0</v>
      </c>
      <c r="O114" s="56">
        <v>4500</v>
      </c>
    </row>
    <row r="115" spans="2:15">
      <c r="B115" s="3" t="s">
        <v>1007</v>
      </c>
      <c r="C115" s="4" t="s">
        <v>1036</v>
      </c>
      <c r="D115" s="5" t="s">
        <v>379</v>
      </c>
      <c r="E115" s="5" t="s">
        <v>123</v>
      </c>
      <c r="F115" s="5">
        <v>14123802</v>
      </c>
      <c r="G115" s="56">
        <v>9338.85</v>
      </c>
      <c r="H115" s="56">
        <v>0</v>
      </c>
      <c r="I115" s="5">
        <v>0</v>
      </c>
      <c r="J115" s="5">
        <v>0</v>
      </c>
      <c r="K115" s="5">
        <v>0</v>
      </c>
      <c r="L115" s="5">
        <v>1961.15</v>
      </c>
      <c r="M115" s="5">
        <v>0</v>
      </c>
      <c r="N115" s="56">
        <v>0</v>
      </c>
      <c r="O115" s="56">
        <v>11300</v>
      </c>
    </row>
    <row r="116" spans="2:15">
      <c r="B116" s="3" t="s">
        <v>1007</v>
      </c>
      <c r="C116" s="4" t="s">
        <v>1034</v>
      </c>
      <c r="D116" s="5" t="s">
        <v>1035</v>
      </c>
      <c r="E116" s="5" t="s">
        <v>123</v>
      </c>
      <c r="F116" s="5">
        <v>53588753</v>
      </c>
      <c r="G116" s="56">
        <v>7768.6</v>
      </c>
      <c r="H116" s="56">
        <v>0</v>
      </c>
      <c r="I116" s="5">
        <v>0</v>
      </c>
      <c r="J116" s="5">
        <v>0</v>
      </c>
      <c r="K116" s="5">
        <v>0</v>
      </c>
      <c r="L116" s="5">
        <v>1631.4</v>
      </c>
      <c r="M116" s="5">
        <v>0</v>
      </c>
      <c r="N116" s="56">
        <v>0</v>
      </c>
      <c r="O116" s="56">
        <v>9400</v>
      </c>
    </row>
    <row r="117" spans="2:15">
      <c r="B117" s="3" t="s">
        <v>1007</v>
      </c>
      <c r="C117" s="4" t="s">
        <v>1033</v>
      </c>
      <c r="D117" s="5" t="s">
        <v>737</v>
      </c>
      <c r="E117" s="5" t="s">
        <v>123</v>
      </c>
      <c r="F117" s="5">
        <v>4847221</v>
      </c>
      <c r="G117" s="56">
        <v>11157.02</v>
      </c>
      <c r="H117" s="56">
        <v>0</v>
      </c>
      <c r="I117" s="5">
        <v>0</v>
      </c>
      <c r="J117" s="5">
        <v>0</v>
      </c>
      <c r="K117" s="5">
        <v>0</v>
      </c>
      <c r="L117" s="5">
        <v>2342.98</v>
      </c>
      <c r="M117" s="5">
        <v>0</v>
      </c>
      <c r="N117" s="56">
        <v>0</v>
      </c>
      <c r="O117" s="56">
        <v>13500</v>
      </c>
    </row>
    <row r="118" spans="2:15">
      <c r="B118" s="3" t="s">
        <v>1007</v>
      </c>
      <c r="C118" s="4" t="s">
        <v>1032</v>
      </c>
      <c r="D118" s="5" t="s">
        <v>791</v>
      </c>
      <c r="E118" s="5" t="s">
        <v>123</v>
      </c>
      <c r="F118" s="5">
        <v>95554460</v>
      </c>
      <c r="G118" s="56">
        <v>3966.94</v>
      </c>
      <c r="H118" s="56">
        <v>0</v>
      </c>
      <c r="I118" s="5">
        <v>0</v>
      </c>
      <c r="J118" s="5">
        <v>0</v>
      </c>
      <c r="K118" s="5">
        <v>0</v>
      </c>
      <c r="L118" s="5">
        <v>833.06</v>
      </c>
      <c r="M118" s="5">
        <v>0</v>
      </c>
      <c r="N118" s="56">
        <v>0</v>
      </c>
      <c r="O118" s="56">
        <v>4800</v>
      </c>
    </row>
    <row r="119" spans="2:15">
      <c r="B119" s="3" t="s">
        <v>1007</v>
      </c>
      <c r="C119" s="4" t="s">
        <v>1030</v>
      </c>
      <c r="D119" s="5" t="s">
        <v>1031</v>
      </c>
      <c r="E119" s="5" t="s">
        <v>123</v>
      </c>
      <c r="F119" s="5">
        <v>4303569</v>
      </c>
      <c r="G119" s="56">
        <v>4132.24</v>
      </c>
      <c r="H119" s="56">
        <v>0</v>
      </c>
      <c r="I119" s="5">
        <v>0</v>
      </c>
      <c r="J119" s="5">
        <v>0</v>
      </c>
      <c r="K119" s="5">
        <v>0</v>
      </c>
      <c r="L119" s="5">
        <v>867.76</v>
      </c>
      <c r="M119" s="5">
        <v>0</v>
      </c>
      <c r="N119" s="56">
        <v>0</v>
      </c>
      <c r="O119" s="56">
        <v>5000</v>
      </c>
    </row>
    <row r="120" spans="2:15">
      <c r="B120" s="3" t="s">
        <v>1007</v>
      </c>
      <c r="C120" s="4" t="s">
        <v>1028</v>
      </c>
      <c r="D120" s="5" t="s">
        <v>1029</v>
      </c>
      <c r="E120" s="5" t="s">
        <v>276</v>
      </c>
      <c r="F120" s="5">
        <v>30646217977</v>
      </c>
      <c r="G120" s="56">
        <v>69421.490000000005</v>
      </c>
      <c r="H120" s="56">
        <v>0</v>
      </c>
      <c r="I120" s="5">
        <v>0</v>
      </c>
      <c r="J120" s="5">
        <v>0</v>
      </c>
      <c r="K120" s="5">
        <v>0</v>
      </c>
      <c r="L120" s="5">
        <v>14578.51</v>
      </c>
      <c r="M120" s="5">
        <v>0</v>
      </c>
      <c r="N120" s="56">
        <v>0</v>
      </c>
      <c r="O120" s="56">
        <v>84000</v>
      </c>
    </row>
    <row r="121" spans="2:15">
      <c r="B121" s="3" t="s">
        <v>990</v>
      </c>
      <c r="C121" s="4" t="s">
        <v>1006</v>
      </c>
      <c r="D121" s="5" t="s">
        <v>331</v>
      </c>
      <c r="E121" s="5" t="s">
        <v>276</v>
      </c>
      <c r="F121" s="5">
        <v>30685228501</v>
      </c>
      <c r="G121" s="56">
        <v>163636.36000000002</v>
      </c>
      <c r="H121" s="56">
        <v>0</v>
      </c>
      <c r="I121" s="5">
        <v>0</v>
      </c>
      <c r="J121" s="5">
        <v>0</v>
      </c>
      <c r="K121" s="5">
        <v>0</v>
      </c>
      <c r="L121" s="5">
        <v>34363.64</v>
      </c>
      <c r="M121" s="5">
        <v>0</v>
      </c>
      <c r="N121" s="56">
        <v>0</v>
      </c>
      <c r="O121" s="56">
        <v>198000</v>
      </c>
    </row>
    <row r="122" spans="2:15">
      <c r="B122" s="3" t="s">
        <v>955</v>
      </c>
      <c r="C122" s="4" t="s">
        <v>989</v>
      </c>
      <c r="D122" s="5" t="s">
        <v>828</v>
      </c>
      <c r="E122" s="5" t="s">
        <v>276</v>
      </c>
      <c r="F122" s="5">
        <v>30609521941</v>
      </c>
      <c r="G122" s="56">
        <v>3305.79</v>
      </c>
      <c r="H122" s="56">
        <v>0</v>
      </c>
      <c r="I122" s="5">
        <v>0</v>
      </c>
      <c r="J122" s="5">
        <v>0</v>
      </c>
      <c r="K122" s="5">
        <v>0</v>
      </c>
      <c r="L122" s="5">
        <v>694.21</v>
      </c>
      <c r="M122" s="5">
        <v>0</v>
      </c>
      <c r="N122" s="56">
        <v>0</v>
      </c>
      <c r="O122" s="56">
        <v>4000</v>
      </c>
    </row>
    <row r="123" spans="2:15">
      <c r="B123" s="3" t="s">
        <v>955</v>
      </c>
      <c r="C123" s="4" t="s">
        <v>987</v>
      </c>
      <c r="D123" s="5" t="s">
        <v>988</v>
      </c>
      <c r="E123" s="5" t="s">
        <v>123</v>
      </c>
      <c r="F123" s="5">
        <v>13741680</v>
      </c>
      <c r="G123" s="56">
        <v>21942.16</v>
      </c>
      <c r="H123" s="56">
        <v>0</v>
      </c>
      <c r="I123" s="5">
        <v>0</v>
      </c>
      <c r="J123" s="5">
        <v>0</v>
      </c>
      <c r="K123" s="5">
        <v>0</v>
      </c>
      <c r="L123" s="5">
        <v>4607.84</v>
      </c>
      <c r="M123" s="5">
        <v>0</v>
      </c>
      <c r="N123" s="56">
        <v>0</v>
      </c>
      <c r="O123" s="56">
        <v>26550</v>
      </c>
    </row>
    <row r="124" spans="2:15">
      <c r="B124" s="3" t="s">
        <v>955</v>
      </c>
      <c r="C124" s="4" t="s">
        <v>986</v>
      </c>
      <c r="D124" s="5" t="s">
        <v>307</v>
      </c>
      <c r="E124" s="5" t="s">
        <v>276</v>
      </c>
      <c r="F124" s="5">
        <v>30571766287</v>
      </c>
      <c r="G124" s="56">
        <v>21742.15</v>
      </c>
      <c r="H124" s="56">
        <v>0</v>
      </c>
      <c r="I124" s="5">
        <v>0</v>
      </c>
      <c r="J124" s="5">
        <v>0</v>
      </c>
      <c r="K124" s="5">
        <v>0</v>
      </c>
      <c r="L124" s="5">
        <v>4565.8500000000004</v>
      </c>
      <c r="M124" s="5">
        <v>0</v>
      </c>
      <c r="N124" s="56">
        <v>0</v>
      </c>
      <c r="O124" s="56">
        <v>26308</v>
      </c>
    </row>
    <row r="125" spans="2:15">
      <c r="B125" s="3" t="s">
        <v>955</v>
      </c>
      <c r="C125" s="4" t="s">
        <v>985</v>
      </c>
      <c r="D125" s="5" t="s">
        <v>316</v>
      </c>
      <c r="E125" s="5" t="s">
        <v>123</v>
      </c>
      <c r="F125" s="5" t="s">
        <v>124</v>
      </c>
      <c r="G125" s="56">
        <v>14876.03</v>
      </c>
      <c r="H125" s="56">
        <v>0</v>
      </c>
      <c r="I125" s="5">
        <v>0</v>
      </c>
      <c r="J125" s="5">
        <v>0</v>
      </c>
      <c r="K125" s="5">
        <v>0</v>
      </c>
      <c r="L125" s="5">
        <v>3123.97</v>
      </c>
      <c r="M125" s="5">
        <v>0</v>
      </c>
      <c r="N125" s="56">
        <v>0</v>
      </c>
      <c r="O125" s="56">
        <v>18000</v>
      </c>
    </row>
    <row r="126" spans="2:15">
      <c r="B126" s="3" t="s">
        <v>955</v>
      </c>
      <c r="C126" s="4" t="s">
        <v>984</v>
      </c>
      <c r="D126" s="5" t="s">
        <v>316</v>
      </c>
      <c r="E126" s="5" t="s">
        <v>123</v>
      </c>
      <c r="F126" s="5" t="s">
        <v>124</v>
      </c>
      <c r="G126" s="56">
        <v>2479.34</v>
      </c>
      <c r="H126" s="56">
        <v>0</v>
      </c>
      <c r="I126" s="5">
        <v>0</v>
      </c>
      <c r="J126" s="5">
        <v>0</v>
      </c>
      <c r="K126" s="5">
        <v>0</v>
      </c>
      <c r="L126" s="5">
        <v>520.66</v>
      </c>
      <c r="M126" s="5">
        <v>0</v>
      </c>
      <c r="N126" s="56">
        <v>0</v>
      </c>
      <c r="O126" s="56">
        <v>3000</v>
      </c>
    </row>
    <row r="127" spans="2:15">
      <c r="B127" s="3" t="s">
        <v>955</v>
      </c>
      <c r="C127" s="4" t="s">
        <v>983</v>
      </c>
      <c r="D127" s="5" t="s">
        <v>840</v>
      </c>
      <c r="E127" s="5" t="s">
        <v>123</v>
      </c>
      <c r="F127" s="5">
        <v>27312091</v>
      </c>
      <c r="G127" s="56">
        <v>5371.9</v>
      </c>
      <c r="H127" s="56">
        <v>0</v>
      </c>
      <c r="I127" s="5">
        <v>0</v>
      </c>
      <c r="J127" s="5">
        <v>0</v>
      </c>
      <c r="K127" s="5">
        <v>0</v>
      </c>
      <c r="L127" s="5">
        <v>1128.1000000000001</v>
      </c>
      <c r="M127" s="5">
        <v>0</v>
      </c>
      <c r="N127" s="56">
        <v>0</v>
      </c>
      <c r="O127" s="56">
        <v>6500</v>
      </c>
    </row>
    <row r="128" spans="2:15">
      <c r="B128" s="3" t="s">
        <v>955</v>
      </c>
      <c r="C128" s="4" t="s">
        <v>982</v>
      </c>
      <c r="D128" s="5" t="s">
        <v>387</v>
      </c>
      <c r="E128" s="5" t="s">
        <v>123</v>
      </c>
      <c r="F128" s="5">
        <v>94008078</v>
      </c>
      <c r="G128" s="56">
        <v>3471.08</v>
      </c>
      <c r="H128" s="56">
        <v>0</v>
      </c>
      <c r="I128" s="5">
        <v>0</v>
      </c>
      <c r="J128" s="5">
        <v>0</v>
      </c>
      <c r="K128" s="5">
        <v>0</v>
      </c>
      <c r="L128" s="5">
        <v>728.92</v>
      </c>
      <c r="M128" s="5">
        <v>0</v>
      </c>
      <c r="N128" s="56">
        <v>0</v>
      </c>
      <c r="O128" s="56">
        <v>4200</v>
      </c>
    </row>
    <row r="129" spans="2:15">
      <c r="B129" s="3" t="s">
        <v>955</v>
      </c>
      <c r="C129" s="4" t="s">
        <v>981</v>
      </c>
      <c r="D129" s="5" t="s">
        <v>980</v>
      </c>
      <c r="E129" s="5" t="s">
        <v>123</v>
      </c>
      <c r="F129" s="5">
        <v>13214933</v>
      </c>
      <c r="G129" s="56">
        <v>3140.5</v>
      </c>
      <c r="H129" s="56">
        <v>0</v>
      </c>
      <c r="I129" s="5">
        <v>0</v>
      </c>
      <c r="J129" s="5">
        <v>0</v>
      </c>
      <c r="K129" s="5">
        <v>0</v>
      </c>
      <c r="L129" s="5">
        <v>659.5</v>
      </c>
      <c r="M129" s="5">
        <v>0</v>
      </c>
      <c r="N129" s="56">
        <v>0</v>
      </c>
      <c r="O129" s="56">
        <v>3800</v>
      </c>
    </row>
    <row r="130" spans="2:15">
      <c r="B130" s="3" t="s">
        <v>955</v>
      </c>
      <c r="C130" s="4" t="s">
        <v>979</v>
      </c>
      <c r="D130" s="5" t="s">
        <v>980</v>
      </c>
      <c r="E130" s="5" t="s">
        <v>123</v>
      </c>
      <c r="F130" s="5">
        <v>13214933</v>
      </c>
      <c r="G130" s="56">
        <v>5454.54</v>
      </c>
      <c r="H130" s="56">
        <v>0</v>
      </c>
      <c r="I130" s="5">
        <v>0</v>
      </c>
      <c r="J130" s="5">
        <v>0</v>
      </c>
      <c r="K130" s="5">
        <v>0</v>
      </c>
      <c r="L130" s="5">
        <v>1145.46</v>
      </c>
      <c r="M130" s="5">
        <v>0</v>
      </c>
      <c r="N130" s="56">
        <v>0</v>
      </c>
      <c r="O130" s="56">
        <v>6600</v>
      </c>
    </row>
    <row r="131" spans="2:15">
      <c r="B131" s="3" t="s">
        <v>955</v>
      </c>
      <c r="C131" s="4" t="s">
        <v>978</v>
      </c>
      <c r="D131" s="5" t="s">
        <v>314</v>
      </c>
      <c r="E131" s="5" t="s">
        <v>276</v>
      </c>
      <c r="F131" s="5">
        <v>30658137642</v>
      </c>
      <c r="G131" s="56">
        <v>46649.59</v>
      </c>
      <c r="H131" s="56">
        <v>0</v>
      </c>
      <c r="I131" s="5">
        <v>0</v>
      </c>
      <c r="J131" s="5">
        <v>0</v>
      </c>
      <c r="K131" s="5">
        <v>0</v>
      </c>
      <c r="L131" s="5">
        <v>9796.41</v>
      </c>
      <c r="M131" s="5">
        <v>0</v>
      </c>
      <c r="N131" s="56">
        <v>0</v>
      </c>
      <c r="O131" s="56">
        <v>56446</v>
      </c>
    </row>
    <row r="132" spans="2:15">
      <c r="B132" s="3" t="s">
        <v>955</v>
      </c>
      <c r="C132" s="4" t="s">
        <v>977</v>
      </c>
      <c r="D132" s="5" t="s">
        <v>275</v>
      </c>
      <c r="E132" s="5" t="s">
        <v>276</v>
      </c>
      <c r="F132" s="5">
        <v>30590354798</v>
      </c>
      <c r="G132" s="56">
        <v>314049.59000000003</v>
      </c>
      <c r="H132" s="56">
        <v>0</v>
      </c>
      <c r="I132" s="5">
        <v>0</v>
      </c>
      <c r="J132" s="5">
        <v>0</v>
      </c>
      <c r="K132" s="5">
        <v>0</v>
      </c>
      <c r="L132" s="5">
        <v>65950.41</v>
      </c>
      <c r="M132" s="5">
        <v>0</v>
      </c>
      <c r="N132" s="56">
        <v>0</v>
      </c>
      <c r="O132" s="56">
        <v>380000</v>
      </c>
    </row>
    <row r="133" spans="2:15">
      <c r="B133" s="3" t="s">
        <v>939</v>
      </c>
      <c r="C133" s="4" t="s">
        <v>954</v>
      </c>
      <c r="D133" s="5" t="s">
        <v>275</v>
      </c>
      <c r="E133" s="5" t="s">
        <v>276</v>
      </c>
      <c r="F133" s="5">
        <v>30590354798</v>
      </c>
      <c r="G133" s="56">
        <v>218291.75</v>
      </c>
      <c r="H133" s="56">
        <v>0</v>
      </c>
      <c r="I133" s="5">
        <v>0</v>
      </c>
      <c r="J133" s="5">
        <v>0</v>
      </c>
      <c r="K133" s="5">
        <v>0</v>
      </c>
      <c r="L133" s="5">
        <v>45841.27</v>
      </c>
      <c r="M133" s="5">
        <v>0</v>
      </c>
      <c r="N133" s="56">
        <v>0</v>
      </c>
      <c r="O133" s="56">
        <v>264133.02</v>
      </c>
    </row>
    <row r="134" spans="2:15">
      <c r="B134" s="3" t="s">
        <v>922</v>
      </c>
      <c r="C134" s="4" t="s">
        <v>937</v>
      </c>
      <c r="D134" s="5" t="s">
        <v>938</v>
      </c>
      <c r="E134" s="5" t="s">
        <v>123</v>
      </c>
      <c r="F134" s="5">
        <v>5077002</v>
      </c>
      <c r="G134" s="56">
        <v>3719.01</v>
      </c>
      <c r="H134" s="56">
        <v>0</v>
      </c>
      <c r="I134" s="5">
        <v>0</v>
      </c>
      <c r="J134" s="5">
        <v>0</v>
      </c>
      <c r="K134" s="5">
        <v>0</v>
      </c>
      <c r="L134" s="5">
        <v>780.99</v>
      </c>
      <c r="M134" s="5">
        <v>0</v>
      </c>
      <c r="N134" s="56">
        <v>0</v>
      </c>
      <c r="O134" s="56">
        <v>4500</v>
      </c>
    </row>
    <row r="135" spans="2:15">
      <c r="B135" s="3" t="s">
        <v>906</v>
      </c>
      <c r="C135" s="4" t="s">
        <v>920</v>
      </c>
      <c r="D135" s="5" t="s">
        <v>921</v>
      </c>
      <c r="E135" s="5" t="s">
        <v>123</v>
      </c>
      <c r="F135" s="5">
        <v>4918632</v>
      </c>
      <c r="G135" s="56">
        <v>4628.1000000000004</v>
      </c>
      <c r="H135" s="56">
        <v>0</v>
      </c>
      <c r="I135" s="5">
        <v>0</v>
      </c>
      <c r="J135" s="5">
        <v>0</v>
      </c>
      <c r="K135" s="5">
        <v>0</v>
      </c>
      <c r="L135" s="5">
        <v>971.9</v>
      </c>
      <c r="M135" s="5">
        <v>0</v>
      </c>
      <c r="N135" s="56">
        <v>0</v>
      </c>
      <c r="O135" s="56">
        <v>5600</v>
      </c>
    </row>
    <row r="136" spans="2:15">
      <c r="B136" s="3" t="s">
        <v>885</v>
      </c>
      <c r="C136" s="4" t="s">
        <v>904</v>
      </c>
      <c r="D136" s="5" t="s">
        <v>905</v>
      </c>
      <c r="E136" s="5" t="s">
        <v>123</v>
      </c>
      <c r="F136" s="5">
        <v>26317300</v>
      </c>
      <c r="G136" s="56">
        <v>6446.28</v>
      </c>
      <c r="H136" s="56">
        <v>0</v>
      </c>
      <c r="I136" s="5">
        <v>0</v>
      </c>
      <c r="J136" s="5">
        <v>0</v>
      </c>
      <c r="K136" s="5">
        <v>0</v>
      </c>
      <c r="L136" s="5">
        <v>1353.72</v>
      </c>
      <c r="M136" s="5">
        <v>0</v>
      </c>
      <c r="N136" s="56">
        <v>0</v>
      </c>
      <c r="O136" s="56">
        <v>7800</v>
      </c>
    </row>
    <row r="137" spans="2:15">
      <c r="B137" s="3" t="s">
        <v>885</v>
      </c>
      <c r="C137" s="4" t="s">
        <v>903</v>
      </c>
      <c r="D137" s="5" t="s">
        <v>321</v>
      </c>
      <c r="E137" s="5" t="s">
        <v>123</v>
      </c>
      <c r="F137" s="5" t="s">
        <v>124</v>
      </c>
      <c r="G137" s="56">
        <v>1487.6</v>
      </c>
      <c r="H137" s="56">
        <v>0</v>
      </c>
      <c r="I137" s="5">
        <v>0</v>
      </c>
      <c r="J137" s="5">
        <v>0</v>
      </c>
      <c r="K137" s="5">
        <v>0</v>
      </c>
      <c r="L137" s="5">
        <v>312.40000000000003</v>
      </c>
      <c r="M137" s="5">
        <v>0</v>
      </c>
      <c r="N137" s="56">
        <v>0</v>
      </c>
      <c r="O137" s="56">
        <v>1800</v>
      </c>
    </row>
    <row r="138" spans="2:15">
      <c r="B138" s="3" t="s">
        <v>885</v>
      </c>
      <c r="C138" s="4" t="s">
        <v>902</v>
      </c>
      <c r="D138" s="5" t="s">
        <v>415</v>
      </c>
      <c r="E138" s="5" t="s">
        <v>123</v>
      </c>
      <c r="F138" s="5">
        <v>10093884</v>
      </c>
      <c r="G138" s="56">
        <v>3471.07</v>
      </c>
      <c r="H138" s="56">
        <v>0</v>
      </c>
      <c r="I138" s="5">
        <v>0</v>
      </c>
      <c r="J138" s="5">
        <v>0</v>
      </c>
      <c r="K138" s="5">
        <v>0</v>
      </c>
      <c r="L138" s="5">
        <v>728.93</v>
      </c>
      <c r="M138" s="5">
        <v>0</v>
      </c>
      <c r="N138" s="56">
        <v>0</v>
      </c>
      <c r="O138" s="56">
        <v>4200</v>
      </c>
    </row>
    <row r="139" spans="2:15">
      <c r="B139" s="3" t="s">
        <v>862</v>
      </c>
      <c r="C139" s="4" t="s">
        <v>883</v>
      </c>
      <c r="D139" s="5" t="s">
        <v>884</v>
      </c>
      <c r="E139" s="5" t="s">
        <v>123</v>
      </c>
      <c r="F139" s="5">
        <v>17198648</v>
      </c>
      <c r="G139" s="56">
        <v>5950.41</v>
      </c>
      <c r="H139" s="56">
        <v>0</v>
      </c>
      <c r="I139" s="5">
        <v>0</v>
      </c>
      <c r="J139" s="5">
        <v>0</v>
      </c>
      <c r="K139" s="5">
        <v>0</v>
      </c>
      <c r="L139" s="5">
        <v>1249.5899999999999</v>
      </c>
      <c r="M139" s="5">
        <v>0</v>
      </c>
      <c r="N139" s="56">
        <v>0</v>
      </c>
      <c r="O139" s="56">
        <v>7200</v>
      </c>
    </row>
    <row r="140" spans="2:15">
      <c r="B140" s="3" t="s">
        <v>862</v>
      </c>
      <c r="C140" s="4" t="s">
        <v>882</v>
      </c>
      <c r="D140" s="5" t="s">
        <v>348</v>
      </c>
      <c r="E140" s="5" t="s">
        <v>123</v>
      </c>
      <c r="F140" s="5">
        <v>26542077</v>
      </c>
      <c r="G140" s="56">
        <v>8677.69</v>
      </c>
      <c r="H140" s="56">
        <v>0</v>
      </c>
      <c r="I140" s="5">
        <v>0</v>
      </c>
      <c r="J140" s="5">
        <v>0</v>
      </c>
      <c r="K140" s="5">
        <v>0</v>
      </c>
      <c r="L140" s="5">
        <v>1822.31</v>
      </c>
      <c r="M140" s="5">
        <v>0</v>
      </c>
      <c r="N140" s="56">
        <v>0</v>
      </c>
      <c r="O140" s="56">
        <v>10500</v>
      </c>
    </row>
    <row r="141" spans="2:15">
      <c r="B141" s="3" t="s">
        <v>1222</v>
      </c>
      <c r="C141" s="4" t="s">
        <v>1227</v>
      </c>
      <c r="D141" s="5" t="s">
        <v>122</v>
      </c>
      <c r="E141" s="5" t="s">
        <v>123</v>
      </c>
      <c r="F141" s="5" t="s">
        <v>124</v>
      </c>
      <c r="G141" s="56">
        <v>8264.4600000000009</v>
      </c>
      <c r="H141" s="56">
        <v>0</v>
      </c>
      <c r="I141" s="5">
        <v>0</v>
      </c>
      <c r="J141" s="5">
        <v>0</v>
      </c>
      <c r="K141" s="5">
        <v>0</v>
      </c>
      <c r="L141" s="5">
        <v>1735.54</v>
      </c>
      <c r="M141" s="5">
        <v>0</v>
      </c>
      <c r="N141" s="56">
        <v>0</v>
      </c>
      <c r="O141" s="56">
        <v>10000</v>
      </c>
    </row>
    <row r="142" spans="2:15">
      <c r="B142" s="3" t="s">
        <v>1222</v>
      </c>
      <c r="C142" s="4" t="s">
        <v>1226</v>
      </c>
      <c r="D142" s="5" t="s">
        <v>122</v>
      </c>
      <c r="E142" s="5" t="s">
        <v>123</v>
      </c>
      <c r="F142" s="5" t="s">
        <v>124</v>
      </c>
      <c r="G142" s="56">
        <v>3884.3</v>
      </c>
      <c r="H142" s="56">
        <v>0</v>
      </c>
      <c r="I142" s="5">
        <v>0</v>
      </c>
      <c r="J142" s="5">
        <v>0</v>
      </c>
      <c r="K142" s="5">
        <v>0</v>
      </c>
      <c r="L142" s="5">
        <v>815.7</v>
      </c>
      <c r="M142" s="5">
        <v>0</v>
      </c>
      <c r="N142" s="56">
        <v>0</v>
      </c>
      <c r="O142" s="56">
        <v>4700</v>
      </c>
    </row>
    <row r="143" spans="2:15">
      <c r="B143" s="3" t="s">
        <v>1222</v>
      </c>
      <c r="C143" s="4" t="s">
        <v>1225</v>
      </c>
      <c r="D143" s="5" t="s">
        <v>122</v>
      </c>
      <c r="E143" s="5" t="s">
        <v>123</v>
      </c>
      <c r="F143" s="5" t="s">
        <v>124</v>
      </c>
      <c r="G143" s="56">
        <v>4132.2300000000005</v>
      </c>
      <c r="H143" s="56">
        <v>0</v>
      </c>
      <c r="I143" s="5">
        <v>0</v>
      </c>
      <c r="J143" s="5">
        <v>0</v>
      </c>
      <c r="K143" s="5">
        <v>0</v>
      </c>
      <c r="L143" s="5">
        <v>867.77</v>
      </c>
      <c r="M143" s="5">
        <v>0</v>
      </c>
      <c r="N143" s="56">
        <v>0</v>
      </c>
      <c r="O143" s="56">
        <v>5000</v>
      </c>
    </row>
    <row r="144" spans="2:15">
      <c r="B144" s="3" t="s">
        <v>1222</v>
      </c>
      <c r="C144" s="4" t="s">
        <v>1224</v>
      </c>
      <c r="D144" s="5" t="s">
        <v>122</v>
      </c>
      <c r="E144" s="5" t="s">
        <v>123</v>
      </c>
      <c r="F144" s="5" t="s">
        <v>124</v>
      </c>
      <c r="G144" s="56">
        <v>5371.9</v>
      </c>
      <c r="H144" s="56">
        <v>0</v>
      </c>
      <c r="I144" s="5">
        <v>0</v>
      </c>
      <c r="J144" s="5">
        <v>0</v>
      </c>
      <c r="K144" s="5">
        <v>0</v>
      </c>
      <c r="L144" s="5">
        <v>1128.1000000000001</v>
      </c>
      <c r="M144" s="5">
        <v>0</v>
      </c>
      <c r="N144" s="56">
        <v>0</v>
      </c>
      <c r="O144" s="56">
        <v>6500</v>
      </c>
    </row>
    <row r="145" spans="2:15">
      <c r="B145" s="3" t="s">
        <v>1222</v>
      </c>
      <c r="C145" s="4" t="s">
        <v>1223</v>
      </c>
      <c r="D145" s="5" t="s">
        <v>122</v>
      </c>
      <c r="E145" s="5" t="s">
        <v>123</v>
      </c>
      <c r="F145" s="5" t="s">
        <v>124</v>
      </c>
      <c r="G145" s="56">
        <v>1239.67</v>
      </c>
      <c r="H145" s="56">
        <v>0</v>
      </c>
      <c r="I145" s="5">
        <v>0</v>
      </c>
      <c r="J145" s="5">
        <v>0</v>
      </c>
      <c r="K145" s="5">
        <v>0</v>
      </c>
      <c r="L145" s="5">
        <v>260.33</v>
      </c>
      <c r="M145" s="5">
        <v>0</v>
      </c>
      <c r="N145" s="56">
        <v>0</v>
      </c>
      <c r="O145" s="56">
        <v>1500</v>
      </c>
    </row>
    <row r="146" spans="2:15">
      <c r="B146" s="3" t="s">
        <v>1201</v>
      </c>
      <c r="C146" s="4" t="s">
        <v>1209</v>
      </c>
      <c r="D146" s="5" t="s">
        <v>122</v>
      </c>
      <c r="E146" s="5" t="s">
        <v>123</v>
      </c>
      <c r="F146" s="5" t="s">
        <v>124</v>
      </c>
      <c r="G146" s="56">
        <v>5619.83</v>
      </c>
      <c r="H146" s="56">
        <v>0</v>
      </c>
      <c r="I146" s="5">
        <v>0</v>
      </c>
      <c r="J146" s="5">
        <v>0</v>
      </c>
      <c r="K146" s="5">
        <v>0</v>
      </c>
      <c r="L146" s="5">
        <v>1180.17</v>
      </c>
      <c r="M146" s="5">
        <v>0</v>
      </c>
      <c r="N146" s="56">
        <v>0</v>
      </c>
      <c r="O146" s="56">
        <v>6800</v>
      </c>
    </row>
    <row r="147" spans="2:15">
      <c r="B147" s="3" t="s">
        <v>1201</v>
      </c>
      <c r="C147" s="4" t="s">
        <v>1208</v>
      </c>
      <c r="D147" s="5" t="s">
        <v>122</v>
      </c>
      <c r="E147" s="5" t="s">
        <v>123</v>
      </c>
      <c r="F147" s="5" t="s">
        <v>124</v>
      </c>
      <c r="G147" s="56">
        <v>7768.6</v>
      </c>
      <c r="H147" s="56">
        <v>0</v>
      </c>
      <c r="I147" s="5">
        <v>0</v>
      </c>
      <c r="J147" s="5">
        <v>0</v>
      </c>
      <c r="K147" s="5">
        <v>0</v>
      </c>
      <c r="L147" s="5">
        <v>1631.4</v>
      </c>
      <c r="M147" s="5">
        <v>0</v>
      </c>
      <c r="N147" s="56">
        <v>0</v>
      </c>
      <c r="O147" s="56">
        <v>9400</v>
      </c>
    </row>
    <row r="148" spans="2:15">
      <c r="B148" s="3" t="s">
        <v>1201</v>
      </c>
      <c r="C148" s="4" t="s">
        <v>1207</v>
      </c>
      <c r="D148" s="5" t="s">
        <v>122</v>
      </c>
      <c r="E148" s="5" t="s">
        <v>123</v>
      </c>
      <c r="F148" s="5" t="s">
        <v>124</v>
      </c>
      <c r="G148" s="56">
        <v>5619.83</v>
      </c>
      <c r="H148" s="56">
        <v>0</v>
      </c>
      <c r="I148" s="5">
        <v>0</v>
      </c>
      <c r="J148" s="5">
        <v>0</v>
      </c>
      <c r="K148" s="5">
        <v>0</v>
      </c>
      <c r="L148" s="5">
        <v>1180.17</v>
      </c>
      <c r="M148" s="5">
        <v>0</v>
      </c>
      <c r="N148" s="56">
        <v>0</v>
      </c>
      <c r="O148" s="56">
        <v>6800</v>
      </c>
    </row>
    <row r="149" spans="2:15">
      <c r="B149" s="3" t="s">
        <v>1201</v>
      </c>
      <c r="C149" s="4" t="s">
        <v>1206</v>
      </c>
      <c r="D149" s="5" t="s">
        <v>122</v>
      </c>
      <c r="E149" s="5" t="s">
        <v>123</v>
      </c>
      <c r="F149" s="5" t="s">
        <v>124</v>
      </c>
      <c r="G149" s="56">
        <v>11570.25</v>
      </c>
      <c r="H149" s="56">
        <v>0</v>
      </c>
      <c r="I149" s="5">
        <v>0</v>
      </c>
      <c r="J149" s="5">
        <v>0</v>
      </c>
      <c r="K149" s="5">
        <v>0</v>
      </c>
      <c r="L149" s="5">
        <v>2429.75</v>
      </c>
      <c r="M149" s="5">
        <v>0</v>
      </c>
      <c r="N149" s="56">
        <v>0</v>
      </c>
      <c r="O149" s="56">
        <v>14000</v>
      </c>
    </row>
    <row r="150" spans="2:15">
      <c r="B150" s="3" t="s">
        <v>1201</v>
      </c>
      <c r="C150" s="4" t="s">
        <v>1205</v>
      </c>
      <c r="D150" s="5" t="s">
        <v>122</v>
      </c>
      <c r="E150" s="5" t="s">
        <v>123</v>
      </c>
      <c r="F150" s="5" t="s">
        <v>124</v>
      </c>
      <c r="G150" s="56">
        <v>2644.63</v>
      </c>
      <c r="H150" s="56">
        <v>0</v>
      </c>
      <c r="I150" s="5">
        <v>0</v>
      </c>
      <c r="J150" s="5">
        <v>0</v>
      </c>
      <c r="K150" s="5">
        <v>0</v>
      </c>
      <c r="L150" s="5">
        <v>555.37</v>
      </c>
      <c r="M150" s="5">
        <v>0</v>
      </c>
      <c r="N150" s="56">
        <v>0</v>
      </c>
      <c r="O150" s="56">
        <v>3200</v>
      </c>
    </row>
    <row r="151" spans="2:15">
      <c r="B151" s="3" t="s">
        <v>1201</v>
      </c>
      <c r="C151" s="4" t="s">
        <v>1203</v>
      </c>
      <c r="D151" s="5" t="s">
        <v>1204</v>
      </c>
      <c r="E151" s="5" t="s">
        <v>123</v>
      </c>
      <c r="F151" s="5">
        <v>3790102</v>
      </c>
      <c r="G151" s="56">
        <v>15702.48</v>
      </c>
      <c r="H151" s="56">
        <v>0</v>
      </c>
      <c r="I151" s="5">
        <v>0</v>
      </c>
      <c r="J151" s="5">
        <v>0</v>
      </c>
      <c r="K151" s="5">
        <v>0</v>
      </c>
      <c r="L151" s="5">
        <v>3297.52</v>
      </c>
      <c r="M151" s="5">
        <v>0</v>
      </c>
      <c r="N151" s="56">
        <v>0</v>
      </c>
      <c r="O151" s="56">
        <v>19000</v>
      </c>
    </row>
    <row r="152" spans="2:15">
      <c r="B152" s="3" t="s">
        <v>1201</v>
      </c>
      <c r="C152" s="4" t="s">
        <v>1202</v>
      </c>
      <c r="D152" s="5" t="s">
        <v>122</v>
      </c>
      <c r="E152" s="5" t="s">
        <v>123</v>
      </c>
      <c r="F152" s="5" t="s">
        <v>124</v>
      </c>
      <c r="G152" s="56">
        <v>18181.82</v>
      </c>
      <c r="H152" s="56">
        <v>0</v>
      </c>
      <c r="I152" s="5">
        <v>0</v>
      </c>
      <c r="J152" s="5">
        <v>0</v>
      </c>
      <c r="K152" s="5">
        <v>0</v>
      </c>
      <c r="L152" s="5">
        <v>3818.18</v>
      </c>
      <c r="M152" s="5">
        <v>0</v>
      </c>
      <c r="N152" s="56">
        <v>0</v>
      </c>
      <c r="O152" s="56">
        <v>22000</v>
      </c>
    </row>
    <row r="153" spans="2:15">
      <c r="B153" s="3" t="s">
        <v>1172</v>
      </c>
      <c r="C153" s="4" t="s">
        <v>1188</v>
      </c>
      <c r="D153" s="5" t="s">
        <v>122</v>
      </c>
      <c r="E153" s="5" t="s">
        <v>123</v>
      </c>
      <c r="F153" s="5" t="s">
        <v>124</v>
      </c>
      <c r="G153" s="56">
        <v>1239.67</v>
      </c>
      <c r="H153" s="56">
        <v>0</v>
      </c>
      <c r="I153" s="5">
        <v>0</v>
      </c>
      <c r="J153" s="5">
        <v>0</v>
      </c>
      <c r="K153" s="5">
        <v>0</v>
      </c>
      <c r="L153" s="5">
        <v>260.33</v>
      </c>
      <c r="M153" s="5">
        <v>0</v>
      </c>
      <c r="N153" s="56">
        <v>0</v>
      </c>
      <c r="O153" s="56">
        <v>1500</v>
      </c>
    </row>
    <row r="154" spans="2:15">
      <c r="B154" s="3" t="s">
        <v>1172</v>
      </c>
      <c r="C154" s="4" t="s">
        <v>1187</v>
      </c>
      <c r="D154" s="5" t="s">
        <v>122</v>
      </c>
      <c r="E154" s="5" t="s">
        <v>123</v>
      </c>
      <c r="F154" s="5" t="s">
        <v>124</v>
      </c>
      <c r="G154" s="56">
        <v>9752.07</v>
      </c>
      <c r="H154" s="56">
        <v>0</v>
      </c>
      <c r="I154" s="5">
        <v>0</v>
      </c>
      <c r="J154" s="5">
        <v>0</v>
      </c>
      <c r="K154" s="5">
        <v>0</v>
      </c>
      <c r="L154" s="5">
        <v>2047.93</v>
      </c>
      <c r="M154" s="5">
        <v>0</v>
      </c>
      <c r="N154" s="56">
        <v>0</v>
      </c>
      <c r="O154" s="56">
        <v>11800</v>
      </c>
    </row>
    <row r="155" spans="2:15">
      <c r="B155" s="3" t="s">
        <v>1172</v>
      </c>
      <c r="C155" s="4" t="s">
        <v>1186</v>
      </c>
      <c r="D155" s="5" t="s">
        <v>122</v>
      </c>
      <c r="E155" s="5" t="s">
        <v>123</v>
      </c>
      <c r="F155" s="5" t="s">
        <v>124</v>
      </c>
      <c r="G155" s="56">
        <v>7851.24</v>
      </c>
      <c r="H155" s="56">
        <v>0</v>
      </c>
      <c r="I155" s="5">
        <v>0</v>
      </c>
      <c r="J155" s="5">
        <v>0</v>
      </c>
      <c r="K155" s="5">
        <v>0</v>
      </c>
      <c r="L155" s="5">
        <v>1648.76</v>
      </c>
      <c r="M155" s="5">
        <v>0</v>
      </c>
      <c r="N155" s="56">
        <v>0</v>
      </c>
      <c r="O155" s="56">
        <v>9500</v>
      </c>
    </row>
    <row r="156" spans="2:15">
      <c r="B156" s="3" t="s">
        <v>1172</v>
      </c>
      <c r="C156" s="4" t="s">
        <v>1185</v>
      </c>
      <c r="D156" s="5" t="s">
        <v>122</v>
      </c>
      <c r="E156" s="5" t="s">
        <v>123</v>
      </c>
      <c r="F156" s="5" t="s">
        <v>124</v>
      </c>
      <c r="G156" s="56">
        <v>4958.68</v>
      </c>
      <c r="H156" s="56">
        <v>0</v>
      </c>
      <c r="I156" s="5">
        <v>0</v>
      </c>
      <c r="J156" s="5">
        <v>0</v>
      </c>
      <c r="K156" s="5">
        <v>0</v>
      </c>
      <c r="L156" s="5">
        <v>1041.32</v>
      </c>
      <c r="M156" s="5">
        <v>0</v>
      </c>
      <c r="N156" s="56">
        <v>0</v>
      </c>
      <c r="O156" s="56">
        <v>6000</v>
      </c>
    </row>
    <row r="157" spans="2:15">
      <c r="B157" s="3" t="s">
        <v>1172</v>
      </c>
      <c r="C157" s="4" t="s">
        <v>1184</v>
      </c>
      <c r="D157" s="5" t="s">
        <v>122</v>
      </c>
      <c r="E157" s="5" t="s">
        <v>123</v>
      </c>
      <c r="F157" s="5" t="s">
        <v>124</v>
      </c>
      <c r="G157" s="56">
        <v>5619.83</v>
      </c>
      <c r="H157" s="56">
        <v>0</v>
      </c>
      <c r="I157" s="5">
        <v>0</v>
      </c>
      <c r="J157" s="5">
        <v>0</v>
      </c>
      <c r="K157" s="5">
        <v>0</v>
      </c>
      <c r="L157" s="5">
        <v>1180.17</v>
      </c>
      <c r="M157" s="5">
        <v>0</v>
      </c>
      <c r="N157" s="56">
        <v>0</v>
      </c>
      <c r="O157" s="56">
        <v>6800</v>
      </c>
    </row>
    <row r="158" spans="2:15">
      <c r="B158" s="3" t="s">
        <v>1172</v>
      </c>
      <c r="C158" s="4" t="s">
        <v>1183</v>
      </c>
      <c r="D158" s="5" t="s">
        <v>122</v>
      </c>
      <c r="E158" s="5" t="s">
        <v>123</v>
      </c>
      <c r="F158" s="5" t="s">
        <v>124</v>
      </c>
      <c r="G158" s="56">
        <v>2231.4</v>
      </c>
      <c r="H158" s="56">
        <v>0</v>
      </c>
      <c r="I158" s="5">
        <v>0</v>
      </c>
      <c r="J158" s="5">
        <v>0</v>
      </c>
      <c r="K158" s="5">
        <v>0</v>
      </c>
      <c r="L158" s="5">
        <v>468.6</v>
      </c>
      <c r="M158" s="5">
        <v>0</v>
      </c>
      <c r="N158" s="56">
        <v>0</v>
      </c>
      <c r="O158" s="56">
        <v>2700</v>
      </c>
    </row>
    <row r="159" spans="2:15">
      <c r="B159" s="3" t="s">
        <v>1172</v>
      </c>
      <c r="C159" s="4" t="s">
        <v>1182</v>
      </c>
      <c r="D159" s="5" t="s">
        <v>122</v>
      </c>
      <c r="E159" s="5" t="s">
        <v>123</v>
      </c>
      <c r="F159" s="5" t="s">
        <v>124</v>
      </c>
      <c r="G159" s="56">
        <v>1157.02</v>
      </c>
      <c r="H159" s="56">
        <v>0</v>
      </c>
      <c r="I159" s="5">
        <v>0</v>
      </c>
      <c r="J159" s="5">
        <v>0</v>
      </c>
      <c r="K159" s="5">
        <v>0</v>
      </c>
      <c r="L159" s="5">
        <v>242.98</v>
      </c>
      <c r="M159" s="5">
        <v>0</v>
      </c>
      <c r="N159" s="56">
        <v>0</v>
      </c>
      <c r="O159" s="56">
        <v>1400</v>
      </c>
    </row>
    <row r="160" spans="2:15">
      <c r="B160" s="3" t="s">
        <v>1172</v>
      </c>
      <c r="C160" s="4" t="s">
        <v>1181</v>
      </c>
      <c r="D160" s="5" t="s">
        <v>122</v>
      </c>
      <c r="E160" s="5" t="s">
        <v>123</v>
      </c>
      <c r="F160" s="5" t="s">
        <v>124</v>
      </c>
      <c r="G160" s="56">
        <v>4132.2300000000005</v>
      </c>
      <c r="H160" s="56">
        <v>0</v>
      </c>
      <c r="I160" s="5">
        <v>0</v>
      </c>
      <c r="J160" s="5">
        <v>0</v>
      </c>
      <c r="K160" s="5">
        <v>0</v>
      </c>
      <c r="L160" s="5">
        <v>867.77</v>
      </c>
      <c r="M160" s="5">
        <v>0</v>
      </c>
      <c r="N160" s="56">
        <v>0</v>
      </c>
      <c r="O160" s="56">
        <v>5000</v>
      </c>
    </row>
    <row r="161" spans="2:15">
      <c r="B161" s="3" t="s">
        <v>1172</v>
      </c>
      <c r="C161" s="4" t="s">
        <v>1180</v>
      </c>
      <c r="D161" s="5" t="s">
        <v>122</v>
      </c>
      <c r="E161" s="5" t="s">
        <v>123</v>
      </c>
      <c r="F161" s="5" t="s">
        <v>124</v>
      </c>
      <c r="G161" s="56">
        <v>6528.93</v>
      </c>
      <c r="H161" s="56">
        <v>0</v>
      </c>
      <c r="I161" s="5">
        <v>0</v>
      </c>
      <c r="J161" s="5">
        <v>0</v>
      </c>
      <c r="K161" s="5">
        <v>0</v>
      </c>
      <c r="L161" s="5">
        <v>1371.07</v>
      </c>
      <c r="M161" s="5">
        <v>0</v>
      </c>
      <c r="N161" s="56">
        <v>0</v>
      </c>
      <c r="O161" s="56">
        <v>7900</v>
      </c>
    </row>
    <row r="162" spans="2:15">
      <c r="B162" s="3" t="s">
        <v>1172</v>
      </c>
      <c r="C162" s="4" t="s">
        <v>1179</v>
      </c>
      <c r="D162" s="5" t="s">
        <v>122</v>
      </c>
      <c r="E162" s="5" t="s">
        <v>123</v>
      </c>
      <c r="F162" s="5" t="s">
        <v>124</v>
      </c>
      <c r="G162" s="56">
        <v>7438.02</v>
      </c>
      <c r="H162" s="56">
        <v>0</v>
      </c>
      <c r="I162" s="5">
        <v>0</v>
      </c>
      <c r="J162" s="5">
        <v>0</v>
      </c>
      <c r="K162" s="5">
        <v>0</v>
      </c>
      <c r="L162" s="5">
        <v>1561.98</v>
      </c>
      <c r="M162" s="5">
        <v>0</v>
      </c>
      <c r="N162" s="56">
        <v>0</v>
      </c>
      <c r="O162" s="56">
        <v>9000</v>
      </c>
    </row>
    <row r="163" spans="2:15">
      <c r="B163" s="3" t="s">
        <v>1172</v>
      </c>
      <c r="C163" s="4" t="s">
        <v>1178</v>
      </c>
      <c r="D163" s="5" t="s">
        <v>122</v>
      </c>
      <c r="E163" s="5" t="s">
        <v>123</v>
      </c>
      <c r="F163" s="5" t="s">
        <v>124</v>
      </c>
      <c r="G163" s="56">
        <v>6198.35</v>
      </c>
      <c r="H163" s="56">
        <v>0</v>
      </c>
      <c r="I163" s="5">
        <v>0</v>
      </c>
      <c r="J163" s="5">
        <v>0</v>
      </c>
      <c r="K163" s="5">
        <v>0</v>
      </c>
      <c r="L163" s="5">
        <v>1301.6500000000001</v>
      </c>
      <c r="M163" s="5">
        <v>0</v>
      </c>
      <c r="N163" s="56">
        <v>0</v>
      </c>
      <c r="O163" s="56">
        <v>7500</v>
      </c>
    </row>
    <row r="164" spans="2:15">
      <c r="B164" s="3" t="s">
        <v>1172</v>
      </c>
      <c r="C164" s="4" t="s">
        <v>1177</v>
      </c>
      <c r="D164" s="5" t="s">
        <v>122</v>
      </c>
      <c r="E164" s="5" t="s">
        <v>123</v>
      </c>
      <c r="F164" s="5" t="s">
        <v>124</v>
      </c>
      <c r="G164" s="56">
        <v>1900.83</v>
      </c>
      <c r="H164" s="56">
        <v>0</v>
      </c>
      <c r="I164" s="5">
        <v>0</v>
      </c>
      <c r="J164" s="5">
        <v>0</v>
      </c>
      <c r="K164" s="5">
        <v>0</v>
      </c>
      <c r="L164" s="5">
        <v>399.17</v>
      </c>
      <c r="M164" s="5">
        <v>0</v>
      </c>
      <c r="N164" s="56">
        <v>0</v>
      </c>
      <c r="O164" s="56">
        <v>2300</v>
      </c>
    </row>
    <row r="165" spans="2:15">
      <c r="B165" s="3" t="s">
        <v>1172</v>
      </c>
      <c r="C165" s="4" t="s">
        <v>1176</v>
      </c>
      <c r="D165" s="5" t="s">
        <v>122</v>
      </c>
      <c r="E165" s="5" t="s">
        <v>123</v>
      </c>
      <c r="F165" s="5" t="s">
        <v>124</v>
      </c>
      <c r="G165" s="56">
        <v>6942.15</v>
      </c>
      <c r="H165" s="56">
        <v>0</v>
      </c>
      <c r="I165" s="5">
        <v>0</v>
      </c>
      <c r="J165" s="5">
        <v>0</v>
      </c>
      <c r="K165" s="5">
        <v>0</v>
      </c>
      <c r="L165" s="5">
        <v>1457.85</v>
      </c>
      <c r="M165" s="5">
        <v>0</v>
      </c>
      <c r="N165" s="56">
        <v>0</v>
      </c>
      <c r="O165" s="56">
        <v>8400</v>
      </c>
    </row>
    <row r="166" spans="2:15">
      <c r="B166" s="3" t="s">
        <v>1172</v>
      </c>
      <c r="C166" s="4" t="s">
        <v>1175</v>
      </c>
      <c r="D166" s="5" t="s">
        <v>122</v>
      </c>
      <c r="E166" s="5" t="s">
        <v>123</v>
      </c>
      <c r="F166" s="5" t="s">
        <v>124</v>
      </c>
      <c r="G166" s="56">
        <v>4462.8100000000004</v>
      </c>
      <c r="H166" s="56">
        <v>0</v>
      </c>
      <c r="I166" s="5">
        <v>0</v>
      </c>
      <c r="J166" s="5">
        <v>0</v>
      </c>
      <c r="K166" s="5">
        <v>0</v>
      </c>
      <c r="L166" s="5">
        <v>937.19</v>
      </c>
      <c r="M166" s="5">
        <v>0</v>
      </c>
      <c r="N166" s="56">
        <v>0</v>
      </c>
      <c r="O166" s="56">
        <v>5400</v>
      </c>
    </row>
    <row r="167" spans="2:15">
      <c r="B167" s="3" t="s">
        <v>1172</v>
      </c>
      <c r="C167" s="4" t="s">
        <v>1174</v>
      </c>
      <c r="D167" s="5" t="s">
        <v>122</v>
      </c>
      <c r="E167" s="5" t="s">
        <v>123</v>
      </c>
      <c r="F167" s="5" t="s">
        <v>124</v>
      </c>
      <c r="G167" s="56">
        <v>7603.31</v>
      </c>
      <c r="H167" s="56">
        <v>0</v>
      </c>
      <c r="I167" s="5">
        <v>0</v>
      </c>
      <c r="J167" s="5">
        <v>0</v>
      </c>
      <c r="K167" s="5">
        <v>0</v>
      </c>
      <c r="L167" s="5">
        <v>1596.69</v>
      </c>
      <c r="M167" s="5">
        <v>0</v>
      </c>
      <c r="N167" s="56">
        <v>0</v>
      </c>
      <c r="O167" s="56">
        <v>9200</v>
      </c>
    </row>
    <row r="168" spans="2:15">
      <c r="B168" s="3" t="s">
        <v>1172</v>
      </c>
      <c r="C168" s="4" t="s">
        <v>1173</v>
      </c>
      <c r="D168" s="5" t="s">
        <v>122</v>
      </c>
      <c r="E168" s="5" t="s">
        <v>123</v>
      </c>
      <c r="F168" s="5" t="s">
        <v>124</v>
      </c>
      <c r="G168" s="56">
        <v>6859.5</v>
      </c>
      <c r="H168" s="56">
        <v>0</v>
      </c>
      <c r="I168" s="5">
        <v>0</v>
      </c>
      <c r="J168" s="5">
        <v>0</v>
      </c>
      <c r="K168" s="5">
        <v>0</v>
      </c>
      <c r="L168" s="5">
        <v>1440.5</v>
      </c>
      <c r="M168" s="5">
        <v>0</v>
      </c>
      <c r="N168" s="56">
        <v>0</v>
      </c>
      <c r="O168" s="56">
        <v>8300</v>
      </c>
    </row>
    <row r="169" spans="2:15">
      <c r="B169" s="3" t="s">
        <v>1147</v>
      </c>
      <c r="C169" s="4" t="s">
        <v>1152</v>
      </c>
      <c r="D169" s="5" t="s">
        <v>122</v>
      </c>
      <c r="E169" s="5" t="s">
        <v>123</v>
      </c>
      <c r="F169" s="5" t="s">
        <v>124</v>
      </c>
      <c r="G169" s="56">
        <v>4338.84</v>
      </c>
      <c r="H169" s="56">
        <v>0</v>
      </c>
      <c r="I169" s="5">
        <v>0</v>
      </c>
      <c r="J169" s="5">
        <v>0</v>
      </c>
      <c r="K169" s="5">
        <v>0</v>
      </c>
      <c r="L169" s="5">
        <v>911.16</v>
      </c>
      <c r="M169" s="5">
        <v>0</v>
      </c>
      <c r="N169" s="56">
        <v>0</v>
      </c>
      <c r="O169" s="56">
        <v>5250</v>
      </c>
    </row>
    <row r="170" spans="2:15">
      <c r="B170" s="3" t="s">
        <v>1147</v>
      </c>
      <c r="C170" s="4" t="s">
        <v>1151</v>
      </c>
      <c r="D170" s="5" t="s">
        <v>122</v>
      </c>
      <c r="E170" s="5" t="s">
        <v>123</v>
      </c>
      <c r="F170" s="5" t="s">
        <v>124</v>
      </c>
      <c r="G170" s="56">
        <v>3884.3</v>
      </c>
      <c r="H170" s="56">
        <v>0</v>
      </c>
      <c r="I170" s="5">
        <v>0</v>
      </c>
      <c r="J170" s="5">
        <v>0</v>
      </c>
      <c r="K170" s="5">
        <v>0</v>
      </c>
      <c r="L170" s="5">
        <v>815.7</v>
      </c>
      <c r="M170" s="5">
        <v>0</v>
      </c>
      <c r="N170" s="56">
        <v>0</v>
      </c>
      <c r="O170" s="56">
        <v>4700</v>
      </c>
    </row>
    <row r="171" spans="2:15">
      <c r="B171" s="3" t="s">
        <v>1147</v>
      </c>
      <c r="C171" s="4" t="s">
        <v>1150</v>
      </c>
      <c r="D171" s="5" t="s">
        <v>122</v>
      </c>
      <c r="E171" s="5" t="s">
        <v>123</v>
      </c>
      <c r="F171" s="5" t="s">
        <v>124</v>
      </c>
      <c r="G171" s="56">
        <v>2892.56</v>
      </c>
      <c r="H171" s="56">
        <v>0</v>
      </c>
      <c r="I171" s="5">
        <v>0</v>
      </c>
      <c r="J171" s="5">
        <v>0</v>
      </c>
      <c r="K171" s="5">
        <v>0</v>
      </c>
      <c r="L171" s="5">
        <v>607.44000000000005</v>
      </c>
      <c r="M171" s="5">
        <v>0</v>
      </c>
      <c r="N171" s="56">
        <v>0</v>
      </c>
      <c r="O171" s="56">
        <v>3500</v>
      </c>
    </row>
    <row r="172" spans="2:15">
      <c r="B172" s="3" t="s">
        <v>1147</v>
      </c>
      <c r="C172" s="4" t="s">
        <v>1149</v>
      </c>
      <c r="D172" s="5" t="s">
        <v>122</v>
      </c>
      <c r="E172" s="5" t="s">
        <v>123</v>
      </c>
      <c r="F172" s="5" t="s">
        <v>124</v>
      </c>
      <c r="G172" s="56">
        <v>10330.58</v>
      </c>
      <c r="H172" s="56">
        <v>0</v>
      </c>
      <c r="I172" s="5">
        <v>0</v>
      </c>
      <c r="J172" s="5">
        <v>0</v>
      </c>
      <c r="K172" s="5">
        <v>0</v>
      </c>
      <c r="L172" s="5">
        <v>2169.42</v>
      </c>
      <c r="M172" s="5">
        <v>0</v>
      </c>
      <c r="N172" s="56">
        <v>0</v>
      </c>
      <c r="O172" s="56">
        <v>12500</v>
      </c>
    </row>
    <row r="173" spans="2:15">
      <c r="B173" s="3" t="s">
        <v>1147</v>
      </c>
      <c r="C173" s="4" t="s">
        <v>1148</v>
      </c>
      <c r="D173" s="5" t="s">
        <v>122</v>
      </c>
      <c r="E173" s="5" t="s">
        <v>123</v>
      </c>
      <c r="F173" s="5" t="s">
        <v>124</v>
      </c>
      <c r="G173" s="56">
        <v>4016.53</v>
      </c>
      <c r="H173" s="56">
        <v>0</v>
      </c>
      <c r="I173" s="5">
        <v>0</v>
      </c>
      <c r="J173" s="5">
        <v>0</v>
      </c>
      <c r="K173" s="5">
        <v>0</v>
      </c>
      <c r="L173" s="5">
        <v>843.47</v>
      </c>
      <c r="M173" s="5">
        <v>0</v>
      </c>
      <c r="N173" s="56">
        <v>0</v>
      </c>
      <c r="O173" s="56">
        <v>4860</v>
      </c>
    </row>
    <row r="174" spans="2:15">
      <c r="B174" s="3" t="s">
        <v>1129</v>
      </c>
      <c r="C174" s="4" t="s">
        <v>1141</v>
      </c>
      <c r="D174" s="5" t="s">
        <v>122</v>
      </c>
      <c r="E174" s="5" t="s">
        <v>123</v>
      </c>
      <c r="F174" s="5" t="s">
        <v>124</v>
      </c>
      <c r="G174" s="56">
        <v>9504.130000000001</v>
      </c>
      <c r="H174" s="56">
        <v>0</v>
      </c>
      <c r="I174" s="5">
        <v>0</v>
      </c>
      <c r="J174" s="5">
        <v>0</v>
      </c>
      <c r="K174" s="5">
        <v>0</v>
      </c>
      <c r="L174" s="5">
        <v>1995.87</v>
      </c>
      <c r="M174" s="5">
        <v>0</v>
      </c>
      <c r="N174" s="56">
        <v>0</v>
      </c>
      <c r="O174" s="56">
        <v>11500</v>
      </c>
    </row>
    <row r="175" spans="2:15">
      <c r="B175" s="3" t="s">
        <v>1129</v>
      </c>
      <c r="C175" s="4" t="s">
        <v>1140</v>
      </c>
      <c r="D175" s="5" t="s">
        <v>122</v>
      </c>
      <c r="E175" s="5" t="s">
        <v>123</v>
      </c>
      <c r="F175" s="5" t="s">
        <v>124</v>
      </c>
      <c r="G175" s="56">
        <v>5785.12</v>
      </c>
      <c r="H175" s="56">
        <v>0</v>
      </c>
      <c r="I175" s="5">
        <v>0</v>
      </c>
      <c r="J175" s="5">
        <v>0</v>
      </c>
      <c r="K175" s="5">
        <v>0</v>
      </c>
      <c r="L175" s="5">
        <v>1214.8800000000001</v>
      </c>
      <c r="M175" s="5">
        <v>0</v>
      </c>
      <c r="N175" s="56">
        <v>0</v>
      </c>
      <c r="O175" s="56">
        <v>7000</v>
      </c>
    </row>
    <row r="176" spans="2:15">
      <c r="B176" s="3" t="s">
        <v>1129</v>
      </c>
      <c r="C176" s="4" t="s">
        <v>1139</v>
      </c>
      <c r="D176" s="5" t="s">
        <v>122</v>
      </c>
      <c r="E176" s="5" t="s">
        <v>123</v>
      </c>
      <c r="F176" s="5" t="s">
        <v>124</v>
      </c>
      <c r="G176" s="56">
        <v>5619.83</v>
      </c>
      <c r="H176" s="56">
        <v>0</v>
      </c>
      <c r="I176" s="5">
        <v>0</v>
      </c>
      <c r="J176" s="5">
        <v>0</v>
      </c>
      <c r="K176" s="5">
        <v>0</v>
      </c>
      <c r="L176" s="5">
        <v>1180.17</v>
      </c>
      <c r="M176" s="5">
        <v>0</v>
      </c>
      <c r="N176" s="56">
        <v>0</v>
      </c>
      <c r="O176" s="56">
        <v>6800</v>
      </c>
    </row>
    <row r="177" spans="2:15">
      <c r="B177" s="3" t="s">
        <v>1129</v>
      </c>
      <c r="C177" s="4" t="s">
        <v>1138</v>
      </c>
      <c r="D177" s="5" t="s">
        <v>122</v>
      </c>
      <c r="E177" s="5" t="s">
        <v>123</v>
      </c>
      <c r="F177" s="5" t="s">
        <v>124</v>
      </c>
      <c r="G177" s="56">
        <v>12809.91</v>
      </c>
      <c r="H177" s="56">
        <v>0</v>
      </c>
      <c r="I177" s="5">
        <v>0</v>
      </c>
      <c r="J177" s="5">
        <v>0</v>
      </c>
      <c r="K177" s="5">
        <v>0</v>
      </c>
      <c r="L177" s="5">
        <v>2690.09</v>
      </c>
      <c r="M177" s="5">
        <v>0</v>
      </c>
      <c r="N177" s="56">
        <v>0</v>
      </c>
      <c r="O177" s="56">
        <v>15500</v>
      </c>
    </row>
    <row r="178" spans="2:15">
      <c r="B178" s="3" t="s">
        <v>1129</v>
      </c>
      <c r="C178" s="4" t="s">
        <v>1137</v>
      </c>
      <c r="D178" s="5" t="s">
        <v>122</v>
      </c>
      <c r="E178" s="5" t="s">
        <v>123</v>
      </c>
      <c r="F178" s="5" t="s">
        <v>124</v>
      </c>
      <c r="G178" s="56">
        <v>4132.2300000000005</v>
      </c>
      <c r="H178" s="56">
        <v>0</v>
      </c>
      <c r="I178" s="5">
        <v>0</v>
      </c>
      <c r="J178" s="5">
        <v>0</v>
      </c>
      <c r="K178" s="5">
        <v>0</v>
      </c>
      <c r="L178" s="5">
        <v>867.77</v>
      </c>
      <c r="M178" s="5">
        <v>0</v>
      </c>
      <c r="N178" s="56">
        <v>0</v>
      </c>
      <c r="O178" s="56">
        <v>5000</v>
      </c>
    </row>
    <row r="179" spans="2:15">
      <c r="B179" s="3" t="s">
        <v>1129</v>
      </c>
      <c r="C179" s="4" t="s">
        <v>1136</v>
      </c>
      <c r="D179" s="5" t="s">
        <v>122</v>
      </c>
      <c r="E179" s="5" t="s">
        <v>123</v>
      </c>
      <c r="F179" s="5" t="s">
        <v>124</v>
      </c>
      <c r="G179" s="56">
        <v>2231.4</v>
      </c>
      <c r="H179" s="56">
        <v>0</v>
      </c>
      <c r="I179" s="5">
        <v>0</v>
      </c>
      <c r="J179" s="5">
        <v>0</v>
      </c>
      <c r="K179" s="5">
        <v>0</v>
      </c>
      <c r="L179" s="5">
        <v>468.6</v>
      </c>
      <c r="M179" s="5">
        <v>0</v>
      </c>
      <c r="N179" s="56">
        <v>0</v>
      </c>
      <c r="O179" s="56">
        <v>2700</v>
      </c>
    </row>
    <row r="180" spans="2:15">
      <c r="B180" s="3" t="s">
        <v>1129</v>
      </c>
      <c r="C180" s="4" t="s">
        <v>1135</v>
      </c>
      <c r="D180" s="5" t="s">
        <v>122</v>
      </c>
      <c r="E180" s="5" t="s">
        <v>123</v>
      </c>
      <c r="F180" s="5" t="s">
        <v>124</v>
      </c>
      <c r="G180" s="56">
        <v>3636.36</v>
      </c>
      <c r="H180" s="56">
        <v>0</v>
      </c>
      <c r="I180" s="5">
        <v>0</v>
      </c>
      <c r="J180" s="5">
        <v>0</v>
      </c>
      <c r="K180" s="5">
        <v>0</v>
      </c>
      <c r="L180" s="5">
        <v>763.64</v>
      </c>
      <c r="M180" s="5">
        <v>0</v>
      </c>
      <c r="N180" s="56">
        <v>0</v>
      </c>
      <c r="O180" s="56">
        <v>4400</v>
      </c>
    </row>
    <row r="181" spans="2:15">
      <c r="B181" s="3" t="s">
        <v>1129</v>
      </c>
      <c r="C181" s="4" t="s">
        <v>1134</v>
      </c>
      <c r="D181" s="5" t="s">
        <v>122</v>
      </c>
      <c r="E181" s="5" t="s">
        <v>123</v>
      </c>
      <c r="F181" s="5" t="s">
        <v>124</v>
      </c>
      <c r="G181" s="56">
        <v>1619.83</v>
      </c>
      <c r="H181" s="56">
        <v>0</v>
      </c>
      <c r="I181" s="5">
        <v>0</v>
      </c>
      <c r="J181" s="5">
        <v>0</v>
      </c>
      <c r="K181" s="5">
        <v>0</v>
      </c>
      <c r="L181" s="5">
        <v>340.17</v>
      </c>
      <c r="M181" s="5">
        <v>0</v>
      </c>
      <c r="N181" s="56">
        <v>0</v>
      </c>
      <c r="O181" s="56">
        <v>1960</v>
      </c>
    </row>
    <row r="182" spans="2:15">
      <c r="B182" s="3" t="s">
        <v>1129</v>
      </c>
      <c r="C182" s="4" t="s">
        <v>1133</v>
      </c>
      <c r="D182" s="5" t="s">
        <v>122</v>
      </c>
      <c r="E182" s="5" t="s">
        <v>123</v>
      </c>
      <c r="F182" s="5" t="s">
        <v>124</v>
      </c>
      <c r="G182" s="56">
        <v>3471.07</v>
      </c>
      <c r="H182" s="56">
        <v>0</v>
      </c>
      <c r="I182" s="5">
        <v>0</v>
      </c>
      <c r="J182" s="5">
        <v>0</v>
      </c>
      <c r="K182" s="5">
        <v>0</v>
      </c>
      <c r="L182" s="5">
        <v>728.93</v>
      </c>
      <c r="M182" s="5">
        <v>0</v>
      </c>
      <c r="N182" s="56">
        <v>0</v>
      </c>
      <c r="O182" s="56">
        <v>4200</v>
      </c>
    </row>
    <row r="183" spans="2:15">
      <c r="B183" s="3" t="s">
        <v>1129</v>
      </c>
      <c r="C183" s="4" t="s">
        <v>1132</v>
      </c>
      <c r="D183" s="5" t="s">
        <v>122</v>
      </c>
      <c r="E183" s="5" t="s">
        <v>123</v>
      </c>
      <c r="F183" s="5" t="s">
        <v>124</v>
      </c>
      <c r="G183" s="56">
        <v>2066.12</v>
      </c>
      <c r="H183" s="56">
        <v>0</v>
      </c>
      <c r="I183" s="5">
        <v>0</v>
      </c>
      <c r="J183" s="5">
        <v>0</v>
      </c>
      <c r="K183" s="5">
        <v>0</v>
      </c>
      <c r="L183" s="5">
        <v>433.88</v>
      </c>
      <c r="M183" s="5">
        <v>0</v>
      </c>
      <c r="N183" s="56">
        <v>0</v>
      </c>
      <c r="O183" s="56">
        <v>2500</v>
      </c>
    </row>
    <row r="184" spans="2:15">
      <c r="B184" s="3" t="s">
        <v>1129</v>
      </c>
      <c r="C184" s="4" t="s">
        <v>1131</v>
      </c>
      <c r="D184" s="5" t="s">
        <v>122</v>
      </c>
      <c r="E184" s="5" t="s">
        <v>123</v>
      </c>
      <c r="F184" s="5" t="s">
        <v>124</v>
      </c>
      <c r="G184" s="56">
        <v>2396.69</v>
      </c>
      <c r="H184" s="56">
        <v>0</v>
      </c>
      <c r="I184" s="5">
        <v>0</v>
      </c>
      <c r="J184" s="5">
        <v>0</v>
      </c>
      <c r="K184" s="5">
        <v>0</v>
      </c>
      <c r="L184" s="5">
        <v>503.31</v>
      </c>
      <c r="M184" s="5">
        <v>0</v>
      </c>
      <c r="N184" s="56">
        <v>0</v>
      </c>
      <c r="O184" s="56">
        <v>2900</v>
      </c>
    </row>
    <row r="185" spans="2:15">
      <c r="B185" s="3" t="s">
        <v>1129</v>
      </c>
      <c r="C185" s="4" t="s">
        <v>1130</v>
      </c>
      <c r="D185" s="5" t="s">
        <v>122</v>
      </c>
      <c r="E185" s="5" t="s">
        <v>123</v>
      </c>
      <c r="F185" s="5" t="s">
        <v>124</v>
      </c>
      <c r="G185" s="56">
        <v>7851.24</v>
      </c>
      <c r="H185" s="56">
        <v>0</v>
      </c>
      <c r="I185" s="5">
        <v>0</v>
      </c>
      <c r="J185" s="5">
        <v>0</v>
      </c>
      <c r="K185" s="5">
        <v>0</v>
      </c>
      <c r="L185" s="5">
        <v>1648.76</v>
      </c>
      <c r="M185" s="5">
        <v>0</v>
      </c>
      <c r="N185" s="56">
        <v>0</v>
      </c>
      <c r="O185" s="56">
        <v>9500</v>
      </c>
    </row>
    <row r="186" spans="2:15">
      <c r="B186" s="3" t="s">
        <v>1106</v>
      </c>
      <c r="C186" s="4" t="s">
        <v>1117</v>
      </c>
      <c r="D186" s="5" t="s">
        <v>122</v>
      </c>
      <c r="E186" s="5" t="s">
        <v>123</v>
      </c>
      <c r="F186" s="5" t="s">
        <v>124</v>
      </c>
      <c r="G186" s="56">
        <v>3884.3</v>
      </c>
      <c r="H186" s="56">
        <v>0</v>
      </c>
      <c r="I186" s="5">
        <v>0</v>
      </c>
      <c r="J186" s="5">
        <v>0</v>
      </c>
      <c r="K186" s="5">
        <v>0</v>
      </c>
      <c r="L186" s="5">
        <v>815.7</v>
      </c>
      <c r="M186" s="5">
        <v>0</v>
      </c>
      <c r="N186" s="56">
        <v>0</v>
      </c>
      <c r="O186" s="56">
        <v>4700</v>
      </c>
    </row>
    <row r="187" spans="2:15">
      <c r="B187" s="3" t="s">
        <v>1106</v>
      </c>
      <c r="C187" s="4" t="s">
        <v>1116</v>
      </c>
      <c r="D187" s="5" t="s">
        <v>122</v>
      </c>
      <c r="E187" s="5" t="s">
        <v>123</v>
      </c>
      <c r="F187" s="5" t="s">
        <v>124</v>
      </c>
      <c r="G187" s="56">
        <v>1735.54</v>
      </c>
      <c r="H187" s="56">
        <v>0</v>
      </c>
      <c r="I187" s="5">
        <v>0</v>
      </c>
      <c r="J187" s="5">
        <v>0</v>
      </c>
      <c r="K187" s="5">
        <v>0</v>
      </c>
      <c r="L187" s="5">
        <v>364.46</v>
      </c>
      <c r="M187" s="5">
        <v>0</v>
      </c>
      <c r="N187" s="56">
        <v>0</v>
      </c>
      <c r="O187" s="56">
        <v>2100</v>
      </c>
    </row>
    <row r="188" spans="2:15">
      <c r="B188" s="3" t="s">
        <v>1106</v>
      </c>
      <c r="C188" s="4" t="s">
        <v>1115</v>
      </c>
      <c r="D188" s="5" t="s">
        <v>122</v>
      </c>
      <c r="E188" s="5" t="s">
        <v>123</v>
      </c>
      <c r="F188" s="5" t="s">
        <v>124</v>
      </c>
      <c r="G188" s="56">
        <v>9752.07</v>
      </c>
      <c r="H188" s="56">
        <v>0</v>
      </c>
      <c r="I188" s="5">
        <v>0</v>
      </c>
      <c r="J188" s="5">
        <v>0</v>
      </c>
      <c r="K188" s="5">
        <v>0</v>
      </c>
      <c r="L188" s="5">
        <v>2047.93</v>
      </c>
      <c r="M188" s="5">
        <v>0</v>
      </c>
      <c r="N188" s="56">
        <v>0</v>
      </c>
      <c r="O188" s="56">
        <v>11800</v>
      </c>
    </row>
    <row r="189" spans="2:15">
      <c r="B189" s="3" t="s">
        <v>1106</v>
      </c>
      <c r="C189" s="4" t="s">
        <v>1114</v>
      </c>
      <c r="D189" s="5" t="s">
        <v>946</v>
      </c>
      <c r="E189" s="5" t="s">
        <v>123</v>
      </c>
      <c r="F189" s="5">
        <v>21851552</v>
      </c>
      <c r="G189" s="56">
        <v>4876.03</v>
      </c>
      <c r="H189" s="56">
        <v>0</v>
      </c>
      <c r="I189" s="5">
        <v>0</v>
      </c>
      <c r="J189" s="5">
        <v>0</v>
      </c>
      <c r="K189" s="5">
        <v>0</v>
      </c>
      <c r="L189" s="5">
        <v>1023.97</v>
      </c>
      <c r="M189" s="5">
        <v>0</v>
      </c>
      <c r="N189" s="56">
        <v>0</v>
      </c>
      <c r="O189" s="56">
        <v>5900</v>
      </c>
    </row>
    <row r="190" spans="2:15">
      <c r="B190" s="3" t="s">
        <v>1106</v>
      </c>
      <c r="C190" s="4" t="s">
        <v>1113</v>
      </c>
      <c r="D190" s="5" t="s">
        <v>122</v>
      </c>
      <c r="E190" s="5" t="s">
        <v>123</v>
      </c>
      <c r="F190" s="5" t="s">
        <v>124</v>
      </c>
      <c r="G190" s="56">
        <v>11157.02</v>
      </c>
      <c r="H190" s="56">
        <v>0</v>
      </c>
      <c r="I190" s="5">
        <v>0</v>
      </c>
      <c r="J190" s="5">
        <v>0</v>
      </c>
      <c r="K190" s="5">
        <v>0</v>
      </c>
      <c r="L190" s="5">
        <v>2342.98</v>
      </c>
      <c r="M190" s="5">
        <v>0</v>
      </c>
      <c r="N190" s="56">
        <v>0</v>
      </c>
      <c r="O190" s="56">
        <v>13500</v>
      </c>
    </row>
    <row r="191" spans="2:15">
      <c r="B191" s="3" t="s">
        <v>1106</v>
      </c>
      <c r="C191" s="4" t="s">
        <v>1112</v>
      </c>
      <c r="D191" s="5" t="s">
        <v>122</v>
      </c>
      <c r="E191" s="5" t="s">
        <v>123</v>
      </c>
      <c r="F191" s="5" t="s">
        <v>124</v>
      </c>
      <c r="G191" s="56">
        <v>3305.79</v>
      </c>
      <c r="H191" s="56">
        <v>0</v>
      </c>
      <c r="I191" s="5">
        <v>0</v>
      </c>
      <c r="J191" s="5">
        <v>0</v>
      </c>
      <c r="K191" s="5">
        <v>0</v>
      </c>
      <c r="L191" s="5">
        <v>694.21</v>
      </c>
      <c r="M191" s="5">
        <v>0</v>
      </c>
      <c r="N191" s="56">
        <v>0</v>
      </c>
      <c r="O191" s="56">
        <v>4000</v>
      </c>
    </row>
    <row r="192" spans="2:15">
      <c r="B192" s="3" t="s">
        <v>1106</v>
      </c>
      <c r="C192" s="4" t="s">
        <v>1111</v>
      </c>
      <c r="D192" s="5" t="s">
        <v>122</v>
      </c>
      <c r="E192" s="5" t="s">
        <v>123</v>
      </c>
      <c r="F192" s="5" t="s">
        <v>124</v>
      </c>
      <c r="G192" s="56">
        <v>7851.24</v>
      </c>
      <c r="H192" s="56">
        <v>0</v>
      </c>
      <c r="I192" s="5">
        <v>0</v>
      </c>
      <c r="J192" s="5">
        <v>0</v>
      </c>
      <c r="K192" s="5">
        <v>0</v>
      </c>
      <c r="L192" s="5">
        <v>1648.76</v>
      </c>
      <c r="M192" s="5">
        <v>0</v>
      </c>
      <c r="N192" s="56">
        <v>0</v>
      </c>
      <c r="O192" s="56">
        <v>9500</v>
      </c>
    </row>
    <row r="193" spans="2:15">
      <c r="B193" s="3" t="s">
        <v>1106</v>
      </c>
      <c r="C193" s="4" t="s">
        <v>1110</v>
      </c>
      <c r="D193" s="5" t="s">
        <v>122</v>
      </c>
      <c r="E193" s="5" t="s">
        <v>123</v>
      </c>
      <c r="F193" s="5" t="s">
        <v>124</v>
      </c>
      <c r="G193" s="56">
        <v>4545.45</v>
      </c>
      <c r="H193" s="56">
        <v>0</v>
      </c>
      <c r="I193" s="5">
        <v>0</v>
      </c>
      <c r="J193" s="5">
        <v>0</v>
      </c>
      <c r="K193" s="5">
        <v>0</v>
      </c>
      <c r="L193" s="5">
        <v>954.55</v>
      </c>
      <c r="M193" s="5">
        <v>0</v>
      </c>
      <c r="N193" s="56">
        <v>0</v>
      </c>
      <c r="O193" s="56">
        <v>5500</v>
      </c>
    </row>
    <row r="194" spans="2:15">
      <c r="B194" s="3" t="s">
        <v>1106</v>
      </c>
      <c r="C194" s="4" t="s">
        <v>1109</v>
      </c>
      <c r="D194" s="5" t="s">
        <v>122</v>
      </c>
      <c r="E194" s="5" t="s">
        <v>123</v>
      </c>
      <c r="F194" s="5" t="s">
        <v>124</v>
      </c>
      <c r="G194" s="56">
        <v>3884.3</v>
      </c>
      <c r="H194" s="56">
        <v>0</v>
      </c>
      <c r="I194" s="5">
        <v>0</v>
      </c>
      <c r="J194" s="5">
        <v>0</v>
      </c>
      <c r="K194" s="5">
        <v>0</v>
      </c>
      <c r="L194" s="5">
        <v>815.7</v>
      </c>
      <c r="M194" s="5">
        <v>0</v>
      </c>
      <c r="N194" s="56">
        <v>0</v>
      </c>
      <c r="O194" s="56">
        <v>4700</v>
      </c>
    </row>
    <row r="195" spans="2:15">
      <c r="B195" s="3" t="s">
        <v>1106</v>
      </c>
      <c r="C195" s="4" t="s">
        <v>1108</v>
      </c>
      <c r="D195" s="5" t="s">
        <v>122</v>
      </c>
      <c r="E195" s="5" t="s">
        <v>123</v>
      </c>
      <c r="F195" s="5" t="s">
        <v>124</v>
      </c>
      <c r="G195" s="56">
        <v>2413.2200000000003</v>
      </c>
      <c r="H195" s="56">
        <v>0</v>
      </c>
      <c r="I195" s="5">
        <v>0</v>
      </c>
      <c r="J195" s="5">
        <v>0</v>
      </c>
      <c r="K195" s="5">
        <v>0</v>
      </c>
      <c r="L195" s="5">
        <v>506.78</v>
      </c>
      <c r="M195" s="5">
        <v>0</v>
      </c>
      <c r="N195" s="56">
        <v>0</v>
      </c>
      <c r="O195" s="56">
        <v>2920</v>
      </c>
    </row>
    <row r="196" spans="2:15">
      <c r="B196" s="3" t="s">
        <v>1106</v>
      </c>
      <c r="C196" s="4" t="s">
        <v>1107</v>
      </c>
      <c r="D196" s="5" t="s">
        <v>122</v>
      </c>
      <c r="E196" s="5" t="s">
        <v>123</v>
      </c>
      <c r="F196" s="5" t="s">
        <v>124</v>
      </c>
      <c r="G196" s="56">
        <v>4041.32</v>
      </c>
      <c r="H196" s="56">
        <v>0</v>
      </c>
      <c r="I196" s="5">
        <v>0</v>
      </c>
      <c r="J196" s="5">
        <v>0</v>
      </c>
      <c r="K196" s="5">
        <v>0</v>
      </c>
      <c r="L196" s="5">
        <v>848.68</v>
      </c>
      <c r="M196" s="5">
        <v>0</v>
      </c>
      <c r="N196" s="56">
        <v>0</v>
      </c>
      <c r="O196" s="56">
        <v>4890</v>
      </c>
    </row>
    <row r="197" spans="2:15">
      <c r="B197" s="3" t="s">
        <v>1096</v>
      </c>
      <c r="C197" s="4" t="s">
        <v>1099</v>
      </c>
      <c r="D197" s="5" t="s">
        <v>122</v>
      </c>
      <c r="E197" s="5" t="s">
        <v>123</v>
      </c>
      <c r="F197" s="5" t="s">
        <v>124</v>
      </c>
      <c r="G197" s="56">
        <v>7024.79</v>
      </c>
      <c r="H197" s="56">
        <v>0</v>
      </c>
      <c r="I197" s="5">
        <v>0</v>
      </c>
      <c r="J197" s="5">
        <v>0</v>
      </c>
      <c r="K197" s="5">
        <v>0</v>
      </c>
      <c r="L197" s="5">
        <v>1475.21</v>
      </c>
      <c r="M197" s="5">
        <v>0</v>
      </c>
      <c r="N197" s="56">
        <v>0</v>
      </c>
      <c r="O197" s="56">
        <v>8500</v>
      </c>
    </row>
    <row r="198" spans="2:15">
      <c r="B198" s="3" t="s">
        <v>1096</v>
      </c>
      <c r="C198" s="4" t="s">
        <v>1098</v>
      </c>
      <c r="D198" s="5" t="s">
        <v>122</v>
      </c>
      <c r="E198" s="5" t="s">
        <v>123</v>
      </c>
      <c r="F198" s="5" t="s">
        <v>124</v>
      </c>
      <c r="G198" s="56">
        <v>1983.47</v>
      </c>
      <c r="H198" s="56">
        <v>0</v>
      </c>
      <c r="I198" s="5">
        <v>0</v>
      </c>
      <c r="J198" s="5">
        <v>0</v>
      </c>
      <c r="K198" s="5">
        <v>0</v>
      </c>
      <c r="L198" s="5">
        <v>416.53</v>
      </c>
      <c r="M198" s="5">
        <v>0</v>
      </c>
      <c r="N198" s="56">
        <v>0</v>
      </c>
      <c r="O198" s="56">
        <v>2400</v>
      </c>
    </row>
    <row r="199" spans="2:15">
      <c r="B199" s="3" t="s">
        <v>1096</v>
      </c>
      <c r="C199" s="4" t="s">
        <v>1097</v>
      </c>
      <c r="D199" s="5" t="s">
        <v>122</v>
      </c>
      <c r="E199" s="5" t="s">
        <v>123</v>
      </c>
      <c r="F199" s="5" t="s">
        <v>124</v>
      </c>
      <c r="G199" s="56">
        <v>3305.79</v>
      </c>
      <c r="H199" s="56">
        <v>0</v>
      </c>
      <c r="I199" s="5">
        <v>0</v>
      </c>
      <c r="J199" s="5">
        <v>0</v>
      </c>
      <c r="K199" s="5">
        <v>0</v>
      </c>
      <c r="L199" s="5">
        <v>694.21</v>
      </c>
      <c r="M199" s="5">
        <v>0</v>
      </c>
      <c r="N199" s="56">
        <v>0</v>
      </c>
      <c r="O199" s="56">
        <v>4000</v>
      </c>
    </row>
    <row r="200" spans="2:15">
      <c r="B200" s="3" t="s">
        <v>1081</v>
      </c>
      <c r="C200" s="4" t="s">
        <v>1086</v>
      </c>
      <c r="D200" s="5" t="s">
        <v>122</v>
      </c>
      <c r="E200" s="5" t="s">
        <v>123</v>
      </c>
      <c r="F200" s="5" t="s">
        <v>124</v>
      </c>
      <c r="G200" s="56">
        <v>6280.99</v>
      </c>
      <c r="H200" s="56">
        <v>0</v>
      </c>
      <c r="I200" s="5">
        <v>0</v>
      </c>
      <c r="J200" s="5">
        <v>0</v>
      </c>
      <c r="K200" s="5">
        <v>0</v>
      </c>
      <c r="L200" s="5">
        <v>1319.01</v>
      </c>
      <c r="M200" s="5">
        <v>0</v>
      </c>
      <c r="N200" s="56">
        <v>0</v>
      </c>
      <c r="O200" s="56">
        <v>7600</v>
      </c>
    </row>
    <row r="201" spans="2:15">
      <c r="B201" s="3" t="s">
        <v>1081</v>
      </c>
      <c r="C201" s="4" t="s">
        <v>1085</v>
      </c>
      <c r="D201" s="5" t="s">
        <v>122</v>
      </c>
      <c r="E201" s="5" t="s">
        <v>123</v>
      </c>
      <c r="F201" s="5" t="s">
        <v>124</v>
      </c>
      <c r="G201" s="56">
        <v>14628.1</v>
      </c>
      <c r="H201" s="56">
        <v>0</v>
      </c>
      <c r="I201" s="5">
        <v>0</v>
      </c>
      <c r="J201" s="5">
        <v>0</v>
      </c>
      <c r="K201" s="5">
        <v>0</v>
      </c>
      <c r="L201" s="5">
        <v>3071.9</v>
      </c>
      <c r="M201" s="5">
        <v>0</v>
      </c>
      <c r="N201" s="56">
        <v>0</v>
      </c>
      <c r="O201" s="56">
        <v>17700</v>
      </c>
    </row>
    <row r="202" spans="2:15">
      <c r="B202" s="3" t="s">
        <v>1081</v>
      </c>
      <c r="C202" s="4" t="s">
        <v>1084</v>
      </c>
      <c r="D202" s="5" t="s">
        <v>122</v>
      </c>
      <c r="E202" s="5" t="s">
        <v>123</v>
      </c>
      <c r="F202" s="5" t="s">
        <v>124</v>
      </c>
      <c r="G202" s="56">
        <v>2066.12</v>
      </c>
      <c r="H202" s="56">
        <v>0</v>
      </c>
      <c r="I202" s="5">
        <v>0</v>
      </c>
      <c r="J202" s="5">
        <v>0</v>
      </c>
      <c r="K202" s="5">
        <v>0</v>
      </c>
      <c r="L202" s="5">
        <v>433.88</v>
      </c>
      <c r="M202" s="5">
        <v>0</v>
      </c>
      <c r="N202" s="56">
        <v>0</v>
      </c>
      <c r="O202" s="56">
        <v>2500</v>
      </c>
    </row>
    <row r="203" spans="2:15">
      <c r="B203" s="3" t="s">
        <v>1081</v>
      </c>
      <c r="C203" s="4" t="s">
        <v>1083</v>
      </c>
      <c r="D203" s="5" t="s">
        <v>122</v>
      </c>
      <c r="E203" s="5" t="s">
        <v>123</v>
      </c>
      <c r="F203" s="5" t="s">
        <v>124</v>
      </c>
      <c r="G203" s="56">
        <v>3884.3</v>
      </c>
      <c r="H203" s="56">
        <v>0</v>
      </c>
      <c r="I203" s="5">
        <v>0</v>
      </c>
      <c r="J203" s="5">
        <v>0</v>
      </c>
      <c r="K203" s="5">
        <v>0</v>
      </c>
      <c r="L203" s="5">
        <v>815.7</v>
      </c>
      <c r="M203" s="5">
        <v>0</v>
      </c>
      <c r="N203" s="56">
        <v>0</v>
      </c>
      <c r="O203" s="56">
        <v>4700</v>
      </c>
    </row>
    <row r="204" spans="2:15">
      <c r="B204" s="3" t="s">
        <v>1081</v>
      </c>
      <c r="C204" s="4" t="s">
        <v>1082</v>
      </c>
      <c r="D204" s="5" t="s">
        <v>122</v>
      </c>
      <c r="E204" s="5" t="s">
        <v>123</v>
      </c>
      <c r="F204" s="5" t="s">
        <v>124</v>
      </c>
      <c r="G204" s="56">
        <v>3305.79</v>
      </c>
      <c r="H204" s="56">
        <v>0</v>
      </c>
      <c r="I204" s="5">
        <v>0</v>
      </c>
      <c r="J204" s="5">
        <v>0</v>
      </c>
      <c r="K204" s="5">
        <v>0</v>
      </c>
      <c r="L204" s="5">
        <v>694.21</v>
      </c>
      <c r="M204" s="5">
        <v>0</v>
      </c>
      <c r="N204" s="56">
        <v>0</v>
      </c>
      <c r="O204" s="56">
        <v>4000</v>
      </c>
    </row>
    <row r="205" spans="2:15">
      <c r="B205" s="3" t="s">
        <v>1066</v>
      </c>
      <c r="C205" s="4" t="s">
        <v>1077</v>
      </c>
      <c r="D205" s="5" t="s">
        <v>122</v>
      </c>
      <c r="E205" s="5" t="s">
        <v>123</v>
      </c>
      <c r="F205" s="5" t="s">
        <v>124</v>
      </c>
      <c r="G205" s="56">
        <v>6363.64</v>
      </c>
      <c r="H205" s="56">
        <v>0</v>
      </c>
      <c r="I205" s="5">
        <v>0</v>
      </c>
      <c r="J205" s="5">
        <v>0</v>
      </c>
      <c r="K205" s="5">
        <v>0</v>
      </c>
      <c r="L205" s="5">
        <v>1336.36</v>
      </c>
      <c r="M205" s="5">
        <v>0</v>
      </c>
      <c r="N205" s="56">
        <v>0</v>
      </c>
      <c r="O205" s="56">
        <v>7700</v>
      </c>
    </row>
    <row r="206" spans="2:15">
      <c r="B206" s="3" t="s">
        <v>1066</v>
      </c>
      <c r="C206" s="4" t="s">
        <v>1076</v>
      </c>
      <c r="D206" s="5" t="s">
        <v>122</v>
      </c>
      <c r="E206" s="5" t="s">
        <v>123</v>
      </c>
      <c r="F206" s="5" t="s">
        <v>124</v>
      </c>
      <c r="G206" s="56">
        <v>3214.88</v>
      </c>
      <c r="H206" s="56">
        <v>0</v>
      </c>
      <c r="I206" s="5">
        <v>0</v>
      </c>
      <c r="J206" s="5">
        <v>0</v>
      </c>
      <c r="K206" s="5">
        <v>0</v>
      </c>
      <c r="L206" s="5">
        <v>675.12</v>
      </c>
      <c r="M206" s="5">
        <v>0</v>
      </c>
      <c r="N206" s="56">
        <v>0</v>
      </c>
      <c r="O206" s="56">
        <v>3890</v>
      </c>
    </row>
    <row r="207" spans="2:15">
      <c r="B207" s="3" t="s">
        <v>1066</v>
      </c>
      <c r="C207" s="4" t="s">
        <v>1075</v>
      </c>
      <c r="D207" s="5" t="s">
        <v>122</v>
      </c>
      <c r="E207" s="5" t="s">
        <v>123</v>
      </c>
      <c r="F207" s="5" t="s">
        <v>124</v>
      </c>
      <c r="G207" s="56">
        <v>4909.09</v>
      </c>
      <c r="H207" s="56">
        <v>0</v>
      </c>
      <c r="I207" s="5">
        <v>0</v>
      </c>
      <c r="J207" s="5">
        <v>0</v>
      </c>
      <c r="K207" s="5">
        <v>0</v>
      </c>
      <c r="L207" s="5">
        <v>1030.9100000000001</v>
      </c>
      <c r="M207" s="5">
        <v>0</v>
      </c>
      <c r="N207" s="56">
        <v>0</v>
      </c>
      <c r="O207" s="56">
        <v>5940</v>
      </c>
    </row>
    <row r="208" spans="2:15">
      <c r="B208" s="3" t="s">
        <v>1066</v>
      </c>
      <c r="C208" s="4" t="s">
        <v>1074</v>
      </c>
      <c r="D208" s="5" t="s">
        <v>122</v>
      </c>
      <c r="E208" s="5" t="s">
        <v>123</v>
      </c>
      <c r="F208" s="5" t="s">
        <v>124</v>
      </c>
      <c r="G208" s="56">
        <v>3214.88</v>
      </c>
      <c r="H208" s="56">
        <v>0</v>
      </c>
      <c r="I208" s="5">
        <v>0</v>
      </c>
      <c r="J208" s="5">
        <v>0</v>
      </c>
      <c r="K208" s="5">
        <v>0</v>
      </c>
      <c r="L208" s="5">
        <v>675.12</v>
      </c>
      <c r="M208" s="5">
        <v>0</v>
      </c>
      <c r="N208" s="56">
        <v>0</v>
      </c>
      <c r="O208" s="56">
        <v>3890</v>
      </c>
    </row>
    <row r="209" spans="2:15">
      <c r="B209" s="3" t="s">
        <v>1066</v>
      </c>
      <c r="C209" s="4" t="s">
        <v>1073</v>
      </c>
      <c r="D209" s="5" t="s">
        <v>122</v>
      </c>
      <c r="E209" s="5" t="s">
        <v>123</v>
      </c>
      <c r="F209" s="5" t="s">
        <v>124</v>
      </c>
      <c r="G209" s="56">
        <v>2975.21</v>
      </c>
      <c r="H209" s="56">
        <v>0</v>
      </c>
      <c r="I209" s="5">
        <v>0</v>
      </c>
      <c r="J209" s="5">
        <v>0</v>
      </c>
      <c r="K209" s="5">
        <v>0</v>
      </c>
      <c r="L209" s="5">
        <v>624.79</v>
      </c>
      <c r="M209" s="5">
        <v>0</v>
      </c>
      <c r="N209" s="56">
        <v>0</v>
      </c>
      <c r="O209" s="56">
        <v>3600</v>
      </c>
    </row>
    <row r="210" spans="2:15">
      <c r="B210" s="3" t="s">
        <v>1066</v>
      </c>
      <c r="C210" s="4" t="s">
        <v>1072</v>
      </c>
      <c r="D210" s="5" t="s">
        <v>122</v>
      </c>
      <c r="E210" s="5" t="s">
        <v>123</v>
      </c>
      <c r="F210" s="5" t="s">
        <v>124</v>
      </c>
      <c r="G210" s="56">
        <v>2438.02</v>
      </c>
      <c r="H210" s="56">
        <v>0</v>
      </c>
      <c r="I210" s="5">
        <v>0</v>
      </c>
      <c r="J210" s="5">
        <v>0</v>
      </c>
      <c r="K210" s="5">
        <v>0</v>
      </c>
      <c r="L210" s="5">
        <v>511.98</v>
      </c>
      <c r="M210" s="5">
        <v>0</v>
      </c>
      <c r="N210" s="56">
        <v>0</v>
      </c>
      <c r="O210" s="56">
        <v>2950</v>
      </c>
    </row>
    <row r="211" spans="2:15">
      <c r="B211" s="3" t="s">
        <v>1066</v>
      </c>
      <c r="C211" s="4" t="s">
        <v>1071</v>
      </c>
      <c r="D211" s="5" t="s">
        <v>122</v>
      </c>
      <c r="E211" s="5" t="s">
        <v>123</v>
      </c>
      <c r="F211" s="5" t="s">
        <v>124</v>
      </c>
      <c r="G211" s="56">
        <v>9752.07</v>
      </c>
      <c r="H211" s="56">
        <v>0</v>
      </c>
      <c r="I211" s="5">
        <v>0</v>
      </c>
      <c r="J211" s="5">
        <v>0</v>
      </c>
      <c r="K211" s="5">
        <v>0</v>
      </c>
      <c r="L211" s="5">
        <v>2047.93</v>
      </c>
      <c r="M211" s="5">
        <v>0</v>
      </c>
      <c r="N211" s="56">
        <v>0</v>
      </c>
      <c r="O211" s="56">
        <v>11800</v>
      </c>
    </row>
    <row r="212" spans="2:15">
      <c r="B212" s="3" t="s">
        <v>1066</v>
      </c>
      <c r="C212" s="4" t="s">
        <v>1070</v>
      </c>
      <c r="D212" s="5" t="s">
        <v>122</v>
      </c>
      <c r="E212" s="5" t="s">
        <v>123</v>
      </c>
      <c r="F212" s="5" t="s">
        <v>124</v>
      </c>
      <c r="G212" s="56">
        <v>6528.93</v>
      </c>
      <c r="H212" s="56">
        <v>0</v>
      </c>
      <c r="I212" s="5">
        <v>0</v>
      </c>
      <c r="J212" s="5">
        <v>0</v>
      </c>
      <c r="K212" s="5">
        <v>0</v>
      </c>
      <c r="L212" s="5">
        <v>1371.07</v>
      </c>
      <c r="M212" s="5">
        <v>0</v>
      </c>
      <c r="N212" s="56">
        <v>0</v>
      </c>
      <c r="O212" s="56">
        <v>7900</v>
      </c>
    </row>
    <row r="213" spans="2:15">
      <c r="B213" s="3" t="s">
        <v>1066</v>
      </c>
      <c r="C213" s="4" t="s">
        <v>1069</v>
      </c>
      <c r="D213" s="5" t="s">
        <v>122</v>
      </c>
      <c r="E213" s="5" t="s">
        <v>123</v>
      </c>
      <c r="F213" s="5" t="s">
        <v>124</v>
      </c>
      <c r="G213" s="56">
        <v>6363.64</v>
      </c>
      <c r="H213" s="56">
        <v>0</v>
      </c>
      <c r="I213" s="5">
        <v>0</v>
      </c>
      <c r="J213" s="5">
        <v>0</v>
      </c>
      <c r="K213" s="5">
        <v>0</v>
      </c>
      <c r="L213" s="5">
        <v>1336.36</v>
      </c>
      <c r="M213" s="5">
        <v>0</v>
      </c>
      <c r="N213" s="56">
        <v>0</v>
      </c>
      <c r="O213" s="56">
        <v>7700</v>
      </c>
    </row>
    <row r="214" spans="2:15">
      <c r="B214" s="3" t="s">
        <v>1066</v>
      </c>
      <c r="C214" s="4" t="s">
        <v>1068</v>
      </c>
      <c r="D214" s="5" t="s">
        <v>122</v>
      </c>
      <c r="E214" s="5" t="s">
        <v>123</v>
      </c>
      <c r="F214" s="5" t="s">
        <v>124</v>
      </c>
      <c r="G214" s="56">
        <v>2148.7600000000002</v>
      </c>
      <c r="H214" s="56">
        <v>0</v>
      </c>
      <c r="I214" s="5">
        <v>0</v>
      </c>
      <c r="J214" s="5">
        <v>0</v>
      </c>
      <c r="K214" s="5">
        <v>0</v>
      </c>
      <c r="L214" s="5">
        <v>451.24</v>
      </c>
      <c r="M214" s="5">
        <v>0</v>
      </c>
      <c r="N214" s="56">
        <v>0</v>
      </c>
      <c r="O214" s="56">
        <v>2600</v>
      </c>
    </row>
    <row r="215" spans="2:15">
      <c r="B215" s="3" t="s">
        <v>1066</v>
      </c>
      <c r="C215" s="4" t="s">
        <v>1067</v>
      </c>
      <c r="D215" s="5" t="s">
        <v>122</v>
      </c>
      <c r="E215" s="5" t="s">
        <v>123</v>
      </c>
      <c r="F215" s="5" t="s">
        <v>124</v>
      </c>
      <c r="G215" s="56">
        <v>3636.36</v>
      </c>
      <c r="H215" s="56">
        <v>0</v>
      </c>
      <c r="I215" s="5">
        <v>0</v>
      </c>
      <c r="J215" s="5">
        <v>0</v>
      </c>
      <c r="K215" s="5">
        <v>0</v>
      </c>
      <c r="L215" s="5">
        <v>763.64</v>
      </c>
      <c r="M215" s="5">
        <v>0</v>
      </c>
      <c r="N215" s="56">
        <v>0</v>
      </c>
      <c r="O215" s="56">
        <v>4400</v>
      </c>
    </row>
    <row r="216" spans="2:15">
      <c r="B216" s="3" t="s">
        <v>1043</v>
      </c>
      <c r="C216" s="4" t="s">
        <v>1056</v>
      </c>
      <c r="D216" s="5" t="s">
        <v>122</v>
      </c>
      <c r="E216" s="5" t="s">
        <v>123</v>
      </c>
      <c r="F216" s="5" t="s">
        <v>124</v>
      </c>
      <c r="G216" s="56">
        <v>17520.66</v>
      </c>
      <c r="H216" s="56">
        <v>0</v>
      </c>
      <c r="I216" s="5">
        <v>0</v>
      </c>
      <c r="J216" s="5">
        <v>0</v>
      </c>
      <c r="K216" s="5">
        <v>0</v>
      </c>
      <c r="L216" s="5">
        <v>3679.34</v>
      </c>
      <c r="M216" s="5">
        <v>0</v>
      </c>
      <c r="N216" s="56">
        <v>0</v>
      </c>
      <c r="O216" s="56">
        <v>21200</v>
      </c>
    </row>
    <row r="217" spans="2:15">
      <c r="B217" s="3" t="s">
        <v>1043</v>
      </c>
      <c r="C217" s="4" t="s">
        <v>1055</v>
      </c>
      <c r="D217" s="5" t="s">
        <v>122</v>
      </c>
      <c r="E217" s="5" t="s">
        <v>123</v>
      </c>
      <c r="F217" s="5" t="s">
        <v>124</v>
      </c>
      <c r="G217" s="56">
        <v>2396.69</v>
      </c>
      <c r="H217" s="56">
        <v>0</v>
      </c>
      <c r="I217" s="5">
        <v>0</v>
      </c>
      <c r="J217" s="5">
        <v>0</v>
      </c>
      <c r="K217" s="5">
        <v>0</v>
      </c>
      <c r="L217" s="5">
        <v>503.31</v>
      </c>
      <c r="M217" s="5">
        <v>0</v>
      </c>
      <c r="N217" s="56">
        <v>0</v>
      </c>
      <c r="O217" s="56">
        <v>2900</v>
      </c>
    </row>
    <row r="218" spans="2:15">
      <c r="B218" s="3" t="s">
        <v>1043</v>
      </c>
      <c r="C218" s="4" t="s">
        <v>1054</v>
      </c>
      <c r="D218" s="5" t="s">
        <v>122</v>
      </c>
      <c r="E218" s="5" t="s">
        <v>123</v>
      </c>
      <c r="F218" s="5" t="s">
        <v>124</v>
      </c>
      <c r="G218" s="56">
        <v>7438.02</v>
      </c>
      <c r="H218" s="56">
        <v>0</v>
      </c>
      <c r="I218" s="5">
        <v>0</v>
      </c>
      <c r="J218" s="5">
        <v>0</v>
      </c>
      <c r="K218" s="5">
        <v>0</v>
      </c>
      <c r="L218" s="5">
        <v>1561.98</v>
      </c>
      <c r="M218" s="5">
        <v>0</v>
      </c>
      <c r="N218" s="56">
        <v>0</v>
      </c>
      <c r="O218" s="56">
        <v>9000</v>
      </c>
    </row>
    <row r="219" spans="2:15">
      <c r="B219" s="3" t="s">
        <v>1043</v>
      </c>
      <c r="C219" s="4" t="s">
        <v>1053</v>
      </c>
      <c r="D219" s="5" t="s">
        <v>122</v>
      </c>
      <c r="E219" s="5" t="s">
        <v>123</v>
      </c>
      <c r="F219" s="5" t="s">
        <v>124</v>
      </c>
      <c r="G219" s="56">
        <v>3140.5</v>
      </c>
      <c r="H219" s="56">
        <v>0</v>
      </c>
      <c r="I219" s="5">
        <v>0</v>
      </c>
      <c r="J219" s="5">
        <v>0</v>
      </c>
      <c r="K219" s="5">
        <v>0</v>
      </c>
      <c r="L219" s="5">
        <v>659.5</v>
      </c>
      <c r="M219" s="5">
        <v>0</v>
      </c>
      <c r="N219" s="56">
        <v>0</v>
      </c>
      <c r="O219" s="56">
        <v>3800</v>
      </c>
    </row>
    <row r="220" spans="2:15">
      <c r="B220" s="3" t="s">
        <v>1043</v>
      </c>
      <c r="C220" s="4" t="s">
        <v>1052</v>
      </c>
      <c r="D220" s="5" t="s">
        <v>122</v>
      </c>
      <c r="E220" s="5" t="s">
        <v>123</v>
      </c>
      <c r="F220" s="5" t="s">
        <v>124</v>
      </c>
      <c r="G220" s="56">
        <v>10330.58</v>
      </c>
      <c r="H220" s="56">
        <v>0</v>
      </c>
      <c r="I220" s="5">
        <v>0</v>
      </c>
      <c r="J220" s="5">
        <v>0</v>
      </c>
      <c r="K220" s="5">
        <v>0</v>
      </c>
      <c r="L220" s="5">
        <v>2169.42</v>
      </c>
      <c r="M220" s="5">
        <v>0</v>
      </c>
      <c r="N220" s="56">
        <v>0</v>
      </c>
      <c r="O220" s="56">
        <v>12500</v>
      </c>
    </row>
    <row r="221" spans="2:15">
      <c r="B221" s="3" t="s">
        <v>1043</v>
      </c>
      <c r="C221" s="4" t="s">
        <v>1051</v>
      </c>
      <c r="D221" s="5" t="s">
        <v>122</v>
      </c>
      <c r="E221" s="5" t="s">
        <v>123</v>
      </c>
      <c r="F221" s="5" t="s">
        <v>124</v>
      </c>
      <c r="G221" s="56">
        <v>4876.03</v>
      </c>
      <c r="H221" s="56">
        <v>0</v>
      </c>
      <c r="I221" s="5">
        <v>0</v>
      </c>
      <c r="J221" s="5">
        <v>0</v>
      </c>
      <c r="K221" s="5">
        <v>0</v>
      </c>
      <c r="L221" s="5">
        <v>1023.97</v>
      </c>
      <c r="M221" s="5">
        <v>0</v>
      </c>
      <c r="N221" s="56">
        <v>0</v>
      </c>
      <c r="O221" s="56">
        <v>5900</v>
      </c>
    </row>
    <row r="222" spans="2:15">
      <c r="B222" s="3" t="s">
        <v>1043</v>
      </c>
      <c r="C222" s="4" t="s">
        <v>1050</v>
      </c>
      <c r="D222" s="5" t="s">
        <v>122</v>
      </c>
      <c r="E222" s="5" t="s">
        <v>123</v>
      </c>
      <c r="F222" s="5" t="s">
        <v>124</v>
      </c>
      <c r="G222" s="56">
        <v>6611.57</v>
      </c>
      <c r="H222" s="56">
        <v>0</v>
      </c>
      <c r="I222" s="5">
        <v>0</v>
      </c>
      <c r="J222" s="5">
        <v>0</v>
      </c>
      <c r="K222" s="5">
        <v>0</v>
      </c>
      <c r="L222" s="5">
        <v>1388.43</v>
      </c>
      <c r="M222" s="5">
        <v>0</v>
      </c>
      <c r="N222" s="56">
        <v>0</v>
      </c>
      <c r="O222" s="56">
        <v>8000</v>
      </c>
    </row>
    <row r="223" spans="2:15">
      <c r="B223" s="3" t="s">
        <v>1043</v>
      </c>
      <c r="C223" s="4" t="s">
        <v>1049</v>
      </c>
      <c r="D223" s="5" t="s">
        <v>122</v>
      </c>
      <c r="E223" s="5" t="s">
        <v>123</v>
      </c>
      <c r="F223" s="5" t="s">
        <v>124</v>
      </c>
      <c r="G223" s="56">
        <v>4016.53</v>
      </c>
      <c r="H223" s="56">
        <v>0</v>
      </c>
      <c r="I223" s="5">
        <v>0</v>
      </c>
      <c r="J223" s="5">
        <v>0</v>
      </c>
      <c r="K223" s="5">
        <v>0</v>
      </c>
      <c r="L223" s="5">
        <v>843.47</v>
      </c>
      <c r="M223" s="5">
        <v>0</v>
      </c>
      <c r="N223" s="56">
        <v>0</v>
      </c>
      <c r="O223" s="56">
        <v>4860</v>
      </c>
    </row>
    <row r="224" spans="2:15">
      <c r="B224" s="3" t="s">
        <v>1043</v>
      </c>
      <c r="C224" s="4" t="s">
        <v>1048</v>
      </c>
      <c r="D224" s="5" t="s">
        <v>122</v>
      </c>
      <c r="E224" s="5" t="s">
        <v>123</v>
      </c>
      <c r="F224" s="5" t="s">
        <v>124</v>
      </c>
      <c r="G224" s="56">
        <v>2438.02</v>
      </c>
      <c r="H224" s="56">
        <v>0</v>
      </c>
      <c r="I224" s="5">
        <v>0</v>
      </c>
      <c r="J224" s="5">
        <v>0</v>
      </c>
      <c r="K224" s="5">
        <v>0</v>
      </c>
      <c r="L224" s="5">
        <v>511.98</v>
      </c>
      <c r="M224" s="5">
        <v>0</v>
      </c>
      <c r="N224" s="56">
        <v>0</v>
      </c>
      <c r="O224" s="56">
        <v>2950</v>
      </c>
    </row>
    <row r="225" spans="2:15">
      <c r="B225" s="3" t="s">
        <v>1043</v>
      </c>
      <c r="C225" s="4" t="s">
        <v>1047</v>
      </c>
      <c r="D225" s="5" t="s">
        <v>122</v>
      </c>
      <c r="E225" s="5" t="s">
        <v>123</v>
      </c>
      <c r="F225" s="5" t="s">
        <v>124</v>
      </c>
      <c r="G225" s="56">
        <v>4958.68</v>
      </c>
      <c r="H225" s="56">
        <v>0</v>
      </c>
      <c r="I225" s="5">
        <v>0</v>
      </c>
      <c r="J225" s="5">
        <v>0</v>
      </c>
      <c r="K225" s="5">
        <v>0</v>
      </c>
      <c r="L225" s="5">
        <v>1041.32</v>
      </c>
      <c r="M225" s="5">
        <v>0</v>
      </c>
      <c r="N225" s="56">
        <v>0</v>
      </c>
      <c r="O225" s="56">
        <v>6000</v>
      </c>
    </row>
    <row r="226" spans="2:15">
      <c r="B226" s="3" t="s">
        <v>1043</v>
      </c>
      <c r="C226" s="4" t="s">
        <v>1046</v>
      </c>
      <c r="D226" s="5" t="s">
        <v>122</v>
      </c>
      <c r="E226" s="5" t="s">
        <v>123</v>
      </c>
      <c r="F226" s="5" t="s">
        <v>124</v>
      </c>
      <c r="G226" s="56">
        <v>2066.12</v>
      </c>
      <c r="H226" s="56">
        <v>0</v>
      </c>
      <c r="I226" s="5">
        <v>0</v>
      </c>
      <c r="J226" s="5">
        <v>0</v>
      </c>
      <c r="K226" s="5">
        <v>0</v>
      </c>
      <c r="L226" s="5">
        <v>433.88</v>
      </c>
      <c r="M226" s="5">
        <v>0</v>
      </c>
      <c r="N226" s="56">
        <v>0</v>
      </c>
      <c r="O226" s="56">
        <v>2500</v>
      </c>
    </row>
    <row r="227" spans="2:15">
      <c r="B227" s="3" t="s">
        <v>1043</v>
      </c>
      <c r="C227" s="4" t="s">
        <v>1045</v>
      </c>
      <c r="D227" s="5" t="s">
        <v>122</v>
      </c>
      <c r="E227" s="5" t="s">
        <v>123</v>
      </c>
      <c r="F227" s="5" t="s">
        <v>124</v>
      </c>
      <c r="G227" s="56">
        <v>4958.68</v>
      </c>
      <c r="H227" s="56">
        <v>0</v>
      </c>
      <c r="I227" s="5">
        <v>0</v>
      </c>
      <c r="J227" s="5">
        <v>0</v>
      </c>
      <c r="K227" s="5">
        <v>0</v>
      </c>
      <c r="L227" s="5">
        <v>1041.32</v>
      </c>
      <c r="M227" s="5">
        <v>0</v>
      </c>
      <c r="N227" s="56">
        <v>0</v>
      </c>
      <c r="O227" s="56">
        <v>6000</v>
      </c>
    </row>
    <row r="228" spans="2:15">
      <c r="B228" s="3" t="s">
        <v>1043</v>
      </c>
      <c r="C228" s="4" t="s">
        <v>1044</v>
      </c>
      <c r="D228" s="5" t="s">
        <v>122</v>
      </c>
      <c r="E228" s="5" t="s">
        <v>123</v>
      </c>
      <c r="F228" s="5" t="s">
        <v>124</v>
      </c>
      <c r="G228" s="56">
        <v>4330.58</v>
      </c>
      <c r="H228" s="56">
        <v>0</v>
      </c>
      <c r="I228" s="5">
        <v>0</v>
      </c>
      <c r="J228" s="5">
        <v>0</v>
      </c>
      <c r="K228" s="5">
        <v>0</v>
      </c>
      <c r="L228" s="5">
        <v>909.42</v>
      </c>
      <c r="M228" s="5">
        <v>0</v>
      </c>
      <c r="N228" s="56">
        <v>0</v>
      </c>
      <c r="O228" s="56">
        <v>5240</v>
      </c>
    </row>
    <row r="229" spans="2:15">
      <c r="B229" s="3" t="s">
        <v>1007</v>
      </c>
      <c r="C229" s="4" t="s">
        <v>1024</v>
      </c>
      <c r="D229" s="5" t="s">
        <v>1025</v>
      </c>
      <c r="E229" s="5" t="s">
        <v>123</v>
      </c>
      <c r="F229" s="5">
        <v>23957692</v>
      </c>
      <c r="G229" s="56">
        <v>10628.1</v>
      </c>
      <c r="H229" s="56">
        <v>0</v>
      </c>
      <c r="I229" s="5">
        <v>0</v>
      </c>
      <c r="J229" s="5">
        <v>0</v>
      </c>
      <c r="K229" s="5">
        <v>0</v>
      </c>
      <c r="L229" s="5">
        <v>2231.9</v>
      </c>
      <c r="M229" s="5">
        <v>0</v>
      </c>
      <c r="N229" s="56">
        <v>0</v>
      </c>
      <c r="O229" s="56">
        <v>12860</v>
      </c>
    </row>
    <row r="230" spans="2:15">
      <c r="B230" s="3" t="s">
        <v>1007</v>
      </c>
      <c r="C230" s="4" t="s">
        <v>1023</v>
      </c>
      <c r="D230" s="5" t="s">
        <v>122</v>
      </c>
      <c r="E230" s="5" t="s">
        <v>123</v>
      </c>
      <c r="F230" s="5" t="s">
        <v>124</v>
      </c>
      <c r="G230" s="56">
        <v>8677.69</v>
      </c>
      <c r="H230" s="56">
        <v>0</v>
      </c>
      <c r="I230" s="5">
        <v>0</v>
      </c>
      <c r="J230" s="5">
        <v>0</v>
      </c>
      <c r="K230" s="5">
        <v>0</v>
      </c>
      <c r="L230" s="5">
        <v>1822.31</v>
      </c>
      <c r="M230" s="5">
        <v>0</v>
      </c>
      <c r="N230" s="56">
        <v>0</v>
      </c>
      <c r="O230" s="56">
        <v>10500</v>
      </c>
    </row>
    <row r="231" spans="2:15">
      <c r="B231" s="3" t="s">
        <v>1007</v>
      </c>
      <c r="C231" s="4" t="s">
        <v>1022</v>
      </c>
      <c r="D231" s="5" t="s">
        <v>122</v>
      </c>
      <c r="E231" s="5" t="s">
        <v>123</v>
      </c>
      <c r="F231" s="5" t="s">
        <v>124</v>
      </c>
      <c r="G231" s="56">
        <v>10578.51</v>
      </c>
      <c r="H231" s="56">
        <v>0</v>
      </c>
      <c r="I231" s="5">
        <v>0</v>
      </c>
      <c r="J231" s="5">
        <v>0</v>
      </c>
      <c r="K231" s="5">
        <v>0</v>
      </c>
      <c r="L231" s="5">
        <v>2221.4900000000002</v>
      </c>
      <c r="M231" s="5">
        <v>0</v>
      </c>
      <c r="N231" s="56">
        <v>0</v>
      </c>
      <c r="O231" s="56">
        <v>12800</v>
      </c>
    </row>
    <row r="232" spans="2:15">
      <c r="B232" s="3" t="s">
        <v>1007</v>
      </c>
      <c r="C232" s="4" t="s">
        <v>1021</v>
      </c>
      <c r="D232" s="5" t="s">
        <v>122</v>
      </c>
      <c r="E232" s="5" t="s">
        <v>123</v>
      </c>
      <c r="F232" s="5" t="s">
        <v>124</v>
      </c>
      <c r="G232" s="56">
        <v>6446.28</v>
      </c>
      <c r="H232" s="56">
        <v>0</v>
      </c>
      <c r="I232" s="5">
        <v>0</v>
      </c>
      <c r="J232" s="5">
        <v>0</v>
      </c>
      <c r="K232" s="5">
        <v>0</v>
      </c>
      <c r="L232" s="5">
        <v>1353.72</v>
      </c>
      <c r="M232" s="5">
        <v>0</v>
      </c>
      <c r="N232" s="56">
        <v>0</v>
      </c>
      <c r="O232" s="56">
        <v>7800</v>
      </c>
    </row>
    <row r="233" spans="2:15">
      <c r="B233" s="3" t="s">
        <v>1007</v>
      </c>
      <c r="C233" s="4" t="s">
        <v>1020</v>
      </c>
      <c r="D233" s="5" t="s">
        <v>122</v>
      </c>
      <c r="E233" s="5" t="s">
        <v>123</v>
      </c>
      <c r="F233" s="5" t="s">
        <v>124</v>
      </c>
      <c r="G233" s="56">
        <v>4876.03</v>
      </c>
      <c r="H233" s="56">
        <v>0</v>
      </c>
      <c r="I233" s="5">
        <v>0</v>
      </c>
      <c r="J233" s="5">
        <v>0</v>
      </c>
      <c r="K233" s="5">
        <v>0</v>
      </c>
      <c r="L233" s="5">
        <v>1023.97</v>
      </c>
      <c r="M233" s="5">
        <v>0</v>
      </c>
      <c r="N233" s="56">
        <v>0</v>
      </c>
      <c r="O233" s="56">
        <v>5900</v>
      </c>
    </row>
    <row r="234" spans="2:15">
      <c r="B234" s="3" t="s">
        <v>1007</v>
      </c>
      <c r="C234" s="4" t="s">
        <v>1019</v>
      </c>
      <c r="D234" s="5" t="s">
        <v>122</v>
      </c>
      <c r="E234" s="5" t="s">
        <v>123</v>
      </c>
      <c r="F234" s="5" t="s">
        <v>124</v>
      </c>
      <c r="G234" s="56">
        <v>8842.98</v>
      </c>
      <c r="H234" s="56">
        <v>0</v>
      </c>
      <c r="I234" s="5">
        <v>0</v>
      </c>
      <c r="J234" s="5">
        <v>0</v>
      </c>
      <c r="K234" s="5">
        <v>0</v>
      </c>
      <c r="L234" s="5">
        <v>1857.02</v>
      </c>
      <c r="M234" s="5">
        <v>0</v>
      </c>
      <c r="N234" s="56">
        <v>0</v>
      </c>
      <c r="O234" s="56">
        <v>10700</v>
      </c>
    </row>
    <row r="235" spans="2:15">
      <c r="B235" s="3" t="s">
        <v>1007</v>
      </c>
      <c r="C235" s="4" t="s">
        <v>1018</v>
      </c>
      <c r="D235" s="5" t="s">
        <v>122</v>
      </c>
      <c r="E235" s="5" t="s">
        <v>123</v>
      </c>
      <c r="F235" s="5" t="s">
        <v>124</v>
      </c>
      <c r="G235" s="56">
        <v>6198.35</v>
      </c>
      <c r="H235" s="56">
        <v>0</v>
      </c>
      <c r="I235" s="5">
        <v>0</v>
      </c>
      <c r="J235" s="5">
        <v>0</v>
      </c>
      <c r="K235" s="5">
        <v>0</v>
      </c>
      <c r="L235" s="5">
        <v>1301.6500000000001</v>
      </c>
      <c r="M235" s="5">
        <v>0</v>
      </c>
      <c r="N235" s="56">
        <v>0</v>
      </c>
      <c r="O235" s="56">
        <v>7500</v>
      </c>
    </row>
    <row r="236" spans="2:15">
      <c r="B236" s="3" t="s">
        <v>1007</v>
      </c>
      <c r="C236" s="4" t="s">
        <v>1017</v>
      </c>
      <c r="D236" s="5" t="s">
        <v>122</v>
      </c>
      <c r="E236" s="5" t="s">
        <v>123</v>
      </c>
      <c r="F236" s="5" t="s">
        <v>124</v>
      </c>
      <c r="G236" s="56">
        <v>3719.01</v>
      </c>
      <c r="H236" s="56">
        <v>0</v>
      </c>
      <c r="I236" s="5">
        <v>0</v>
      </c>
      <c r="J236" s="5">
        <v>0</v>
      </c>
      <c r="K236" s="5">
        <v>0</v>
      </c>
      <c r="L236" s="5">
        <v>780.99</v>
      </c>
      <c r="M236" s="5">
        <v>0</v>
      </c>
      <c r="N236" s="56">
        <v>0</v>
      </c>
      <c r="O236" s="56">
        <v>4500</v>
      </c>
    </row>
    <row r="237" spans="2:15">
      <c r="B237" s="3" t="s">
        <v>1007</v>
      </c>
      <c r="C237" s="4" t="s">
        <v>1016</v>
      </c>
      <c r="D237" s="5" t="s">
        <v>122</v>
      </c>
      <c r="E237" s="5" t="s">
        <v>123</v>
      </c>
      <c r="F237" s="5" t="s">
        <v>124</v>
      </c>
      <c r="G237" s="56">
        <v>3884.3</v>
      </c>
      <c r="H237" s="56">
        <v>0</v>
      </c>
      <c r="I237" s="5">
        <v>0</v>
      </c>
      <c r="J237" s="5">
        <v>0</v>
      </c>
      <c r="K237" s="5">
        <v>0</v>
      </c>
      <c r="L237" s="5">
        <v>815.7</v>
      </c>
      <c r="M237" s="5">
        <v>0</v>
      </c>
      <c r="N237" s="56">
        <v>0</v>
      </c>
      <c r="O237" s="56">
        <v>4700</v>
      </c>
    </row>
    <row r="238" spans="2:15">
      <c r="B238" s="3" t="s">
        <v>1007</v>
      </c>
      <c r="C238" s="4" t="s">
        <v>1015</v>
      </c>
      <c r="D238" s="5" t="s">
        <v>122</v>
      </c>
      <c r="E238" s="5" t="s">
        <v>123</v>
      </c>
      <c r="F238" s="5" t="s">
        <v>124</v>
      </c>
      <c r="G238" s="56">
        <v>7768.6</v>
      </c>
      <c r="H238" s="56">
        <v>0</v>
      </c>
      <c r="I238" s="5">
        <v>0</v>
      </c>
      <c r="J238" s="5">
        <v>0</v>
      </c>
      <c r="K238" s="5">
        <v>0</v>
      </c>
      <c r="L238" s="5">
        <v>1631.4</v>
      </c>
      <c r="M238" s="5">
        <v>0</v>
      </c>
      <c r="N238" s="56">
        <v>0</v>
      </c>
      <c r="O238" s="56">
        <v>9400</v>
      </c>
    </row>
    <row r="239" spans="2:15">
      <c r="B239" s="3" t="s">
        <v>1007</v>
      </c>
      <c r="C239" s="4" t="s">
        <v>1014</v>
      </c>
      <c r="D239" s="5" t="s">
        <v>122</v>
      </c>
      <c r="E239" s="5" t="s">
        <v>123</v>
      </c>
      <c r="F239" s="5" t="s">
        <v>124</v>
      </c>
      <c r="G239" s="56">
        <v>4876.03</v>
      </c>
      <c r="H239" s="56">
        <v>0</v>
      </c>
      <c r="I239" s="5">
        <v>0</v>
      </c>
      <c r="J239" s="5">
        <v>0</v>
      </c>
      <c r="K239" s="5">
        <v>0</v>
      </c>
      <c r="L239" s="5">
        <v>1023.97</v>
      </c>
      <c r="M239" s="5">
        <v>0</v>
      </c>
      <c r="N239" s="56">
        <v>0</v>
      </c>
      <c r="O239" s="56">
        <v>5900</v>
      </c>
    </row>
    <row r="240" spans="2:15">
      <c r="B240" s="3" t="s">
        <v>1007</v>
      </c>
      <c r="C240" s="4" t="s">
        <v>1013</v>
      </c>
      <c r="D240" s="5" t="s">
        <v>122</v>
      </c>
      <c r="E240" s="5" t="s">
        <v>123</v>
      </c>
      <c r="F240" s="5" t="s">
        <v>124</v>
      </c>
      <c r="G240" s="56">
        <v>4876.03</v>
      </c>
      <c r="H240" s="56">
        <v>0</v>
      </c>
      <c r="I240" s="5">
        <v>0</v>
      </c>
      <c r="J240" s="5">
        <v>0</v>
      </c>
      <c r="K240" s="5">
        <v>0</v>
      </c>
      <c r="L240" s="5">
        <v>1023.97</v>
      </c>
      <c r="M240" s="5">
        <v>0</v>
      </c>
      <c r="N240" s="56">
        <v>0</v>
      </c>
      <c r="O240" s="56">
        <v>5900</v>
      </c>
    </row>
    <row r="241" spans="2:15">
      <c r="B241" s="3" t="s">
        <v>1007</v>
      </c>
      <c r="C241" s="4" t="s">
        <v>1012</v>
      </c>
      <c r="D241" s="5" t="s">
        <v>122</v>
      </c>
      <c r="E241" s="5" t="s">
        <v>123</v>
      </c>
      <c r="F241" s="5" t="s">
        <v>124</v>
      </c>
      <c r="G241" s="56">
        <v>7851.24</v>
      </c>
      <c r="H241" s="56">
        <v>0</v>
      </c>
      <c r="I241" s="5">
        <v>0</v>
      </c>
      <c r="J241" s="5">
        <v>0</v>
      </c>
      <c r="K241" s="5">
        <v>0</v>
      </c>
      <c r="L241" s="5">
        <v>1648.76</v>
      </c>
      <c r="M241" s="5">
        <v>0</v>
      </c>
      <c r="N241" s="56">
        <v>0</v>
      </c>
      <c r="O241" s="56">
        <v>9500</v>
      </c>
    </row>
    <row r="242" spans="2:15">
      <c r="B242" s="3" t="s">
        <v>1007</v>
      </c>
      <c r="C242" s="4" t="s">
        <v>1011</v>
      </c>
      <c r="D242" s="5" t="s">
        <v>122</v>
      </c>
      <c r="E242" s="5" t="s">
        <v>123</v>
      </c>
      <c r="F242" s="5" t="s">
        <v>124</v>
      </c>
      <c r="G242" s="56">
        <v>4876.03</v>
      </c>
      <c r="H242" s="56">
        <v>0</v>
      </c>
      <c r="I242" s="5">
        <v>0</v>
      </c>
      <c r="J242" s="5">
        <v>0</v>
      </c>
      <c r="K242" s="5">
        <v>0</v>
      </c>
      <c r="L242" s="5">
        <v>1023.97</v>
      </c>
      <c r="M242" s="5">
        <v>0</v>
      </c>
      <c r="N242" s="56">
        <v>0</v>
      </c>
      <c r="O242" s="56">
        <v>5900</v>
      </c>
    </row>
    <row r="243" spans="2:15">
      <c r="B243" s="3" t="s">
        <v>1007</v>
      </c>
      <c r="C243" s="4" t="s">
        <v>1009</v>
      </c>
      <c r="D243" s="5" t="s">
        <v>1010</v>
      </c>
      <c r="E243" s="5" t="s">
        <v>123</v>
      </c>
      <c r="F243" s="5">
        <v>21614082</v>
      </c>
      <c r="G243" s="56">
        <v>4867.7700000000004</v>
      </c>
      <c r="H243" s="56">
        <v>0</v>
      </c>
      <c r="I243" s="5">
        <v>0</v>
      </c>
      <c r="J243" s="5">
        <v>0</v>
      </c>
      <c r="K243" s="5">
        <v>0</v>
      </c>
      <c r="L243" s="5">
        <v>1022.23</v>
      </c>
      <c r="M243" s="5">
        <v>0</v>
      </c>
      <c r="N243" s="56">
        <v>0</v>
      </c>
      <c r="O243" s="56">
        <v>5890</v>
      </c>
    </row>
    <row r="244" spans="2:15">
      <c r="B244" s="3" t="s">
        <v>1007</v>
      </c>
      <c r="C244" s="4" t="s">
        <v>1008</v>
      </c>
      <c r="D244" s="5" t="s">
        <v>122</v>
      </c>
      <c r="E244" s="5" t="s">
        <v>123</v>
      </c>
      <c r="F244" s="5" t="s">
        <v>124</v>
      </c>
      <c r="G244" s="56">
        <v>5371.9</v>
      </c>
      <c r="H244" s="56">
        <v>0</v>
      </c>
      <c r="I244" s="5">
        <v>0</v>
      </c>
      <c r="J244" s="5">
        <v>0</v>
      </c>
      <c r="K244" s="5">
        <v>0</v>
      </c>
      <c r="L244" s="5">
        <v>1128.1000000000001</v>
      </c>
      <c r="M244" s="5">
        <v>0</v>
      </c>
      <c r="N244" s="56">
        <v>0</v>
      </c>
      <c r="O244" s="56">
        <v>6500</v>
      </c>
    </row>
    <row r="245" spans="2:15">
      <c r="B245" s="3" t="s">
        <v>990</v>
      </c>
      <c r="C245" s="4" t="s">
        <v>1004</v>
      </c>
      <c r="D245" s="5" t="s">
        <v>122</v>
      </c>
      <c r="E245" s="5" t="s">
        <v>123</v>
      </c>
      <c r="F245" s="5" t="s">
        <v>124</v>
      </c>
      <c r="G245" s="56">
        <v>2396.69</v>
      </c>
      <c r="H245" s="56">
        <v>0</v>
      </c>
      <c r="I245" s="5">
        <v>0</v>
      </c>
      <c r="J245" s="5">
        <v>0</v>
      </c>
      <c r="K245" s="5">
        <v>0</v>
      </c>
      <c r="L245" s="5">
        <v>503.31</v>
      </c>
      <c r="M245" s="5">
        <v>0</v>
      </c>
      <c r="N245" s="56">
        <v>0</v>
      </c>
      <c r="O245" s="56">
        <v>2900</v>
      </c>
    </row>
    <row r="246" spans="2:15">
      <c r="B246" s="3" t="s">
        <v>990</v>
      </c>
      <c r="C246" s="4" t="s">
        <v>1003</v>
      </c>
      <c r="D246" s="5" t="s">
        <v>122</v>
      </c>
      <c r="E246" s="5" t="s">
        <v>123</v>
      </c>
      <c r="F246" s="5" t="s">
        <v>124</v>
      </c>
      <c r="G246" s="56">
        <v>2396.69</v>
      </c>
      <c r="H246" s="56">
        <v>0</v>
      </c>
      <c r="I246" s="5">
        <v>0</v>
      </c>
      <c r="J246" s="5">
        <v>0</v>
      </c>
      <c r="K246" s="5">
        <v>0</v>
      </c>
      <c r="L246" s="5">
        <v>503.31</v>
      </c>
      <c r="M246" s="5">
        <v>0</v>
      </c>
      <c r="N246" s="56">
        <v>0</v>
      </c>
      <c r="O246" s="56">
        <v>2900</v>
      </c>
    </row>
    <row r="247" spans="2:15">
      <c r="B247" s="3" t="s">
        <v>990</v>
      </c>
      <c r="C247" s="4" t="s">
        <v>1002</v>
      </c>
      <c r="D247" s="5" t="s">
        <v>122</v>
      </c>
      <c r="E247" s="5" t="s">
        <v>123</v>
      </c>
      <c r="F247" s="5" t="s">
        <v>124</v>
      </c>
      <c r="G247" s="56">
        <v>4793.3900000000003</v>
      </c>
      <c r="H247" s="56">
        <v>0</v>
      </c>
      <c r="I247" s="5">
        <v>0</v>
      </c>
      <c r="J247" s="5">
        <v>0</v>
      </c>
      <c r="K247" s="5">
        <v>0</v>
      </c>
      <c r="L247" s="5">
        <v>1006.61</v>
      </c>
      <c r="M247" s="5">
        <v>0</v>
      </c>
      <c r="N247" s="56">
        <v>0</v>
      </c>
      <c r="O247" s="56">
        <v>5800</v>
      </c>
    </row>
    <row r="248" spans="2:15">
      <c r="B248" s="3" t="s">
        <v>990</v>
      </c>
      <c r="C248" s="4" t="s">
        <v>1001</v>
      </c>
      <c r="D248" s="5" t="s">
        <v>122</v>
      </c>
      <c r="E248" s="5" t="s">
        <v>123</v>
      </c>
      <c r="F248" s="5" t="s">
        <v>124</v>
      </c>
      <c r="G248" s="56">
        <v>4876.03</v>
      </c>
      <c r="H248" s="56">
        <v>0</v>
      </c>
      <c r="I248" s="5">
        <v>0</v>
      </c>
      <c r="J248" s="5">
        <v>0</v>
      </c>
      <c r="K248" s="5">
        <v>0</v>
      </c>
      <c r="L248" s="5">
        <v>1023.97</v>
      </c>
      <c r="M248" s="5">
        <v>0</v>
      </c>
      <c r="N248" s="56">
        <v>0</v>
      </c>
      <c r="O248" s="56">
        <v>5900</v>
      </c>
    </row>
    <row r="249" spans="2:15">
      <c r="B249" s="3" t="s">
        <v>990</v>
      </c>
      <c r="C249" s="4" t="s">
        <v>999</v>
      </c>
      <c r="D249" s="5" t="s">
        <v>1000</v>
      </c>
      <c r="E249" s="5" t="s">
        <v>123</v>
      </c>
      <c r="F249" s="5">
        <v>38774398</v>
      </c>
      <c r="G249" s="56">
        <v>11157.02</v>
      </c>
      <c r="H249" s="56">
        <v>0</v>
      </c>
      <c r="I249" s="5">
        <v>0</v>
      </c>
      <c r="J249" s="5">
        <v>0</v>
      </c>
      <c r="K249" s="5">
        <v>0</v>
      </c>
      <c r="L249" s="5">
        <v>2342.98</v>
      </c>
      <c r="M249" s="5">
        <v>0</v>
      </c>
      <c r="N249" s="56">
        <v>0</v>
      </c>
      <c r="O249" s="56">
        <v>13500</v>
      </c>
    </row>
    <row r="250" spans="2:15">
      <c r="B250" s="3" t="s">
        <v>990</v>
      </c>
      <c r="C250" s="4" t="s">
        <v>998</v>
      </c>
      <c r="D250" s="5" t="s">
        <v>122</v>
      </c>
      <c r="E250" s="5" t="s">
        <v>123</v>
      </c>
      <c r="F250" s="5" t="s">
        <v>124</v>
      </c>
      <c r="G250" s="56">
        <v>4876.03</v>
      </c>
      <c r="H250" s="56">
        <v>0</v>
      </c>
      <c r="I250" s="5">
        <v>0</v>
      </c>
      <c r="J250" s="5">
        <v>0</v>
      </c>
      <c r="K250" s="5">
        <v>0</v>
      </c>
      <c r="L250" s="5">
        <v>1023.97</v>
      </c>
      <c r="M250" s="5">
        <v>0</v>
      </c>
      <c r="N250" s="56">
        <v>0</v>
      </c>
      <c r="O250" s="56">
        <v>5900</v>
      </c>
    </row>
    <row r="251" spans="2:15">
      <c r="B251" s="3" t="s">
        <v>990</v>
      </c>
      <c r="C251" s="4" t="s">
        <v>997</v>
      </c>
      <c r="D251" s="5" t="s">
        <v>122</v>
      </c>
      <c r="E251" s="5" t="s">
        <v>123</v>
      </c>
      <c r="F251" s="5" t="s">
        <v>124</v>
      </c>
      <c r="G251" s="56">
        <v>5867.77</v>
      </c>
      <c r="H251" s="56">
        <v>0</v>
      </c>
      <c r="I251" s="5">
        <v>0</v>
      </c>
      <c r="J251" s="5">
        <v>0</v>
      </c>
      <c r="K251" s="5">
        <v>0</v>
      </c>
      <c r="L251" s="5">
        <v>1232.23</v>
      </c>
      <c r="M251" s="5">
        <v>0</v>
      </c>
      <c r="N251" s="56">
        <v>0</v>
      </c>
      <c r="O251" s="56">
        <v>7100</v>
      </c>
    </row>
    <row r="252" spans="2:15">
      <c r="B252" s="3" t="s">
        <v>990</v>
      </c>
      <c r="C252" s="4" t="s">
        <v>996</v>
      </c>
      <c r="D252" s="5" t="s">
        <v>122</v>
      </c>
      <c r="E252" s="5" t="s">
        <v>123</v>
      </c>
      <c r="F252" s="5" t="s">
        <v>124</v>
      </c>
      <c r="G252" s="56">
        <v>4462.8100000000004</v>
      </c>
      <c r="H252" s="56">
        <v>0</v>
      </c>
      <c r="I252" s="5">
        <v>0</v>
      </c>
      <c r="J252" s="5">
        <v>0</v>
      </c>
      <c r="K252" s="5">
        <v>0</v>
      </c>
      <c r="L252" s="5">
        <v>937.19</v>
      </c>
      <c r="M252" s="5">
        <v>0</v>
      </c>
      <c r="N252" s="56">
        <v>0</v>
      </c>
      <c r="O252" s="56">
        <v>5400</v>
      </c>
    </row>
    <row r="253" spans="2:15">
      <c r="B253" s="3" t="s">
        <v>990</v>
      </c>
      <c r="C253" s="4" t="s">
        <v>995</v>
      </c>
      <c r="D253" s="5" t="s">
        <v>122</v>
      </c>
      <c r="E253" s="5" t="s">
        <v>123</v>
      </c>
      <c r="F253" s="5" t="s">
        <v>124</v>
      </c>
      <c r="G253" s="56">
        <v>6198.35</v>
      </c>
      <c r="H253" s="56">
        <v>0</v>
      </c>
      <c r="I253" s="5">
        <v>0</v>
      </c>
      <c r="J253" s="5">
        <v>0</v>
      </c>
      <c r="K253" s="5">
        <v>0</v>
      </c>
      <c r="L253" s="5">
        <v>1301.6500000000001</v>
      </c>
      <c r="M253" s="5">
        <v>0</v>
      </c>
      <c r="N253" s="56">
        <v>0</v>
      </c>
      <c r="O253" s="56">
        <v>7500</v>
      </c>
    </row>
    <row r="254" spans="2:15">
      <c r="B254" s="3" t="s">
        <v>990</v>
      </c>
      <c r="C254" s="4" t="s">
        <v>994</v>
      </c>
      <c r="D254" s="5" t="s">
        <v>122</v>
      </c>
      <c r="E254" s="5" t="s">
        <v>123</v>
      </c>
      <c r="F254" s="5" t="s">
        <v>124</v>
      </c>
      <c r="G254" s="56">
        <v>3966.94</v>
      </c>
      <c r="H254" s="56">
        <v>0</v>
      </c>
      <c r="I254" s="5">
        <v>0</v>
      </c>
      <c r="J254" s="5">
        <v>0</v>
      </c>
      <c r="K254" s="5">
        <v>0</v>
      </c>
      <c r="L254" s="5">
        <v>833.06</v>
      </c>
      <c r="M254" s="5">
        <v>0</v>
      </c>
      <c r="N254" s="56">
        <v>0</v>
      </c>
      <c r="O254" s="56">
        <v>4800</v>
      </c>
    </row>
    <row r="255" spans="2:15">
      <c r="B255" s="3" t="s">
        <v>990</v>
      </c>
      <c r="C255" s="4" t="s">
        <v>993</v>
      </c>
      <c r="D255" s="5" t="s">
        <v>122</v>
      </c>
      <c r="E255" s="5" t="s">
        <v>123</v>
      </c>
      <c r="F255" s="5" t="s">
        <v>124</v>
      </c>
      <c r="G255" s="56">
        <v>7768.6</v>
      </c>
      <c r="H255" s="56">
        <v>0</v>
      </c>
      <c r="I255" s="5">
        <v>0</v>
      </c>
      <c r="J255" s="5">
        <v>0</v>
      </c>
      <c r="K255" s="5">
        <v>0</v>
      </c>
      <c r="L255" s="5">
        <v>1631.4</v>
      </c>
      <c r="M255" s="5">
        <v>0</v>
      </c>
      <c r="N255" s="56">
        <v>0</v>
      </c>
      <c r="O255" s="56">
        <v>9400</v>
      </c>
    </row>
    <row r="256" spans="2:15">
      <c r="B256" s="3" t="s">
        <v>990</v>
      </c>
      <c r="C256" s="4" t="s">
        <v>992</v>
      </c>
      <c r="D256" s="5" t="s">
        <v>122</v>
      </c>
      <c r="E256" s="5" t="s">
        <v>123</v>
      </c>
      <c r="F256" s="5" t="s">
        <v>124</v>
      </c>
      <c r="G256" s="56">
        <v>7851.24</v>
      </c>
      <c r="H256" s="56">
        <v>0</v>
      </c>
      <c r="I256" s="5">
        <v>0</v>
      </c>
      <c r="J256" s="5">
        <v>0</v>
      </c>
      <c r="K256" s="5">
        <v>0</v>
      </c>
      <c r="L256" s="5">
        <v>1648.76</v>
      </c>
      <c r="M256" s="5">
        <v>0</v>
      </c>
      <c r="N256" s="56">
        <v>0</v>
      </c>
      <c r="O256" s="56">
        <v>9500</v>
      </c>
    </row>
    <row r="257" spans="2:15">
      <c r="B257" s="3" t="s">
        <v>990</v>
      </c>
      <c r="C257" s="4" t="s">
        <v>991</v>
      </c>
      <c r="D257" s="5" t="s">
        <v>122</v>
      </c>
      <c r="E257" s="5" t="s">
        <v>123</v>
      </c>
      <c r="F257" s="5" t="s">
        <v>124</v>
      </c>
      <c r="G257" s="56">
        <v>9090.91</v>
      </c>
      <c r="H257" s="56">
        <v>0</v>
      </c>
      <c r="I257" s="5">
        <v>0</v>
      </c>
      <c r="J257" s="5">
        <v>0</v>
      </c>
      <c r="K257" s="5">
        <v>0</v>
      </c>
      <c r="L257" s="5">
        <v>1909.09</v>
      </c>
      <c r="M257" s="5">
        <v>0</v>
      </c>
      <c r="N257" s="56">
        <v>0</v>
      </c>
      <c r="O257" s="56">
        <v>11000</v>
      </c>
    </row>
    <row r="258" spans="2:15">
      <c r="B258" s="3" t="s">
        <v>955</v>
      </c>
      <c r="C258" s="4" t="s">
        <v>968</v>
      </c>
      <c r="D258" s="5" t="s">
        <v>122</v>
      </c>
      <c r="E258" s="5" t="s">
        <v>123</v>
      </c>
      <c r="F258" s="5" t="s">
        <v>124</v>
      </c>
      <c r="G258" s="56">
        <v>2066.12</v>
      </c>
      <c r="H258" s="56">
        <v>0</v>
      </c>
      <c r="I258" s="5">
        <v>0</v>
      </c>
      <c r="J258" s="5">
        <v>0</v>
      </c>
      <c r="K258" s="5">
        <v>0</v>
      </c>
      <c r="L258" s="5">
        <v>433.88</v>
      </c>
      <c r="M258" s="5">
        <v>0</v>
      </c>
      <c r="N258" s="56">
        <v>0</v>
      </c>
      <c r="O258" s="56">
        <v>2500</v>
      </c>
    </row>
    <row r="259" spans="2:15">
      <c r="B259" s="3" t="s">
        <v>955</v>
      </c>
      <c r="C259" s="4" t="s">
        <v>967</v>
      </c>
      <c r="D259" s="5" t="s">
        <v>122</v>
      </c>
      <c r="E259" s="5" t="s">
        <v>123</v>
      </c>
      <c r="F259" s="5" t="s">
        <v>124</v>
      </c>
      <c r="G259" s="56">
        <v>2066.12</v>
      </c>
      <c r="H259" s="56">
        <v>0</v>
      </c>
      <c r="I259" s="5">
        <v>0</v>
      </c>
      <c r="J259" s="5">
        <v>0</v>
      </c>
      <c r="K259" s="5">
        <v>0</v>
      </c>
      <c r="L259" s="5">
        <v>433.88</v>
      </c>
      <c r="M259" s="5">
        <v>0</v>
      </c>
      <c r="N259" s="56">
        <v>0</v>
      </c>
      <c r="O259" s="56">
        <v>2500</v>
      </c>
    </row>
    <row r="260" spans="2:15">
      <c r="B260" s="3" t="s">
        <v>955</v>
      </c>
      <c r="C260" s="4" t="s">
        <v>966</v>
      </c>
      <c r="D260" s="5" t="s">
        <v>122</v>
      </c>
      <c r="E260" s="5" t="s">
        <v>123</v>
      </c>
      <c r="F260" s="5" t="s">
        <v>124</v>
      </c>
      <c r="G260" s="56">
        <v>5785.12</v>
      </c>
      <c r="H260" s="56">
        <v>0</v>
      </c>
      <c r="I260" s="5">
        <v>0</v>
      </c>
      <c r="J260" s="5">
        <v>0</v>
      </c>
      <c r="K260" s="5">
        <v>0</v>
      </c>
      <c r="L260" s="5">
        <v>1214.8800000000001</v>
      </c>
      <c r="M260" s="5">
        <v>0</v>
      </c>
      <c r="N260" s="56">
        <v>0</v>
      </c>
      <c r="O260" s="56">
        <v>7000</v>
      </c>
    </row>
    <row r="261" spans="2:15">
      <c r="B261" s="3" t="s">
        <v>955</v>
      </c>
      <c r="C261" s="4" t="s">
        <v>965</v>
      </c>
      <c r="D261" s="5" t="s">
        <v>122</v>
      </c>
      <c r="E261" s="5" t="s">
        <v>123</v>
      </c>
      <c r="F261" s="5" t="s">
        <v>124</v>
      </c>
      <c r="G261" s="56">
        <v>3223.14</v>
      </c>
      <c r="H261" s="56">
        <v>0</v>
      </c>
      <c r="I261" s="5">
        <v>0</v>
      </c>
      <c r="J261" s="5">
        <v>0</v>
      </c>
      <c r="K261" s="5">
        <v>0</v>
      </c>
      <c r="L261" s="5">
        <v>676.86</v>
      </c>
      <c r="M261" s="5">
        <v>0</v>
      </c>
      <c r="N261" s="56">
        <v>0</v>
      </c>
      <c r="O261" s="56">
        <v>3900</v>
      </c>
    </row>
    <row r="262" spans="2:15">
      <c r="B262" s="3" t="s">
        <v>955</v>
      </c>
      <c r="C262" s="4" t="s">
        <v>964</v>
      </c>
      <c r="D262" s="5" t="s">
        <v>122</v>
      </c>
      <c r="E262" s="5" t="s">
        <v>123</v>
      </c>
      <c r="F262" s="5" t="s">
        <v>124</v>
      </c>
      <c r="G262" s="56">
        <v>2396.69</v>
      </c>
      <c r="H262" s="56">
        <v>0</v>
      </c>
      <c r="I262" s="5">
        <v>0</v>
      </c>
      <c r="J262" s="5">
        <v>0</v>
      </c>
      <c r="K262" s="5">
        <v>0</v>
      </c>
      <c r="L262" s="5">
        <v>503.31</v>
      </c>
      <c r="M262" s="5">
        <v>0</v>
      </c>
      <c r="N262" s="56">
        <v>0</v>
      </c>
      <c r="O262" s="56">
        <v>2900</v>
      </c>
    </row>
    <row r="263" spans="2:15">
      <c r="B263" s="3" t="s">
        <v>955</v>
      </c>
      <c r="C263" s="4" t="s">
        <v>963</v>
      </c>
      <c r="D263" s="5" t="s">
        <v>122</v>
      </c>
      <c r="E263" s="5" t="s">
        <v>123</v>
      </c>
      <c r="F263" s="5" t="s">
        <v>124</v>
      </c>
      <c r="G263" s="56">
        <v>6652.89</v>
      </c>
      <c r="H263" s="56">
        <v>0</v>
      </c>
      <c r="I263" s="5">
        <v>0</v>
      </c>
      <c r="J263" s="5">
        <v>0</v>
      </c>
      <c r="K263" s="5">
        <v>0</v>
      </c>
      <c r="L263" s="5">
        <v>1397.11</v>
      </c>
      <c r="M263" s="5">
        <v>0</v>
      </c>
      <c r="N263" s="56">
        <v>0</v>
      </c>
      <c r="O263" s="56">
        <v>8050</v>
      </c>
    </row>
    <row r="264" spans="2:15">
      <c r="B264" s="3" t="s">
        <v>955</v>
      </c>
      <c r="C264" s="4" t="s">
        <v>962</v>
      </c>
      <c r="D264" s="5" t="s">
        <v>122</v>
      </c>
      <c r="E264" s="5" t="s">
        <v>123</v>
      </c>
      <c r="F264" s="5" t="s">
        <v>124</v>
      </c>
      <c r="G264" s="56">
        <v>12148.76</v>
      </c>
      <c r="H264" s="56">
        <v>0</v>
      </c>
      <c r="I264" s="5">
        <v>0</v>
      </c>
      <c r="J264" s="5">
        <v>0</v>
      </c>
      <c r="K264" s="5">
        <v>0</v>
      </c>
      <c r="L264" s="5">
        <v>2551.2400000000002</v>
      </c>
      <c r="M264" s="5">
        <v>0</v>
      </c>
      <c r="N264" s="56">
        <v>0</v>
      </c>
      <c r="O264" s="56">
        <v>14700</v>
      </c>
    </row>
    <row r="265" spans="2:15">
      <c r="B265" s="3" t="s">
        <v>955</v>
      </c>
      <c r="C265" s="4" t="s">
        <v>961</v>
      </c>
      <c r="D265" s="5" t="s">
        <v>122</v>
      </c>
      <c r="E265" s="5" t="s">
        <v>123</v>
      </c>
      <c r="F265" s="5" t="s">
        <v>124</v>
      </c>
      <c r="G265" s="56">
        <v>12148.76</v>
      </c>
      <c r="H265" s="56">
        <v>0</v>
      </c>
      <c r="I265" s="5">
        <v>0</v>
      </c>
      <c r="J265" s="5">
        <v>0</v>
      </c>
      <c r="K265" s="5">
        <v>0</v>
      </c>
      <c r="L265" s="5">
        <v>2551.2400000000002</v>
      </c>
      <c r="M265" s="5">
        <v>0</v>
      </c>
      <c r="N265" s="56">
        <v>0</v>
      </c>
      <c r="O265" s="56">
        <v>14700</v>
      </c>
    </row>
    <row r="266" spans="2:15">
      <c r="B266" s="3" t="s">
        <v>955</v>
      </c>
      <c r="C266" s="4" t="s">
        <v>960</v>
      </c>
      <c r="D266" s="5" t="s">
        <v>122</v>
      </c>
      <c r="E266" s="5" t="s">
        <v>123</v>
      </c>
      <c r="F266" s="5" t="s">
        <v>124</v>
      </c>
      <c r="G266" s="56">
        <v>2314.0500000000002</v>
      </c>
      <c r="H266" s="56">
        <v>0</v>
      </c>
      <c r="I266" s="5">
        <v>0</v>
      </c>
      <c r="J266" s="5">
        <v>0</v>
      </c>
      <c r="K266" s="5">
        <v>0</v>
      </c>
      <c r="L266" s="5">
        <v>485.95</v>
      </c>
      <c r="M266" s="5">
        <v>0</v>
      </c>
      <c r="N266" s="56">
        <v>0</v>
      </c>
      <c r="O266" s="56">
        <v>2800</v>
      </c>
    </row>
    <row r="267" spans="2:15">
      <c r="B267" s="3" t="s">
        <v>955</v>
      </c>
      <c r="C267" s="4" t="s">
        <v>959</v>
      </c>
      <c r="D267" s="5" t="s">
        <v>122</v>
      </c>
      <c r="E267" s="5" t="s">
        <v>123</v>
      </c>
      <c r="F267" s="5" t="s">
        <v>124</v>
      </c>
      <c r="G267" s="56">
        <v>3884.3</v>
      </c>
      <c r="H267" s="56">
        <v>0</v>
      </c>
      <c r="I267" s="5">
        <v>0</v>
      </c>
      <c r="J267" s="5">
        <v>0</v>
      </c>
      <c r="K267" s="5">
        <v>0</v>
      </c>
      <c r="L267" s="5">
        <v>815.7</v>
      </c>
      <c r="M267" s="5">
        <v>0</v>
      </c>
      <c r="N267" s="56">
        <v>0</v>
      </c>
      <c r="O267" s="56">
        <v>4700</v>
      </c>
    </row>
    <row r="268" spans="2:15">
      <c r="B268" s="3" t="s">
        <v>955</v>
      </c>
      <c r="C268" s="4" t="s">
        <v>958</v>
      </c>
      <c r="D268" s="5" t="s">
        <v>122</v>
      </c>
      <c r="E268" s="5" t="s">
        <v>123</v>
      </c>
      <c r="F268" s="5" t="s">
        <v>124</v>
      </c>
      <c r="G268" s="56">
        <v>6198.35</v>
      </c>
      <c r="H268" s="56">
        <v>0</v>
      </c>
      <c r="I268" s="5">
        <v>0</v>
      </c>
      <c r="J268" s="5">
        <v>0</v>
      </c>
      <c r="K268" s="5">
        <v>0</v>
      </c>
      <c r="L268" s="5">
        <v>1301.6500000000001</v>
      </c>
      <c r="M268" s="5">
        <v>0</v>
      </c>
      <c r="N268" s="56">
        <v>0</v>
      </c>
      <c r="O268" s="56">
        <v>7500</v>
      </c>
    </row>
    <row r="269" spans="2:15">
      <c r="B269" s="3" t="s">
        <v>939</v>
      </c>
      <c r="C269" s="4" t="s">
        <v>953</v>
      </c>
      <c r="D269" s="5" t="s">
        <v>122</v>
      </c>
      <c r="E269" s="5" t="s">
        <v>123</v>
      </c>
      <c r="F269" s="5" t="s">
        <v>124</v>
      </c>
      <c r="G269" s="56">
        <v>10000</v>
      </c>
      <c r="H269" s="56">
        <v>0</v>
      </c>
      <c r="I269" s="5">
        <v>0</v>
      </c>
      <c r="J269" s="5">
        <v>0</v>
      </c>
      <c r="K269" s="5">
        <v>0</v>
      </c>
      <c r="L269" s="5">
        <v>2100</v>
      </c>
      <c r="M269" s="5">
        <v>0</v>
      </c>
      <c r="N269" s="56">
        <v>0</v>
      </c>
      <c r="O269" s="56">
        <v>12100</v>
      </c>
    </row>
    <row r="270" spans="2:15">
      <c r="B270" s="3" t="s">
        <v>939</v>
      </c>
      <c r="C270" s="4" t="s">
        <v>952</v>
      </c>
      <c r="D270" s="5" t="s">
        <v>122</v>
      </c>
      <c r="E270" s="5" t="s">
        <v>123</v>
      </c>
      <c r="F270" s="5" t="s">
        <v>124</v>
      </c>
      <c r="G270" s="56">
        <v>1652.89</v>
      </c>
      <c r="H270" s="56">
        <v>0</v>
      </c>
      <c r="I270" s="5">
        <v>0</v>
      </c>
      <c r="J270" s="5">
        <v>0</v>
      </c>
      <c r="K270" s="5">
        <v>0</v>
      </c>
      <c r="L270" s="5">
        <v>347.11</v>
      </c>
      <c r="M270" s="5">
        <v>0</v>
      </c>
      <c r="N270" s="56">
        <v>0</v>
      </c>
      <c r="O270" s="56">
        <v>2000</v>
      </c>
    </row>
    <row r="271" spans="2:15">
      <c r="B271" s="3" t="s">
        <v>939</v>
      </c>
      <c r="C271" s="4" t="s">
        <v>951</v>
      </c>
      <c r="D271" s="5" t="s">
        <v>122</v>
      </c>
      <c r="E271" s="5" t="s">
        <v>123</v>
      </c>
      <c r="F271" s="5" t="s">
        <v>124</v>
      </c>
      <c r="G271" s="56">
        <v>2231.4</v>
      </c>
      <c r="H271" s="56">
        <v>0</v>
      </c>
      <c r="I271" s="5">
        <v>0</v>
      </c>
      <c r="J271" s="5">
        <v>0</v>
      </c>
      <c r="K271" s="5">
        <v>0</v>
      </c>
      <c r="L271" s="5">
        <v>468.6</v>
      </c>
      <c r="M271" s="5">
        <v>0</v>
      </c>
      <c r="N271" s="56">
        <v>0</v>
      </c>
      <c r="O271" s="56">
        <v>2700</v>
      </c>
    </row>
    <row r="272" spans="2:15">
      <c r="B272" s="3" t="s">
        <v>939</v>
      </c>
      <c r="C272" s="4" t="s">
        <v>950</v>
      </c>
      <c r="D272" s="5" t="s">
        <v>122</v>
      </c>
      <c r="E272" s="5" t="s">
        <v>123</v>
      </c>
      <c r="F272" s="5" t="s">
        <v>124</v>
      </c>
      <c r="G272" s="56">
        <v>7272.73</v>
      </c>
      <c r="H272" s="56">
        <v>0</v>
      </c>
      <c r="I272" s="5">
        <v>0</v>
      </c>
      <c r="J272" s="5">
        <v>0</v>
      </c>
      <c r="K272" s="5">
        <v>0</v>
      </c>
      <c r="L272" s="5">
        <v>1527.27</v>
      </c>
      <c r="M272" s="5">
        <v>0</v>
      </c>
      <c r="N272" s="56">
        <v>0</v>
      </c>
      <c r="O272" s="56">
        <v>8800</v>
      </c>
    </row>
    <row r="273" spans="2:15">
      <c r="B273" s="3" t="s">
        <v>939</v>
      </c>
      <c r="C273" s="4" t="s">
        <v>949</v>
      </c>
      <c r="D273" s="5" t="s">
        <v>122</v>
      </c>
      <c r="E273" s="5" t="s">
        <v>123</v>
      </c>
      <c r="F273" s="5" t="s">
        <v>124</v>
      </c>
      <c r="G273" s="56">
        <v>7024.79</v>
      </c>
      <c r="H273" s="56">
        <v>0</v>
      </c>
      <c r="I273" s="5">
        <v>0</v>
      </c>
      <c r="J273" s="5">
        <v>0</v>
      </c>
      <c r="K273" s="5">
        <v>0</v>
      </c>
      <c r="L273" s="5">
        <v>1475.21</v>
      </c>
      <c r="M273" s="5">
        <v>0</v>
      </c>
      <c r="N273" s="56">
        <v>0</v>
      </c>
      <c r="O273" s="56">
        <v>8500</v>
      </c>
    </row>
    <row r="274" spans="2:15">
      <c r="B274" s="3" t="s">
        <v>939</v>
      </c>
      <c r="C274" s="4" t="s">
        <v>948</v>
      </c>
      <c r="D274" s="5" t="s">
        <v>122</v>
      </c>
      <c r="E274" s="5" t="s">
        <v>123</v>
      </c>
      <c r="F274" s="5" t="s">
        <v>124</v>
      </c>
      <c r="G274" s="56">
        <v>2479.34</v>
      </c>
      <c r="H274" s="56">
        <v>0</v>
      </c>
      <c r="I274" s="5">
        <v>0</v>
      </c>
      <c r="J274" s="5">
        <v>0</v>
      </c>
      <c r="K274" s="5">
        <v>0</v>
      </c>
      <c r="L274" s="5">
        <v>520.66</v>
      </c>
      <c r="M274" s="5">
        <v>0</v>
      </c>
      <c r="N274" s="56">
        <v>0</v>
      </c>
      <c r="O274" s="56">
        <v>3000</v>
      </c>
    </row>
    <row r="275" spans="2:15">
      <c r="B275" s="3" t="s">
        <v>939</v>
      </c>
      <c r="C275" s="4" t="s">
        <v>947</v>
      </c>
      <c r="D275" s="5" t="s">
        <v>122</v>
      </c>
      <c r="E275" s="5" t="s">
        <v>123</v>
      </c>
      <c r="F275" s="5" t="s">
        <v>124</v>
      </c>
      <c r="G275" s="56">
        <v>2396.69</v>
      </c>
      <c r="H275" s="56">
        <v>0</v>
      </c>
      <c r="I275" s="5">
        <v>0</v>
      </c>
      <c r="J275" s="5">
        <v>0</v>
      </c>
      <c r="K275" s="5">
        <v>0</v>
      </c>
      <c r="L275" s="5">
        <v>503.31</v>
      </c>
      <c r="M275" s="5">
        <v>0</v>
      </c>
      <c r="N275" s="56">
        <v>0</v>
      </c>
      <c r="O275" s="56">
        <v>2900</v>
      </c>
    </row>
    <row r="276" spans="2:15">
      <c r="B276" s="3" t="s">
        <v>939</v>
      </c>
      <c r="C276" s="4" t="s">
        <v>945</v>
      </c>
      <c r="D276" s="5" t="s">
        <v>946</v>
      </c>
      <c r="E276" s="5" t="s">
        <v>123</v>
      </c>
      <c r="F276" s="5">
        <v>21851552</v>
      </c>
      <c r="G276" s="56">
        <v>7272.73</v>
      </c>
      <c r="H276" s="56">
        <v>0</v>
      </c>
      <c r="I276" s="5">
        <v>0</v>
      </c>
      <c r="J276" s="5">
        <v>0</v>
      </c>
      <c r="K276" s="5">
        <v>0</v>
      </c>
      <c r="L276" s="5">
        <v>1527.27</v>
      </c>
      <c r="M276" s="5">
        <v>0</v>
      </c>
      <c r="N276" s="56">
        <v>0</v>
      </c>
      <c r="O276" s="56">
        <v>8800</v>
      </c>
    </row>
    <row r="277" spans="2:15">
      <c r="B277" s="3" t="s">
        <v>939</v>
      </c>
      <c r="C277" s="4" t="s">
        <v>944</v>
      </c>
      <c r="D277" s="5" t="s">
        <v>122</v>
      </c>
      <c r="E277" s="5" t="s">
        <v>123</v>
      </c>
      <c r="F277" s="5" t="s">
        <v>124</v>
      </c>
      <c r="G277" s="56">
        <v>15041.33</v>
      </c>
      <c r="H277" s="56">
        <v>0</v>
      </c>
      <c r="I277" s="5">
        <v>0</v>
      </c>
      <c r="J277" s="5">
        <v>0</v>
      </c>
      <c r="K277" s="5">
        <v>0</v>
      </c>
      <c r="L277" s="5">
        <v>3158.67</v>
      </c>
      <c r="M277" s="5">
        <v>0</v>
      </c>
      <c r="N277" s="56">
        <v>0</v>
      </c>
      <c r="O277" s="56">
        <v>18200</v>
      </c>
    </row>
    <row r="278" spans="2:15">
      <c r="B278" s="3" t="s">
        <v>939</v>
      </c>
      <c r="C278" s="4" t="s">
        <v>943</v>
      </c>
      <c r="D278" s="5" t="s">
        <v>122</v>
      </c>
      <c r="E278" s="5" t="s">
        <v>123</v>
      </c>
      <c r="F278" s="5" t="s">
        <v>124</v>
      </c>
      <c r="G278" s="56">
        <v>6297.52</v>
      </c>
      <c r="H278" s="56">
        <v>0</v>
      </c>
      <c r="I278" s="5">
        <v>0</v>
      </c>
      <c r="J278" s="5">
        <v>0</v>
      </c>
      <c r="K278" s="5">
        <v>0</v>
      </c>
      <c r="L278" s="5">
        <v>1322.48</v>
      </c>
      <c r="M278" s="5">
        <v>0</v>
      </c>
      <c r="N278" s="56">
        <v>0</v>
      </c>
      <c r="O278" s="56">
        <v>7620</v>
      </c>
    </row>
    <row r="279" spans="2:15">
      <c r="B279" s="3" t="s">
        <v>939</v>
      </c>
      <c r="C279" s="4" t="s">
        <v>942</v>
      </c>
      <c r="D279" s="5" t="s">
        <v>122</v>
      </c>
      <c r="E279" s="5" t="s">
        <v>123</v>
      </c>
      <c r="F279" s="5" t="s">
        <v>124</v>
      </c>
      <c r="G279" s="56">
        <v>7768.6</v>
      </c>
      <c r="H279" s="56">
        <v>0</v>
      </c>
      <c r="I279" s="5">
        <v>0</v>
      </c>
      <c r="J279" s="5">
        <v>0</v>
      </c>
      <c r="K279" s="5">
        <v>0</v>
      </c>
      <c r="L279" s="5">
        <v>1631.4</v>
      </c>
      <c r="M279" s="5">
        <v>0</v>
      </c>
      <c r="N279" s="56">
        <v>0</v>
      </c>
      <c r="O279" s="56">
        <v>9400</v>
      </c>
    </row>
    <row r="280" spans="2:15">
      <c r="B280" s="3" t="s">
        <v>939</v>
      </c>
      <c r="C280" s="4" t="s">
        <v>941</v>
      </c>
      <c r="D280" s="5" t="s">
        <v>122</v>
      </c>
      <c r="E280" s="5" t="s">
        <v>123</v>
      </c>
      <c r="F280" s="5" t="s">
        <v>124</v>
      </c>
      <c r="G280" s="56">
        <v>5702.48</v>
      </c>
      <c r="H280" s="56">
        <v>0</v>
      </c>
      <c r="I280" s="5">
        <v>0</v>
      </c>
      <c r="J280" s="5">
        <v>0</v>
      </c>
      <c r="K280" s="5">
        <v>0</v>
      </c>
      <c r="L280" s="5">
        <v>1197.52</v>
      </c>
      <c r="M280" s="5">
        <v>0</v>
      </c>
      <c r="N280" s="56">
        <v>0</v>
      </c>
      <c r="O280" s="56">
        <v>6900</v>
      </c>
    </row>
    <row r="281" spans="2:15">
      <c r="B281" s="3" t="s">
        <v>939</v>
      </c>
      <c r="C281" s="4" t="s">
        <v>940</v>
      </c>
      <c r="D281" s="5" t="s">
        <v>122</v>
      </c>
      <c r="E281" s="5" t="s">
        <v>123</v>
      </c>
      <c r="F281" s="5" t="s">
        <v>124</v>
      </c>
      <c r="G281" s="56">
        <v>4330.58</v>
      </c>
      <c r="H281" s="56">
        <v>0</v>
      </c>
      <c r="I281" s="5">
        <v>0</v>
      </c>
      <c r="J281" s="5">
        <v>0</v>
      </c>
      <c r="K281" s="5">
        <v>0</v>
      </c>
      <c r="L281" s="5">
        <v>909.42</v>
      </c>
      <c r="M281" s="5">
        <v>0</v>
      </c>
      <c r="N281" s="56">
        <v>0</v>
      </c>
      <c r="O281" s="56">
        <v>5240</v>
      </c>
    </row>
    <row r="282" spans="2:15">
      <c r="B282" s="3" t="s">
        <v>922</v>
      </c>
      <c r="C282" s="4" t="s">
        <v>932</v>
      </c>
      <c r="D282" s="5" t="s">
        <v>122</v>
      </c>
      <c r="E282" s="5" t="s">
        <v>123</v>
      </c>
      <c r="F282" s="5" t="s">
        <v>124</v>
      </c>
      <c r="G282" s="56">
        <v>6280.99</v>
      </c>
      <c r="H282" s="56">
        <v>0</v>
      </c>
      <c r="I282" s="5">
        <v>0</v>
      </c>
      <c r="J282" s="5">
        <v>0</v>
      </c>
      <c r="K282" s="5">
        <v>0</v>
      </c>
      <c r="L282" s="5">
        <v>1319.01</v>
      </c>
      <c r="M282" s="5">
        <v>0</v>
      </c>
      <c r="N282" s="56">
        <v>0</v>
      </c>
      <c r="O282" s="56">
        <v>7600</v>
      </c>
    </row>
    <row r="283" spans="2:15">
      <c r="B283" s="3" t="s">
        <v>922</v>
      </c>
      <c r="C283" s="4" t="s">
        <v>931</v>
      </c>
      <c r="D283" s="5" t="s">
        <v>122</v>
      </c>
      <c r="E283" s="5" t="s">
        <v>123</v>
      </c>
      <c r="F283" s="5" t="s">
        <v>124</v>
      </c>
      <c r="G283" s="56">
        <v>5785.12</v>
      </c>
      <c r="H283" s="56">
        <v>0</v>
      </c>
      <c r="I283" s="5">
        <v>0</v>
      </c>
      <c r="J283" s="5">
        <v>0</v>
      </c>
      <c r="K283" s="5">
        <v>0</v>
      </c>
      <c r="L283" s="5">
        <v>1214.8800000000001</v>
      </c>
      <c r="M283" s="5">
        <v>0</v>
      </c>
      <c r="N283" s="56">
        <v>0</v>
      </c>
      <c r="O283" s="56">
        <v>7000</v>
      </c>
    </row>
    <row r="284" spans="2:15">
      <c r="B284" s="3" t="s">
        <v>922</v>
      </c>
      <c r="C284" s="4" t="s">
        <v>930</v>
      </c>
      <c r="D284" s="5" t="s">
        <v>122</v>
      </c>
      <c r="E284" s="5" t="s">
        <v>123</v>
      </c>
      <c r="F284" s="5" t="s">
        <v>124</v>
      </c>
      <c r="G284" s="56">
        <v>4132.2300000000005</v>
      </c>
      <c r="H284" s="56">
        <v>0</v>
      </c>
      <c r="I284" s="5">
        <v>0</v>
      </c>
      <c r="J284" s="5">
        <v>0</v>
      </c>
      <c r="K284" s="5">
        <v>0</v>
      </c>
      <c r="L284" s="5">
        <v>867.77</v>
      </c>
      <c r="M284" s="5">
        <v>0</v>
      </c>
      <c r="N284" s="56">
        <v>0</v>
      </c>
      <c r="O284" s="56">
        <v>5000</v>
      </c>
    </row>
    <row r="285" spans="2:15">
      <c r="B285" s="3" t="s">
        <v>922</v>
      </c>
      <c r="C285" s="4" t="s">
        <v>929</v>
      </c>
      <c r="D285" s="5" t="s">
        <v>122</v>
      </c>
      <c r="E285" s="5" t="s">
        <v>123</v>
      </c>
      <c r="F285" s="5" t="s">
        <v>124</v>
      </c>
      <c r="G285" s="56">
        <v>3884.3</v>
      </c>
      <c r="H285" s="56">
        <v>0</v>
      </c>
      <c r="I285" s="5">
        <v>0</v>
      </c>
      <c r="J285" s="5">
        <v>0</v>
      </c>
      <c r="K285" s="5">
        <v>0</v>
      </c>
      <c r="L285" s="5">
        <v>815.7</v>
      </c>
      <c r="M285" s="5">
        <v>0</v>
      </c>
      <c r="N285" s="56">
        <v>0</v>
      </c>
      <c r="O285" s="56">
        <v>4700</v>
      </c>
    </row>
    <row r="286" spans="2:15">
      <c r="B286" s="3" t="s">
        <v>922</v>
      </c>
      <c r="C286" s="4" t="s">
        <v>928</v>
      </c>
      <c r="D286" s="5" t="s">
        <v>122</v>
      </c>
      <c r="E286" s="5" t="s">
        <v>123</v>
      </c>
      <c r="F286" s="5" t="s">
        <v>124</v>
      </c>
      <c r="G286" s="56">
        <v>4876.03</v>
      </c>
      <c r="H286" s="56">
        <v>0</v>
      </c>
      <c r="I286" s="5">
        <v>0</v>
      </c>
      <c r="J286" s="5">
        <v>0</v>
      </c>
      <c r="K286" s="5">
        <v>0</v>
      </c>
      <c r="L286" s="5">
        <v>1023.97</v>
      </c>
      <c r="M286" s="5">
        <v>0</v>
      </c>
      <c r="N286" s="56">
        <v>0</v>
      </c>
      <c r="O286" s="56">
        <v>5900</v>
      </c>
    </row>
    <row r="287" spans="2:15">
      <c r="B287" s="3" t="s">
        <v>922</v>
      </c>
      <c r="C287" s="4" t="s">
        <v>927</v>
      </c>
      <c r="D287" s="5" t="s">
        <v>122</v>
      </c>
      <c r="E287" s="5" t="s">
        <v>123</v>
      </c>
      <c r="F287" s="5" t="s">
        <v>124</v>
      </c>
      <c r="G287" s="56">
        <v>2727.27</v>
      </c>
      <c r="H287" s="56">
        <v>0</v>
      </c>
      <c r="I287" s="5">
        <v>0</v>
      </c>
      <c r="J287" s="5">
        <v>0</v>
      </c>
      <c r="K287" s="5">
        <v>0</v>
      </c>
      <c r="L287" s="5">
        <v>572.73</v>
      </c>
      <c r="M287" s="5">
        <v>0</v>
      </c>
      <c r="N287" s="56">
        <v>0</v>
      </c>
      <c r="O287" s="56">
        <v>3300</v>
      </c>
    </row>
    <row r="288" spans="2:15">
      <c r="B288" s="3" t="s">
        <v>922</v>
      </c>
      <c r="C288" s="4" t="s">
        <v>926</v>
      </c>
      <c r="D288" s="5" t="s">
        <v>122</v>
      </c>
      <c r="E288" s="5" t="s">
        <v>123</v>
      </c>
      <c r="F288" s="5" t="s">
        <v>124</v>
      </c>
      <c r="G288" s="56">
        <v>2644.63</v>
      </c>
      <c r="H288" s="56">
        <v>0</v>
      </c>
      <c r="I288" s="5">
        <v>0</v>
      </c>
      <c r="J288" s="5">
        <v>0</v>
      </c>
      <c r="K288" s="5">
        <v>0</v>
      </c>
      <c r="L288" s="5">
        <v>555.37</v>
      </c>
      <c r="M288" s="5">
        <v>0</v>
      </c>
      <c r="N288" s="56">
        <v>0</v>
      </c>
      <c r="O288" s="56">
        <v>3200</v>
      </c>
    </row>
    <row r="289" spans="2:15">
      <c r="B289" s="3" t="s">
        <v>922</v>
      </c>
      <c r="C289" s="4" t="s">
        <v>925</v>
      </c>
      <c r="D289" s="5" t="s">
        <v>122</v>
      </c>
      <c r="E289" s="5" t="s">
        <v>123</v>
      </c>
      <c r="F289" s="5" t="s">
        <v>124</v>
      </c>
      <c r="G289" s="56">
        <v>5851.24</v>
      </c>
      <c r="H289" s="56">
        <v>0</v>
      </c>
      <c r="I289" s="5">
        <v>0</v>
      </c>
      <c r="J289" s="5">
        <v>0</v>
      </c>
      <c r="K289" s="5">
        <v>0</v>
      </c>
      <c r="L289" s="5">
        <v>1228.76</v>
      </c>
      <c r="M289" s="5">
        <v>0</v>
      </c>
      <c r="N289" s="56">
        <v>0</v>
      </c>
      <c r="O289" s="56">
        <v>7080</v>
      </c>
    </row>
    <row r="290" spans="2:15">
      <c r="B290" s="3" t="s">
        <v>922</v>
      </c>
      <c r="C290" s="4" t="s">
        <v>924</v>
      </c>
      <c r="D290" s="5" t="s">
        <v>122</v>
      </c>
      <c r="E290" s="5" t="s">
        <v>123</v>
      </c>
      <c r="F290" s="5" t="s">
        <v>124</v>
      </c>
      <c r="G290" s="56">
        <v>15289.26</v>
      </c>
      <c r="H290" s="56">
        <v>0</v>
      </c>
      <c r="I290" s="5">
        <v>0</v>
      </c>
      <c r="J290" s="5">
        <v>0</v>
      </c>
      <c r="K290" s="5">
        <v>0</v>
      </c>
      <c r="L290" s="5">
        <v>3210.74</v>
      </c>
      <c r="M290" s="5">
        <v>0</v>
      </c>
      <c r="N290" s="56">
        <v>0</v>
      </c>
      <c r="O290" s="56">
        <v>18500</v>
      </c>
    </row>
    <row r="291" spans="2:15">
      <c r="B291" s="3" t="s">
        <v>922</v>
      </c>
      <c r="C291" s="4" t="s">
        <v>923</v>
      </c>
      <c r="D291" s="5" t="s">
        <v>122</v>
      </c>
      <c r="E291" s="5" t="s">
        <v>123</v>
      </c>
      <c r="F291" s="5" t="s">
        <v>124</v>
      </c>
      <c r="G291" s="56">
        <v>1322.31</v>
      </c>
      <c r="H291" s="56">
        <v>0</v>
      </c>
      <c r="I291" s="5">
        <v>0</v>
      </c>
      <c r="J291" s="5">
        <v>0</v>
      </c>
      <c r="K291" s="5">
        <v>0</v>
      </c>
      <c r="L291" s="5">
        <v>277.69</v>
      </c>
      <c r="M291" s="5">
        <v>0</v>
      </c>
      <c r="N291" s="56">
        <v>0</v>
      </c>
      <c r="O291" s="56">
        <v>1600</v>
      </c>
    </row>
    <row r="292" spans="2:15">
      <c r="B292" s="3" t="s">
        <v>906</v>
      </c>
      <c r="C292" s="4" t="s">
        <v>914</v>
      </c>
      <c r="D292" s="5" t="s">
        <v>122</v>
      </c>
      <c r="E292" s="5" t="s">
        <v>123</v>
      </c>
      <c r="F292" s="5" t="s">
        <v>124</v>
      </c>
      <c r="G292" s="56">
        <v>4876.03</v>
      </c>
      <c r="H292" s="56">
        <v>0</v>
      </c>
      <c r="I292" s="5">
        <v>0</v>
      </c>
      <c r="J292" s="5">
        <v>0</v>
      </c>
      <c r="K292" s="5">
        <v>0</v>
      </c>
      <c r="L292" s="5">
        <v>1023.97</v>
      </c>
      <c r="M292" s="5">
        <v>0</v>
      </c>
      <c r="N292" s="56">
        <v>0</v>
      </c>
      <c r="O292" s="56">
        <v>5900</v>
      </c>
    </row>
    <row r="293" spans="2:15">
      <c r="B293" s="3" t="s">
        <v>906</v>
      </c>
      <c r="C293" s="4" t="s">
        <v>913</v>
      </c>
      <c r="D293" s="5" t="s">
        <v>122</v>
      </c>
      <c r="E293" s="5" t="s">
        <v>123</v>
      </c>
      <c r="F293" s="5" t="s">
        <v>124</v>
      </c>
      <c r="G293" s="56">
        <v>3884.3</v>
      </c>
      <c r="H293" s="56">
        <v>0</v>
      </c>
      <c r="I293" s="5">
        <v>0</v>
      </c>
      <c r="J293" s="5">
        <v>0</v>
      </c>
      <c r="K293" s="5">
        <v>0</v>
      </c>
      <c r="L293" s="5">
        <v>815.7</v>
      </c>
      <c r="M293" s="5">
        <v>0</v>
      </c>
      <c r="N293" s="56">
        <v>0</v>
      </c>
      <c r="O293" s="56">
        <v>4700</v>
      </c>
    </row>
    <row r="294" spans="2:15">
      <c r="B294" s="3" t="s">
        <v>906</v>
      </c>
      <c r="C294" s="4" t="s">
        <v>912</v>
      </c>
      <c r="D294" s="5" t="s">
        <v>122</v>
      </c>
      <c r="E294" s="5" t="s">
        <v>123</v>
      </c>
      <c r="F294" s="5" t="s">
        <v>124</v>
      </c>
      <c r="G294" s="56">
        <v>6198.35</v>
      </c>
      <c r="H294" s="56">
        <v>0</v>
      </c>
      <c r="I294" s="5">
        <v>0</v>
      </c>
      <c r="J294" s="5">
        <v>0</v>
      </c>
      <c r="K294" s="5">
        <v>0</v>
      </c>
      <c r="L294" s="5">
        <v>1301.6500000000001</v>
      </c>
      <c r="M294" s="5">
        <v>0</v>
      </c>
      <c r="N294" s="56">
        <v>0</v>
      </c>
      <c r="O294" s="56">
        <v>7500</v>
      </c>
    </row>
    <row r="295" spans="2:15">
      <c r="B295" s="3" t="s">
        <v>906</v>
      </c>
      <c r="C295" s="4" t="s">
        <v>911</v>
      </c>
      <c r="D295" s="5" t="s">
        <v>122</v>
      </c>
      <c r="E295" s="5" t="s">
        <v>123</v>
      </c>
      <c r="F295" s="5" t="s">
        <v>124</v>
      </c>
      <c r="G295" s="56">
        <v>23041.32</v>
      </c>
      <c r="H295" s="56">
        <v>0</v>
      </c>
      <c r="I295" s="5">
        <v>0</v>
      </c>
      <c r="J295" s="5">
        <v>0</v>
      </c>
      <c r="K295" s="5">
        <v>0</v>
      </c>
      <c r="L295" s="5">
        <v>4838.68</v>
      </c>
      <c r="M295" s="5">
        <v>0</v>
      </c>
      <c r="N295" s="56">
        <v>0</v>
      </c>
      <c r="O295" s="56">
        <v>27880</v>
      </c>
    </row>
    <row r="296" spans="2:15">
      <c r="B296" s="3" t="s">
        <v>906</v>
      </c>
      <c r="C296" s="4" t="s">
        <v>910</v>
      </c>
      <c r="D296" s="5" t="s">
        <v>122</v>
      </c>
      <c r="E296" s="5" t="s">
        <v>123</v>
      </c>
      <c r="F296" s="5" t="s">
        <v>124</v>
      </c>
      <c r="G296" s="56">
        <v>2842.97</v>
      </c>
      <c r="H296" s="56">
        <v>0</v>
      </c>
      <c r="I296" s="5">
        <v>0</v>
      </c>
      <c r="J296" s="5">
        <v>0</v>
      </c>
      <c r="K296" s="5">
        <v>0</v>
      </c>
      <c r="L296" s="5">
        <v>597.03</v>
      </c>
      <c r="M296" s="5">
        <v>0</v>
      </c>
      <c r="N296" s="56">
        <v>0</v>
      </c>
      <c r="O296" s="56">
        <v>3440</v>
      </c>
    </row>
    <row r="297" spans="2:15">
      <c r="B297" s="3" t="s">
        <v>906</v>
      </c>
      <c r="C297" s="4" t="s">
        <v>909</v>
      </c>
      <c r="D297" s="5" t="s">
        <v>122</v>
      </c>
      <c r="E297" s="5" t="s">
        <v>123</v>
      </c>
      <c r="F297" s="5" t="s">
        <v>124</v>
      </c>
      <c r="G297" s="56">
        <v>4132.2300000000005</v>
      </c>
      <c r="H297" s="56">
        <v>0</v>
      </c>
      <c r="I297" s="5">
        <v>0</v>
      </c>
      <c r="J297" s="5">
        <v>0</v>
      </c>
      <c r="K297" s="5">
        <v>0</v>
      </c>
      <c r="L297" s="5">
        <v>867.77</v>
      </c>
      <c r="M297" s="5">
        <v>0</v>
      </c>
      <c r="N297" s="56">
        <v>0</v>
      </c>
      <c r="O297" s="56">
        <v>5000</v>
      </c>
    </row>
    <row r="298" spans="2:15">
      <c r="B298" s="3" t="s">
        <v>906</v>
      </c>
      <c r="C298" s="4" t="s">
        <v>908</v>
      </c>
      <c r="D298" s="5" t="s">
        <v>891</v>
      </c>
      <c r="E298" s="5" t="s">
        <v>123</v>
      </c>
      <c r="F298" s="5">
        <v>32315178</v>
      </c>
      <c r="G298" s="56">
        <v>21074.38</v>
      </c>
      <c r="H298" s="56">
        <v>0</v>
      </c>
      <c r="I298" s="5">
        <v>0</v>
      </c>
      <c r="J298" s="5">
        <v>0</v>
      </c>
      <c r="K298" s="5">
        <v>0</v>
      </c>
      <c r="L298" s="5">
        <v>4425.62</v>
      </c>
      <c r="M298" s="5">
        <v>0</v>
      </c>
      <c r="N298" s="56">
        <v>0</v>
      </c>
      <c r="O298" s="56">
        <v>25500</v>
      </c>
    </row>
    <row r="299" spans="2:15">
      <c r="B299" s="3" t="s">
        <v>885</v>
      </c>
      <c r="C299" s="4" t="s">
        <v>897</v>
      </c>
      <c r="D299" s="5" t="s">
        <v>122</v>
      </c>
      <c r="E299" s="5" t="s">
        <v>123</v>
      </c>
      <c r="F299" s="5" t="s">
        <v>124</v>
      </c>
      <c r="G299" s="56">
        <v>4132.2300000000005</v>
      </c>
      <c r="H299" s="56">
        <v>0</v>
      </c>
      <c r="I299" s="5">
        <v>0</v>
      </c>
      <c r="J299" s="5">
        <v>0</v>
      </c>
      <c r="K299" s="5">
        <v>0</v>
      </c>
      <c r="L299" s="5">
        <v>867.77</v>
      </c>
      <c r="M299" s="5">
        <v>0</v>
      </c>
      <c r="N299" s="56">
        <v>0</v>
      </c>
      <c r="O299" s="56">
        <v>5000</v>
      </c>
    </row>
    <row r="300" spans="2:15">
      <c r="B300" s="3" t="s">
        <v>885</v>
      </c>
      <c r="C300" s="4" t="s">
        <v>896</v>
      </c>
      <c r="D300" s="5" t="s">
        <v>122</v>
      </c>
      <c r="E300" s="5" t="s">
        <v>123</v>
      </c>
      <c r="F300" s="5" t="s">
        <v>124</v>
      </c>
      <c r="G300" s="56">
        <v>2727.27</v>
      </c>
      <c r="H300" s="56">
        <v>0</v>
      </c>
      <c r="I300" s="5">
        <v>0</v>
      </c>
      <c r="J300" s="5">
        <v>0</v>
      </c>
      <c r="K300" s="5">
        <v>0</v>
      </c>
      <c r="L300" s="5">
        <v>572.73</v>
      </c>
      <c r="M300" s="5">
        <v>0</v>
      </c>
      <c r="N300" s="56">
        <v>0</v>
      </c>
      <c r="O300" s="56">
        <v>3300</v>
      </c>
    </row>
    <row r="301" spans="2:15">
      <c r="B301" s="3" t="s">
        <v>885</v>
      </c>
      <c r="C301" s="4" t="s">
        <v>895</v>
      </c>
      <c r="D301" s="5" t="s">
        <v>122</v>
      </c>
      <c r="E301" s="5" t="s">
        <v>123</v>
      </c>
      <c r="F301" s="5" t="s">
        <v>124</v>
      </c>
      <c r="G301" s="56">
        <v>4132.2300000000005</v>
      </c>
      <c r="H301" s="56">
        <v>0</v>
      </c>
      <c r="I301" s="5">
        <v>0</v>
      </c>
      <c r="J301" s="5">
        <v>0</v>
      </c>
      <c r="K301" s="5">
        <v>0</v>
      </c>
      <c r="L301" s="5">
        <v>867.77</v>
      </c>
      <c r="M301" s="5">
        <v>0</v>
      </c>
      <c r="N301" s="56">
        <v>0</v>
      </c>
      <c r="O301" s="56">
        <v>5000</v>
      </c>
    </row>
    <row r="302" spans="2:15">
      <c r="B302" s="3" t="s">
        <v>885</v>
      </c>
      <c r="C302" s="4" t="s">
        <v>894</v>
      </c>
      <c r="D302" s="5" t="s">
        <v>122</v>
      </c>
      <c r="E302" s="5" t="s">
        <v>123</v>
      </c>
      <c r="F302" s="5" t="s">
        <v>124</v>
      </c>
      <c r="G302" s="56">
        <v>1735.54</v>
      </c>
      <c r="H302" s="56">
        <v>0</v>
      </c>
      <c r="I302" s="5">
        <v>0</v>
      </c>
      <c r="J302" s="5">
        <v>0</v>
      </c>
      <c r="K302" s="5">
        <v>0</v>
      </c>
      <c r="L302" s="5">
        <v>364.46</v>
      </c>
      <c r="M302" s="5">
        <v>0</v>
      </c>
      <c r="N302" s="56">
        <v>0</v>
      </c>
      <c r="O302" s="56">
        <v>2100</v>
      </c>
    </row>
    <row r="303" spans="2:15">
      <c r="B303" s="3" t="s">
        <v>885</v>
      </c>
      <c r="C303" s="4" t="s">
        <v>893</v>
      </c>
      <c r="D303" s="5" t="s">
        <v>122</v>
      </c>
      <c r="E303" s="5" t="s">
        <v>123</v>
      </c>
      <c r="F303" s="5" t="s">
        <v>124</v>
      </c>
      <c r="G303" s="56">
        <v>2727.27</v>
      </c>
      <c r="H303" s="56">
        <v>0</v>
      </c>
      <c r="I303" s="5">
        <v>0</v>
      </c>
      <c r="J303" s="5">
        <v>0</v>
      </c>
      <c r="K303" s="5">
        <v>0</v>
      </c>
      <c r="L303" s="5">
        <v>572.73</v>
      </c>
      <c r="M303" s="5">
        <v>0</v>
      </c>
      <c r="N303" s="56">
        <v>0</v>
      </c>
      <c r="O303" s="56">
        <v>3300</v>
      </c>
    </row>
    <row r="304" spans="2:15">
      <c r="B304" s="3" t="s">
        <v>885</v>
      </c>
      <c r="C304" s="4" t="s">
        <v>892</v>
      </c>
      <c r="D304" s="5" t="s">
        <v>122</v>
      </c>
      <c r="E304" s="5" t="s">
        <v>123</v>
      </c>
      <c r="F304" s="5" t="s">
        <v>124</v>
      </c>
      <c r="G304" s="56">
        <v>7727.27</v>
      </c>
      <c r="H304" s="56">
        <v>0</v>
      </c>
      <c r="I304" s="5">
        <v>0</v>
      </c>
      <c r="J304" s="5">
        <v>0</v>
      </c>
      <c r="K304" s="5">
        <v>0</v>
      </c>
      <c r="L304" s="5">
        <v>1622.73</v>
      </c>
      <c r="M304" s="5">
        <v>0</v>
      </c>
      <c r="N304" s="56">
        <v>0</v>
      </c>
      <c r="O304" s="56">
        <v>9350</v>
      </c>
    </row>
    <row r="305" spans="2:15">
      <c r="B305" s="3" t="s">
        <v>885</v>
      </c>
      <c r="C305" s="4" t="s">
        <v>890</v>
      </c>
      <c r="D305" s="5" t="s">
        <v>891</v>
      </c>
      <c r="E305" s="5" t="s">
        <v>123</v>
      </c>
      <c r="F305" s="5">
        <v>32315178</v>
      </c>
      <c r="G305" s="56">
        <v>21074.38</v>
      </c>
      <c r="H305" s="56">
        <v>0</v>
      </c>
      <c r="I305" s="5">
        <v>0</v>
      </c>
      <c r="J305" s="5">
        <v>0</v>
      </c>
      <c r="K305" s="5">
        <v>0</v>
      </c>
      <c r="L305" s="5">
        <v>4425.62</v>
      </c>
      <c r="M305" s="5">
        <v>0</v>
      </c>
      <c r="N305" s="56">
        <v>0</v>
      </c>
      <c r="O305" s="56">
        <v>25500</v>
      </c>
    </row>
    <row r="306" spans="2:15">
      <c r="B306" s="3" t="s">
        <v>885</v>
      </c>
      <c r="C306" s="4" t="s">
        <v>889</v>
      </c>
      <c r="D306" s="5" t="s">
        <v>122</v>
      </c>
      <c r="E306" s="5" t="s">
        <v>123</v>
      </c>
      <c r="F306" s="5" t="s">
        <v>124</v>
      </c>
      <c r="G306" s="56">
        <v>3884.3</v>
      </c>
      <c r="H306" s="56">
        <v>0</v>
      </c>
      <c r="I306" s="5">
        <v>0</v>
      </c>
      <c r="J306" s="5">
        <v>0</v>
      </c>
      <c r="K306" s="5">
        <v>0</v>
      </c>
      <c r="L306" s="5">
        <v>815.7</v>
      </c>
      <c r="M306" s="5">
        <v>0</v>
      </c>
      <c r="N306" s="56">
        <v>0</v>
      </c>
      <c r="O306" s="56">
        <v>4700</v>
      </c>
    </row>
    <row r="307" spans="2:15">
      <c r="B307" s="3" t="s">
        <v>885</v>
      </c>
      <c r="C307" s="4" t="s">
        <v>888</v>
      </c>
      <c r="D307" s="5" t="s">
        <v>122</v>
      </c>
      <c r="E307" s="5" t="s">
        <v>123</v>
      </c>
      <c r="F307" s="5" t="s">
        <v>124</v>
      </c>
      <c r="G307" s="56">
        <v>6198.35</v>
      </c>
      <c r="H307" s="56">
        <v>0</v>
      </c>
      <c r="I307" s="5">
        <v>0</v>
      </c>
      <c r="J307" s="5">
        <v>0</v>
      </c>
      <c r="K307" s="5">
        <v>0</v>
      </c>
      <c r="L307" s="5">
        <v>1301.6500000000001</v>
      </c>
      <c r="M307" s="5">
        <v>0</v>
      </c>
      <c r="N307" s="56">
        <v>0</v>
      </c>
      <c r="O307" s="56">
        <v>7500</v>
      </c>
    </row>
    <row r="308" spans="2:15">
      <c r="B308" s="3" t="s">
        <v>885</v>
      </c>
      <c r="C308" s="4" t="s">
        <v>887</v>
      </c>
      <c r="D308" s="5" t="s">
        <v>122</v>
      </c>
      <c r="E308" s="5" t="s">
        <v>123</v>
      </c>
      <c r="F308" s="5" t="s">
        <v>124</v>
      </c>
      <c r="G308" s="56">
        <v>5537.19</v>
      </c>
      <c r="H308" s="56">
        <v>0</v>
      </c>
      <c r="I308" s="5">
        <v>0</v>
      </c>
      <c r="J308" s="5">
        <v>0</v>
      </c>
      <c r="K308" s="5">
        <v>0</v>
      </c>
      <c r="L308" s="5">
        <v>1162.81</v>
      </c>
      <c r="M308" s="5">
        <v>0</v>
      </c>
      <c r="N308" s="56">
        <v>0</v>
      </c>
      <c r="O308" s="56">
        <v>6700</v>
      </c>
    </row>
    <row r="309" spans="2:15">
      <c r="B309" s="3" t="s">
        <v>885</v>
      </c>
      <c r="C309" s="4" t="s">
        <v>886</v>
      </c>
      <c r="D309" s="5" t="s">
        <v>122</v>
      </c>
      <c r="E309" s="5" t="s">
        <v>123</v>
      </c>
      <c r="F309" s="5" t="s">
        <v>124</v>
      </c>
      <c r="G309" s="56">
        <v>3884.3</v>
      </c>
      <c r="H309" s="56">
        <v>0</v>
      </c>
      <c r="I309" s="5">
        <v>0</v>
      </c>
      <c r="J309" s="5">
        <v>0</v>
      </c>
      <c r="K309" s="5">
        <v>0</v>
      </c>
      <c r="L309" s="5">
        <v>815.7</v>
      </c>
      <c r="M309" s="5">
        <v>0</v>
      </c>
      <c r="N309" s="56">
        <v>0</v>
      </c>
      <c r="O309" s="56">
        <v>4700</v>
      </c>
    </row>
    <row r="310" spans="2:15">
      <c r="B310" s="3" t="s">
        <v>862</v>
      </c>
      <c r="C310" s="4" t="s">
        <v>874</v>
      </c>
      <c r="D310" s="5" t="s">
        <v>122</v>
      </c>
      <c r="E310" s="5" t="s">
        <v>123</v>
      </c>
      <c r="F310" s="5" t="s">
        <v>124</v>
      </c>
      <c r="G310" s="56">
        <v>4504.13</v>
      </c>
      <c r="H310" s="56">
        <v>0</v>
      </c>
      <c r="I310" s="5">
        <v>0</v>
      </c>
      <c r="J310" s="5">
        <v>0</v>
      </c>
      <c r="K310" s="5">
        <v>0</v>
      </c>
      <c r="L310" s="5">
        <v>945.87</v>
      </c>
      <c r="M310" s="5">
        <v>0</v>
      </c>
      <c r="N310" s="56">
        <v>0</v>
      </c>
      <c r="O310" s="56">
        <v>5450</v>
      </c>
    </row>
    <row r="311" spans="2:15">
      <c r="B311" s="3" t="s">
        <v>862</v>
      </c>
      <c r="C311" s="4" t="s">
        <v>873</v>
      </c>
      <c r="D311" s="5" t="s">
        <v>122</v>
      </c>
      <c r="E311" s="5" t="s">
        <v>123</v>
      </c>
      <c r="F311" s="5" t="s">
        <v>124</v>
      </c>
      <c r="G311" s="56">
        <v>12892.56</v>
      </c>
      <c r="H311" s="56">
        <v>0</v>
      </c>
      <c r="I311" s="5">
        <v>0</v>
      </c>
      <c r="J311" s="5">
        <v>0</v>
      </c>
      <c r="K311" s="5">
        <v>0</v>
      </c>
      <c r="L311" s="5">
        <v>2707.44</v>
      </c>
      <c r="M311" s="5">
        <v>0</v>
      </c>
      <c r="N311" s="56">
        <v>0</v>
      </c>
      <c r="O311" s="56">
        <v>15600</v>
      </c>
    </row>
    <row r="312" spans="2:15">
      <c r="B312" s="3" t="s">
        <v>862</v>
      </c>
      <c r="C312" s="4" t="s">
        <v>872</v>
      </c>
      <c r="D312" s="5" t="s">
        <v>122</v>
      </c>
      <c r="E312" s="5" t="s">
        <v>123</v>
      </c>
      <c r="F312" s="5" t="s">
        <v>124</v>
      </c>
      <c r="G312" s="56">
        <v>15694.21</v>
      </c>
      <c r="H312" s="56">
        <v>0</v>
      </c>
      <c r="I312" s="5">
        <v>0</v>
      </c>
      <c r="J312" s="5">
        <v>0</v>
      </c>
      <c r="K312" s="5">
        <v>0</v>
      </c>
      <c r="L312" s="5">
        <v>3295.79</v>
      </c>
      <c r="M312" s="5">
        <v>0</v>
      </c>
      <c r="N312" s="56">
        <v>0</v>
      </c>
      <c r="O312" s="56">
        <v>18990</v>
      </c>
    </row>
    <row r="313" spans="2:15">
      <c r="B313" s="3" t="s">
        <v>862</v>
      </c>
      <c r="C313" s="4" t="s">
        <v>871</v>
      </c>
      <c r="D313" s="5" t="s">
        <v>122</v>
      </c>
      <c r="E313" s="5" t="s">
        <v>123</v>
      </c>
      <c r="F313" s="5" t="s">
        <v>124</v>
      </c>
      <c r="G313" s="56">
        <v>7768.6</v>
      </c>
      <c r="H313" s="56">
        <v>0</v>
      </c>
      <c r="I313" s="5">
        <v>0</v>
      </c>
      <c r="J313" s="5">
        <v>0</v>
      </c>
      <c r="K313" s="5">
        <v>0</v>
      </c>
      <c r="L313" s="5">
        <v>1631.4</v>
      </c>
      <c r="M313" s="5">
        <v>0</v>
      </c>
      <c r="N313" s="56">
        <v>0</v>
      </c>
      <c r="O313" s="56">
        <v>9400</v>
      </c>
    </row>
    <row r="314" spans="2:15">
      <c r="B314" s="3" t="s">
        <v>862</v>
      </c>
      <c r="C314" s="4" t="s">
        <v>870</v>
      </c>
      <c r="D314" s="5" t="s">
        <v>122</v>
      </c>
      <c r="E314" s="5" t="s">
        <v>123</v>
      </c>
      <c r="F314" s="5" t="s">
        <v>124</v>
      </c>
      <c r="G314" s="56">
        <v>2231.4</v>
      </c>
      <c r="H314" s="56">
        <v>0</v>
      </c>
      <c r="I314" s="5">
        <v>0</v>
      </c>
      <c r="J314" s="5">
        <v>0</v>
      </c>
      <c r="K314" s="5">
        <v>0</v>
      </c>
      <c r="L314" s="5">
        <v>468.6</v>
      </c>
      <c r="M314" s="5">
        <v>0</v>
      </c>
      <c r="N314" s="56">
        <v>0</v>
      </c>
      <c r="O314" s="56">
        <v>2700</v>
      </c>
    </row>
    <row r="315" spans="2:15">
      <c r="B315" s="3" t="s">
        <v>862</v>
      </c>
      <c r="C315" s="4" t="s">
        <v>869</v>
      </c>
      <c r="D315" s="5" t="s">
        <v>122</v>
      </c>
      <c r="E315" s="5" t="s">
        <v>123</v>
      </c>
      <c r="F315" s="5" t="s">
        <v>124</v>
      </c>
      <c r="G315" s="56">
        <v>8264.4699999999993</v>
      </c>
      <c r="H315" s="56">
        <v>0</v>
      </c>
      <c r="I315" s="5">
        <v>0</v>
      </c>
      <c r="J315" s="5">
        <v>0</v>
      </c>
      <c r="K315" s="5">
        <v>0</v>
      </c>
      <c r="L315" s="5">
        <v>1735.53</v>
      </c>
      <c r="M315" s="5">
        <v>0</v>
      </c>
      <c r="N315" s="56">
        <v>0</v>
      </c>
      <c r="O315" s="56">
        <v>10000</v>
      </c>
    </row>
    <row r="316" spans="2:15">
      <c r="B316" s="3" t="s">
        <v>862</v>
      </c>
      <c r="C316" s="4" t="s">
        <v>868</v>
      </c>
      <c r="D316" s="5" t="s">
        <v>122</v>
      </c>
      <c r="E316" s="5" t="s">
        <v>123</v>
      </c>
      <c r="F316" s="5" t="s">
        <v>124</v>
      </c>
      <c r="G316" s="56">
        <v>2314.0500000000002</v>
      </c>
      <c r="H316" s="56">
        <v>0</v>
      </c>
      <c r="I316" s="5">
        <v>0</v>
      </c>
      <c r="J316" s="5">
        <v>0</v>
      </c>
      <c r="K316" s="5">
        <v>0</v>
      </c>
      <c r="L316" s="5">
        <v>485.95</v>
      </c>
      <c r="M316" s="5">
        <v>0</v>
      </c>
      <c r="N316" s="56">
        <v>0</v>
      </c>
      <c r="O316" s="56">
        <v>2800</v>
      </c>
    </row>
    <row r="317" spans="2:15">
      <c r="B317" s="3" t="s">
        <v>862</v>
      </c>
      <c r="C317" s="4" t="s">
        <v>867</v>
      </c>
      <c r="D317" s="5" t="s">
        <v>122</v>
      </c>
      <c r="E317" s="5" t="s">
        <v>123</v>
      </c>
      <c r="F317" s="5" t="s">
        <v>124</v>
      </c>
      <c r="G317" s="56">
        <v>6446.28</v>
      </c>
      <c r="H317" s="56">
        <v>0</v>
      </c>
      <c r="I317" s="5">
        <v>0</v>
      </c>
      <c r="J317" s="5">
        <v>0</v>
      </c>
      <c r="K317" s="5">
        <v>0</v>
      </c>
      <c r="L317" s="5">
        <v>1353.72</v>
      </c>
      <c r="M317" s="5">
        <v>0</v>
      </c>
      <c r="N317" s="56">
        <v>0</v>
      </c>
      <c r="O317" s="56">
        <v>7800</v>
      </c>
    </row>
    <row r="318" spans="2:15">
      <c r="B318" s="3" t="s">
        <v>862</v>
      </c>
      <c r="C318" s="4" t="s">
        <v>866</v>
      </c>
      <c r="D318" s="5" t="s">
        <v>122</v>
      </c>
      <c r="E318" s="5" t="s">
        <v>123</v>
      </c>
      <c r="F318" s="5" t="s">
        <v>124</v>
      </c>
      <c r="G318" s="56">
        <v>7272.73</v>
      </c>
      <c r="H318" s="56">
        <v>0</v>
      </c>
      <c r="I318" s="5">
        <v>0</v>
      </c>
      <c r="J318" s="5">
        <v>0</v>
      </c>
      <c r="K318" s="5">
        <v>0</v>
      </c>
      <c r="L318" s="5">
        <v>1527.27</v>
      </c>
      <c r="M318" s="5">
        <v>0</v>
      </c>
      <c r="N318" s="56">
        <v>0</v>
      </c>
      <c r="O318" s="56">
        <v>8800</v>
      </c>
    </row>
    <row r="319" spans="2:15">
      <c r="B319" s="3" t="s">
        <v>862</v>
      </c>
      <c r="C319" s="4" t="s">
        <v>865</v>
      </c>
      <c r="D319" s="5" t="s">
        <v>122</v>
      </c>
      <c r="E319" s="5" t="s">
        <v>123</v>
      </c>
      <c r="F319" s="5" t="s">
        <v>124</v>
      </c>
      <c r="G319" s="56">
        <v>9710.75</v>
      </c>
      <c r="H319" s="56">
        <v>0</v>
      </c>
      <c r="I319" s="5">
        <v>0</v>
      </c>
      <c r="J319" s="5">
        <v>0</v>
      </c>
      <c r="K319" s="5">
        <v>0</v>
      </c>
      <c r="L319" s="5">
        <v>2039.25</v>
      </c>
      <c r="M319" s="5">
        <v>0</v>
      </c>
      <c r="N319" s="56">
        <v>0</v>
      </c>
      <c r="O319" s="56">
        <v>11750</v>
      </c>
    </row>
    <row r="320" spans="2:15">
      <c r="B320" s="3" t="s">
        <v>862</v>
      </c>
      <c r="C320" s="4" t="s">
        <v>864</v>
      </c>
      <c r="D320" s="5" t="s">
        <v>122</v>
      </c>
      <c r="E320" s="5" t="s">
        <v>123</v>
      </c>
      <c r="F320" s="5" t="s">
        <v>124</v>
      </c>
      <c r="G320" s="56">
        <v>4958.68</v>
      </c>
      <c r="H320" s="56">
        <v>0</v>
      </c>
      <c r="I320" s="5">
        <v>0</v>
      </c>
      <c r="J320" s="5">
        <v>0</v>
      </c>
      <c r="K320" s="5">
        <v>0</v>
      </c>
      <c r="L320" s="5">
        <v>1041.32</v>
      </c>
      <c r="M320" s="5">
        <v>0</v>
      </c>
      <c r="N320" s="56">
        <v>0</v>
      </c>
      <c r="O320" s="56">
        <v>6000</v>
      </c>
    </row>
    <row r="321" spans="2:15">
      <c r="B321" s="3" t="s">
        <v>862</v>
      </c>
      <c r="C321" s="4" t="s">
        <v>863</v>
      </c>
      <c r="D321" s="5" t="s">
        <v>122</v>
      </c>
      <c r="E321" s="5" t="s">
        <v>123</v>
      </c>
      <c r="F321" s="5" t="s">
        <v>124</v>
      </c>
      <c r="G321" s="56">
        <v>3884.3</v>
      </c>
      <c r="H321" s="56">
        <v>0</v>
      </c>
      <c r="I321" s="5">
        <v>0</v>
      </c>
      <c r="J321" s="5">
        <v>0</v>
      </c>
      <c r="K321" s="5">
        <v>0</v>
      </c>
      <c r="L321" s="5">
        <v>815.7</v>
      </c>
      <c r="M321" s="5">
        <v>0</v>
      </c>
      <c r="N321" s="56">
        <v>0</v>
      </c>
      <c r="O321" s="56">
        <v>4700</v>
      </c>
    </row>
    <row r="322" spans="2:15">
      <c r="B322" s="13" t="s">
        <v>432</v>
      </c>
      <c r="C322" s="13" t="s">
        <v>433</v>
      </c>
      <c r="D322" s="13" t="s">
        <v>434</v>
      </c>
      <c r="E322" s="13" t="s">
        <v>435</v>
      </c>
      <c r="F322" s="13" t="s">
        <v>436</v>
      </c>
      <c r="G322" s="14">
        <f t="shared" ref="G322:O322" si="0">SUM(G3:G321)</f>
        <v>30156054.630000029</v>
      </c>
      <c r="H322" s="14">
        <f t="shared" si="0"/>
        <v>0</v>
      </c>
      <c r="I322" s="14">
        <f t="shared" si="0"/>
        <v>0</v>
      </c>
      <c r="J322" s="14">
        <f t="shared" si="0"/>
        <v>0</v>
      </c>
      <c r="K322" s="14">
        <f t="shared" si="0"/>
        <v>0</v>
      </c>
      <c r="L322" s="14">
        <f t="shared" si="0"/>
        <v>6332771.4299999941</v>
      </c>
      <c r="M322" s="14">
        <f t="shared" si="0"/>
        <v>0</v>
      </c>
      <c r="N322" s="14">
        <f t="shared" si="0"/>
        <v>0</v>
      </c>
      <c r="O322" s="14">
        <f t="shared" si="0"/>
        <v>36488826.060000002</v>
      </c>
    </row>
  </sheetData>
  <sortState ref="B3:O321">
    <sortCondition descending="1" ref="C3:C3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80"/>
  <sheetViews>
    <sheetView workbookViewId="0">
      <selection activeCell="C19" sqref="C19"/>
    </sheetView>
  </sheetViews>
  <sheetFormatPr baseColWidth="10" defaultRowHeight="15"/>
  <cols>
    <col min="3" max="3" width="21.85546875" customWidth="1"/>
    <col min="4" max="4" width="31" customWidth="1"/>
    <col min="5" max="5" width="24.140625" customWidth="1"/>
    <col min="6" max="6" width="16.5703125" customWidth="1"/>
    <col min="7" max="7" width="15.5703125" bestFit="1" customWidth="1"/>
    <col min="8" max="8" width="13.85546875" customWidth="1"/>
    <col min="9" max="9" width="9.5703125" customWidth="1"/>
    <col min="10" max="10" width="7.85546875" customWidth="1"/>
    <col min="11" max="11" width="9.85546875" customWidth="1"/>
    <col min="12" max="12" width="17.85546875" customWidth="1"/>
    <col min="13" max="13" width="10.140625" customWidth="1"/>
    <col min="15" max="15" width="15.5703125" bestFit="1" customWidth="1"/>
  </cols>
  <sheetData>
    <row r="2" spans="2: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>
      <c r="B3" s="40" t="s">
        <v>1228</v>
      </c>
      <c r="C3" s="51" t="s">
        <v>1229</v>
      </c>
      <c r="D3" s="41" t="s">
        <v>16</v>
      </c>
      <c r="E3" s="41" t="s">
        <v>17</v>
      </c>
      <c r="F3" s="41">
        <v>30522428163</v>
      </c>
      <c r="G3" s="42">
        <v>2255702.48</v>
      </c>
      <c r="H3" s="42">
        <v>0</v>
      </c>
      <c r="I3" s="41">
        <v>0</v>
      </c>
      <c r="J3" s="41">
        <v>0</v>
      </c>
      <c r="K3" s="41">
        <v>0</v>
      </c>
      <c r="L3" s="41">
        <v>473697.52</v>
      </c>
      <c r="M3" s="41">
        <v>0</v>
      </c>
      <c r="N3" s="42">
        <v>0</v>
      </c>
      <c r="O3" s="42">
        <v>2729400</v>
      </c>
    </row>
    <row r="4" spans="2:15">
      <c r="B4" s="43" t="s">
        <v>1230</v>
      </c>
      <c r="C4" s="44" t="s">
        <v>1231</v>
      </c>
      <c r="D4" s="45" t="s">
        <v>16</v>
      </c>
      <c r="E4" s="45" t="s">
        <v>17</v>
      </c>
      <c r="F4" s="45">
        <v>30522428163</v>
      </c>
      <c r="G4" s="46">
        <v>2277296.4900000002</v>
      </c>
      <c r="H4" s="46">
        <v>0</v>
      </c>
      <c r="I4" s="45">
        <v>0</v>
      </c>
      <c r="J4" s="45">
        <v>0</v>
      </c>
      <c r="K4" s="45">
        <v>0</v>
      </c>
      <c r="L4" s="45">
        <v>478232.26</v>
      </c>
      <c r="M4" s="45">
        <v>0</v>
      </c>
      <c r="N4" s="46">
        <v>0</v>
      </c>
      <c r="O4" s="46">
        <v>2755528.75</v>
      </c>
    </row>
    <row r="5" spans="2:15">
      <c r="B5" s="43" t="s">
        <v>1232</v>
      </c>
      <c r="C5" s="44" t="s">
        <v>1233</v>
      </c>
      <c r="D5" s="45" t="s">
        <v>16</v>
      </c>
      <c r="E5" s="45" t="s">
        <v>17</v>
      </c>
      <c r="F5" s="45">
        <v>30522428163</v>
      </c>
      <c r="G5" s="46">
        <v>3709834.71</v>
      </c>
      <c r="H5" s="46">
        <v>0</v>
      </c>
      <c r="I5" s="45">
        <v>0</v>
      </c>
      <c r="J5" s="45">
        <v>0</v>
      </c>
      <c r="K5" s="45">
        <v>0</v>
      </c>
      <c r="L5" s="45">
        <v>779065.28</v>
      </c>
      <c r="M5" s="45">
        <v>0</v>
      </c>
      <c r="N5" s="46">
        <v>0</v>
      </c>
      <c r="O5" s="46">
        <v>4488899.99</v>
      </c>
    </row>
    <row r="6" spans="2:15">
      <c r="B6" s="43" t="s">
        <v>1234</v>
      </c>
      <c r="C6" s="44" t="s">
        <v>1235</v>
      </c>
      <c r="D6" s="45" t="s">
        <v>16</v>
      </c>
      <c r="E6" s="45" t="s">
        <v>17</v>
      </c>
      <c r="F6" s="45">
        <v>30522428163</v>
      </c>
      <c r="G6" s="46">
        <v>4331404.95</v>
      </c>
      <c r="H6" s="46">
        <v>0</v>
      </c>
      <c r="I6" s="45">
        <v>0</v>
      </c>
      <c r="J6" s="45">
        <v>0</v>
      </c>
      <c r="K6" s="45">
        <v>0</v>
      </c>
      <c r="L6" s="45">
        <v>909595.06</v>
      </c>
      <c r="M6" s="45">
        <v>0</v>
      </c>
      <c r="N6" s="46">
        <v>0</v>
      </c>
      <c r="O6" s="46">
        <v>5241000.01</v>
      </c>
    </row>
    <row r="7" spans="2:15">
      <c r="B7" s="43" t="s">
        <v>1236</v>
      </c>
      <c r="C7" s="44" t="s">
        <v>1237</v>
      </c>
      <c r="D7" s="45" t="s">
        <v>16</v>
      </c>
      <c r="E7" s="45" t="s">
        <v>17</v>
      </c>
      <c r="F7" s="45">
        <v>30522428163</v>
      </c>
      <c r="G7" s="46">
        <v>3596198.36</v>
      </c>
      <c r="H7" s="46">
        <v>0</v>
      </c>
      <c r="I7" s="45">
        <v>0</v>
      </c>
      <c r="J7" s="45">
        <v>0</v>
      </c>
      <c r="K7" s="45">
        <v>0</v>
      </c>
      <c r="L7" s="45">
        <v>755201.65</v>
      </c>
      <c r="M7" s="45">
        <v>0</v>
      </c>
      <c r="N7" s="46">
        <v>0</v>
      </c>
      <c r="O7" s="46">
        <v>4351400.01</v>
      </c>
    </row>
    <row r="8" spans="2:15">
      <c r="B8" s="43" t="s">
        <v>1238</v>
      </c>
      <c r="C8" s="44" t="s">
        <v>1239</v>
      </c>
      <c r="D8" s="45" t="s">
        <v>16</v>
      </c>
      <c r="E8" s="45" t="s">
        <v>17</v>
      </c>
      <c r="F8" s="45">
        <v>30522428163</v>
      </c>
      <c r="G8" s="46">
        <v>5489495.8700000001</v>
      </c>
      <c r="H8" s="46">
        <v>0</v>
      </c>
      <c r="I8" s="45">
        <v>0</v>
      </c>
      <c r="J8" s="45">
        <v>0</v>
      </c>
      <c r="K8" s="45">
        <v>0</v>
      </c>
      <c r="L8" s="45">
        <v>1152794.1200000001</v>
      </c>
      <c r="M8" s="45">
        <v>0</v>
      </c>
      <c r="N8" s="46">
        <v>0</v>
      </c>
      <c r="O8" s="46">
        <v>6642289.9900000002</v>
      </c>
    </row>
    <row r="9" spans="2:15">
      <c r="B9" s="43" t="s">
        <v>1234</v>
      </c>
      <c r="C9" s="44" t="s">
        <v>1240</v>
      </c>
      <c r="D9" s="45" t="s">
        <v>16</v>
      </c>
      <c r="E9" s="45" t="s">
        <v>17</v>
      </c>
      <c r="F9" s="45">
        <v>30522428163</v>
      </c>
      <c r="G9" s="46">
        <v>2763719</v>
      </c>
      <c r="H9" s="46">
        <v>0</v>
      </c>
      <c r="I9" s="45">
        <v>0</v>
      </c>
      <c r="J9" s="45">
        <v>0</v>
      </c>
      <c r="K9" s="45">
        <v>0</v>
      </c>
      <c r="L9" s="45">
        <v>580380.99</v>
      </c>
      <c r="M9" s="45">
        <v>0</v>
      </c>
      <c r="N9" s="46">
        <v>0</v>
      </c>
      <c r="O9" s="46">
        <v>3344099.99</v>
      </c>
    </row>
    <row r="10" spans="2:15">
      <c r="B10" s="43" t="s">
        <v>1228</v>
      </c>
      <c r="C10" s="44" t="s">
        <v>1241</v>
      </c>
      <c r="D10" s="45" t="s">
        <v>1242</v>
      </c>
      <c r="E10" s="45" t="s">
        <v>17</v>
      </c>
      <c r="F10" s="45">
        <v>30716157586</v>
      </c>
      <c r="G10" s="46">
        <v>105785.12</v>
      </c>
      <c r="H10" s="46">
        <v>0</v>
      </c>
      <c r="I10" s="45">
        <v>0</v>
      </c>
      <c r="J10" s="45">
        <v>0</v>
      </c>
      <c r="K10" s="45">
        <v>0</v>
      </c>
      <c r="L10" s="45">
        <v>22214.880000000001</v>
      </c>
      <c r="M10" s="45">
        <v>0</v>
      </c>
      <c r="N10" s="46">
        <v>0</v>
      </c>
      <c r="O10" s="46">
        <v>128000</v>
      </c>
    </row>
    <row r="11" spans="2:15">
      <c r="B11" s="43" t="s">
        <v>1230</v>
      </c>
      <c r="C11" s="44" t="s">
        <v>1243</v>
      </c>
      <c r="D11" s="45" t="s">
        <v>16</v>
      </c>
      <c r="E11" s="45" t="s">
        <v>17</v>
      </c>
      <c r="F11" s="45">
        <v>30522428163</v>
      </c>
      <c r="G11" s="46">
        <v>42544.3</v>
      </c>
      <c r="H11" s="46">
        <v>0</v>
      </c>
      <c r="I11" s="45">
        <v>0</v>
      </c>
      <c r="J11" s="45">
        <v>0</v>
      </c>
      <c r="K11" s="45">
        <v>0</v>
      </c>
      <c r="L11" s="45">
        <v>8934.3000000000011</v>
      </c>
      <c r="M11" s="45">
        <v>0</v>
      </c>
      <c r="N11" s="46">
        <v>0</v>
      </c>
      <c r="O11" s="46">
        <v>51478.6</v>
      </c>
    </row>
    <row r="12" spans="2:15">
      <c r="B12" s="43" t="s">
        <v>1230</v>
      </c>
      <c r="C12" s="44" t="s">
        <v>1244</v>
      </c>
      <c r="D12" s="45" t="s">
        <v>16</v>
      </c>
      <c r="E12" s="45" t="s">
        <v>17</v>
      </c>
      <c r="F12" s="45">
        <v>30522428163</v>
      </c>
      <c r="G12" s="46">
        <v>336997.36</v>
      </c>
      <c r="H12" s="46">
        <v>0</v>
      </c>
      <c r="I12" s="45">
        <v>0</v>
      </c>
      <c r="J12" s="45">
        <v>0</v>
      </c>
      <c r="K12" s="45">
        <v>0</v>
      </c>
      <c r="L12" s="45">
        <v>70769.45</v>
      </c>
      <c r="M12" s="45">
        <v>0</v>
      </c>
      <c r="N12" s="46">
        <v>0</v>
      </c>
      <c r="O12" s="46">
        <v>407766.81</v>
      </c>
    </row>
    <row r="13" spans="2:15">
      <c r="B13" s="43" t="s">
        <v>1230</v>
      </c>
      <c r="C13" s="44" t="s">
        <v>1245</v>
      </c>
      <c r="D13" s="45" t="s">
        <v>16</v>
      </c>
      <c r="E13" s="45" t="s">
        <v>17</v>
      </c>
      <c r="F13" s="45">
        <v>30522428163</v>
      </c>
      <c r="G13" s="46">
        <v>344263.8</v>
      </c>
      <c r="H13" s="46">
        <v>0</v>
      </c>
      <c r="I13" s="45">
        <v>0</v>
      </c>
      <c r="J13" s="45">
        <v>0</v>
      </c>
      <c r="K13" s="45">
        <v>0</v>
      </c>
      <c r="L13" s="45">
        <v>72295.400000000009</v>
      </c>
      <c r="M13" s="45">
        <v>0</v>
      </c>
      <c r="N13" s="46">
        <v>0</v>
      </c>
      <c r="O13" s="46">
        <v>416559.2</v>
      </c>
    </row>
    <row r="14" spans="2:15">
      <c r="B14" s="43" t="s">
        <v>1230</v>
      </c>
      <c r="C14" s="44" t="s">
        <v>1246</v>
      </c>
      <c r="D14" s="45" t="s">
        <v>16</v>
      </c>
      <c r="E14" s="45" t="s">
        <v>17</v>
      </c>
      <c r="F14" s="45">
        <v>30522428163</v>
      </c>
      <c r="G14" s="46">
        <v>36033.06</v>
      </c>
      <c r="H14" s="46">
        <v>0</v>
      </c>
      <c r="I14" s="45">
        <v>0</v>
      </c>
      <c r="J14" s="45">
        <v>0</v>
      </c>
      <c r="K14" s="45">
        <v>0</v>
      </c>
      <c r="L14" s="45">
        <v>7566.94</v>
      </c>
      <c r="M14" s="45">
        <v>0</v>
      </c>
      <c r="N14" s="46">
        <v>0</v>
      </c>
      <c r="O14" s="46">
        <v>43600</v>
      </c>
    </row>
    <row r="15" spans="2:15">
      <c r="B15" s="43" t="s">
        <v>1230</v>
      </c>
      <c r="C15" s="44" t="s">
        <v>1247</v>
      </c>
      <c r="D15" s="45" t="s">
        <v>16</v>
      </c>
      <c r="E15" s="45" t="s">
        <v>17</v>
      </c>
      <c r="F15" s="45">
        <v>30522428163</v>
      </c>
      <c r="G15" s="46">
        <v>133899.54999999999</v>
      </c>
      <c r="H15" s="46">
        <v>0</v>
      </c>
      <c r="I15" s="45">
        <v>0</v>
      </c>
      <c r="J15" s="45">
        <v>0</v>
      </c>
      <c r="K15" s="45">
        <v>0</v>
      </c>
      <c r="L15" s="45">
        <v>28118.91</v>
      </c>
      <c r="M15" s="45">
        <v>0</v>
      </c>
      <c r="N15" s="46">
        <v>0</v>
      </c>
      <c r="O15" s="46">
        <v>162018.46</v>
      </c>
    </row>
    <row r="16" spans="2:15">
      <c r="B16" s="43" t="s">
        <v>1248</v>
      </c>
      <c r="C16" s="44" t="s">
        <v>1249</v>
      </c>
      <c r="D16" s="45" t="s">
        <v>16</v>
      </c>
      <c r="E16" s="45" t="s">
        <v>17</v>
      </c>
      <c r="F16" s="45">
        <v>30522428163</v>
      </c>
      <c r="G16" s="46">
        <v>280171.8</v>
      </c>
      <c r="H16" s="46">
        <v>0</v>
      </c>
      <c r="I16" s="45">
        <v>0</v>
      </c>
      <c r="J16" s="45">
        <v>0</v>
      </c>
      <c r="K16" s="45">
        <v>0</v>
      </c>
      <c r="L16" s="45">
        <v>58836.08</v>
      </c>
      <c r="M16" s="45">
        <v>0</v>
      </c>
      <c r="N16" s="46">
        <v>0</v>
      </c>
      <c r="O16" s="46">
        <v>339007.88</v>
      </c>
    </row>
    <row r="17" spans="2:15">
      <c r="B17" s="43" t="s">
        <v>1248</v>
      </c>
      <c r="C17" s="44" t="s">
        <v>1250</v>
      </c>
      <c r="D17" s="45" t="s">
        <v>16</v>
      </c>
      <c r="E17" s="45" t="s">
        <v>17</v>
      </c>
      <c r="F17" s="45">
        <v>30522428163</v>
      </c>
      <c r="G17" s="46">
        <v>59586.78</v>
      </c>
      <c r="H17" s="46">
        <v>0</v>
      </c>
      <c r="I17" s="45">
        <v>0</v>
      </c>
      <c r="J17" s="45">
        <v>0</v>
      </c>
      <c r="K17" s="45">
        <v>0</v>
      </c>
      <c r="L17" s="45">
        <v>12513.22</v>
      </c>
      <c r="M17" s="45">
        <v>0</v>
      </c>
      <c r="N17" s="46">
        <v>0</v>
      </c>
      <c r="O17" s="46">
        <v>72100</v>
      </c>
    </row>
    <row r="18" spans="2:15">
      <c r="B18" s="43" t="s">
        <v>1251</v>
      </c>
      <c r="C18" s="44" t="s">
        <v>1252</v>
      </c>
      <c r="D18" s="45" t="s">
        <v>72</v>
      </c>
      <c r="E18" s="45" t="s">
        <v>17</v>
      </c>
      <c r="F18" s="45">
        <v>30657418877</v>
      </c>
      <c r="G18" s="46">
        <v>2892.56</v>
      </c>
      <c r="H18" s="46">
        <v>0</v>
      </c>
      <c r="I18" s="45">
        <v>0</v>
      </c>
      <c r="J18" s="45">
        <v>0</v>
      </c>
      <c r="K18" s="45">
        <v>0</v>
      </c>
      <c r="L18" s="45">
        <v>607.44000000000005</v>
      </c>
      <c r="M18" s="45">
        <v>0</v>
      </c>
      <c r="N18" s="46">
        <v>0</v>
      </c>
      <c r="O18" s="46">
        <v>3500</v>
      </c>
    </row>
    <row r="19" spans="2:15">
      <c r="B19" s="43" t="s">
        <v>1251</v>
      </c>
      <c r="C19" s="44" t="s">
        <v>1253</v>
      </c>
      <c r="D19" s="45" t="s">
        <v>60</v>
      </c>
      <c r="E19" s="45" t="s">
        <v>17</v>
      </c>
      <c r="F19" s="45">
        <v>30710538014</v>
      </c>
      <c r="G19" s="46">
        <v>16202.48</v>
      </c>
      <c r="H19" s="46">
        <v>0</v>
      </c>
      <c r="I19" s="45">
        <v>0</v>
      </c>
      <c r="J19" s="45">
        <v>0</v>
      </c>
      <c r="K19" s="45">
        <v>0</v>
      </c>
      <c r="L19" s="45">
        <v>3402.52</v>
      </c>
      <c r="M19" s="45">
        <v>0</v>
      </c>
      <c r="N19" s="46">
        <v>0</v>
      </c>
      <c r="O19" s="46">
        <v>19605</v>
      </c>
    </row>
    <row r="20" spans="2:15">
      <c r="B20" s="43" t="s">
        <v>1251</v>
      </c>
      <c r="C20" s="44" t="s">
        <v>1254</v>
      </c>
      <c r="D20" s="45" t="s">
        <v>62</v>
      </c>
      <c r="E20" s="45" t="s">
        <v>17</v>
      </c>
      <c r="F20" s="45">
        <v>30713669004</v>
      </c>
      <c r="G20" s="46">
        <v>13541.32</v>
      </c>
      <c r="H20" s="46">
        <v>0</v>
      </c>
      <c r="I20" s="45">
        <v>0</v>
      </c>
      <c r="J20" s="45">
        <v>0</v>
      </c>
      <c r="K20" s="45">
        <v>0</v>
      </c>
      <c r="L20" s="45">
        <v>2843.68</v>
      </c>
      <c r="M20" s="45">
        <v>0</v>
      </c>
      <c r="N20" s="46">
        <v>0</v>
      </c>
      <c r="O20" s="46">
        <v>16385</v>
      </c>
    </row>
    <row r="21" spans="2:15">
      <c r="B21" s="43" t="s">
        <v>1255</v>
      </c>
      <c r="C21" s="44" t="s">
        <v>1256</v>
      </c>
      <c r="D21" s="45" t="s">
        <v>57</v>
      </c>
      <c r="E21" s="45" t="s">
        <v>17</v>
      </c>
      <c r="F21" s="45">
        <v>30715186655</v>
      </c>
      <c r="G21" s="46">
        <v>68300</v>
      </c>
      <c r="H21" s="46">
        <v>0</v>
      </c>
      <c r="I21" s="45">
        <v>0</v>
      </c>
      <c r="J21" s="45">
        <v>0</v>
      </c>
      <c r="K21" s="45">
        <v>0</v>
      </c>
      <c r="L21" s="45">
        <v>14343</v>
      </c>
      <c r="M21" s="45">
        <v>0</v>
      </c>
      <c r="N21" s="46">
        <v>0</v>
      </c>
      <c r="O21" s="46">
        <v>82643</v>
      </c>
    </row>
    <row r="22" spans="2:15">
      <c r="B22" s="43" t="s">
        <v>1255</v>
      </c>
      <c r="C22" s="44" t="s">
        <v>1257</v>
      </c>
      <c r="D22" s="45" t="s">
        <v>57</v>
      </c>
      <c r="E22" s="45" t="s">
        <v>17</v>
      </c>
      <c r="F22" s="45">
        <v>30715186655</v>
      </c>
      <c r="G22" s="46">
        <v>2066.12</v>
      </c>
      <c r="H22" s="46">
        <v>0</v>
      </c>
      <c r="I22" s="45">
        <v>0</v>
      </c>
      <c r="J22" s="45">
        <v>0</v>
      </c>
      <c r="K22" s="45">
        <v>0</v>
      </c>
      <c r="L22" s="45">
        <v>433.89</v>
      </c>
      <c r="M22" s="45">
        <v>0</v>
      </c>
      <c r="N22" s="46">
        <v>0</v>
      </c>
      <c r="O22" s="46">
        <v>2500.0100000000002</v>
      </c>
    </row>
    <row r="23" spans="2:15">
      <c r="B23" s="43" t="s">
        <v>1255</v>
      </c>
      <c r="C23" s="44" t="s">
        <v>1258</v>
      </c>
      <c r="D23" s="45" t="s">
        <v>66</v>
      </c>
      <c r="E23" s="45" t="s">
        <v>17</v>
      </c>
      <c r="F23" s="45">
        <v>30710961790</v>
      </c>
      <c r="G23" s="46">
        <v>49104.3</v>
      </c>
      <c r="H23" s="46">
        <v>0</v>
      </c>
      <c r="I23" s="45">
        <v>0</v>
      </c>
      <c r="J23" s="45">
        <v>0</v>
      </c>
      <c r="K23" s="45">
        <v>0</v>
      </c>
      <c r="L23" s="45">
        <v>10311.9</v>
      </c>
      <c r="M23" s="45">
        <v>0</v>
      </c>
      <c r="N23" s="46">
        <v>0</v>
      </c>
      <c r="O23" s="46">
        <v>59416.2</v>
      </c>
    </row>
    <row r="24" spans="2:15">
      <c r="B24" s="43" t="s">
        <v>1255</v>
      </c>
      <c r="C24" s="44" t="s">
        <v>1259</v>
      </c>
      <c r="D24" s="45" t="s">
        <v>33</v>
      </c>
      <c r="E24" s="45" t="s">
        <v>17</v>
      </c>
      <c r="F24" s="45">
        <v>30683032227</v>
      </c>
      <c r="G24" s="46">
        <v>254838.27</v>
      </c>
      <c r="H24" s="46">
        <v>0</v>
      </c>
      <c r="I24" s="45">
        <v>0</v>
      </c>
      <c r="J24" s="45">
        <v>0</v>
      </c>
      <c r="K24" s="45">
        <v>0</v>
      </c>
      <c r="L24" s="45">
        <v>53516.04</v>
      </c>
      <c r="M24" s="45">
        <v>0</v>
      </c>
      <c r="N24" s="46">
        <v>0</v>
      </c>
      <c r="O24" s="46">
        <v>308354.31</v>
      </c>
    </row>
    <row r="25" spans="2:15">
      <c r="B25" s="43" t="s">
        <v>1255</v>
      </c>
      <c r="C25" s="44" t="s">
        <v>1260</v>
      </c>
      <c r="D25" s="45" t="s">
        <v>33</v>
      </c>
      <c r="E25" s="45" t="s">
        <v>17</v>
      </c>
      <c r="F25" s="45">
        <v>30683032227</v>
      </c>
      <c r="G25" s="46">
        <v>17101.599999999999</v>
      </c>
      <c r="H25" s="46">
        <v>0</v>
      </c>
      <c r="I25" s="45">
        <v>0</v>
      </c>
      <c r="J25" s="45">
        <v>0</v>
      </c>
      <c r="K25" s="45">
        <v>0</v>
      </c>
      <c r="L25" s="45">
        <v>3591.34</v>
      </c>
      <c r="M25" s="45">
        <v>0</v>
      </c>
      <c r="N25" s="46">
        <v>0</v>
      </c>
      <c r="O25" s="46">
        <v>20692.939999999999</v>
      </c>
    </row>
    <row r="26" spans="2:15">
      <c r="B26" s="43" t="s">
        <v>1255</v>
      </c>
      <c r="C26" s="44" t="s">
        <v>1261</v>
      </c>
      <c r="D26" s="45" t="s">
        <v>64</v>
      </c>
      <c r="E26" s="45" t="s">
        <v>17</v>
      </c>
      <c r="F26" s="45">
        <v>30546771314</v>
      </c>
      <c r="G26" s="46">
        <v>10360.33</v>
      </c>
      <c r="H26" s="46">
        <v>0</v>
      </c>
      <c r="I26" s="45">
        <v>0</v>
      </c>
      <c r="J26" s="45">
        <v>0</v>
      </c>
      <c r="K26" s="45">
        <v>0</v>
      </c>
      <c r="L26" s="45">
        <v>2175.67</v>
      </c>
      <c r="M26" s="45">
        <v>0</v>
      </c>
      <c r="N26" s="46">
        <v>0</v>
      </c>
      <c r="O26" s="46">
        <v>12536</v>
      </c>
    </row>
    <row r="27" spans="2:15">
      <c r="B27" s="43" t="s">
        <v>1255</v>
      </c>
      <c r="C27" s="44" t="s">
        <v>1262</v>
      </c>
      <c r="D27" s="45" t="s">
        <v>68</v>
      </c>
      <c r="E27" s="45" t="s">
        <v>17</v>
      </c>
      <c r="F27" s="45">
        <v>30711244383</v>
      </c>
      <c r="G27" s="46">
        <v>6085.69</v>
      </c>
      <c r="H27" s="46">
        <v>0</v>
      </c>
      <c r="I27" s="45">
        <v>0</v>
      </c>
      <c r="J27" s="45">
        <v>0</v>
      </c>
      <c r="K27" s="45">
        <v>0</v>
      </c>
      <c r="L27" s="45">
        <v>1277.99</v>
      </c>
      <c r="M27" s="45">
        <v>0</v>
      </c>
      <c r="N27" s="46">
        <v>0</v>
      </c>
      <c r="O27" s="46">
        <v>7363.68</v>
      </c>
    </row>
    <row r="28" spans="2:15">
      <c r="B28" s="43" t="s">
        <v>1255</v>
      </c>
      <c r="C28" s="44" t="s">
        <v>1263</v>
      </c>
      <c r="D28" s="45" t="s">
        <v>70</v>
      </c>
      <c r="E28" s="45" t="s">
        <v>17</v>
      </c>
      <c r="F28" s="45">
        <v>30645337979</v>
      </c>
      <c r="G28" s="46">
        <v>11215.39</v>
      </c>
      <c r="H28" s="46">
        <v>0</v>
      </c>
      <c r="I28" s="45">
        <v>0</v>
      </c>
      <c r="J28" s="45">
        <v>0</v>
      </c>
      <c r="K28" s="45">
        <v>0</v>
      </c>
      <c r="L28" s="45">
        <v>2355.23</v>
      </c>
      <c r="M28" s="45">
        <v>0</v>
      </c>
      <c r="N28" s="46">
        <v>0</v>
      </c>
      <c r="O28" s="46">
        <v>13570.62</v>
      </c>
    </row>
    <row r="29" spans="2:15">
      <c r="B29" s="43" t="s">
        <v>1255</v>
      </c>
      <c r="C29" s="44" t="s">
        <v>1264</v>
      </c>
      <c r="D29" s="45" t="s">
        <v>74</v>
      </c>
      <c r="E29" s="45" t="s">
        <v>17</v>
      </c>
      <c r="F29" s="45">
        <v>30707612971</v>
      </c>
      <c r="G29" s="46">
        <v>9465.2100000000009</v>
      </c>
      <c r="H29" s="46">
        <v>0</v>
      </c>
      <c r="I29" s="45">
        <v>0</v>
      </c>
      <c r="J29" s="45">
        <v>0</v>
      </c>
      <c r="K29" s="45">
        <v>0</v>
      </c>
      <c r="L29" s="45">
        <v>1987.69</v>
      </c>
      <c r="M29" s="45">
        <v>0</v>
      </c>
      <c r="N29" s="46">
        <v>0</v>
      </c>
      <c r="O29" s="46">
        <v>11452.9</v>
      </c>
    </row>
    <row r="30" spans="2:15">
      <c r="B30" s="43" t="s">
        <v>1255</v>
      </c>
      <c r="C30" s="44" t="s">
        <v>1265</v>
      </c>
      <c r="D30" s="45" t="s">
        <v>33</v>
      </c>
      <c r="E30" s="45" t="s">
        <v>17</v>
      </c>
      <c r="F30" s="45">
        <v>30683032227</v>
      </c>
      <c r="G30" s="46">
        <v>95206.6</v>
      </c>
      <c r="H30" s="46">
        <v>0</v>
      </c>
      <c r="I30" s="45">
        <v>0</v>
      </c>
      <c r="J30" s="45">
        <v>0</v>
      </c>
      <c r="K30" s="45">
        <v>0</v>
      </c>
      <c r="L30" s="45">
        <v>19993.38</v>
      </c>
      <c r="M30" s="45">
        <v>0</v>
      </c>
      <c r="N30" s="46">
        <v>0</v>
      </c>
      <c r="O30" s="46">
        <v>115199.98</v>
      </c>
    </row>
    <row r="31" spans="2:15">
      <c r="B31" s="43" t="s">
        <v>1255</v>
      </c>
      <c r="C31" s="44" t="s">
        <v>1266</v>
      </c>
      <c r="D31" s="45" t="s">
        <v>33</v>
      </c>
      <c r="E31" s="45" t="s">
        <v>17</v>
      </c>
      <c r="F31" s="45">
        <v>30683032227</v>
      </c>
      <c r="G31" s="46">
        <v>18595.04</v>
      </c>
      <c r="H31" s="46">
        <v>0</v>
      </c>
      <c r="I31" s="45">
        <v>0</v>
      </c>
      <c r="J31" s="45">
        <v>0</v>
      </c>
      <c r="K31" s="45">
        <v>0</v>
      </c>
      <c r="L31" s="45">
        <v>3904.96</v>
      </c>
      <c r="M31" s="45">
        <v>0</v>
      </c>
      <c r="N31" s="46">
        <v>0</v>
      </c>
      <c r="O31" s="46">
        <v>22500</v>
      </c>
    </row>
    <row r="32" spans="2:15">
      <c r="B32" s="43" t="s">
        <v>1255</v>
      </c>
      <c r="C32" s="44" t="s">
        <v>1267</v>
      </c>
      <c r="D32" s="45" t="s">
        <v>98</v>
      </c>
      <c r="E32" s="45" t="s">
        <v>17</v>
      </c>
      <c r="F32" s="45">
        <v>30707118454</v>
      </c>
      <c r="G32" s="46">
        <v>4331.41</v>
      </c>
      <c r="H32" s="46">
        <v>0</v>
      </c>
      <c r="I32" s="45">
        <v>0</v>
      </c>
      <c r="J32" s="45">
        <v>0</v>
      </c>
      <c r="K32" s="45">
        <v>0</v>
      </c>
      <c r="L32" s="45">
        <v>909.59</v>
      </c>
      <c r="M32" s="45">
        <v>0</v>
      </c>
      <c r="N32" s="46">
        <v>0</v>
      </c>
      <c r="O32" s="46">
        <v>5241</v>
      </c>
    </row>
    <row r="33" spans="2:15">
      <c r="B33" s="43" t="s">
        <v>1268</v>
      </c>
      <c r="C33" s="44" t="s">
        <v>1269</v>
      </c>
      <c r="D33" s="45" t="s">
        <v>84</v>
      </c>
      <c r="E33" s="45" t="s">
        <v>17</v>
      </c>
      <c r="F33" s="45">
        <v>30709016012</v>
      </c>
      <c r="G33" s="46">
        <v>48809.9</v>
      </c>
      <c r="H33" s="46">
        <v>0</v>
      </c>
      <c r="I33" s="45">
        <v>0</v>
      </c>
      <c r="J33" s="45">
        <v>0</v>
      </c>
      <c r="K33" s="45">
        <v>0</v>
      </c>
      <c r="L33" s="45">
        <v>10250.07</v>
      </c>
      <c r="M33" s="45">
        <v>0</v>
      </c>
      <c r="N33" s="46">
        <v>0</v>
      </c>
      <c r="O33" s="46">
        <v>59059.97</v>
      </c>
    </row>
    <row r="34" spans="2:15">
      <c r="B34" s="43" t="s">
        <v>1268</v>
      </c>
      <c r="C34" s="44" t="s">
        <v>1270</v>
      </c>
      <c r="D34" s="45" t="s">
        <v>84</v>
      </c>
      <c r="E34" s="45" t="s">
        <v>17</v>
      </c>
      <c r="F34" s="45">
        <v>30709016012</v>
      </c>
      <c r="G34" s="46">
        <v>10008.26</v>
      </c>
      <c r="H34" s="46">
        <v>0</v>
      </c>
      <c r="I34" s="45">
        <v>0</v>
      </c>
      <c r="J34" s="45">
        <v>0</v>
      </c>
      <c r="K34" s="45">
        <v>0</v>
      </c>
      <c r="L34" s="45">
        <v>2101.73</v>
      </c>
      <c r="M34" s="45">
        <v>0</v>
      </c>
      <c r="N34" s="46">
        <v>0</v>
      </c>
      <c r="O34" s="46">
        <v>12109.99</v>
      </c>
    </row>
    <row r="35" spans="2:15">
      <c r="B35" s="43" t="s">
        <v>1268</v>
      </c>
      <c r="C35" s="44" t="s">
        <v>1271</v>
      </c>
      <c r="D35" s="45" t="s">
        <v>80</v>
      </c>
      <c r="E35" s="45" t="s">
        <v>17</v>
      </c>
      <c r="F35" s="45">
        <v>30608716390</v>
      </c>
      <c r="G35" s="46">
        <v>5950.42</v>
      </c>
      <c r="H35" s="46">
        <v>0</v>
      </c>
      <c r="I35" s="45">
        <v>0</v>
      </c>
      <c r="J35" s="45">
        <v>0</v>
      </c>
      <c r="K35" s="45">
        <v>0</v>
      </c>
      <c r="L35" s="45">
        <v>1249.5899999999999</v>
      </c>
      <c r="M35" s="45">
        <v>0</v>
      </c>
      <c r="N35" s="46">
        <v>0</v>
      </c>
      <c r="O35" s="46">
        <v>7200.01</v>
      </c>
    </row>
    <row r="36" spans="2:15">
      <c r="B36" s="43" t="s">
        <v>1268</v>
      </c>
      <c r="C36" s="44" t="s">
        <v>1272</v>
      </c>
      <c r="D36" s="45" t="s">
        <v>80</v>
      </c>
      <c r="E36" s="45" t="s">
        <v>17</v>
      </c>
      <c r="F36" s="45">
        <v>30608716390</v>
      </c>
      <c r="G36" s="46">
        <v>1723.14</v>
      </c>
      <c r="H36" s="46">
        <v>0</v>
      </c>
      <c r="I36" s="45">
        <v>0</v>
      </c>
      <c r="J36" s="45">
        <v>0</v>
      </c>
      <c r="K36" s="45">
        <v>0</v>
      </c>
      <c r="L36" s="45">
        <v>361.86</v>
      </c>
      <c r="M36" s="45">
        <v>0</v>
      </c>
      <c r="N36" s="46">
        <v>0</v>
      </c>
      <c r="O36" s="46">
        <v>2085</v>
      </c>
    </row>
    <row r="37" spans="2:15">
      <c r="B37" s="43" t="s">
        <v>1268</v>
      </c>
      <c r="C37" s="44" t="s">
        <v>1273</v>
      </c>
      <c r="D37" s="45" t="s">
        <v>80</v>
      </c>
      <c r="E37" s="45" t="s">
        <v>17</v>
      </c>
      <c r="F37" s="45">
        <v>30608716390</v>
      </c>
      <c r="G37" s="46">
        <v>6942.15</v>
      </c>
      <c r="H37" s="46">
        <v>0</v>
      </c>
      <c r="I37" s="45">
        <v>0</v>
      </c>
      <c r="J37" s="45">
        <v>0</v>
      </c>
      <c r="K37" s="45">
        <v>0</v>
      </c>
      <c r="L37" s="45">
        <v>1457.85</v>
      </c>
      <c r="M37" s="45">
        <v>0</v>
      </c>
      <c r="N37" s="46">
        <v>0</v>
      </c>
      <c r="O37" s="46">
        <v>8400</v>
      </c>
    </row>
    <row r="38" spans="2:15">
      <c r="B38" s="43" t="s">
        <v>1268</v>
      </c>
      <c r="C38" s="44" t="s">
        <v>1274</v>
      </c>
      <c r="D38" s="45" t="s">
        <v>80</v>
      </c>
      <c r="E38" s="45" t="s">
        <v>17</v>
      </c>
      <c r="F38" s="45">
        <v>30608716390</v>
      </c>
      <c r="G38" s="46">
        <v>3471.08</v>
      </c>
      <c r="H38" s="46">
        <v>0</v>
      </c>
      <c r="I38" s="45">
        <v>0</v>
      </c>
      <c r="J38" s="45">
        <v>0</v>
      </c>
      <c r="K38" s="45">
        <v>0</v>
      </c>
      <c r="L38" s="45">
        <v>728.93</v>
      </c>
      <c r="M38" s="45">
        <v>0</v>
      </c>
      <c r="N38" s="46">
        <v>0</v>
      </c>
      <c r="O38" s="46">
        <v>4200.01</v>
      </c>
    </row>
    <row r="39" spans="2:15">
      <c r="B39" s="43" t="s">
        <v>1275</v>
      </c>
      <c r="C39" s="44" t="s">
        <v>1276</v>
      </c>
      <c r="D39" s="45" t="s">
        <v>80</v>
      </c>
      <c r="E39" s="45" t="s">
        <v>17</v>
      </c>
      <c r="F39" s="45">
        <v>30608716390</v>
      </c>
      <c r="G39" s="46">
        <v>1487.61</v>
      </c>
      <c r="H39" s="46">
        <v>0</v>
      </c>
      <c r="I39" s="45">
        <v>0</v>
      </c>
      <c r="J39" s="45">
        <v>0</v>
      </c>
      <c r="K39" s="45">
        <v>0</v>
      </c>
      <c r="L39" s="45">
        <v>312.40000000000003</v>
      </c>
      <c r="M39" s="45">
        <v>0</v>
      </c>
      <c r="N39" s="46">
        <v>0</v>
      </c>
      <c r="O39" s="46">
        <v>1800.01</v>
      </c>
    </row>
    <row r="40" spans="2:15">
      <c r="B40" s="43" t="s">
        <v>1277</v>
      </c>
      <c r="C40" s="44" t="s">
        <v>1278</v>
      </c>
      <c r="D40" s="45" t="s">
        <v>80</v>
      </c>
      <c r="E40" s="45" t="s">
        <v>17</v>
      </c>
      <c r="F40" s="45">
        <v>30608716390</v>
      </c>
      <c r="G40" s="46">
        <v>4685.95</v>
      </c>
      <c r="H40" s="46">
        <v>0</v>
      </c>
      <c r="I40" s="45">
        <v>0</v>
      </c>
      <c r="J40" s="45">
        <v>0</v>
      </c>
      <c r="K40" s="45">
        <v>0</v>
      </c>
      <c r="L40" s="45">
        <v>984.05</v>
      </c>
      <c r="M40" s="45">
        <v>0</v>
      </c>
      <c r="N40" s="46">
        <v>0</v>
      </c>
      <c r="O40" s="46">
        <v>5670</v>
      </c>
    </row>
    <row r="41" spans="2:15">
      <c r="B41" s="43" t="s">
        <v>1234</v>
      </c>
      <c r="C41" s="44" t="s">
        <v>1279</v>
      </c>
      <c r="D41" s="45" t="s">
        <v>117</v>
      </c>
      <c r="E41" s="45" t="s">
        <v>17</v>
      </c>
      <c r="F41" s="45">
        <v>30711289778</v>
      </c>
      <c r="G41" s="46">
        <v>44628.1</v>
      </c>
      <c r="H41" s="46">
        <v>0</v>
      </c>
      <c r="I41" s="45">
        <v>0</v>
      </c>
      <c r="J41" s="45">
        <v>0</v>
      </c>
      <c r="K41" s="45">
        <v>0</v>
      </c>
      <c r="L41" s="45">
        <v>9371.9</v>
      </c>
      <c r="M41" s="45">
        <v>0</v>
      </c>
      <c r="N41" s="46">
        <v>0</v>
      </c>
      <c r="O41" s="46">
        <v>54000</v>
      </c>
    </row>
    <row r="42" spans="2:15">
      <c r="B42" s="43" t="s">
        <v>1280</v>
      </c>
      <c r="C42" s="44" t="s">
        <v>1281</v>
      </c>
      <c r="D42" s="45" t="s">
        <v>16</v>
      </c>
      <c r="E42" s="45" t="s">
        <v>17</v>
      </c>
      <c r="F42" s="45">
        <v>30522428163</v>
      </c>
      <c r="G42" s="46">
        <v>68000</v>
      </c>
      <c r="H42" s="46">
        <v>0</v>
      </c>
      <c r="I42" s="45">
        <v>0</v>
      </c>
      <c r="J42" s="45">
        <v>0</v>
      </c>
      <c r="K42" s="45">
        <v>0</v>
      </c>
      <c r="L42" s="45">
        <v>14280</v>
      </c>
      <c r="M42" s="45">
        <v>0</v>
      </c>
      <c r="N42" s="46">
        <v>0</v>
      </c>
      <c r="O42" s="46">
        <v>82280</v>
      </c>
    </row>
    <row r="43" spans="2:15">
      <c r="B43" s="43" t="s">
        <v>1280</v>
      </c>
      <c r="C43" s="44" t="s">
        <v>1282</v>
      </c>
      <c r="D43" s="45" t="s">
        <v>16</v>
      </c>
      <c r="E43" s="45" t="s">
        <v>17</v>
      </c>
      <c r="F43" s="45">
        <v>30522428163</v>
      </c>
      <c r="G43" s="46">
        <v>33884.300000000003</v>
      </c>
      <c r="H43" s="46">
        <v>0</v>
      </c>
      <c r="I43" s="45">
        <v>0</v>
      </c>
      <c r="J43" s="45">
        <v>0</v>
      </c>
      <c r="K43" s="45">
        <v>0</v>
      </c>
      <c r="L43" s="45">
        <v>7115.7</v>
      </c>
      <c r="M43" s="45">
        <v>0</v>
      </c>
      <c r="N43" s="46">
        <v>0</v>
      </c>
      <c r="O43" s="46">
        <v>41000</v>
      </c>
    </row>
    <row r="44" spans="2:15">
      <c r="B44" s="43" t="s">
        <v>1283</v>
      </c>
      <c r="C44" s="44" t="s">
        <v>1284</v>
      </c>
      <c r="D44" s="45" t="s">
        <v>16</v>
      </c>
      <c r="E44" s="45" t="s">
        <v>17</v>
      </c>
      <c r="F44" s="45">
        <v>30522428163</v>
      </c>
      <c r="G44" s="46">
        <v>55000</v>
      </c>
      <c r="H44" s="46">
        <v>0</v>
      </c>
      <c r="I44" s="45">
        <v>0</v>
      </c>
      <c r="J44" s="45">
        <v>0</v>
      </c>
      <c r="K44" s="45">
        <v>0</v>
      </c>
      <c r="L44" s="45">
        <v>11550</v>
      </c>
      <c r="M44" s="45">
        <v>0</v>
      </c>
      <c r="N44" s="46">
        <v>0</v>
      </c>
      <c r="O44" s="46">
        <v>66550</v>
      </c>
    </row>
    <row r="45" spans="2:15">
      <c r="B45" s="43" t="s">
        <v>1285</v>
      </c>
      <c r="C45" s="44" t="s">
        <v>1286</v>
      </c>
      <c r="D45" s="45" t="s">
        <v>80</v>
      </c>
      <c r="E45" s="45" t="s">
        <v>17</v>
      </c>
      <c r="F45" s="45">
        <v>30608716390</v>
      </c>
      <c r="G45" s="46">
        <v>1198.3500000000001</v>
      </c>
      <c r="H45" s="46">
        <v>0</v>
      </c>
      <c r="I45" s="45">
        <v>0</v>
      </c>
      <c r="J45" s="45">
        <v>0</v>
      </c>
      <c r="K45" s="45">
        <v>0</v>
      </c>
      <c r="L45" s="45">
        <v>251.65</v>
      </c>
      <c r="M45" s="45">
        <v>0</v>
      </c>
      <c r="N45" s="46">
        <v>0</v>
      </c>
      <c r="O45" s="46">
        <v>1450</v>
      </c>
    </row>
    <row r="46" spans="2:15">
      <c r="B46" s="43" t="s">
        <v>1238</v>
      </c>
      <c r="C46" s="44" t="s">
        <v>1287</v>
      </c>
      <c r="D46" s="45" t="s">
        <v>76</v>
      </c>
      <c r="E46" s="45" t="s">
        <v>17</v>
      </c>
      <c r="F46" s="45">
        <v>30500053522</v>
      </c>
      <c r="G46" s="46">
        <v>2218.1799999999998</v>
      </c>
      <c r="H46" s="46">
        <v>0</v>
      </c>
      <c r="I46" s="45">
        <v>0</v>
      </c>
      <c r="J46" s="45">
        <v>0</v>
      </c>
      <c r="K46" s="45">
        <v>0</v>
      </c>
      <c r="L46" s="45">
        <v>465.81</v>
      </c>
      <c r="M46" s="45">
        <v>0</v>
      </c>
      <c r="N46" s="46">
        <v>0</v>
      </c>
      <c r="O46" s="46">
        <v>2683.99</v>
      </c>
    </row>
    <row r="47" spans="2:15">
      <c r="B47" s="43" t="s">
        <v>1238</v>
      </c>
      <c r="C47" s="44" t="s">
        <v>1288</v>
      </c>
      <c r="D47" s="45" t="s">
        <v>76</v>
      </c>
      <c r="E47" s="45" t="s">
        <v>17</v>
      </c>
      <c r="F47" s="45">
        <v>30500053522</v>
      </c>
      <c r="G47" s="46">
        <v>3171.9</v>
      </c>
      <c r="H47" s="46">
        <v>0</v>
      </c>
      <c r="I47" s="45">
        <v>0</v>
      </c>
      <c r="J47" s="45">
        <v>0</v>
      </c>
      <c r="K47" s="45">
        <v>0</v>
      </c>
      <c r="L47" s="45">
        <v>666.1</v>
      </c>
      <c r="M47" s="45">
        <v>0</v>
      </c>
      <c r="N47" s="46">
        <v>0</v>
      </c>
      <c r="O47" s="46">
        <v>3838</v>
      </c>
    </row>
    <row r="48" spans="2:15">
      <c r="B48" s="57">
        <v>45069</v>
      </c>
      <c r="C48" s="44" t="s">
        <v>1641</v>
      </c>
      <c r="D48" s="45" t="s">
        <v>120</v>
      </c>
      <c r="E48" s="45"/>
      <c r="F48" s="45">
        <v>30522428163</v>
      </c>
      <c r="G48" s="46">
        <v>-532727.29</v>
      </c>
      <c r="J48" s="45"/>
      <c r="K48" s="45"/>
      <c r="L48" s="46">
        <v>-111872.73</v>
      </c>
      <c r="M48" s="45"/>
      <c r="N48" s="46"/>
      <c r="O48" s="45">
        <v>-644600</v>
      </c>
    </row>
    <row r="49" spans="2:15">
      <c r="B49" s="57"/>
      <c r="C49" s="44"/>
      <c r="D49" s="45"/>
      <c r="E49" s="45"/>
      <c r="F49" s="45"/>
      <c r="G49" s="59">
        <f>SUM(G3:G48)</f>
        <v>26100692.000000007</v>
      </c>
      <c r="J49" s="45"/>
      <c r="K49" s="45"/>
      <c r="L49" s="59">
        <f>SUM(L3:L48)</f>
        <v>5481145.2900000019</v>
      </c>
      <c r="M49" s="45"/>
      <c r="N49" s="46"/>
      <c r="O49" s="45"/>
    </row>
    <row r="50" spans="2:15">
      <c r="B50" s="43"/>
      <c r="C50" s="44"/>
      <c r="D50" s="45"/>
      <c r="E50" s="45"/>
      <c r="F50" s="45"/>
      <c r="G50" s="46"/>
      <c r="H50" s="46"/>
      <c r="I50" s="45"/>
      <c r="J50" s="45"/>
      <c r="K50" s="45"/>
      <c r="L50" s="45"/>
      <c r="M50" s="45"/>
      <c r="N50" s="46"/>
      <c r="O50" s="46"/>
    </row>
    <row r="51" spans="2:15">
      <c r="B51" s="43" t="s">
        <v>1228</v>
      </c>
      <c r="C51" s="44" t="s">
        <v>1289</v>
      </c>
      <c r="D51" s="45" t="s">
        <v>122</v>
      </c>
      <c r="E51" s="45" t="s">
        <v>123</v>
      </c>
      <c r="F51" s="45" t="s">
        <v>124</v>
      </c>
      <c r="G51" s="46">
        <v>13057.85</v>
      </c>
      <c r="H51" s="46">
        <v>0</v>
      </c>
      <c r="I51" s="45">
        <v>0</v>
      </c>
      <c r="J51" s="45">
        <v>0</v>
      </c>
      <c r="K51" s="45">
        <v>0</v>
      </c>
      <c r="L51" s="45">
        <v>2742.15</v>
      </c>
      <c r="M51" s="45">
        <v>0</v>
      </c>
      <c r="N51" s="46">
        <v>0</v>
      </c>
      <c r="O51" s="46">
        <v>15800</v>
      </c>
    </row>
    <row r="52" spans="2:15">
      <c r="B52" s="43" t="s">
        <v>1228</v>
      </c>
      <c r="C52" s="44" t="s">
        <v>1290</v>
      </c>
      <c r="D52" s="45" t="s">
        <v>122</v>
      </c>
      <c r="E52" s="45" t="s">
        <v>123</v>
      </c>
      <c r="F52" s="45" t="s">
        <v>124</v>
      </c>
      <c r="G52" s="46">
        <v>14876.03</v>
      </c>
      <c r="H52" s="46">
        <v>0</v>
      </c>
      <c r="I52" s="45">
        <v>0</v>
      </c>
      <c r="J52" s="45">
        <v>0</v>
      </c>
      <c r="K52" s="45">
        <v>0</v>
      </c>
      <c r="L52" s="45">
        <v>3123.97</v>
      </c>
      <c r="M52" s="45">
        <v>0</v>
      </c>
      <c r="N52" s="46">
        <v>0</v>
      </c>
      <c r="O52" s="46">
        <v>18000</v>
      </c>
    </row>
    <row r="53" spans="2:15">
      <c r="B53" s="43" t="s">
        <v>1228</v>
      </c>
      <c r="C53" s="44" t="s">
        <v>1291</v>
      </c>
      <c r="D53" s="45" t="s">
        <v>122</v>
      </c>
      <c r="E53" s="45" t="s">
        <v>123</v>
      </c>
      <c r="F53" s="45" t="s">
        <v>124</v>
      </c>
      <c r="G53" s="46">
        <v>1239.67</v>
      </c>
      <c r="H53" s="46">
        <v>0</v>
      </c>
      <c r="I53" s="45">
        <v>0</v>
      </c>
      <c r="J53" s="45">
        <v>0</v>
      </c>
      <c r="K53" s="45">
        <v>0</v>
      </c>
      <c r="L53" s="45">
        <v>260.33</v>
      </c>
      <c r="M53" s="45">
        <v>0</v>
      </c>
      <c r="N53" s="46">
        <v>0</v>
      </c>
      <c r="O53" s="46">
        <v>1500</v>
      </c>
    </row>
    <row r="54" spans="2:15">
      <c r="B54" s="43" t="s">
        <v>1228</v>
      </c>
      <c r="C54" s="44" t="s">
        <v>1292</v>
      </c>
      <c r="D54" s="45" t="s">
        <v>122</v>
      </c>
      <c r="E54" s="45" t="s">
        <v>123</v>
      </c>
      <c r="F54" s="45" t="s">
        <v>124</v>
      </c>
      <c r="G54" s="46">
        <v>2809.92</v>
      </c>
      <c r="H54" s="46">
        <v>0</v>
      </c>
      <c r="I54" s="45">
        <v>0</v>
      </c>
      <c r="J54" s="45">
        <v>0</v>
      </c>
      <c r="K54" s="45">
        <v>0</v>
      </c>
      <c r="L54" s="45">
        <v>590.08000000000004</v>
      </c>
      <c r="M54" s="45">
        <v>0</v>
      </c>
      <c r="N54" s="46">
        <v>0</v>
      </c>
      <c r="O54" s="46">
        <v>3400</v>
      </c>
    </row>
    <row r="55" spans="2:15">
      <c r="B55" s="43" t="s">
        <v>1228</v>
      </c>
      <c r="C55" s="44" t="s">
        <v>1293</v>
      </c>
      <c r="D55" s="45" t="s">
        <v>122</v>
      </c>
      <c r="E55" s="45" t="s">
        <v>123</v>
      </c>
      <c r="F55" s="45" t="s">
        <v>124</v>
      </c>
      <c r="G55" s="46">
        <v>2066.12</v>
      </c>
      <c r="H55" s="46">
        <v>0</v>
      </c>
      <c r="I55" s="45">
        <v>0</v>
      </c>
      <c r="J55" s="45">
        <v>0</v>
      </c>
      <c r="K55" s="45">
        <v>0</v>
      </c>
      <c r="L55" s="45">
        <v>433.88</v>
      </c>
      <c r="M55" s="45">
        <v>0</v>
      </c>
      <c r="N55" s="46">
        <v>0</v>
      </c>
      <c r="O55" s="46">
        <v>2500</v>
      </c>
    </row>
    <row r="56" spans="2:15">
      <c r="B56" s="43" t="s">
        <v>1228</v>
      </c>
      <c r="C56" s="44" t="s">
        <v>1294</v>
      </c>
      <c r="D56" s="45" t="s">
        <v>122</v>
      </c>
      <c r="E56" s="45" t="s">
        <v>123</v>
      </c>
      <c r="F56" s="45" t="s">
        <v>124</v>
      </c>
      <c r="G56" s="46">
        <v>9917.36</v>
      </c>
      <c r="H56" s="46">
        <v>0</v>
      </c>
      <c r="I56" s="45">
        <v>0</v>
      </c>
      <c r="J56" s="45">
        <v>0</v>
      </c>
      <c r="K56" s="45">
        <v>0</v>
      </c>
      <c r="L56" s="45">
        <v>2082.64</v>
      </c>
      <c r="M56" s="45">
        <v>0</v>
      </c>
      <c r="N56" s="46">
        <v>0</v>
      </c>
      <c r="O56" s="46">
        <v>12000</v>
      </c>
    </row>
    <row r="57" spans="2:15">
      <c r="B57" s="43" t="s">
        <v>1228</v>
      </c>
      <c r="C57" s="44" t="s">
        <v>1295</v>
      </c>
      <c r="D57" s="45" t="s">
        <v>122</v>
      </c>
      <c r="E57" s="45" t="s">
        <v>123</v>
      </c>
      <c r="F57" s="45" t="s">
        <v>124</v>
      </c>
      <c r="G57" s="46">
        <v>7454.55</v>
      </c>
      <c r="H57" s="46">
        <v>0</v>
      </c>
      <c r="I57" s="45">
        <v>0</v>
      </c>
      <c r="J57" s="45">
        <v>0</v>
      </c>
      <c r="K57" s="45">
        <v>0</v>
      </c>
      <c r="L57" s="45">
        <v>1565.45</v>
      </c>
      <c r="M57" s="45">
        <v>0</v>
      </c>
      <c r="N57" s="46">
        <v>0</v>
      </c>
      <c r="O57" s="46">
        <v>9020</v>
      </c>
    </row>
    <row r="58" spans="2:15">
      <c r="B58" s="43" t="s">
        <v>1228</v>
      </c>
      <c r="C58" s="44" t="s">
        <v>1296</v>
      </c>
      <c r="D58" s="45" t="s">
        <v>122</v>
      </c>
      <c r="E58" s="45" t="s">
        <v>123</v>
      </c>
      <c r="F58" s="45" t="s">
        <v>124</v>
      </c>
      <c r="G58" s="46">
        <v>4495.87</v>
      </c>
      <c r="H58" s="46">
        <v>0</v>
      </c>
      <c r="I58" s="45">
        <v>0</v>
      </c>
      <c r="J58" s="45">
        <v>0</v>
      </c>
      <c r="K58" s="45">
        <v>0</v>
      </c>
      <c r="L58" s="45">
        <v>944.13</v>
      </c>
      <c r="M58" s="45">
        <v>0</v>
      </c>
      <c r="N58" s="46">
        <v>0</v>
      </c>
      <c r="O58" s="46">
        <v>5440</v>
      </c>
    </row>
    <row r="59" spans="2:15">
      <c r="B59" s="43" t="s">
        <v>1228</v>
      </c>
      <c r="C59" s="44" t="s">
        <v>1297</v>
      </c>
      <c r="D59" s="45" t="s">
        <v>122</v>
      </c>
      <c r="E59" s="45" t="s">
        <v>123</v>
      </c>
      <c r="F59" s="45" t="s">
        <v>124</v>
      </c>
      <c r="G59" s="46">
        <v>6611.57</v>
      </c>
      <c r="H59" s="46">
        <v>0</v>
      </c>
      <c r="I59" s="45">
        <v>0</v>
      </c>
      <c r="J59" s="45">
        <v>0</v>
      </c>
      <c r="K59" s="45">
        <v>0</v>
      </c>
      <c r="L59" s="45">
        <v>1388.43</v>
      </c>
      <c r="M59" s="45">
        <v>0</v>
      </c>
      <c r="N59" s="46">
        <v>0</v>
      </c>
      <c r="O59" s="46">
        <v>8000</v>
      </c>
    </row>
    <row r="60" spans="2:15">
      <c r="B60" s="43" t="s">
        <v>1228</v>
      </c>
      <c r="C60" s="44" t="s">
        <v>1298</v>
      </c>
      <c r="D60" s="45" t="s">
        <v>122</v>
      </c>
      <c r="E60" s="45" t="s">
        <v>123</v>
      </c>
      <c r="F60" s="45" t="s">
        <v>124</v>
      </c>
      <c r="G60" s="46">
        <v>1652.89</v>
      </c>
      <c r="H60" s="46">
        <v>0</v>
      </c>
      <c r="I60" s="45">
        <v>0</v>
      </c>
      <c r="J60" s="45">
        <v>0</v>
      </c>
      <c r="K60" s="45">
        <v>0</v>
      </c>
      <c r="L60" s="45">
        <v>347.11</v>
      </c>
      <c r="M60" s="45">
        <v>0</v>
      </c>
      <c r="N60" s="46">
        <v>0</v>
      </c>
      <c r="O60" s="46">
        <v>2000</v>
      </c>
    </row>
    <row r="61" spans="2:15">
      <c r="B61" s="43" t="s">
        <v>1228</v>
      </c>
      <c r="C61" s="44" t="s">
        <v>1299</v>
      </c>
      <c r="D61" s="45" t="s">
        <v>122</v>
      </c>
      <c r="E61" s="45" t="s">
        <v>123</v>
      </c>
      <c r="F61" s="45" t="s">
        <v>124</v>
      </c>
      <c r="G61" s="46">
        <v>2066.12</v>
      </c>
      <c r="H61" s="46">
        <v>0</v>
      </c>
      <c r="I61" s="45">
        <v>0</v>
      </c>
      <c r="J61" s="45">
        <v>0</v>
      </c>
      <c r="K61" s="45">
        <v>0</v>
      </c>
      <c r="L61" s="45">
        <v>433.88</v>
      </c>
      <c r="M61" s="45">
        <v>0</v>
      </c>
      <c r="N61" s="46">
        <v>0</v>
      </c>
      <c r="O61" s="46">
        <v>2500</v>
      </c>
    </row>
    <row r="62" spans="2:15">
      <c r="B62" s="43" t="s">
        <v>1230</v>
      </c>
      <c r="C62" s="44" t="s">
        <v>1300</v>
      </c>
      <c r="D62" s="45" t="s">
        <v>122</v>
      </c>
      <c r="E62" s="45" t="s">
        <v>123</v>
      </c>
      <c r="F62" s="45" t="s">
        <v>124</v>
      </c>
      <c r="G62" s="46">
        <v>7438.02</v>
      </c>
      <c r="H62" s="46">
        <v>0</v>
      </c>
      <c r="I62" s="45">
        <v>0</v>
      </c>
      <c r="J62" s="45">
        <v>0</v>
      </c>
      <c r="K62" s="45">
        <v>0</v>
      </c>
      <c r="L62" s="45">
        <v>1561.98</v>
      </c>
      <c r="M62" s="45">
        <v>0</v>
      </c>
      <c r="N62" s="46">
        <v>0</v>
      </c>
      <c r="O62" s="46">
        <v>9000</v>
      </c>
    </row>
    <row r="63" spans="2:15">
      <c r="B63" s="43" t="s">
        <v>1230</v>
      </c>
      <c r="C63" s="44" t="s">
        <v>1301</v>
      </c>
      <c r="D63" s="45" t="s">
        <v>122</v>
      </c>
      <c r="E63" s="45" t="s">
        <v>123</v>
      </c>
      <c r="F63" s="45" t="s">
        <v>124</v>
      </c>
      <c r="G63" s="46">
        <v>14049.59</v>
      </c>
      <c r="H63" s="46">
        <v>0</v>
      </c>
      <c r="I63" s="45">
        <v>0</v>
      </c>
      <c r="J63" s="45">
        <v>0</v>
      </c>
      <c r="K63" s="45">
        <v>0</v>
      </c>
      <c r="L63" s="45">
        <v>2950.41</v>
      </c>
      <c r="M63" s="45">
        <v>0</v>
      </c>
      <c r="N63" s="46">
        <v>0</v>
      </c>
      <c r="O63" s="46">
        <v>17000</v>
      </c>
    </row>
    <row r="64" spans="2:15">
      <c r="B64" s="43" t="s">
        <v>1230</v>
      </c>
      <c r="C64" s="44" t="s">
        <v>1302</v>
      </c>
      <c r="D64" s="45" t="s">
        <v>122</v>
      </c>
      <c r="E64" s="45" t="s">
        <v>123</v>
      </c>
      <c r="F64" s="45" t="s">
        <v>124</v>
      </c>
      <c r="G64" s="46">
        <v>2479.34</v>
      </c>
      <c r="H64" s="46">
        <v>0</v>
      </c>
      <c r="I64" s="45">
        <v>0</v>
      </c>
      <c r="J64" s="45">
        <v>0</v>
      </c>
      <c r="K64" s="45">
        <v>0</v>
      </c>
      <c r="L64" s="45">
        <v>520.66</v>
      </c>
      <c r="M64" s="45">
        <v>0</v>
      </c>
      <c r="N64" s="46">
        <v>0</v>
      </c>
      <c r="O64" s="46">
        <v>3000</v>
      </c>
    </row>
    <row r="65" spans="2:15">
      <c r="B65" s="43" t="s">
        <v>1230</v>
      </c>
      <c r="C65" s="44" t="s">
        <v>1303</v>
      </c>
      <c r="D65" s="45" t="s">
        <v>122</v>
      </c>
      <c r="E65" s="45" t="s">
        <v>123</v>
      </c>
      <c r="F65" s="45" t="s">
        <v>124</v>
      </c>
      <c r="G65" s="46">
        <v>2809.92</v>
      </c>
      <c r="H65" s="46">
        <v>0</v>
      </c>
      <c r="I65" s="45">
        <v>0</v>
      </c>
      <c r="J65" s="45">
        <v>0</v>
      </c>
      <c r="K65" s="45">
        <v>0</v>
      </c>
      <c r="L65" s="45">
        <v>590.08000000000004</v>
      </c>
      <c r="M65" s="45">
        <v>0</v>
      </c>
      <c r="N65" s="46">
        <v>0</v>
      </c>
      <c r="O65" s="46">
        <v>3400</v>
      </c>
    </row>
    <row r="66" spans="2:15">
      <c r="B66" s="43" t="s">
        <v>1230</v>
      </c>
      <c r="C66" s="44" t="s">
        <v>1304</v>
      </c>
      <c r="D66" s="45" t="s">
        <v>122</v>
      </c>
      <c r="E66" s="45" t="s">
        <v>123</v>
      </c>
      <c r="F66" s="45" t="s">
        <v>124</v>
      </c>
      <c r="G66" s="46">
        <v>4132.2300000000005</v>
      </c>
      <c r="H66" s="46">
        <v>0</v>
      </c>
      <c r="I66" s="45">
        <v>0</v>
      </c>
      <c r="J66" s="45">
        <v>0</v>
      </c>
      <c r="K66" s="45">
        <v>0</v>
      </c>
      <c r="L66" s="45">
        <v>867.77</v>
      </c>
      <c r="M66" s="45">
        <v>0</v>
      </c>
      <c r="N66" s="46">
        <v>0</v>
      </c>
      <c r="O66" s="46">
        <v>5000</v>
      </c>
    </row>
    <row r="67" spans="2:15">
      <c r="B67" s="43" t="s">
        <v>1230</v>
      </c>
      <c r="C67" s="44" t="s">
        <v>1305</v>
      </c>
      <c r="D67" s="45" t="s">
        <v>122</v>
      </c>
      <c r="E67" s="45" t="s">
        <v>123</v>
      </c>
      <c r="F67" s="45" t="s">
        <v>124</v>
      </c>
      <c r="G67" s="46">
        <v>19008.27</v>
      </c>
      <c r="H67" s="46">
        <v>0</v>
      </c>
      <c r="I67" s="45">
        <v>0</v>
      </c>
      <c r="J67" s="45">
        <v>0</v>
      </c>
      <c r="K67" s="45">
        <v>0</v>
      </c>
      <c r="L67" s="45">
        <v>3991.73</v>
      </c>
      <c r="M67" s="45">
        <v>0</v>
      </c>
      <c r="N67" s="46">
        <v>0</v>
      </c>
      <c r="O67" s="46">
        <v>23000</v>
      </c>
    </row>
    <row r="68" spans="2:15">
      <c r="B68" s="43" t="s">
        <v>1230</v>
      </c>
      <c r="C68" s="44" t="s">
        <v>1306</v>
      </c>
      <c r="D68" s="45" t="s">
        <v>122</v>
      </c>
      <c r="E68" s="45" t="s">
        <v>123</v>
      </c>
      <c r="F68" s="45" t="s">
        <v>124</v>
      </c>
      <c r="G68" s="46">
        <v>2479.34</v>
      </c>
      <c r="H68" s="46">
        <v>0</v>
      </c>
      <c r="I68" s="45">
        <v>0</v>
      </c>
      <c r="J68" s="45">
        <v>0</v>
      </c>
      <c r="K68" s="45">
        <v>0</v>
      </c>
      <c r="L68" s="45">
        <v>520.66</v>
      </c>
      <c r="M68" s="45">
        <v>0</v>
      </c>
      <c r="N68" s="46">
        <v>0</v>
      </c>
      <c r="O68" s="46">
        <v>3000</v>
      </c>
    </row>
    <row r="69" spans="2:15">
      <c r="B69" s="43" t="s">
        <v>1230</v>
      </c>
      <c r="C69" s="44" t="s">
        <v>1307</v>
      </c>
      <c r="D69" s="45" t="s">
        <v>122</v>
      </c>
      <c r="E69" s="45" t="s">
        <v>123</v>
      </c>
      <c r="F69" s="45" t="s">
        <v>124</v>
      </c>
      <c r="G69" s="46">
        <v>13057.85</v>
      </c>
      <c r="H69" s="46">
        <v>0</v>
      </c>
      <c r="I69" s="45">
        <v>0</v>
      </c>
      <c r="J69" s="45">
        <v>0</v>
      </c>
      <c r="K69" s="45">
        <v>0</v>
      </c>
      <c r="L69" s="45">
        <v>2742.15</v>
      </c>
      <c r="M69" s="45">
        <v>0</v>
      </c>
      <c r="N69" s="46">
        <v>0</v>
      </c>
      <c r="O69" s="46">
        <v>15800</v>
      </c>
    </row>
    <row r="70" spans="2:15">
      <c r="B70" s="43" t="s">
        <v>1230</v>
      </c>
      <c r="C70" s="44" t="s">
        <v>1308</v>
      </c>
      <c r="D70" s="45" t="s">
        <v>122</v>
      </c>
      <c r="E70" s="45" t="s">
        <v>123</v>
      </c>
      <c r="F70" s="45" t="s">
        <v>124</v>
      </c>
      <c r="G70" s="46">
        <v>4876.03</v>
      </c>
      <c r="H70" s="46">
        <v>0</v>
      </c>
      <c r="I70" s="45">
        <v>0</v>
      </c>
      <c r="J70" s="45">
        <v>0</v>
      </c>
      <c r="K70" s="45">
        <v>0</v>
      </c>
      <c r="L70" s="45">
        <v>1023.97</v>
      </c>
      <c r="M70" s="45">
        <v>0</v>
      </c>
      <c r="N70" s="46">
        <v>0</v>
      </c>
      <c r="O70" s="46">
        <v>5900</v>
      </c>
    </row>
    <row r="71" spans="2:15">
      <c r="B71" s="43" t="s">
        <v>1230</v>
      </c>
      <c r="C71" s="44" t="s">
        <v>1309</v>
      </c>
      <c r="D71" s="45" t="s">
        <v>122</v>
      </c>
      <c r="E71" s="45" t="s">
        <v>123</v>
      </c>
      <c r="F71" s="45" t="s">
        <v>124</v>
      </c>
      <c r="G71" s="46">
        <v>2479.34</v>
      </c>
      <c r="H71" s="46">
        <v>0</v>
      </c>
      <c r="I71" s="45">
        <v>0</v>
      </c>
      <c r="J71" s="45">
        <v>0</v>
      </c>
      <c r="K71" s="45">
        <v>0</v>
      </c>
      <c r="L71" s="45">
        <v>520.66</v>
      </c>
      <c r="M71" s="45">
        <v>0</v>
      </c>
      <c r="N71" s="46">
        <v>0</v>
      </c>
      <c r="O71" s="46">
        <v>3000</v>
      </c>
    </row>
    <row r="72" spans="2:15">
      <c r="B72" s="43" t="s">
        <v>1230</v>
      </c>
      <c r="C72" s="44" t="s">
        <v>1310</v>
      </c>
      <c r="D72" s="45" t="s">
        <v>122</v>
      </c>
      <c r="E72" s="45" t="s">
        <v>123</v>
      </c>
      <c r="F72" s="45" t="s">
        <v>124</v>
      </c>
      <c r="G72" s="46">
        <v>4132.2300000000005</v>
      </c>
      <c r="H72" s="46">
        <v>0</v>
      </c>
      <c r="I72" s="45">
        <v>0</v>
      </c>
      <c r="J72" s="45">
        <v>0</v>
      </c>
      <c r="K72" s="45">
        <v>0</v>
      </c>
      <c r="L72" s="45">
        <v>867.77</v>
      </c>
      <c r="M72" s="45">
        <v>0</v>
      </c>
      <c r="N72" s="46">
        <v>0</v>
      </c>
      <c r="O72" s="46">
        <v>5000</v>
      </c>
    </row>
    <row r="73" spans="2:15">
      <c r="B73" s="43" t="s">
        <v>1248</v>
      </c>
      <c r="C73" s="44" t="s">
        <v>1311</v>
      </c>
      <c r="D73" s="45" t="s">
        <v>122</v>
      </c>
      <c r="E73" s="45" t="s">
        <v>123</v>
      </c>
      <c r="F73" s="45" t="s">
        <v>124</v>
      </c>
      <c r="G73" s="46">
        <v>3603.31</v>
      </c>
      <c r="H73" s="46">
        <v>0</v>
      </c>
      <c r="I73" s="45">
        <v>0</v>
      </c>
      <c r="J73" s="45">
        <v>0</v>
      </c>
      <c r="K73" s="45">
        <v>0</v>
      </c>
      <c r="L73" s="45">
        <v>756.69</v>
      </c>
      <c r="M73" s="45">
        <v>0</v>
      </c>
      <c r="N73" s="46">
        <v>0</v>
      </c>
      <c r="O73" s="46">
        <v>4360</v>
      </c>
    </row>
    <row r="74" spans="2:15">
      <c r="B74" s="43" t="s">
        <v>1248</v>
      </c>
      <c r="C74" s="44" t="s">
        <v>1312</v>
      </c>
      <c r="D74" s="45" t="s">
        <v>122</v>
      </c>
      <c r="E74" s="45" t="s">
        <v>123</v>
      </c>
      <c r="F74" s="45" t="s">
        <v>124</v>
      </c>
      <c r="G74" s="46">
        <v>14876.04</v>
      </c>
      <c r="H74" s="46">
        <v>0</v>
      </c>
      <c r="I74" s="45">
        <v>0</v>
      </c>
      <c r="J74" s="45">
        <v>0</v>
      </c>
      <c r="K74" s="45">
        <v>0</v>
      </c>
      <c r="L74" s="45">
        <v>3123.96</v>
      </c>
      <c r="M74" s="45">
        <v>0</v>
      </c>
      <c r="N74" s="46">
        <v>0</v>
      </c>
      <c r="O74" s="46">
        <v>18000</v>
      </c>
    </row>
    <row r="75" spans="2:15">
      <c r="B75" s="43" t="s">
        <v>1248</v>
      </c>
      <c r="C75" s="44" t="s">
        <v>1313</v>
      </c>
      <c r="D75" s="45" t="s">
        <v>122</v>
      </c>
      <c r="E75" s="45" t="s">
        <v>123</v>
      </c>
      <c r="F75" s="45" t="s">
        <v>124</v>
      </c>
      <c r="G75" s="46">
        <v>5619.83</v>
      </c>
      <c r="H75" s="46">
        <v>0</v>
      </c>
      <c r="I75" s="45">
        <v>0</v>
      </c>
      <c r="J75" s="45">
        <v>0</v>
      </c>
      <c r="K75" s="45">
        <v>0</v>
      </c>
      <c r="L75" s="45">
        <v>1180.17</v>
      </c>
      <c r="M75" s="45">
        <v>0</v>
      </c>
      <c r="N75" s="46">
        <v>0</v>
      </c>
      <c r="O75" s="46">
        <v>6800</v>
      </c>
    </row>
    <row r="76" spans="2:15">
      <c r="B76" s="43" t="s">
        <v>1251</v>
      </c>
      <c r="C76" s="44" t="s">
        <v>1314</v>
      </c>
      <c r="D76" s="45" t="s">
        <v>122</v>
      </c>
      <c r="E76" s="45" t="s">
        <v>123</v>
      </c>
      <c r="F76" s="45" t="s">
        <v>124</v>
      </c>
      <c r="G76" s="46">
        <v>16528.93</v>
      </c>
      <c r="H76" s="46">
        <v>0</v>
      </c>
      <c r="I76" s="45">
        <v>0</v>
      </c>
      <c r="J76" s="45">
        <v>0</v>
      </c>
      <c r="K76" s="45">
        <v>0</v>
      </c>
      <c r="L76" s="45">
        <v>3471.07</v>
      </c>
      <c r="M76" s="45">
        <v>0</v>
      </c>
      <c r="N76" s="46">
        <v>0</v>
      </c>
      <c r="O76" s="46">
        <v>20000</v>
      </c>
    </row>
    <row r="77" spans="2:15">
      <c r="B77" s="43" t="s">
        <v>1251</v>
      </c>
      <c r="C77" s="44" t="s">
        <v>1315</v>
      </c>
      <c r="D77" s="45" t="s">
        <v>122</v>
      </c>
      <c r="E77" s="45" t="s">
        <v>123</v>
      </c>
      <c r="F77" s="45" t="s">
        <v>124</v>
      </c>
      <c r="G77" s="46">
        <v>3057.85</v>
      </c>
      <c r="H77" s="46">
        <v>0</v>
      </c>
      <c r="I77" s="45">
        <v>0</v>
      </c>
      <c r="J77" s="45">
        <v>0</v>
      </c>
      <c r="K77" s="45">
        <v>0</v>
      </c>
      <c r="L77" s="45">
        <v>642.15</v>
      </c>
      <c r="M77" s="45">
        <v>0</v>
      </c>
      <c r="N77" s="46">
        <v>0</v>
      </c>
      <c r="O77" s="46">
        <v>3700</v>
      </c>
    </row>
    <row r="78" spans="2:15">
      <c r="B78" s="43" t="s">
        <v>1251</v>
      </c>
      <c r="C78" s="44" t="s">
        <v>1316</v>
      </c>
      <c r="D78" s="45" t="s">
        <v>122</v>
      </c>
      <c r="E78" s="45" t="s">
        <v>123</v>
      </c>
      <c r="F78" s="45" t="s">
        <v>124</v>
      </c>
      <c r="G78" s="46">
        <v>10330.58</v>
      </c>
      <c r="H78" s="46">
        <v>0</v>
      </c>
      <c r="I78" s="45">
        <v>0</v>
      </c>
      <c r="J78" s="45">
        <v>0</v>
      </c>
      <c r="K78" s="45">
        <v>0</v>
      </c>
      <c r="L78" s="45">
        <v>2169.42</v>
      </c>
      <c r="M78" s="45">
        <v>0</v>
      </c>
      <c r="N78" s="46">
        <v>0</v>
      </c>
      <c r="O78" s="46">
        <v>12500</v>
      </c>
    </row>
    <row r="79" spans="2:15">
      <c r="B79" s="43" t="s">
        <v>1251</v>
      </c>
      <c r="C79" s="44" t="s">
        <v>1317</v>
      </c>
      <c r="D79" s="45" t="s">
        <v>122</v>
      </c>
      <c r="E79" s="45" t="s">
        <v>123</v>
      </c>
      <c r="F79" s="45" t="s">
        <v>124</v>
      </c>
      <c r="G79" s="46">
        <v>8677.69</v>
      </c>
      <c r="H79" s="46">
        <v>0</v>
      </c>
      <c r="I79" s="45">
        <v>0</v>
      </c>
      <c r="J79" s="45">
        <v>0</v>
      </c>
      <c r="K79" s="45">
        <v>0</v>
      </c>
      <c r="L79" s="45">
        <v>1822.31</v>
      </c>
      <c r="M79" s="45">
        <v>0</v>
      </c>
      <c r="N79" s="46">
        <v>0</v>
      </c>
      <c r="O79" s="46">
        <v>10500</v>
      </c>
    </row>
    <row r="80" spans="2:15">
      <c r="B80" s="43" t="s">
        <v>1251</v>
      </c>
      <c r="C80" s="44" t="s">
        <v>1318</v>
      </c>
      <c r="D80" s="45" t="s">
        <v>122</v>
      </c>
      <c r="E80" s="45" t="s">
        <v>123</v>
      </c>
      <c r="F80" s="45" t="s">
        <v>124</v>
      </c>
      <c r="G80" s="46">
        <v>4132.2300000000005</v>
      </c>
      <c r="H80" s="46">
        <v>0</v>
      </c>
      <c r="I80" s="45">
        <v>0</v>
      </c>
      <c r="J80" s="45">
        <v>0</v>
      </c>
      <c r="K80" s="45">
        <v>0</v>
      </c>
      <c r="L80" s="45">
        <v>867.77</v>
      </c>
      <c r="M80" s="45">
        <v>0</v>
      </c>
      <c r="N80" s="46">
        <v>0</v>
      </c>
      <c r="O80" s="46">
        <v>5000</v>
      </c>
    </row>
    <row r="81" spans="2:15">
      <c r="B81" s="43" t="s">
        <v>1251</v>
      </c>
      <c r="C81" s="44" t="s">
        <v>1319</v>
      </c>
      <c r="D81" s="45" t="s">
        <v>122</v>
      </c>
      <c r="E81" s="45" t="s">
        <v>123</v>
      </c>
      <c r="F81" s="45" t="s">
        <v>124</v>
      </c>
      <c r="G81" s="46">
        <v>2809.92</v>
      </c>
      <c r="H81" s="46">
        <v>0</v>
      </c>
      <c r="I81" s="45">
        <v>0</v>
      </c>
      <c r="J81" s="45">
        <v>0</v>
      </c>
      <c r="K81" s="45">
        <v>0</v>
      </c>
      <c r="L81" s="45">
        <v>590.08000000000004</v>
      </c>
      <c r="M81" s="45">
        <v>0</v>
      </c>
      <c r="N81" s="46">
        <v>0</v>
      </c>
      <c r="O81" s="46">
        <v>3400</v>
      </c>
    </row>
    <row r="82" spans="2:15">
      <c r="B82" s="43" t="s">
        <v>1251</v>
      </c>
      <c r="C82" s="44" t="s">
        <v>1320</v>
      </c>
      <c r="D82" s="45" t="s">
        <v>122</v>
      </c>
      <c r="E82" s="45" t="s">
        <v>123</v>
      </c>
      <c r="F82" s="45" t="s">
        <v>124</v>
      </c>
      <c r="G82" s="46">
        <v>5785.12</v>
      </c>
      <c r="H82" s="46">
        <v>0</v>
      </c>
      <c r="I82" s="45">
        <v>0</v>
      </c>
      <c r="J82" s="45">
        <v>0</v>
      </c>
      <c r="K82" s="45">
        <v>0</v>
      </c>
      <c r="L82" s="45">
        <v>1214.8800000000001</v>
      </c>
      <c r="M82" s="45">
        <v>0</v>
      </c>
      <c r="N82" s="46">
        <v>0</v>
      </c>
      <c r="O82" s="46">
        <v>7000</v>
      </c>
    </row>
    <row r="83" spans="2:15">
      <c r="B83" s="43" t="s">
        <v>1251</v>
      </c>
      <c r="C83" s="44" t="s">
        <v>1321</v>
      </c>
      <c r="D83" s="45" t="s">
        <v>122</v>
      </c>
      <c r="E83" s="45" t="s">
        <v>123</v>
      </c>
      <c r="F83" s="45" t="s">
        <v>124</v>
      </c>
      <c r="G83" s="46">
        <v>3719.01</v>
      </c>
      <c r="H83" s="46">
        <v>0</v>
      </c>
      <c r="I83" s="45">
        <v>0</v>
      </c>
      <c r="J83" s="45">
        <v>0</v>
      </c>
      <c r="K83" s="45">
        <v>0</v>
      </c>
      <c r="L83" s="45">
        <v>780.99</v>
      </c>
      <c r="M83" s="45">
        <v>0</v>
      </c>
      <c r="N83" s="46">
        <v>0</v>
      </c>
      <c r="O83" s="46">
        <v>4500</v>
      </c>
    </row>
    <row r="84" spans="2:15">
      <c r="B84" s="43" t="s">
        <v>1251</v>
      </c>
      <c r="C84" s="44" t="s">
        <v>1322</v>
      </c>
      <c r="D84" s="45" t="s">
        <v>122</v>
      </c>
      <c r="E84" s="45" t="s">
        <v>123</v>
      </c>
      <c r="F84" s="45" t="s">
        <v>124</v>
      </c>
      <c r="G84" s="46">
        <v>2892.56</v>
      </c>
      <c r="H84" s="46">
        <v>0</v>
      </c>
      <c r="I84" s="45">
        <v>0</v>
      </c>
      <c r="J84" s="45">
        <v>0</v>
      </c>
      <c r="K84" s="45">
        <v>0</v>
      </c>
      <c r="L84" s="45">
        <v>607.44000000000005</v>
      </c>
      <c r="M84" s="45">
        <v>0</v>
      </c>
      <c r="N84" s="46">
        <v>0</v>
      </c>
      <c r="O84" s="46">
        <v>3500</v>
      </c>
    </row>
    <row r="85" spans="2:15">
      <c r="B85" s="43" t="s">
        <v>1251</v>
      </c>
      <c r="C85" s="44" t="s">
        <v>1323</v>
      </c>
      <c r="D85" s="45" t="s">
        <v>122</v>
      </c>
      <c r="E85" s="45" t="s">
        <v>123</v>
      </c>
      <c r="F85" s="45" t="s">
        <v>124</v>
      </c>
      <c r="G85" s="46">
        <v>15371.9</v>
      </c>
      <c r="H85" s="46">
        <v>0</v>
      </c>
      <c r="I85" s="45">
        <v>0</v>
      </c>
      <c r="J85" s="45">
        <v>0</v>
      </c>
      <c r="K85" s="45">
        <v>0</v>
      </c>
      <c r="L85" s="45">
        <v>3228.1</v>
      </c>
      <c r="M85" s="45">
        <v>0</v>
      </c>
      <c r="N85" s="46">
        <v>0</v>
      </c>
      <c r="O85" s="46">
        <v>18600</v>
      </c>
    </row>
    <row r="86" spans="2:15">
      <c r="B86" s="43" t="s">
        <v>1251</v>
      </c>
      <c r="C86" s="44" t="s">
        <v>1324</v>
      </c>
      <c r="D86" s="45" t="s">
        <v>122</v>
      </c>
      <c r="E86" s="45" t="s">
        <v>123</v>
      </c>
      <c r="F86" s="45" t="s">
        <v>124</v>
      </c>
      <c r="G86" s="46">
        <v>6942.15</v>
      </c>
      <c r="H86" s="46">
        <v>0</v>
      </c>
      <c r="I86" s="45">
        <v>0</v>
      </c>
      <c r="J86" s="45">
        <v>0</v>
      </c>
      <c r="K86" s="45">
        <v>0</v>
      </c>
      <c r="L86" s="45">
        <v>1457.85</v>
      </c>
      <c r="M86" s="45">
        <v>0</v>
      </c>
      <c r="N86" s="46">
        <v>0</v>
      </c>
      <c r="O86" s="46">
        <v>8400</v>
      </c>
    </row>
    <row r="87" spans="2:15">
      <c r="B87" s="43" t="s">
        <v>1251</v>
      </c>
      <c r="C87" s="44" t="s">
        <v>1325</v>
      </c>
      <c r="D87" s="45" t="s">
        <v>122</v>
      </c>
      <c r="E87" s="45" t="s">
        <v>123</v>
      </c>
      <c r="F87" s="45" t="s">
        <v>124</v>
      </c>
      <c r="G87" s="46">
        <v>4545.45</v>
      </c>
      <c r="H87" s="46">
        <v>0</v>
      </c>
      <c r="I87" s="45">
        <v>0</v>
      </c>
      <c r="J87" s="45">
        <v>0</v>
      </c>
      <c r="K87" s="45">
        <v>0</v>
      </c>
      <c r="L87" s="45">
        <v>954.55</v>
      </c>
      <c r="M87" s="45">
        <v>0</v>
      </c>
      <c r="N87" s="46">
        <v>0</v>
      </c>
      <c r="O87" s="46">
        <v>5500</v>
      </c>
    </row>
    <row r="88" spans="2:15">
      <c r="B88" s="43" t="s">
        <v>1251</v>
      </c>
      <c r="C88" s="44" t="s">
        <v>1326</v>
      </c>
      <c r="D88" s="45" t="s">
        <v>122</v>
      </c>
      <c r="E88" s="45" t="s">
        <v>123</v>
      </c>
      <c r="F88" s="45" t="s">
        <v>124</v>
      </c>
      <c r="G88" s="46">
        <v>6198.35</v>
      </c>
      <c r="H88" s="46">
        <v>0</v>
      </c>
      <c r="I88" s="45">
        <v>0</v>
      </c>
      <c r="J88" s="45">
        <v>0</v>
      </c>
      <c r="K88" s="45">
        <v>0</v>
      </c>
      <c r="L88" s="45">
        <v>1301.6500000000001</v>
      </c>
      <c r="M88" s="45">
        <v>0</v>
      </c>
      <c r="N88" s="46">
        <v>0</v>
      </c>
      <c r="O88" s="46">
        <v>7500</v>
      </c>
    </row>
    <row r="89" spans="2:15">
      <c r="B89" s="43" t="s">
        <v>1251</v>
      </c>
      <c r="C89" s="44" t="s">
        <v>1327</v>
      </c>
      <c r="D89" s="45" t="s">
        <v>122</v>
      </c>
      <c r="E89" s="45" t="s">
        <v>123</v>
      </c>
      <c r="F89" s="45" t="s">
        <v>124</v>
      </c>
      <c r="G89" s="46">
        <v>4876.03</v>
      </c>
      <c r="H89" s="46">
        <v>0</v>
      </c>
      <c r="I89" s="45">
        <v>0</v>
      </c>
      <c r="J89" s="45">
        <v>0</v>
      </c>
      <c r="K89" s="45">
        <v>0</v>
      </c>
      <c r="L89" s="45">
        <v>1023.97</v>
      </c>
      <c r="M89" s="45">
        <v>0</v>
      </c>
      <c r="N89" s="46">
        <v>0</v>
      </c>
      <c r="O89" s="46">
        <v>5900</v>
      </c>
    </row>
    <row r="90" spans="2:15">
      <c r="B90" s="43" t="s">
        <v>1232</v>
      </c>
      <c r="C90" s="44" t="s">
        <v>1328</v>
      </c>
      <c r="D90" s="45" t="s">
        <v>122</v>
      </c>
      <c r="E90" s="45" t="s">
        <v>123</v>
      </c>
      <c r="F90" s="45" t="s">
        <v>124</v>
      </c>
      <c r="G90" s="46">
        <v>1735.54</v>
      </c>
      <c r="H90" s="46">
        <v>0</v>
      </c>
      <c r="I90" s="45">
        <v>0</v>
      </c>
      <c r="J90" s="45">
        <v>0</v>
      </c>
      <c r="K90" s="45">
        <v>0</v>
      </c>
      <c r="L90" s="45">
        <v>364.46</v>
      </c>
      <c r="M90" s="45">
        <v>0</v>
      </c>
      <c r="N90" s="46">
        <v>0</v>
      </c>
      <c r="O90" s="46">
        <v>2100</v>
      </c>
    </row>
    <row r="91" spans="2:15">
      <c r="B91" s="43" t="s">
        <v>1232</v>
      </c>
      <c r="C91" s="44" t="s">
        <v>1329</v>
      </c>
      <c r="D91" s="45" t="s">
        <v>122</v>
      </c>
      <c r="E91" s="45" t="s">
        <v>123</v>
      </c>
      <c r="F91" s="45" t="s">
        <v>124</v>
      </c>
      <c r="G91" s="46">
        <v>9917.36</v>
      </c>
      <c r="H91" s="46">
        <v>0</v>
      </c>
      <c r="I91" s="45">
        <v>0</v>
      </c>
      <c r="J91" s="45">
        <v>0</v>
      </c>
      <c r="K91" s="45">
        <v>0</v>
      </c>
      <c r="L91" s="45">
        <v>2082.64</v>
      </c>
      <c r="M91" s="45">
        <v>0</v>
      </c>
      <c r="N91" s="46">
        <v>0</v>
      </c>
      <c r="O91" s="46">
        <v>12000</v>
      </c>
    </row>
    <row r="92" spans="2:15">
      <c r="B92" s="43" t="s">
        <v>1232</v>
      </c>
      <c r="C92" s="44" t="s">
        <v>1330</v>
      </c>
      <c r="D92" s="45" t="s">
        <v>122</v>
      </c>
      <c r="E92" s="45" t="s">
        <v>123</v>
      </c>
      <c r="F92" s="45" t="s">
        <v>124</v>
      </c>
      <c r="G92" s="46">
        <v>2892.56</v>
      </c>
      <c r="H92" s="46">
        <v>0</v>
      </c>
      <c r="I92" s="45">
        <v>0</v>
      </c>
      <c r="J92" s="45">
        <v>0</v>
      </c>
      <c r="K92" s="45">
        <v>0</v>
      </c>
      <c r="L92" s="45">
        <v>607.44000000000005</v>
      </c>
      <c r="M92" s="45">
        <v>0</v>
      </c>
      <c r="N92" s="46">
        <v>0</v>
      </c>
      <c r="O92" s="46">
        <v>3500</v>
      </c>
    </row>
    <row r="93" spans="2:15">
      <c r="B93" s="43" t="s">
        <v>1232</v>
      </c>
      <c r="C93" s="44" t="s">
        <v>1331</v>
      </c>
      <c r="D93" s="45" t="s">
        <v>122</v>
      </c>
      <c r="E93" s="45" t="s">
        <v>123</v>
      </c>
      <c r="F93" s="45" t="s">
        <v>124</v>
      </c>
      <c r="G93" s="46">
        <v>2809.92</v>
      </c>
      <c r="H93" s="46">
        <v>0</v>
      </c>
      <c r="I93" s="45">
        <v>0</v>
      </c>
      <c r="J93" s="45">
        <v>0</v>
      </c>
      <c r="K93" s="45">
        <v>0</v>
      </c>
      <c r="L93" s="45">
        <v>590.08000000000004</v>
      </c>
      <c r="M93" s="45">
        <v>0</v>
      </c>
      <c r="N93" s="46">
        <v>0</v>
      </c>
      <c r="O93" s="46">
        <v>3400</v>
      </c>
    </row>
    <row r="94" spans="2:15">
      <c r="B94" s="43" t="s">
        <v>1232</v>
      </c>
      <c r="C94" s="44" t="s">
        <v>1332</v>
      </c>
      <c r="D94" s="45" t="s">
        <v>122</v>
      </c>
      <c r="E94" s="45" t="s">
        <v>123</v>
      </c>
      <c r="F94" s="45" t="s">
        <v>124</v>
      </c>
      <c r="G94" s="46">
        <v>3099.17</v>
      </c>
      <c r="H94" s="46">
        <v>0</v>
      </c>
      <c r="I94" s="45">
        <v>0</v>
      </c>
      <c r="J94" s="45">
        <v>0</v>
      </c>
      <c r="K94" s="45">
        <v>0</v>
      </c>
      <c r="L94" s="45">
        <v>650.83000000000004</v>
      </c>
      <c r="M94" s="45">
        <v>0</v>
      </c>
      <c r="N94" s="46">
        <v>0</v>
      </c>
      <c r="O94" s="46">
        <v>3750</v>
      </c>
    </row>
    <row r="95" spans="2:15">
      <c r="B95" s="43" t="s">
        <v>1232</v>
      </c>
      <c r="C95" s="44" t="s">
        <v>1333</v>
      </c>
      <c r="D95" s="45" t="s">
        <v>122</v>
      </c>
      <c r="E95" s="45" t="s">
        <v>123</v>
      </c>
      <c r="F95" s="45" t="s">
        <v>124</v>
      </c>
      <c r="G95" s="46">
        <v>3099.17</v>
      </c>
      <c r="H95" s="46">
        <v>0</v>
      </c>
      <c r="I95" s="45">
        <v>0</v>
      </c>
      <c r="J95" s="45">
        <v>0</v>
      </c>
      <c r="K95" s="45">
        <v>0</v>
      </c>
      <c r="L95" s="45">
        <v>650.83000000000004</v>
      </c>
      <c r="M95" s="45">
        <v>0</v>
      </c>
      <c r="N95" s="46">
        <v>0</v>
      </c>
      <c r="O95" s="46">
        <v>3750</v>
      </c>
    </row>
    <row r="96" spans="2:15">
      <c r="B96" s="43" t="s">
        <v>1232</v>
      </c>
      <c r="C96" s="44" t="s">
        <v>1334</v>
      </c>
      <c r="D96" s="45" t="s">
        <v>122</v>
      </c>
      <c r="E96" s="45" t="s">
        <v>123</v>
      </c>
      <c r="F96" s="45" t="s">
        <v>124</v>
      </c>
      <c r="G96" s="46">
        <v>2644.63</v>
      </c>
      <c r="H96" s="46">
        <v>0</v>
      </c>
      <c r="I96" s="45">
        <v>0</v>
      </c>
      <c r="J96" s="45">
        <v>0</v>
      </c>
      <c r="K96" s="45">
        <v>0</v>
      </c>
      <c r="L96" s="45">
        <v>555.37</v>
      </c>
      <c r="M96" s="45">
        <v>0</v>
      </c>
      <c r="N96" s="46">
        <v>0</v>
      </c>
      <c r="O96" s="46">
        <v>3200</v>
      </c>
    </row>
    <row r="97" spans="2:15">
      <c r="B97" s="43" t="s">
        <v>1232</v>
      </c>
      <c r="C97" s="44" t="s">
        <v>1335</v>
      </c>
      <c r="D97" s="45" t="s">
        <v>122</v>
      </c>
      <c r="E97" s="45" t="s">
        <v>123</v>
      </c>
      <c r="F97" s="45" t="s">
        <v>124</v>
      </c>
      <c r="G97" s="46">
        <v>6198.35</v>
      </c>
      <c r="H97" s="46">
        <v>0</v>
      </c>
      <c r="I97" s="45">
        <v>0</v>
      </c>
      <c r="J97" s="45">
        <v>0</v>
      </c>
      <c r="K97" s="45">
        <v>0</v>
      </c>
      <c r="L97" s="45">
        <v>1301.6500000000001</v>
      </c>
      <c r="M97" s="45">
        <v>0</v>
      </c>
      <c r="N97" s="46">
        <v>0</v>
      </c>
      <c r="O97" s="46">
        <v>7500</v>
      </c>
    </row>
    <row r="98" spans="2:15">
      <c r="B98" s="43" t="s">
        <v>1232</v>
      </c>
      <c r="C98" s="44" t="s">
        <v>1336</v>
      </c>
      <c r="D98" s="45" t="s">
        <v>122</v>
      </c>
      <c r="E98" s="45" t="s">
        <v>123</v>
      </c>
      <c r="F98" s="45" t="s">
        <v>124</v>
      </c>
      <c r="G98" s="46">
        <v>1652.89</v>
      </c>
      <c r="H98" s="46">
        <v>0</v>
      </c>
      <c r="I98" s="45">
        <v>0</v>
      </c>
      <c r="J98" s="45">
        <v>0</v>
      </c>
      <c r="K98" s="45">
        <v>0</v>
      </c>
      <c r="L98" s="45">
        <v>347.11</v>
      </c>
      <c r="M98" s="45">
        <v>0</v>
      </c>
      <c r="N98" s="46">
        <v>0</v>
      </c>
      <c r="O98" s="46">
        <v>2000</v>
      </c>
    </row>
    <row r="99" spans="2:15">
      <c r="B99" s="43" t="s">
        <v>1232</v>
      </c>
      <c r="C99" s="44" t="s">
        <v>1337</v>
      </c>
      <c r="D99" s="45" t="s">
        <v>122</v>
      </c>
      <c r="E99" s="45" t="s">
        <v>123</v>
      </c>
      <c r="F99" s="45" t="s">
        <v>124</v>
      </c>
      <c r="G99" s="46">
        <v>5454.55</v>
      </c>
      <c r="H99" s="46">
        <v>0</v>
      </c>
      <c r="I99" s="45">
        <v>0</v>
      </c>
      <c r="J99" s="45">
        <v>0</v>
      </c>
      <c r="K99" s="45">
        <v>0</v>
      </c>
      <c r="L99" s="45">
        <v>1145.45</v>
      </c>
      <c r="M99" s="45">
        <v>0</v>
      </c>
      <c r="N99" s="46">
        <v>0</v>
      </c>
      <c r="O99" s="46">
        <v>6600</v>
      </c>
    </row>
    <row r="100" spans="2:15">
      <c r="B100" s="43" t="s">
        <v>1232</v>
      </c>
      <c r="C100" s="44" t="s">
        <v>1338</v>
      </c>
      <c r="D100" s="45" t="s">
        <v>122</v>
      </c>
      <c r="E100" s="45" t="s">
        <v>123</v>
      </c>
      <c r="F100" s="45" t="s">
        <v>124</v>
      </c>
      <c r="G100" s="46">
        <v>2396.69</v>
      </c>
      <c r="H100" s="46">
        <v>0</v>
      </c>
      <c r="I100" s="45">
        <v>0</v>
      </c>
      <c r="J100" s="45">
        <v>0</v>
      </c>
      <c r="K100" s="45">
        <v>0</v>
      </c>
      <c r="L100" s="45">
        <v>503.31</v>
      </c>
      <c r="M100" s="45">
        <v>0</v>
      </c>
      <c r="N100" s="46">
        <v>0</v>
      </c>
      <c r="O100" s="46">
        <v>2900</v>
      </c>
    </row>
    <row r="101" spans="2:15">
      <c r="B101" s="43" t="s">
        <v>1232</v>
      </c>
      <c r="C101" s="44" t="s">
        <v>1339</v>
      </c>
      <c r="D101" s="45" t="s">
        <v>122</v>
      </c>
      <c r="E101" s="45" t="s">
        <v>123</v>
      </c>
      <c r="F101" s="45" t="s">
        <v>124</v>
      </c>
      <c r="G101" s="46">
        <v>2884.3</v>
      </c>
      <c r="H101" s="46">
        <v>0</v>
      </c>
      <c r="I101" s="45">
        <v>0</v>
      </c>
      <c r="J101" s="45">
        <v>0</v>
      </c>
      <c r="K101" s="45">
        <v>0</v>
      </c>
      <c r="L101" s="45">
        <v>605.70000000000005</v>
      </c>
      <c r="M101" s="45">
        <v>0</v>
      </c>
      <c r="N101" s="46">
        <v>0</v>
      </c>
      <c r="O101" s="46">
        <v>3490</v>
      </c>
    </row>
    <row r="102" spans="2:15">
      <c r="B102" s="43" t="s">
        <v>1232</v>
      </c>
      <c r="C102" s="44" t="s">
        <v>1340</v>
      </c>
      <c r="D102" s="45" t="s">
        <v>122</v>
      </c>
      <c r="E102" s="45" t="s">
        <v>123</v>
      </c>
      <c r="F102" s="45" t="s">
        <v>124</v>
      </c>
      <c r="G102" s="46">
        <v>9917.36</v>
      </c>
      <c r="H102" s="46">
        <v>0</v>
      </c>
      <c r="I102" s="45">
        <v>0</v>
      </c>
      <c r="J102" s="45">
        <v>0</v>
      </c>
      <c r="K102" s="45">
        <v>0</v>
      </c>
      <c r="L102" s="45">
        <v>2082.64</v>
      </c>
      <c r="M102" s="45">
        <v>0</v>
      </c>
      <c r="N102" s="46">
        <v>0</v>
      </c>
      <c r="O102" s="46">
        <v>12000</v>
      </c>
    </row>
    <row r="103" spans="2:15">
      <c r="B103" s="43" t="s">
        <v>1255</v>
      </c>
      <c r="C103" s="44" t="s">
        <v>1341</v>
      </c>
      <c r="D103" s="45" t="s">
        <v>122</v>
      </c>
      <c r="E103" s="45" t="s">
        <v>123</v>
      </c>
      <c r="F103" s="45" t="s">
        <v>124</v>
      </c>
      <c r="G103" s="46">
        <v>4462.8100000000004</v>
      </c>
      <c r="H103" s="46">
        <v>0</v>
      </c>
      <c r="I103" s="45">
        <v>0</v>
      </c>
      <c r="J103" s="45">
        <v>0</v>
      </c>
      <c r="K103" s="45">
        <v>0</v>
      </c>
      <c r="L103" s="45">
        <v>937.19</v>
      </c>
      <c r="M103" s="45">
        <v>0</v>
      </c>
      <c r="N103" s="46">
        <v>0</v>
      </c>
      <c r="O103" s="46">
        <v>5400</v>
      </c>
    </row>
    <row r="104" spans="2:15">
      <c r="B104" s="43" t="s">
        <v>1255</v>
      </c>
      <c r="C104" s="44" t="s">
        <v>1342</v>
      </c>
      <c r="D104" s="45" t="s">
        <v>122</v>
      </c>
      <c r="E104" s="45" t="s">
        <v>123</v>
      </c>
      <c r="F104" s="45" t="s">
        <v>124</v>
      </c>
      <c r="G104" s="46">
        <v>19834.71</v>
      </c>
      <c r="H104" s="46">
        <v>0</v>
      </c>
      <c r="I104" s="45">
        <v>0</v>
      </c>
      <c r="J104" s="45">
        <v>0</v>
      </c>
      <c r="K104" s="45">
        <v>0</v>
      </c>
      <c r="L104" s="45">
        <v>4165.29</v>
      </c>
      <c r="M104" s="45">
        <v>0</v>
      </c>
      <c r="N104" s="46">
        <v>0</v>
      </c>
      <c r="O104" s="46">
        <v>24000</v>
      </c>
    </row>
    <row r="105" spans="2:15">
      <c r="B105" s="43" t="s">
        <v>1255</v>
      </c>
      <c r="C105" s="44" t="s">
        <v>1343</v>
      </c>
      <c r="D105" s="45" t="s">
        <v>122</v>
      </c>
      <c r="E105" s="45" t="s">
        <v>123</v>
      </c>
      <c r="F105" s="45" t="s">
        <v>124</v>
      </c>
      <c r="G105" s="46">
        <v>10661.16</v>
      </c>
      <c r="H105" s="46">
        <v>0</v>
      </c>
      <c r="I105" s="45">
        <v>0</v>
      </c>
      <c r="J105" s="45">
        <v>0</v>
      </c>
      <c r="K105" s="45">
        <v>0</v>
      </c>
      <c r="L105" s="45">
        <v>2238.84</v>
      </c>
      <c r="M105" s="45">
        <v>0</v>
      </c>
      <c r="N105" s="46">
        <v>0</v>
      </c>
      <c r="O105" s="46">
        <v>12900</v>
      </c>
    </row>
    <row r="106" spans="2:15">
      <c r="B106" s="43" t="s">
        <v>1255</v>
      </c>
      <c r="C106" s="44" t="s">
        <v>1344</v>
      </c>
      <c r="D106" s="45" t="s">
        <v>122</v>
      </c>
      <c r="E106" s="45" t="s">
        <v>123</v>
      </c>
      <c r="F106" s="45" t="s">
        <v>124</v>
      </c>
      <c r="G106" s="46">
        <v>3719.01</v>
      </c>
      <c r="H106" s="46">
        <v>0</v>
      </c>
      <c r="I106" s="45">
        <v>0</v>
      </c>
      <c r="J106" s="45">
        <v>0</v>
      </c>
      <c r="K106" s="45">
        <v>0</v>
      </c>
      <c r="L106" s="45">
        <v>780.99</v>
      </c>
      <c r="M106" s="45">
        <v>0</v>
      </c>
      <c r="N106" s="46">
        <v>0</v>
      </c>
      <c r="O106" s="46">
        <v>4500</v>
      </c>
    </row>
    <row r="107" spans="2:15">
      <c r="B107" s="43" t="s">
        <v>1255</v>
      </c>
      <c r="C107" s="44" t="s">
        <v>1345</v>
      </c>
      <c r="D107" s="45" t="s">
        <v>122</v>
      </c>
      <c r="E107" s="45" t="s">
        <v>123</v>
      </c>
      <c r="F107" s="45" t="s">
        <v>124</v>
      </c>
      <c r="G107" s="46">
        <v>2801.66</v>
      </c>
      <c r="H107" s="46">
        <v>0</v>
      </c>
      <c r="I107" s="45">
        <v>0</v>
      </c>
      <c r="J107" s="45">
        <v>0</v>
      </c>
      <c r="K107" s="45">
        <v>0</v>
      </c>
      <c r="L107" s="45">
        <v>588.34</v>
      </c>
      <c r="M107" s="45">
        <v>0</v>
      </c>
      <c r="N107" s="46">
        <v>0</v>
      </c>
      <c r="O107" s="46">
        <v>3390</v>
      </c>
    </row>
    <row r="108" spans="2:15">
      <c r="B108" s="43" t="s">
        <v>1255</v>
      </c>
      <c r="C108" s="44" t="s">
        <v>1346</v>
      </c>
      <c r="D108" s="45" t="s">
        <v>122</v>
      </c>
      <c r="E108" s="45" t="s">
        <v>123</v>
      </c>
      <c r="F108" s="45" t="s">
        <v>124</v>
      </c>
      <c r="G108" s="46">
        <v>2396.69</v>
      </c>
      <c r="H108" s="46">
        <v>0</v>
      </c>
      <c r="I108" s="45">
        <v>0</v>
      </c>
      <c r="J108" s="45">
        <v>0</v>
      </c>
      <c r="K108" s="45">
        <v>0</v>
      </c>
      <c r="L108" s="45">
        <v>503.31</v>
      </c>
      <c r="M108" s="45">
        <v>0</v>
      </c>
      <c r="N108" s="46">
        <v>0</v>
      </c>
      <c r="O108" s="46">
        <v>2900</v>
      </c>
    </row>
    <row r="109" spans="2:15">
      <c r="B109" s="43" t="s">
        <v>1255</v>
      </c>
      <c r="C109" s="44" t="s">
        <v>1347</v>
      </c>
      <c r="D109" s="45" t="s">
        <v>122</v>
      </c>
      <c r="E109" s="45" t="s">
        <v>123</v>
      </c>
      <c r="F109" s="45" t="s">
        <v>124</v>
      </c>
      <c r="G109" s="46">
        <v>1198.3500000000001</v>
      </c>
      <c r="H109" s="46">
        <v>0</v>
      </c>
      <c r="I109" s="45">
        <v>0</v>
      </c>
      <c r="J109" s="45">
        <v>0</v>
      </c>
      <c r="K109" s="45">
        <v>0</v>
      </c>
      <c r="L109" s="45">
        <v>251.65</v>
      </c>
      <c r="M109" s="45">
        <v>0</v>
      </c>
      <c r="N109" s="46">
        <v>0</v>
      </c>
      <c r="O109" s="46">
        <v>1450</v>
      </c>
    </row>
    <row r="110" spans="2:15">
      <c r="B110" s="43" t="s">
        <v>1255</v>
      </c>
      <c r="C110" s="44" t="s">
        <v>1348</v>
      </c>
      <c r="D110" s="45" t="s">
        <v>122</v>
      </c>
      <c r="E110" s="45" t="s">
        <v>123</v>
      </c>
      <c r="F110" s="45" t="s">
        <v>124</v>
      </c>
      <c r="G110" s="46">
        <v>10991.74</v>
      </c>
      <c r="H110" s="46">
        <v>0</v>
      </c>
      <c r="I110" s="45">
        <v>0</v>
      </c>
      <c r="J110" s="45">
        <v>0</v>
      </c>
      <c r="K110" s="45">
        <v>0</v>
      </c>
      <c r="L110" s="45">
        <v>2308.2600000000002</v>
      </c>
      <c r="M110" s="45">
        <v>0</v>
      </c>
      <c r="N110" s="46">
        <v>0</v>
      </c>
      <c r="O110" s="46">
        <v>13300</v>
      </c>
    </row>
    <row r="111" spans="2:15">
      <c r="B111" s="43" t="s">
        <v>1255</v>
      </c>
      <c r="C111" s="44" t="s">
        <v>1349</v>
      </c>
      <c r="D111" s="45" t="s">
        <v>122</v>
      </c>
      <c r="E111" s="45" t="s">
        <v>123</v>
      </c>
      <c r="F111" s="45" t="s">
        <v>124</v>
      </c>
      <c r="G111" s="46">
        <v>4942.1500000000005</v>
      </c>
      <c r="H111" s="46">
        <v>0</v>
      </c>
      <c r="I111" s="45">
        <v>0</v>
      </c>
      <c r="J111" s="45">
        <v>0</v>
      </c>
      <c r="K111" s="45">
        <v>0</v>
      </c>
      <c r="L111" s="45">
        <v>1037.8499999999999</v>
      </c>
      <c r="M111" s="45">
        <v>0</v>
      </c>
      <c r="N111" s="46">
        <v>0</v>
      </c>
      <c r="O111" s="46">
        <v>5980</v>
      </c>
    </row>
    <row r="112" spans="2:15">
      <c r="B112" s="43" t="s">
        <v>1255</v>
      </c>
      <c r="C112" s="44" t="s">
        <v>1350</v>
      </c>
      <c r="D112" s="45" t="s">
        <v>122</v>
      </c>
      <c r="E112" s="45" t="s">
        <v>123</v>
      </c>
      <c r="F112" s="45" t="s">
        <v>124</v>
      </c>
      <c r="G112" s="46">
        <v>2644.63</v>
      </c>
      <c r="H112" s="46">
        <v>0</v>
      </c>
      <c r="I112" s="45">
        <v>0</v>
      </c>
      <c r="J112" s="45">
        <v>0</v>
      </c>
      <c r="K112" s="45">
        <v>0</v>
      </c>
      <c r="L112" s="45">
        <v>555.37</v>
      </c>
      <c r="M112" s="45">
        <v>0</v>
      </c>
      <c r="N112" s="46">
        <v>0</v>
      </c>
      <c r="O112" s="46">
        <v>3200</v>
      </c>
    </row>
    <row r="113" spans="2:15">
      <c r="B113" s="43" t="s">
        <v>1255</v>
      </c>
      <c r="C113" s="44" t="s">
        <v>1351</v>
      </c>
      <c r="D113" s="45" t="s">
        <v>122</v>
      </c>
      <c r="E113" s="45" t="s">
        <v>123</v>
      </c>
      <c r="F113" s="45" t="s">
        <v>124</v>
      </c>
      <c r="G113" s="46">
        <v>4958.68</v>
      </c>
      <c r="H113" s="46">
        <v>0</v>
      </c>
      <c r="I113" s="45">
        <v>0</v>
      </c>
      <c r="J113" s="45">
        <v>0</v>
      </c>
      <c r="K113" s="45">
        <v>0</v>
      </c>
      <c r="L113" s="45">
        <v>1041.32</v>
      </c>
      <c r="M113" s="45">
        <v>0</v>
      </c>
      <c r="N113" s="46">
        <v>0</v>
      </c>
      <c r="O113" s="46">
        <v>6000</v>
      </c>
    </row>
    <row r="114" spans="2:15">
      <c r="B114" s="43" t="s">
        <v>1255</v>
      </c>
      <c r="C114" s="44" t="s">
        <v>1352</v>
      </c>
      <c r="D114" s="45" t="s">
        <v>122</v>
      </c>
      <c r="E114" s="45" t="s">
        <v>123</v>
      </c>
      <c r="F114" s="45" t="s">
        <v>124</v>
      </c>
      <c r="G114" s="46">
        <v>12396.69</v>
      </c>
      <c r="H114" s="46">
        <v>0</v>
      </c>
      <c r="I114" s="45">
        <v>0</v>
      </c>
      <c r="J114" s="45">
        <v>0</v>
      </c>
      <c r="K114" s="45">
        <v>0</v>
      </c>
      <c r="L114" s="45">
        <v>2603.31</v>
      </c>
      <c r="M114" s="45">
        <v>0</v>
      </c>
      <c r="N114" s="46">
        <v>0</v>
      </c>
      <c r="O114" s="46">
        <v>15000</v>
      </c>
    </row>
    <row r="115" spans="2:15">
      <c r="B115" s="43" t="s">
        <v>1255</v>
      </c>
      <c r="C115" s="44" t="s">
        <v>1353</v>
      </c>
      <c r="D115" s="45" t="s">
        <v>122</v>
      </c>
      <c r="E115" s="45" t="s">
        <v>123</v>
      </c>
      <c r="F115" s="45" t="s">
        <v>124</v>
      </c>
      <c r="G115" s="46">
        <v>3099.17</v>
      </c>
      <c r="H115" s="46">
        <v>0</v>
      </c>
      <c r="I115" s="45">
        <v>0</v>
      </c>
      <c r="J115" s="45">
        <v>0</v>
      </c>
      <c r="K115" s="45">
        <v>0</v>
      </c>
      <c r="L115" s="45">
        <v>650.83000000000004</v>
      </c>
      <c r="M115" s="45">
        <v>0</v>
      </c>
      <c r="N115" s="46">
        <v>0</v>
      </c>
      <c r="O115" s="46">
        <v>3750</v>
      </c>
    </row>
    <row r="116" spans="2:15">
      <c r="B116" s="43" t="s">
        <v>1255</v>
      </c>
      <c r="C116" s="44" t="s">
        <v>1354</v>
      </c>
      <c r="D116" s="45" t="s">
        <v>122</v>
      </c>
      <c r="E116" s="45" t="s">
        <v>123</v>
      </c>
      <c r="F116" s="45" t="s">
        <v>124</v>
      </c>
      <c r="G116" s="46">
        <v>2892.56</v>
      </c>
      <c r="H116" s="46">
        <v>0</v>
      </c>
      <c r="I116" s="45">
        <v>0</v>
      </c>
      <c r="J116" s="45">
        <v>0</v>
      </c>
      <c r="K116" s="45">
        <v>0</v>
      </c>
      <c r="L116" s="45">
        <v>607.44000000000005</v>
      </c>
      <c r="M116" s="45">
        <v>0</v>
      </c>
      <c r="N116" s="46">
        <v>0</v>
      </c>
      <c r="O116" s="46">
        <v>3500</v>
      </c>
    </row>
    <row r="117" spans="2:15">
      <c r="B117" s="43" t="s">
        <v>1255</v>
      </c>
      <c r="C117" s="44" t="s">
        <v>1355</v>
      </c>
      <c r="D117" s="45" t="s">
        <v>122</v>
      </c>
      <c r="E117" s="45" t="s">
        <v>123</v>
      </c>
      <c r="F117" s="45" t="s">
        <v>124</v>
      </c>
      <c r="G117" s="46">
        <v>2644.63</v>
      </c>
      <c r="H117" s="46">
        <v>0</v>
      </c>
      <c r="I117" s="45">
        <v>0</v>
      </c>
      <c r="J117" s="45">
        <v>0</v>
      </c>
      <c r="K117" s="45">
        <v>0</v>
      </c>
      <c r="L117" s="45">
        <v>555.37</v>
      </c>
      <c r="M117" s="45">
        <v>0</v>
      </c>
      <c r="N117" s="46">
        <v>0</v>
      </c>
      <c r="O117" s="46">
        <v>3200</v>
      </c>
    </row>
    <row r="118" spans="2:15">
      <c r="B118" s="43" t="s">
        <v>1255</v>
      </c>
      <c r="C118" s="44" t="s">
        <v>1356</v>
      </c>
      <c r="D118" s="45" t="s">
        <v>122</v>
      </c>
      <c r="E118" s="45" t="s">
        <v>123</v>
      </c>
      <c r="F118" s="45" t="s">
        <v>124</v>
      </c>
      <c r="G118" s="46">
        <v>2396.69</v>
      </c>
      <c r="H118" s="46">
        <v>0</v>
      </c>
      <c r="I118" s="45">
        <v>0</v>
      </c>
      <c r="J118" s="45">
        <v>0</v>
      </c>
      <c r="K118" s="45">
        <v>0</v>
      </c>
      <c r="L118" s="45">
        <v>503.31</v>
      </c>
      <c r="M118" s="45">
        <v>0</v>
      </c>
      <c r="N118" s="46">
        <v>0</v>
      </c>
      <c r="O118" s="46">
        <v>2900</v>
      </c>
    </row>
    <row r="119" spans="2:15">
      <c r="B119" s="43" t="s">
        <v>1268</v>
      </c>
      <c r="C119" s="44" t="s">
        <v>1357</v>
      </c>
      <c r="D119" s="45" t="s">
        <v>122</v>
      </c>
      <c r="E119" s="45" t="s">
        <v>123</v>
      </c>
      <c r="F119" s="45" t="s">
        <v>124</v>
      </c>
      <c r="G119" s="46">
        <v>3140.5</v>
      </c>
      <c r="H119" s="46">
        <v>0</v>
      </c>
      <c r="I119" s="45">
        <v>0</v>
      </c>
      <c r="J119" s="45">
        <v>0</v>
      </c>
      <c r="K119" s="45">
        <v>0</v>
      </c>
      <c r="L119" s="45">
        <v>659.5</v>
      </c>
      <c r="M119" s="45">
        <v>0</v>
      </c>
      <c r="N119" s="46">
        <v>0</v>
      </c>
      <c r="O119" s="46">
        <v>3800</v>
      </c>
    </row>
    <row r="120" spans="2:15">
      <c r="B120" s="43" t="s">
        <v>1268</v>
      </c>
      <c r="C120" s="44" t="s">
        <v>1358</v>
      </c>
      <c r="D120" s="45" t="s">
        <v>122</v>
      </c>
      <c r="E120" s="45" t="s">
        <v>123</v>
      </c>
      <c r="F120" s="45" t="s">
        <v>124</v>
      </c>
      <c r="G120" s="46">
        <v>6198.35</v>
      </c>
      <c r="H120" s="46">
        <v>0</v>
      </c>
      <c r="I120" s="45">
        <v>0</v>
      </c>
      <c r="J120" s="45">
        <v>0</v>
      </c>
      <c r="K120" s="45">
        <v>0</v>
      </c>
      <c r="L120" s="45">
        <v>1301.6500000000001</v>
      </c>
      <c r="M120" s="45">
        <v>0</v>
      </c>
      <c r="N120" s="46">
        <v>0</v>
      </c>
      <c r="O120" s="46">
        <v>7500</v>
      </c>
    </row>
    <row r="121" spans="2:15">
      <c r="B121" s="43" t="s">
        <v>1268</v>
      </c>
      <c r="C121" s="44" t="s">
        <v>1359</v>
      </c>
      <c r="D121" s="45" t="s">
        <v>122</v>
      </c>
      <c r="E121" s="45" t="s">
        <v>123</v>
      </c>
      <c r="F121" s="45" t="s">
        <v>124</v>
      </c>
      <c r="G121" s="46">
        <v>2479.34</v>
      </c>
      <c r="H121" s="46">
        <v>0</v>
      </c>
      <c r="I121" s="45">
        <v>0</v>
      </c>
      <c r="J121" s="45">
        <v>0</v>
      </c>
      <c r="K121" s="45">
        <v>0</v>
      </c>
      <c r="L121" s="45">
        <v>520.66</v>
      </c>
      <c r="M121" s="45">
        <v>0</v>
      </c>
      <c r="N121" s="46">
        <v>0</v>
      </c>
      <c r="O121" s="46">
        <v>3000</v>
      </c>
    </row>
    <row r="122" spans="2:15">
      <c r="B122" s="43" t="s">
        <v>1268</v>
      </c>
      <c r="C122" s="44" t="s">
        <v>1360</v>
      </c>
      <c r="D122" s="45" t="s">
        <v>122</v>
      </c>
      <c r="E122" s="45" t="s">
        <v>123</v>
      </c>
      <c r="F122" s="45" t="s">
        <v>124</v>
      </c>
      <c r="G122" s="46">
        <v>5165.29</v>
      </c>
      <c r="H122" s="46">
        <v>0</v>
      </c>
      <c r="I122" s="45">
        <v>0</v>
      </c>
      <c r="J122" s="45">
        <v>0</v>
      </c>
      <c r="K122" s="45">
        <v>0</v>
      </c>
      <c r="L122" s="45">
        <v>1084.71</v>
      </c>
      <c r="M122" s="45">
        <v>0</v>
      </c>
      <c r="N122" s="46">
        <v>0</v>
      </c>
      <c r="O122" s="46">
        <v>6250</v>
      </c>
    </row>
    <row r="123" spans="2:15">
      <c r="B123" s="43" t="s">
        <v>1268</v>
      </c>
      <c r="C123" s="44" t="s">
        <v>1361</v>
      </c>
      <c r="D123" s="45" t="s">
        <v>122</v>
      </c>
      <c r="E123" s="45" t="s">
        <v>123</v>
      </c>
      <c r="F123" s="45" t="s">
        <v>124</v>
      </c>
      <c r="G123" s="46">
        <v>1900.83</v>
      </c>
      <c r="H123" s="46">
        <v>0</v>
      </c>
      <c r="I123" s="45">
        <v>0</v>
      </c>
      <c r="J123" s="45">
        <v>0</v>
      </c>
      <c r="K123" s="45">
        <v>0</v>
      </c>
      <c r="L123" s="45">
        <v>399.17</v>
      </c>
      <c r="M123" s="45">
        <v>0</v>
      </c>
      <c r="N123" s="46">
        <v>0</v>
      </c>
      <c r="O123" s="46">
        <v>2300</v>
      </c>
    </row>
    <row r="124" spans="2:15">
      <c r="B124" s="43" t="s">
        <v>1268</v>
      </c>
      <c r="C124" s="44" t="s">
        <v>1362</v>
      </c>
      <c r="D124" s="45" t="s">
        <v>122</v>
      </c>
      <c r="E124" s="45" t="s">
        <v>123</v>
      </c>
      <c r="F124" s="45" t="s">
        <v>124</v>
      </c>
      <c r="G124" s="46">
        <v>3305.79</v>
      </c>
      <c r="H124" s="46">
        <v>0</v>
      </c>
      <c r="I124" s="45">
        <v>0</v>
      </c>
      <c r="J124" s="45">
        <v>0</v>
      </c>
      <c r="K124" s="45">
        <v>0</v>
      </c>
      <c r="L124" s="45">
        <v>694.21</v>
      </c>
      <c r="M124" s="45">
        <v>0</v>
      </c>
      <c r="N124" s="46">
        <v>0</v>
      </c>
      <c r="O124" s="46">
        <v>4000</v>
      </c>
    </row>
    <row r="125" spans="2:15">
      <c r="B125" s="43" t="s">
        <v>1268</v>
      </c>
      <c r="C125" s="44" t="s">
        <v>1363</v>
      </c>
      <c r="D125" s="45" t="s">
        <v>122</v>
      </c>
      <c r="E125" s="45" t="s">
        <v>123</v>
      </c>
      <c r="F125" s="45" t="s">
        <v>124</v>
      </c>
      <c r="G125" s="46">
        <v>7438.02</v>
      </c>
      <c r="H125" s="46">
        <v>0</v>
      </c>
      <c r="I125" s="45">
        <v>0</v>
      </c>
      <c r="J125" s="45">
        <v>0</v>
      </c>
      <c r="K125" s="45">
        <v>0</v>
      </c>
      <c r="L125" s="45">
        <v>1561.98</v>
      </c>
      <c r="M125" s="45">
        <v>0</v>
      </c>
      <c r="N125" s="46">
        <v>0</v>
      </c>
      <c r="O125" s="46">
        <v>9000</v>
      </c>
    </row>
    <row r="126" spans="2:15">
      <c r="B126" s="43" t="s">
        <v>1268</v>
      </c>
      <c r="C126" s="44" t="s">
        <v>1364</v>
      </c>
      <c r="D126" s="45" t="s">
        <v>122</v>
      </c>
      <c r="E126" s="45" t="s">
        <v>123</v>
      </c>
      <c r="F126" s="45" t="s">
        <v>124</v>
      </c>
      <c r="G126" s="46">
        <v>4462.8100000000004</v>
      </c>
      <c r="H126" s="46">
        <v>0</v>
      </c>
      <c r="I126" s="45">
        <v>0</v>
      </c>
      <c r="J126" s="45">
        <v>0</v>
      </c>
      <c r="K126" s="45">
        <v>0</v>
      </c>
      <c r="L126" s="45">
        <v>937.19</v>
      </c>
      <c r="M126" s="45">
        <v>0</v>
      </c>
      <c r="N126" s="46">
        <v>0</v>
      </c>
      <c r="O126" s="46">
        <v>5400</v>
      </c>
    </row>
    <row r="127" spans="2:15">
      <c r="B127" s="43" t="s">
        <v>1268</v>
      </c>
      <c r="C127" s="44" t="s">
        <v>1365</v>
      </c>
      <c r="D127" s="45" t="s">
        <v>122</v>
      </c>
      <c r="E127" s="45" t="s">
        <v>123</v>
      </c>
      <c r="F127" s="45" t="s">
        <v>124</v>
      </c>
      <c r="G127" s="46">
        <v>8512.4</v>
      </c>
      <c r="H127" s="46">
        <v>0</v>
      </c>
      <c r="I127" s="45">
        <v>0</v>
      </c>
      <c r="J127" s="45">
        <v>0</v>
      </c>
      <c r="K127" s="45">
        <v>0</v>
      </c>
      <c r="L127" s="45">
        <v>1787.6</v>
      </c>
      <c r="M127" s="45">
        <v>0</v>
      </c>
      <c r="N127" s="46">
        <v>0</v>
      </c>
      <c r="O127" s="46">
        <v>10300</v>
      </c>
    </row>
    <row r="128" spans="2:15">
      <c r="B128" s="43" t="s">
        <v>1268</v>
      </c>
      <c r="C128" s="44" t="s">
        <v>1366</v>
      </c>
      <c r="D128" s="45" t="s">
        <v>122</v>
      </c>
      <c r="E128" s="45" t="s">
        <v>123</v>
      </c>
      <c r="F128" s="45" t="s">
        <v>124</v>
      </c>
      <c r="G128" s="46">
        <v>4958.68</v>
      </c>
      <c r="H128" s="46">
        <v>0</v>
      </c>
      <c r="I128" s="45">
        <v>0</v>
      </c>
      <c r="J128" s="45">
        <v>0</v>
      </c>
      <c r="K128" s="45">
        <v>0</v>
      </c>
      <c r="L128" s="45">
        <v>1041.32</v>
      </c>
      <c r="M128" s="45">
        <v>0</v>
      </c>
      <c r="N128" s="46">
        <v>0</v>
      </c>
      <c r="O128" s="46">
        <v>6000</v>
      </c>
    </row>
    <row r="129" spans="2:15">
      <c r="B129" s="43" t="s">
        <v>1275</v>
      </c>
      <c r="C129" s="44" t="s">
        <v>1367</v>
      </c>
      <c r="D129" s="45" t="s">
        <v>122</v>
      </c>
      <c r="E129" s="45" t="s">
        <v>123</v>
      </c>
      <c r="F129" s="45" t="s">
        <v>124</v>
      </c>
      <c r="G129" s="46">
        <v>3099.17</v>
      </c>
      <c r="H129" s="46">
        <v>0</v>
      </c>
      <c r="I129" s="45">
        <v>0</v>
      </c>
      <c r="J129" s="45">
        <v>0</v>
      </c>
      <c r="K129" s="45">
        <v>0</v>
      </c>
      <c r="L129" s="45">
        <v>650.83000000000004</v>
      </c>
      <c r="M129" s="45">
        <v>0</v>
      </c>
      <c r="N129" s="46">
        <v>0</v>
      </c>
      <c r="O129" s="46">
        <v>3750</v>
      </c>
    </row>
    <row r="130" spans="2:15">
      <c r="B130" s="43" t="s">
        <v>1275</v>
      </c>
      <c r="C130" s="44" t="s">
        <v>1368</v>
      </c>
      <c r="D130" s="45" t="s">
        <v>122</v>
      </c>
      <c r="E130" s="45" t="s">
        <v>123</v>
      </c>
      <c r="F130" s="45" t="s">
        <v>124</v>
      </c>
      <c r="G130" s="46">
        <v>3305.79</v>
      </c>
      <c r="H130" s="46">
        <v>0</v>
      </c>
      <c r="I130" s="45">
        <v>0</v>
      </c>
      <c r="J130" s="45">
        <v>0</v>
      </c>
      <c r="K130" s="45">
        <v>0</v>
      </c>
      <c r="L130" s="45">
        <v>694.21</v>
      </c>
      <c r="M130" s="45">
        <v>0</v>
      </c>
      <c r="N130" s="46">
        <v>0</v>
      </c>
      <c r="O130" s="46">
        <v>4000</v>
      </c>
    </row>
    <row r="131" spans="2:15">
      <c r="B131" s="43" t="s">
        <v>1275</v>
      </c>
      <c r="C131" s="44" t="s">
        <v>1369</v>
      </c>
      <c r="D131" s="45" t="s">
        <v>122</v>
      </c>
      <c r="E131" s="45" t="s">
        <v>123</v>
      </c>
      <c r="F131" s="45" t="s">
        <v>124</v>
      </c>
      <c r="G131" s="46">
        <v>2809.92</v>
      </c>
      <c r="H131" s="46">
        <v>0</v>
      </c>
      <c r="I131" s="45">
        <v>0</v>
      </c>
      <c r="J131" s="45">
        <v>0</v>
      </c>
      <c r="K131" s="45">
        <v>0</v>
      </c>
      <c r="L131" s="45">
        <v>590.08000000000004</v>
      </c>
      <c r="M131" s="45">
        <v>0</v>
      </c>
      <c r="N131" s="46">
        <v>0</v>
      </c>
      <c r="O131" s="46">
        <v>3400</v>
      </c>
    </row>
    <row r="132" spans="2:15">
      <c r="B132" s="43" t="s">
        <v>1275</v>
      </c>
      <c r="C132" s="44" t="s">
        <v>1370</v>
      </c>
      <c r="D132" s="45" t="s">
        <v>122</v>
      </c>
      <c r="E132" s="45" t="s">
        <v>123</v>
      </c>
      <c r="F132" s="45" t="s">
        <v>124</v>
      </c>
      <c r="G132" s="46">
        <v>7851.24</v>
      </c>
      <c r="H132" s="46">
        <v>0</v>
      </c>
      <c r="I132" s="45">
        <v>0</v>
      </c>
      <c r="J132" s="45">
        <v>0</v>
      </c>
      <c r="K132" s="45">
        <v>0</v>
      </c>
      <c r="L132" s="45">
        <v>1648.76</v>
      </c>
      <c r="M132" s="45">
        <v>0</v>
      </c>
      <c r="N132" s="46">
        <v>0</v>
      </c>
      <c r="O132" s="46">
        <v>9500</v>
      </c>
    </row>
    <row r="133" spans="2:15">
      <c r="B133" s="43" t="s">
        <v>1275</v>
      </c>
      <c r="C133" s="44" t="s">
        <v>1371</v>
      </c>
      <c r="D133" s="45" t="s">
        <v>122</v>
      </c>
      <c r="E133" s="45" t="s">
        <v>123</v>
      </c>
      <c r="F133" s="45" t="s">
        <v>124</v>
      </c>
      <c r="G133" s="46">
        <v>7851.24</v>
      </c>
      <c r="H133" s="46">
        <v>0</v>
      </c>
      <c r="I133" s="45">
        <v>0</v>
      </c>
      <c r="J133" s="45">
        <v>0</v>
      </c>
      <c r="K133" s="45">
        <v>0</v>
      </c>
      <c r="L133" s="45">
        <v>1648.76</v>
      </c>
      <c r="M133" s="45">
        <v>0</v>
      </c>
      <c r="N133" s="46">
        <v>0</v>
      </c>
      <c r="O133" s="46">
        <v>9500</v>
      </c>
    </row>
    <row r="134" spans="2:15">
      <c r="B134" s="43" t="s">
        <v>1275</v>
      </c>
      <c r="C134" s="44" t="s">
        <v>1372</v>
      </c>
      <c r="D134" s="45" t="s">
        <v>122</v>
      </c>
      <c r="E134" s="45" t="s">
        <v>123</v>
      </c>
      <c r="F134" s="45" t="s">
        <v>124</v>
      </c>
      <c r="G134" s="46">
        <v>5330.58</v>
      </c>
      <c r="H134" s="46">
        <v>0</v>
      </c>
      <c r="I134" s="45">
        <v>0</v>
      </c>
      <c r="J134" s="45">
        <v>0</v>
      </c>
      <c r="K134" s="45">
        <v>0</v>
      </c>
      <c r="L134" s="45">
        <v>1119.42</v>
      </c>
      <c r="M134" s="45">
        <v>0</v>
      </c>
      <c r="N134" s="46">
        <v>0</v>
      </c>
      <c r="O134" s="46">
        <v>6450</v>
      </c>
    </row>
    <row r="135" spans="2:15">
      <c r="B135" s="43" t="s">
        <v>1275</v>
      </c>
      <c r="C135" s="44" t="s">
        <v>1373</v>
      </c>
      <c r="D135" s="45" t="s">
        <v>122</v>
      </c>
      <c r="E135" s="45" t="s">
        <v>123</v>
      </c>
      <c r="F135" s="45" t="s">
        <v>124</v>
      </c>
      <c r="G135" s="46">
        <v>2809.92</v>
      </c>
      <c r="H135" s="46">
        <v>0</v>
      </c>
      <c r="I135" s="45">
        <v>0</v>
      </c>
      <c r="J135" s="45">
        <v>0</v>
      </c>
      <c r="K135" s="45">
        <v>0</v>
      </c>
      <c r="L135" s="45">
        <v>590.08000000000004</v>
      </c>
      <c r="M135" s="45">
        <v>0</v>
      </c>
      <c r="N135" s="46">
        <v>0</v>
      </c>
      <c r="O135" s="46">
        <v>3400</v>
      </c>
    </row>
    <row r="136" spans="2:15">
      <c r="B136" s="43" t="s">
        <v>1275</v>
      </c>
      <c r="C136" s="44" t="s">
        <v>1374</v>
      </c>
      <c r="D136" s="45" t="s">
        <v>122</v>
      </c>
      <c r="E136" s="45" t="s">
        <v>123</v>
      </c>
      <c r="F136" s="45" t="s">
        <v>124</v>
      </c>
      <c r="G136" s="46">
        <v>5371.9</v>
      </c>
      <c r="H136" s="46">
        <v>0</v>
      </c>
      <c r="I136" s="45">
        <v>0</v>
      </c>
      <c r="J136" s="45">
        <v>0</v>
      </c>
      <c r="K136" s="45">
        <v>0</v>
      </c>
      <c r="L136" s="45">
        <v>1128.1000000000001</v>
      </c>
      <c r="M136" s="45">
        <v>0</v>
      </c>
      <c r="N136" s="46">
        <v>0</v>
      </c>
      <c r="O136" s="46">
        <v>6500</v>
      </c>
    </row>
    <row r="137" spans="2:15">
      <c r="B137" s="43" t="s">
        <v>1275</v>
      </c>
      <c r="C137" s="44" t="s">
        <v>1375</v>
      </c>
      <c r="D137" s="45" t="s">
        <v>122</v>
      </c>
      <c r="E137" s="45" t="s">
        <v>123</v>
      </c>
      <c r="F137" s="45" t="s">
        <v>124</v>
      </c>
      <c r="G137" s="46">
        <v>5454.55</v>
      </c>
      <c r="H137" s="46">
        <v>0</v>
      </c>
      <c r="I137" s="45">
        <v>0</v>
      </c>
      <c r="J137" s="45">
        <v>0</v>
      </c>
      <c r="K137" s="45">
        <v>0</v>
      </c>
      <c r="L137" s="45">
        <v>1145.45</v>
      </c>
      <c r="M137" s="45">
        <v>0</v>
      </c>
      <c r="N137" s="46">
        <v>0</v>
      </c>
      <c r="O137" s="46">
        <v>6600</v>
      </c>
    </row>
    <row r="138" spans="2:15">
      <c r="B138" s="43" t="s">
        <v>1275</v>
      </c>
      <c r="C138" s="44" t="s">
        <v>1376</v>
      </c>
      <c r="D138" s="45" t="s">
        <v>122</v>
      </c>
      <c r="E138" s="45" t="s">
        <v>123</v>
      </c>
      <c r="F138" s="45" t="s">
        <v>124</v>
      </c>
      <c r="G138" s="46">
        <v>5330.58</v>
      </c>
      <c r="H138" s="46">
        <v>0</v>
      </c>
      <c r="I138" s="45">
        <v>0</v>
      </c>
      <c r="J138" s="45">
        <v>0</v>
      </c>
      <c r="K138" s="45">
        <v>0</v>
      </c>
      <c r="L138" s="45">
        <v>1119.42</v>
      </c>
      <c r="M138" s="45">
        <v>0</v>
      </c>
      <c r="N138" s="46">
        <v>0</v>
      </c>
      <c r="O138" s="46">
        <v>6450</v>
      </c>
    </row>
    <row r="139" spans="2:15">
      <c r="B139" s="43" t="s">
        <v>1275</v>
      </c>
      <c r="C139" s="44" t="s">
        <v>1377</v>
      </c>
      <c r="D139" s="45" t="s">
        <v>122</v>
      </c>
      <c r="E139" s="45" t="s">
        <v>123</v>
      </c>
      <c r="F139" s="45" t="s">
        <v>124</v>
      </c>
      <c r="G139" s="46">
        <v>2809.92</v>
      </c>
      <c r="H139" s="46">
        <v>0</v>
      </c>
      <c r="I139" s="45">
        <v>0</v>
      </c>
      <c r="J139" s="45">
        <v>0</v>
      </c>
      <c r="K139" s="45">
        <v>0</v>
      </c>
      <c r="L139" s="45">
        <v>590.08000000000004</v>
      </c>
      <c r="M139" s="45">
        <v>0</v>
      </c>
      <c r="N139" s="46">
        <v>0</v>
      </c>
      <c r="O139" s="46">
        <v>3400</v>
      </c>
    </row>
    <row r="140" spans="2:15">
      <c r="B140" s="43" t="s">
        <v>1275</v>
      </c>
      <c r="C140" s="44" t="s">
        <v>1378</v>
      </c>
      <c r="D140" s="45" t="s">
        <v>122</v>
      </c>
      <c r="E140" s="45" t="s">
        <v>123</v>
      </c>
      <c r="F140" s="45" t="s">
        <v>124</v>
      </c>
      <c r="G140" s="46">
        <v>7851.24</v>
      </c>
      <c r="H140" s="46">
        <v>0</v>
      </c>
      <c r="I140" s="45">
        <v>0</v>
      </c>
      <c r="J140" s="45">
        <v>0</v>
      </c>
      <c r="K140" s="45">
        <v>0</v>
      </c>
      <c r="L140" s="45">
        <v>1648.76</v>
      </c>
      <c r="M140" s="45">
        <v>0</v>
      </c>
      <c r="N140" s="46">
        <v>0</v>
      </c>
      <c r="O140" s="46">
        <v>9500</v>
      </c>
    </row>
    <row r="141" spans="2:15">
      <c r="B141" s="43" t="s">
        <v>1275</v>
      </c>
      <c r="C141" s="44" t="s">
        <v>1379</v>
      </c>
      <c r="D141" s="45" t="s">
        <v>122</v>
      </c>
      <c r="E141" s="45" t="s">
        <v>123</v>
      </c>
      <c r="F141" s="45" t="s">
        <v>124</v>
      </c>
      <c r="G141" s="46">
        <v>7768.6</v>
      </c>
      <c r="H141" s="46">
        <v>0</v>
      </c>
      <c r="I141" s="45">
        <v>0</v>
      </c>
      <c r="J141" s="45">
        <v>0</v>
      </c>
      <c r="K141" s="45">
        <v>0</v>
      </c>
      <c r="L141" s="45">
        <v>1631.4</v>
      </c>
      <c r="M141" s="45">
        <v>0</v>
      </c>
      <c r="N141" s="46">
        <v>0</v>
      </c>
      <c r="O141" s="46">
        <v>9400</v>
      </c>
    </row>
    <row r="142" spans="2:15">
      <c r="B142" s="43" t="s">
        <v>1275</v>
      </c>
      <c r="C142" s="44" t="s">
        <v>1380</v>
      </c>
      <c r="D142" s="45" t="s">
        <v>122</v>
      </c>
      <c r="E142" s="45" t="s">
        <v>123</v>
      </c>
      <c r="F142" s="45" t="s">
        <v>124</v>
      </c>
      <c r="G142" s="46">
        <v>3057.85</v>
      </c>
      <c r="H142" s="46">
        <v>0</v>
      </c>
      <c r="I142" s="45">
        <v>0</v>
      </c>
      <c r="J142" s="45">
        <v>0</v>
      </c>
      <c r="K142" s="45">
        <v>0</v>
      </c>
      <c r="L142" s="45">
        <v>642.15</v>
      </c>
      <c r="M142" s="45">
        <v>0</v>
      </c>
      <c r="N142" s="46">
        <v>0</v>
      </c>
      <c r="O142" s="46">
        <v>3700</v>
      </c>
    </row>
    <row r="143" spans="2:15">
      <c r="B143" s="43" t="s">
        <v>1277</v>
      </c>
      <c r="C143" s="44" t="s">
        <v>1381</v>
      </c>
      <c r="D143" s="45" t="s">
        <v>122</v>
      </c>
      <c r="E143" s="45" t="s">
        <v>123</v>
      </c>
      <c r="F143" s="45" t="s">
        <v>124</v>
      </c>
      <c r="G143" s="46">
        <v>6198.35</v>
      </c>
      <c r="H143" s="46">
        <v>0</v>
      </c>
      <c r="I143" s="45">
        <v>0</v>
      </c>
      <c r="J143" s="45">
        <v>0</v>
      </c>
      <c r="K143" s="45">
        <v>0</v>
      </c>
      <c r="L143" s="45">
        <v>1301.6500000000001</v>
      </c>
      <c r="M143" s="45">
        <v>0</v>
      </c>
      <c r="N143" s="46">
        <v>0</v>
      </c>
      <c r="O143" s="46">
        <v>7500</v>
      </c>
    </row>
    <row r="144" spans="2:15">
      <c r="B144" s="43" t="s">
        <v>1277</v>
      </c>
      <c r="C144" s="44" t="s">
        <v>1382</v>
      </c>
      <c r="D144" s="45" t="s">
        <v>122</v>
      </c>
      <c r="E144" s="45" t="s">
        <v>123</v>
      </c>
      <c r="F144" s="45" t="s">
        <v>124</v>
      </c>
      <c r="G144" s="46">
        <v>7851.24</v>
      </c>
      <c r="H144" s="46">
        <v>0</v>
      </c>
      <c r="I144" s="45">
        <v>0</v>
      </c>
      <c r="J144" s="45">
        <v>0</v>
      </c>
      <c r="K144" s="45">
        <v>0</v>
      </c>
      <c r="L144" s="45">
        <v>1648.76</v>
      </c>
      <c r="M144" s="45">
        <v>0</v>
      </c>
      <c r="N144" s="46">
        <v>0</v>
      </c>
      <c r="O144" s="46">
        <v>9500</v>
      </c>
    </row>
    <row r="145" spans="2:15">
      <c r="B145" s="43" t="s">
        <v>1277</v>
      </c>
      <c r="C145" s="44" t="s">
        <v>1383</v>
      </c>
      <c r="D145" s="45" t="s">
        <v>122</v>
      </c>
      <c r="E145" s="45" t="s">
        <v>123</v>
      </c>
      <c r="F145" s="45" t="s">
        <v>124</v>
      </c>
      <c r="G145" s="46">
        <v>5619.83</v>
      </c>
      <c r="H145" s="46">
        <v>0</v>
      </c>
      <c r="I145" s="45">
        <v>0</v>
      </c>
      <c r="J145" s="45">
        <v>0</v>
      </c>
      <c r="K145" s="45">
        <v>0</v>
      </c>
      <c r="L145" s="45">
        <v>1180.17</v>
      </c>
      <c r="M145" s="45">
        <v>0</v>
      </c>
      <c r="N145" s="46">
        <v>0</v>
      </c>
      <c r="O145" s="46">
        <v>6800</v>
      </c>
    </row>
    <row r="146" spans="2:15">
      <c r="B146" s="43" t="s">
        <v>1277</v>
      </c>
      <c r="C146" s="44" t="s">
        <v>1384</v>
      </c>
      <c r="D146" s="45" t="s">
        <v>122</v>
      </c>
      <c r="E146" s="45" t="s">
        <v>123</v>
      </c>
      <c r="F146" s="45" t="s">
        <v>124</v>
      </c>
      <c r="G146" s="46">
        <v>2066.12</v>
      </c>
      <c r="H146" s="46">
        <v>0</v>
      </c>
      <c r="I146" s="45">
        <v>0</v>
      </c>
      <c r="J146" s="45">
        <v>0</v>
      </c>
      <c r="K146" s="45">
        <v>0</v>
      </c>
      <c r="L146" s="45">
        <v>433.88</v>
      </c>
      <c r="M146" s="45">
        <v>0</v>
      </c>
      <c r="N146" s="46">
        <v>0</v>
      </c>
      <c r="O146" s="46">
        <v>2500</v>
      </c>
    </row>
    <row r="147" spans="2:15">
      <c r="B147" s="43" t="s">
        <v>1277</v>
      </c>
      <c r="C147" s="44" t="s">
        <v>1385</v>
      </c>
      <c r="D147" s="45" t="s">
        <v>122</v>
      </c>
      <c r="E147" s="45" t="s">
        <v>123</v>
      </c>
      <c r="F147" s="45" t="s">
        <v>124</v>
      </c>
      <c r="G147" s="46">
        <v>5619.83</v>
      </c>
      <c r="H147" s="46">
        <v>0</v>
      </c>
      <c r="I147" s="45">
        <v>0</v>
      </c>
      <c r="J147" s="45">
        <v>0</v>
      </c>
      <c r="K147" s="45">
        <v>0</v>
      </c>
      <c r="L147" s="45">
        <v>1180.17</v>
      </c>
      <c r="M147" s="45">
        <v>0</v>
      </c>
      <c r="N147" s="46">
        <v>0</v>
      </c>
      <c r="O147" s="46">
        <v>6800</v>
      </c>
    </row>
    <row r="148" spans="2:15">
      <c r="B148" s="43" t="s">
        <v>1277</v>
      </c>
      <c r="C148" s="44" t="s">
        <v>1386</v>
      </c>
      <c r="D148" s="45" t="s">
        <v>122</v>
      </c>
      <c r="E148" s="45" t="s">
        <v>123</v>
      </c>
      <c r="F148" s="45" t="s">
        <v>124</v>
      </c>
      <c r="G148" s="46">
        <v>7107.44</v>
      </c>
      <c r="H148" s="46">
        <v>0</v>
      </c>
      <c r="I148" s="45">
        <v>0</v>
      </c>
      <c r="J148" s="45">
        <v>0</v>
      </c>
      <c r="K148" s="45">
        <v>0</v>
      </c>
      <c r="L148" s="45">
        <v>1492.56</v>
      </c>
      <c r="M148" s="45">
        <v>0</v>
      </c>
      <c r="N148" s="46">
        <v>0</v>
      </c>
      <c r="O148" s="46">
        <v>8600</v>
      </c>
    </row>
    <row r="149" spans="2:15">
      <c r="B149" s="43" t="s">
        <v>1277</v>
      </c>
      <c r="C149" s="44" t="s">
        <v>1387</v>
      </c>
      <c r="D149" s="45" t="s">
        <v>122</v>
      </c>
      <c r="E149" s="45" t="s">
        <v>123</v>
      </c>
      <c r="F149" s="45" t="s">
        <v>124</v>
      </c>
      <c r="G149" s="46">
        <v>6198.35</v>
      </c>
      <c r="H149" s="46">
        <v>0</v>
      </c>
      <c r="I149" s="45">
        <v>0</v>
      </c>
      <c r="J149" s="45">
        <v>0</v>
      </c>
      <c r="K149" s="45">
        <v>0</v>
      </c>
      <c r="L149" s="45">
        <v>1301.6500000000001</v>
      </c>
      <c r="M149" s="45">
        <v>0</v>
      </c>
      <c r="N149" s="46">
        <v>0</v>
      </c>
      <c r="O149" s="46">
        <v>7500</v>
      </c>
    </row>
    <row r="150" spans="2:15">
      <c r="B150" s="43" t="s">
        <v>1277</v>
      </c>
      <c r="C150" s="44" t="s">
        <v>1388</v>
      </c>
      <c r="D150" s="45" t="s">
        <v>122</v>
      </c>
      <c r="E150" s="45" t="s">
        <v>123</v>
      </c>
      <c r="F150" s="45" t="s">
        <v>124</v>
      </c>
      <c r="G150" s="46">
        <v>7190.07</v>
      </c>
      <c r="H150" s="46">
        <v>0</v>
      </c>
      <c r="I150" s="45">
        <v>0</v>
      </c>
      <c r="J150" s="45">
        <v>0</v>
      </c>
      <c r="K150" s="45">
        <v>0</v>
      </c>
      <c r="L150" s="45">
        <v>1509.93</v>
      </c>
      <c r="M150" s="45">
        <v>0</v>
      </c>
      <c r="N150" s="46">
        <v>0</v>
      </c>
      <c r="O150" s="46">
        <v>8700</v>
      </c>
    </row>
    <row r="151" spans="2:15">
      <c r="B151" s="43" t="s">
        <v>1277</v>
      </c>
      <c r="C151" s="44" t="s">
        <v>1389</v>
      </c>
      <c r="D151" s="45" t="s">
        <v>122</v>
      </c>
      <c r="E151" s="45" t="s">
        <v>123</v>
      </c>
      <c r="F151" s="45" t="s">
        <v>124</v>
      </c>
      <c r="G151" s="46">
        <v>2314.0500000000002</v>
      </c>
      <c r="H151" s="46">
        <v>0</v>
      </c>
      <c r="I151" s="45">
        <v>0</v>
      </c>
      <c r="J151" s="45">
        <v>0</v>
      </c>
      <c r="K151" s="45">
        <v>0</v>
      </c>
      <c r="L151" s="45">
        <v>485.95</v>
      </c>
      <c r="M151" s="45">
        <v>0</v>
      </c>
      <c r="N151" s="46">
        <v>0</v>
      </c>
      <c r="O151" s="46">
        <v>2800</v>
      </c>
    </row>
    <row r="152" spans="2:15">
      <c r="B152" s="43" t="s">
        <v>1277</v>
      </c>
      <c r="C152" s="44" t="s">
        <v>1390</v>
      </c>
      <c r="D152" s="45" t="s">
        <v>122</v>
      </c>
      <c r="E152" s="45" t="s">
        <v>123</v>
      </c>
      <c r="F152" s="45" t="s">
        <v>124</v>
      </c>
      <c r="G152" s="46">
        <v>8512.4</v>
      </c>
      <c r="H152" s="46">
        <v>0</v>
      </c>
      <c r="I152" s="45">
        <v>0</v>
      </c>
      <c r="J152" s="45">
        <v>0</v>
      </c>
      <c r="K152" s="45">
        <v>0</v>
      </c>
      <c r="L152" s="45">
        <v>1787.6</v>
      </c>
      <c r="M152" s="45">
        <v>0</v>
      </c>
      <c r="N152" s="46">
        <v>0</v>
      </c>
      <c r="O152" s="46">
        <v>10300</v>
      </c>
    </row>
    <row r="153" spans="2:15">
      <c r="B153" s="43" t="s">
        <v>1277</v>
      </c>
      <c r="C153" s="44" t="s">
        <v>1391</v>
      </c>
      <c r="D153" s="45" t="s">
        <v>122</v>
      </c>
      <c r="E153" s="45" t="s">
        <v>123</v>
      </c>
      <c r="F153" s="45" t="s">
        <v>124</v>
      </c>
      <c r="G153" s="46">
        <v>2066.12</v>
      </c>
      <c r="H153" s="46">
        <v>0</v>
      </c>
      <c r="I153" s="45">
        <v>0</v>
      </c>
      <c r="J153" s="45">
        <v>0</v>
      </c>
      <c r="K153" s="45">
        <v>0</v>
      </c>
      <c r="L153" s="45">
        <v>433.88</v>
      </c>
      <c r="M153" s="45">
        <v>0</v>
      </c>
      <c r="N153" s="46">
        <v>0</v>
      </c>
      <c r="O153" s="46">
        <v>2500</v>
      </c>
    </row>
    <row r="154" spans="2:15">
      <c r="B154" s="43" t="s">
        <v>1277</v>
      </c>
      <c r="C154" s="44" t="s">
        <v>1392</v>
      </c>
      <c r="D154" s="45" t="s">
        <v>122</v>
      </c>
      <c r="E154" s="45" t="s">
        <v>123</v>
      </c>
      <c r="F154" s="45" t="s">
        <v>124</v>
      </c>
      <c r="G154" s="46">
        <v>5330.57</v>
      </c>
      <c r="H154" s="46">
        <v>0</v>
      </c>
      <c r="I154" s="45">
        <v>0</v>
      </c>
      <c r="J154" s="45">
        <v>0</v>
      </c>
      <c r="K154" s="45">
        <v>0</v>
      </c>
      <c r="L154" s="45">
        <v>1119.43</v>
      </c>
      <c r="M154" s="45">
        <v>0</v>
      </c>
      <c r="N154" s="46">
        <v>0</v>
      </c>
      <c r="O154" s="46">
        <v>6450</v>
      </c>
    </row>
    <row r="155" spans="2:15">
      <c r="B155" s="43" t="s">
        <v>1277</v>
      </c>
      <c r="C155" s="44" t="s">
        <v>1393</v>
      </c>
      <c r="D155" s="45" t="s">
        <v>122</v>
      </c>
      <c r="E155" s="45" t="s">
        <v>123</v>
      </c>
      <c r="F155" s="45" t="s">
        <v>124</v>
      </c>
      <c r="G155" s="46">
        <v>12148.77</v>
      </c>
      <c r="H155" s="46">
        <v>0</v>
      </c>
      <c r="I155" s="45">
        <v>0</v>
      </c>
      <c r="J155" s="45">
        <v>0</v>
      </c>
      <c r="K155" s="45">
        <v>0</v>
      </c>
      <c r="L155" s="45">
        <v>2551.23</v>
      </c>
      <c r="M155" s="45">
        <v>0</v>
      </c>
      <c r="N155" s="46">
        <v>0</v>
      </c>
      <c r="O155" s="46">
        <v>14700</v>
      </c>
    </row>
    <row r="156" spans="2:15">
      <c r="B156" s="43" t="s">
        <v>1277</v>
      </c>
      <c r="C156" s="44" t="s">
        <v>1394</v>
      </c>
      <c r="D156" s="45" t="s">
        <v>122</v>
      </c>
      <c r="E156" s="45" t="s">
        <v>123</v>
      </c>
      <c r="F156" s="45" t="s">
        <v>124</v>
      </c>
      <c r="G156" s="46">
        <v>10661.16</v>
      </c>
      <c r="H156" s="46">
        <v>0</v>
      </c>
      <c r="I156" s="45">
        <v>0</v>
      </c>
      <c r="J156" s="45">
        <v>0</v>
      </c>
      <c r="K156" s="45">
        <v>0</v>
      </c>
      <c r="L156" s="45">
        <v>2238.84</v>
      </c>
      <c r="M156" s="45">
        <v>0</v>
      </c>
      <c r="N156" s="46">
        <v>0</v>
      </c>
      <c r="O156" s="46">
        <v>12900</v>
      </c>
    </row>
    <row r="157" spans="2:15">
      <c r="B157" s="43" t="s">
        <v>1277</v>
      </c>
      <c r="C157" s="44" t="s">
        <v>1395</v>
      </c>
      <c r="D157" s="45" t="s">
        <v>122</v>
      </c>
      <c r="E157" s="45" t="s">
        <v>123</v>
      </c>
      <c r="F157" s="45" t="s">
        <v>124</v>
      </c>
      <c r="G157" s="46">
        <v>2396.69</v>
      </c>
      <c r="H157" s="46">
        <v>0</v>
      </c>
      <c r="I157" s="45">
        <v>0</v>
      </c>
      <c r="J157" s="45">
        <v>0</v>
      </c>
      <c r="K157" s="45">
        <v>0</v>
      </c>
      <c r="L157" s="45">
        <v>503.31</v>
      </c>
      <c r="M157" s="45">
        <v>0</v>
      </c>
      <c r="N157" s="46">
        <v>0</v>
      </c>
      <c r="O157" s="46">
        <v>2900</v>
      </c>
    </row>
    <row r="158" spans="2:15">
      <c r="B158" s="43" t="s">
        <v>1277</v>
      </c>
      <c r="C158" s="44" t="s">
        <v>1396</v>
      </c>
      <c r="D158" s="45" t="s">
        <v>122</v>
      </c>
      <c r="E158" s="45" t="s">
        <v>123</v>
      </c>
      <c r="F158" s="45" t="s">
        <v>124</v>
      </c>
      <c r="G158" s="46">
        <v>6611.57</v>
      </c>
      <c r="H158" s="46">
        <v>0</v>
      </c>
      <c r="I158" s="45">
        <v>0</v>
      </c>
      <c r="J158" s="45">
        <v>0</v>
      </c>
      <c r="K158" s="45">
        <v>0</v>
      </c>
      <c r="L158" s="45">
        <v>1388.43</v>
      </c>
      <c r="M158" s="45">
        <v>0</v>
      </c>
      <c r="N158" s="46">
        <v>0</v>
      </c>
      <c r="O158" s="46">
        <v>8000</v>
      </c>
    </row>
    <row r="159" spans="2:15">
      <c r="B159" s="43" t="s">
        <v>1277</v>
      </c>
      <c r="C159" s="44" t="s">
        <v>1397</v>
      </c>
      <c r="D159" s="45" t="s">
        <v>122</v>
      </c>
      <c r="E159" s="45" t="s">
        <v>123</v>
      </c>
      <c r="F159" s="45" t="s">
        <v>124</v>
      </c>
      <c r="G159" s="46">
        <v>2702.48</v>
      </c>
      <c r="H159" s="46">
        <v>0</v>
      </c>
      <c r="I159" s="45">
        <v>0</v>
      </c>
      <c r="J159" s="45">
        <v>0</v>
      </c>
      <c r="K159" s="45">
        <v>0</v>
      </c>
      <c r="L159" s="45">
        <v>567.52</v>
      </c>
      <c r="M159" s="45">
        <v>0</v>
      </c>
      <c r="N159" s="46">
        <v>0</v>
      </c>
      <c r="O159" s="46">
        <v>3270</v>
      </c>
    </row>
    <row r="160" spans="2:15">
      <c r="B160" s="43" t="s">
        <v>1234</v>
      </c>
      <c r="C160" s="44" t="s">
        <v>1398</v>
      </c>
      <c r="D160" s="45" t="s">
        <v>122</v>
      </c>
      <c r="E160" s="45" t="s">
        <v>123</v>
      </c>
      <c r="F160" s="45" t="s">
        <v>124</v>
      </c>
      <c r="G160" s="46">
        <v>13553.72</v>
      </c>
      <c r="H160" s="46">
        <v>0</v>
      </c>
      <c r="I160" s="45">
        <v>0</v>
      </c>
      <c r="J160" s="45">
        <v>0</v>
      </c>
      <c r="K160" s="45">
        <v>0</v>
      </c>
      <c r="L160" s="45">
        <v>2846.28</v>
      </c>
      <c r="M160" s="45">
        <v>0</v>
      </c>
      <c r="N160" s="46">
        <v>0</v>
      </c>
      <c r="O160" s="46">
        <v>16400</v>
      </c>
    </row>
    <row r="161" spans="2:15">
      <c r="B161" s="43" t="s">
        <v>1234</v>
      </c>
      <c r="C161" s="44" t="s">
        <v>1399</v>
      </c>
      <c r="D161" s="45" t="s">
        <v>122</v>
      </c>
      <c r="E161" s="45" t="s">
        <v>123</v>
      </c>
      <c r="F161" s="45" t="s">
        <v>124</v>
      </c>
      <c r="G161" s="46">
        <v>2066.12</v>
      </c>
      <c r="H161" s="46">
        <v>0</v>
      </c>
      <c r="I161" s="45">
        <v>0</v>
      </c>
      <c r="J161" s="45">
        <v>0</v>
      </c>
      <c r="K161" s="45">
        <v>0</v>
      </c>
      <c r="L161" s="45">
        <v>433.88</v>
      </c>
      <c r="M161" s="45">
        <v>0</v>
      </c>
      <c r="N161" s="46">
        <v>0</v>
      </c>
      <c r="O161" s="46">
        <v>2500</v>
      </c>
    </row>
    <row r="162" spans="2:15">
      <c r="B162" s="43" t="s">
        <v>1234</v>
      </c>
      <c r="C162" s="44" t="s">
        <v>1400</v>
      </c>
      <c r="D162" s="45" t="s">
        <v>122</v>
      </c>
      <c r="E162" s="45" t="s">
        <v>123</v>
      </c>
      <c r="F162" s="45" t="s">
        <v>124</v>
      </c>
      <c r="G162" s="46">
        <v>7438.02</v>
      </c>
      <c r="H162" s="46">
        <v>0</v>
      </c>
      <c r="I162" s="45">
        <v>0</v>
      </c>
      <c r="J162" s="45">
        <v>0</v>
      </c>
      <c r="K162" s="45">
        <v>0</v>
      </c>
      <c r="L162" s="45">
        <v>1561.98</v>
      </c>
      <c r="M162" s="45">
        <v>0</v>
      </c>
      <c r="N162" s="46">
        <v>0</v>
      </c>
      <c r="O162" s="46">
        <v>9000</v>
      </c>
    </row>
    <row r="163" spans="2:15">
      <c r="B163" s="43" t="s">
        <v>1234</v>
      </c>
      <c r="C163" s="44" t="s">
        <v>1401</v>
      </c>
      <c r="D163" s="45" t="s">
        <v>122</v>
      </c>
      <c r="E163" s="45" t="s">
        <v>123</v>
      </c>
      <c r="F163" s="45" t="s">
        <v>124</v>
      </c>
      <c r="G163" s="46">
        <v>3057.85</v>
      </c>
      <c r="H163" s="46">
        <v>0</v>
      </c>
      <c r="I163" s="45">
        <v>0</v>
      </c>
      <c r="J163" s="45">
        <v>0</v>
      </c>
      <c r="K163" s="45">
        <v>0</v>
      </c>
      <c r="L163" s="45">
        <v>642.15</v>
      </c>
      <c r="M163" s="45">
        <v>0</v>
      </c>
      <c r="N163" s="46">
        <v>0</v>
      </c>
      <c r="O163" s="46">
        <v>3700</v>
      </c>
    </row>
    <row r="164" spans="2:15">
      <c r="B164" s="43" t="s">
        <v>1234</v>
      </c>
      <c r="C164" s="44" t="s">
        <v>1402</v>
      </c>
      <c r="D164" s="45" t="s">
        <v>122</v>
      </c>
      <c r="E164" s="45" t="s">
        <v>123</v>
      </c>
      <c r="F164" s="45" t="s">
        <v>124</v>
      </c>
      <c r="G164" s="46">
        <v>2975.21</v>
      </c>
      <c r="H164" s="46">
        <v>0</v>
      </c>
      <c r="I164" s="45">
        <v>0</v>
      </c>
      <c r="J164" s="45">
        <v>0</v>
      </c>
      <c r="K164" s="45">
        <v>0</v>
      </c>
      <c r="L164" s="45">
        <v>624.79</v>
      </c>
      <c r="M164" s="45">
        <v>0</v>
      </c>
      <c r="N164" s="46">
        <v>0</v>
      </c>
      <c r="O164" s="46">
        <v>3600</v>
      </c>
    </row>
    <row r="165" spans="2:15">
      <c r="B165" s="43" t="s">
        <v>1234</v>
      </c>
      <c r="C165" s="44" t="s">
        <v>1403</v>
      </c>
      <c r="D165" s="45" t="s">
        <v>122</v>
      </c>
      <c r="E165" s="45" t="s">
        <v>123</v>
      </c>
      <c r="F165" s="45" t="s">
        <v>124</v>
      </c>
      <c r="G165" s="46">
        <v>5619.83</v>
      </c>
      <c r="H165" s="46">
        <v>0</v>
      </c>
      <c r="I165" s="45">
        <v>0</v>
      </c>
      <c r="J165" s="45">
        <v>0</v>
      </c>
      <c r="K165" s="45">
        <v>0</v>
      </c>
      <c r="L165" s="45">
        <v>1180.17</v>
      </c>
      <c r="M165" s="45">
        <v>0</v>
      </c>
      <c r="N165" s="46">
        <v>0</v>
      </c>
      <c r="O165" s="46">
        <v>6800</v>
      </c>
    </row>
    <row r="166" spans="2:15">
      <c r="B166" s="43" t="s">
        <v>1234</v>
      </c>
      <c r="C166" s="44" t="s">
        <v>1404</v>
      </c>
      <c r="D166" s="45" t="s">
        <v>122</v>
      </c>
      <c r="E166" s="45" t="s">
        <v>123</v>
      </c>
      <c r="F166" s="45" t="s">
        <v>124</v>
      </c>
      <c r="G166" s="46">
        <v>2148.7600000000002</v>
      </c>
      <c r="H166" s="46">
        <v>0</v>
      </c>
      <c r="I166" s="45">
        <v>0</v>
      </c>
      <c r="J166" s="45">
        <v>0</v>
      </c>
      <c r="K166" s="45">
        <v>0</v>
      </c>
      <c r="L166" s="45">
        <v>451.24</v>
      </c>
      <c r="M166" s="45">
        <v>0</v>
      </c>
      <c r="N166" s="46">
        <v>0</v>
      </c>
      <c r="O166" s="46">
        <v>2600</v>
      </c>
    </row>
    <row r="167" spans="2:15">
      <c r="B167" s="43" t="s">
        <v>1234</v>
      </c>
      <c r="C167" s="44" t="s">
        <v>1405</v>
      </c>
      <c r="D167" s="45" t="s">
        <v>122</v>
      </c>
      <c r="E167" s="45" t="s">
        <v>123</v>
      </c>
      <c r="F167" s="45" t="s">
        <v>124</v>
      </c>
      <c r="G167" s="46">
        <v>4876.03</v>
      </c>
      <c r="H167" s="46">
        <v>0</v>
      </c>
      <c r="I167" s="45">
        <v>0</v>
      </c>
      <c r="J167" s="45">
        <v>0</v>
      </c>
      <c r="K167" s="45">
        <v>0</v>
      </c>
      <c r="L167" s="45">
        <v>1023.97</v>
      </c>
      <c r="M167" s="45">
        <v>0</v>
      </c>
      <c r="N167" s="46">
        <v>0</v>
      </c>
      <c r="O167" s="46">
        <v>5900</v>
      </c>
    </row>
    <row r="168" spans="2:15">
      <c r="B168" s="43" t="s">
        <v>1234</v>
      </c>
      <c r="C168" s="44" t="s">
        <v>1406</v>
      </c>
      <c r="D168" s="45" t="s">
        <v>122</v>
      </c>
      <c r="E168" s="45" t="s">
        <v>123</v>
      </c>
      <c r="F168" s="45" t="s">
        <v>124</v>
      </c>
      <c r="G168" s="46">
        <v>5785.12</v>
      </c>
      <c r="H168" s="46">
        <v>0</v>
      </c>
      <c r="I168" s="45">
        <v>0</v>
      </c>
      <c r="J168" s="45">
        <v>0</v>
      </c>
      <c r="K168" s="45">
        <v>0</v>
      </c>
      <c r="L168" s="45">
        <v>1214.8800000000001</v>
      </c>
      <c r="M168" s="45">
        <v>0</v>
      </c>
      <c r="N168" s="46">
        <v>0</v>
      </c>
      <c r="O168" s="46">
        <v>7000</v>
      </c>
    </row>
    <row r="169" spans="2:15">
      <c r="B169" s="43" t="s">
        <v>1234</v>
      </c>
      <c r="C169" s="44" t="s">
        <v>1407</v>
      </c>
      <c r="D169" s="45" t="s">
        <v>122</v>
      </c>
      <c r="E169" s="45" t="s">
        <v>123</v>
      </c>
      <c r="F169" s="45" t="s">
        <v>124</v>
      </c>
      <c r="G169" s="46">
        <v>2644.63</v>
      </c>
      <c r="H169" s="46">
        <v>0</v>
      </c>
      <c r="I169" s="45">
        <v>0</v>
      </c>
      <c r="J169" s="45">
        <v>0</v>
      </c>
      <c r="K169" s="45">
        <v>0</v>
      </c>
      <c r="L169" s="45">
        <v>555.37</v>
      </c>
      <c r="M169" s="45">
        <v>0</v>
      </c>
      <c r="N169" s="46">
        <v>0</v>
      </c>
      <c r="O169" s="46">
        <v>3200</v>
      </c>
    </row>
    <row r="170" spans="2:15">
      <c r="B170" s="43" t="s">
        <v>1234</v>
      </c>
      <c r="C170" s="44" t="s">
        <v>1408</v>
      </c>
      <c r="D170" s="45" t="s">
        <v>122</v>
      </c>
      <c r="E170" s="45" t="s">
        <v>123</v>
      </c>
      <c r="F170" s="45" t="s">
        <v>124</v>
      </c>
      <c r="G170" s="46">
        <v>8925.6200000000008</v>
      </c>
      <c r="H170" s="46">
        <v>0</v>
      </c>
      <c r="I170" s="45">
        <v>0</v>
      </c>
      <c r="J170" s="45">
        <v>0</v>
      </c>
      <c r="K170" s="45">
        <v>0</v>
      </c>
      <c r="L170" s="45">
        <v>1874.38</v>
      </c>
      <c r="M170" s="45">
        <v>0</v>
      </c>
      <c r="N170" s="46">
        <v>0</v>
      </c>
      <c r="O170" s="46">
        <v>10800</v>
      </c>
    </row>
    <row r="171" spans="2:15">
      <c r="B171" s="43" t="s">
        <v>1234</v>
      </c>
      <c r="C171" s="44" t="s">
        <v>1409</v>
      </c>
      <c r="D171" s="45" t="s">
        <v>122</v>
      </c>
      <c r="E171" s="45" t="s">
        <v>123</v>
      </c>
      <c r="F171" s="45" t="s">
        <v>124</v>
      </c>
      <c r="G171" s="46">
        <v>6942.15</v>
      </c>
      <c r="H171" s="46">
        <v>0</v>
      </c>
      <c r="I171" s="45">
        <v>0</v>
      </c>
      <c r="J171" s="45">
        <v>0</v>
      </c>
      <c r="K171" s="45">
        <v>0</v>
      </c>
      <c r="L171" s="45">
        <v>1457.85</v>
      </c>
      <c r="M171" s="45">
        <v>0</v>
      </c>
      <c r="N171" s="46">
        <v>0</v>
      </c>
      <c r="O171" s="46">
        <v>8400</v>
      </c>
    </row>
    <row r="172" spans="2:15">
      <c r="B172" s="43" t="s">
        <v>1234</v>
      </c>
      <c r="C172" s="44" t="s">
        <v>1410</v>
      </c>
      <c r="D172" s="45" t="s">
        <v>122</v>
      </c>
      <c r="E172" s="45" t="s">
        <v>123</v>
      </c>
      <c r="F172" s="45" t="s">
        <v>124</v>
      </c>
      <c r="G172" s="46">
        <v>7355.37</v>
      </c>
      <c r="H172" s="46">
        <v>0</v>
      </c>
      <c r="I172" s="45">
        <v>0</v>
      </c>
      <c r="J172" s="45">
        <v>0</v>
      </c>
      <c r="K172" s="45">
        <v>0</v>
      </c>
      <c r="L172" s="45">
        <v>1544.63</v>
      </c>
      <c r="M172" s="45">
        <v>0</v>
      </c>
      <c r="N172" s="46">
        <v>0</v>
      </c>
      <c r="O172" s="46">
        <v>8900</v>
      </c>
    </row>
    <row r="173" spans="2:15">
      <c r="B173" s="43" t="s">
        <v>1234</v>
      </c>
      <c r="C173" s="44" t="s">
        <v>1411</v>
      </c>
      <c r="D173" s="45" t="s">
        <v>122</v>
      </c>
      <c r="E173" s="45" t="s">
        <v>123</v>
      </c>
      <c r="F173" s="45" t="s">
        <v>124</v>
      </c>
      <c r="G173" s="46">
        <v>1900.83</v>
      </c>
      <c r="H173" s="46">
        <v>0</v>
      </c>
      <c r="I173" s="45">
        <v>0</v>
      </c>
      <c r="J173" s="45">
        <v>0</v>
      </c>
      <c r="K173" s="45">
        <v>0</v>
      </c>
      <c r="L173" s="45">
        <v>399.17</v>
      </c>
      <c r="M173" s="45">
        <v>0</v>
      </c>
      <c r="N173" s="46">
        <v>0</v>
      </c>
      <c r="O173" s="46">
        <v>2300</v>
      </c>
    </row>
    <row r="174" spans="2:15">
      <c r="B174" s="43" t="s">
        <v>1234</v>
      </c>
      <c r="C174" s="44" t="s">
        <v>1412</v>
      </c>
      <c r="D174" s="45" t="s">
        <v>122</v>
      </c>
      <c r="E174" s="45" t="s">
        <v>123</v>
      </c>
      <c r="F174" s="45" t="s">
        <v>124</v>
      </c>
      <c r="G174" s="46">
        <v>5619.83</v>
      </c>
      <c r="H174" s="46">
        <v>0</v>
      </c>
      <c r="I174" s="45">
        <v>0</v>
      </c>
      <c r="J174" s="45">
        <v>0</v>
      </c>
      <c r="K174" s="45">
        <v>0</v>
      </c>
      <c r="L174" s="45">
        <v>1180.17</v>
      </c>
      <c r="M174" s="45">
        <v>0</v>
      </c>
      <c r="N174" s="46">
        <v>0</v>
      </c>
      <c r="O174" s="46">
        <v>6800</v>
      </c>
    </row>
    <row r="175" spans="2:15">
      <c r="B175" s="43" t="s">
        <v>1234</v>
      </c>
      <c r="C175" s="44" t="s">
        <v>1413</v>
      </c>
      <c r="D175" s="45" t="s">
        <v>122</v>
      </c>
      <c r="E175" s="45" t="s">
        <v>123</v>
      </c>
      <c r="F175" s="45" t="s">
        <v>124</v>
      </c>
      <c r="G175" s="46">
        <v>4876.03</v>
      </c>
      <c r="H175" s="46">
        <v>0</v>
      </c>
      <c r="I175" s="45">
        <v>0</v>
      </c>
      <c r="J175" s="45">
        <v>0</v>
      </c>
      <c r="K175" s="45">
        <v>0</v>
      </c>
      <c r="L175" s="45">
        <v>1023.97</v>
      </c>
      <c r="M175" s="45">
        <v>0</v>
      </c>
      <c r="N175" s="46">
        <v>0</v>
      </c>
      <c r="O175" s="46">
        <v>5900</v>
      </c>
    </row>
    <row r="176" spans="2:15">
      <c r="B176" s="43" t="s">
        <v>1234</v>
      </c>
      <c r="C176" s="44" t="s">
        <v>1414</v>
      </c>
      <c r="D176" s="45" t="s">
        <v>122</v>
      </c>
      <c r="E176" s="45" t="s">
        <v>123</v>
      </c>
      <c r="F176" s="45" t="s">
        <v>124</v>
      </c>
      <c r="G176" s="46">
        <v>909.09</v>
      </c>
      <c r="H176" s="46">
        <v>0</v>
      </c>
      <c r="I176" s="45">
        <v>0</v>
      </c>
      <c r="J176" s="45">
        <v>0</v>
      </c>
      <c r="K176" s="45">
        <v>0</v>
      </c>
      <c r="L176" s="45">
        <v>190.91</v>
      </c>
      <c r="M176" s="45">
        <v>0</v>
      </c>
      <c r="N176" s="46">
        <v>0</v>
      </c>
      <c r="O176" s="46">
        <v>1100</v>
      </c>
    </row>
    <row r="177" spans="2:15">
      <c r="B177" s="43" t="s">
        <v>1234</v>
      </c>
      <c r="C177" s="44" t="s">
        <v>1415</v>
      </c>
      <c r="D177" s="45" t="s">
        <v>122</v>
      </c>
      <c r="E177" s="45" t="s">
        <v>123</v>
      </c>
      <c r="F177" s="45" t="s">
        <v>124</v>
      </c>
      <c r="G177" s="46">
        <v>909.09</v>
      </c>
      <c r="H177" s="46">
        <v>0</v>
      </c>
      <c r="I177" s="45">
        <v>0</v>
      </c>
      <c r="J177" s="45">
        <v>0</v>
      </c>
      <c r="K177" s="45">
        <v>0</v>
      </c>
      <c r="L177" s="45">
        <v>190.91</v>
      </c>
      <c r="M177" s="45">
        <v>0</v>
      </c>
      <c r="N177" s="46">
        <v>0</v>
      </c>
      <c r="O177" s="46">
        <v>1100</v>
      </c>
    </row>
    <row r="178" spans="2:15">
      <c r="B178" s="43" t="s">
        <v>1234</v>
      </c>
      <c r="C178" s="44" t="s">
        <v>1416</v>
      </c>
      <c r="D178" s="45" t="s">
        <v>122</v>
      </c>
      <c r="E178" s="45" t="s">
        <v>123</v>
      </c>
      <c r="F178" s="45" t="s">
        <v>124</v>
      </c>
      <c r="G178" s="46">
        <v>5785.12</v>
      </c>
      <c r="H178" s="46">
        <v>0</v>
      </c>
      <c r="I178" s="45">
        <v>0</v>
      </c>
      <c r="J178" s="45">
        <v>0</v>
      </c>
      <c r="K178" s="45">
        <v>0</v>
      </c>
      <c r="L178" s="45">
        <v>1214.8800000000001</v>
      </c>
      <c r="M178" s="45">
        <v>0</v>
      </c>
      <c r="N178" s="46">
        <v>0</v>
      </c>
      <c r="O178" s="46">
        <v>7000</v>
      </c>
    </row>
    <row r="179" spans="2:15">
      <c r="B179" s="43" t="s">
        <v>1417</v>
      </c>
      <c r="C179" s="44" t="s">
        <v>1418</v>
      </c>
      <c r="D179" s="45" t="s">
        <v>122</v>
      </c>
      <c r="E179" s="45" t="s">
        <v>123</v>
      </c>
      <c r="F179" s="45" t="s">
        <v>124</v>
      </c>
      <c r="G179" s="46">
        <v>5454.55</v>
      </c>
      <c r="H179" s="46">
        <v>0</v>
      </c>
      <c r="I179" s="45">
        <v>0</v>
      </c>
      <c r="J179" s="45">
        <v>0</v>
      </c>
      <c r="K179" s="45">
        <v>0</v>
      </c>
      <c r="L179" s="45">
        <v>1145.45</v>
      </c>
      <c r="M179" s="45">
        <v>0</v>
      </c>
      <c r="N179" s="46">
        <v>0</v>
      </c>
      <c r="O179" s="46">
        <v>6600</v>
      </c>
    </row>
    <row r="180" spans="2:15">
      <c r="B180" s="43" t="s">
        <v>1417</v>
      </c>
      <c r="C180" s="44" t="s">
        <v>1419</v>
      </c>
      <c r="D180" s="45" t="s">
        <v>122</v>
      </c>
      <c r="E180" s="45" t="s">
        <v>123</v>
      </c>
      <c r="F180" s="45" t="s">
        <v>124</v>
      </c>
      <c r="G180" s="46">
        <v>2454.5500000000002</v>
      </c>
      <c r="H180" s="46">
        <v>0</v>
      </c>
      <c r="I180" s="45">
        <v>0</v>
      </c>
      <c r="J180" s="45">
        <v>0</v>
      </c>
      <c r="K180" s="45">
        <v>0</v>
      </c>
      <c r="L180" s="45">
        <v>515.45000000000005</v>
      </c>
      <c r="M180" s="45">
        <v>0</v>
      </c>
      <c r="N180" s="46">
        <v>0</v>
      </c>
      <c r="O180" s="46">
        <v>2970</v>
      </c>
    </row>
    <row r="181" spans="2:15">
      <c r="B181" s="43" t="s">
        <v>1417</v>
      </c>
      <c r="C181" s="44" t="s">
        <v>1420</v>
      </c>
      <c r="D181" s="45" t="s">
        <v>122</v>
      </c>
      <c r="E181" s="45" t="s">
        <v>123</v>
      </c>
      <c r="F181" s="45" t="s">
        <v>124</v>
      </c>
      <c r="G181" s="46">
        <v>7438.02</v>
      </c>
      <c r="H181" s="46">
        <v>0</v>
      </c>
      <c r="I181" s="45">
        <v>0</v>
      </c>
      <c r="J181" s="45">
        <v>0</v>
      </c>
      <c r="K181" s="45">
        <v>0</v>
      </c>
      <c r="L181" s="45">
        <v>1561.98</v>
      </c>
      <c r="M181" s="45">
        <v>0</v>
      </c>
      <c r="N181" s="46">
        <v>0</v>
      </c>
      <c r="O181" s="46">
        <v>9000</v>
      </c>
    </row>
    <row r="182" spans="2:15">
      <c r="B182" s="43" t="s">
        <v>1417</v>
      </c>
      <c r="C182" s="44" t="s">
        <v>1421</v>
      </c>
      <c r="D182" s="45" t="s">
        <v>122</v>
      </c>
      <c r="E182" s="45" t="s">
        <v>123</v>
      </c>
      <c r="F182" s="45" t="s">
        <v>124</v>
      </c>
      <c r="G182" s="46">
        <v>6611.58</v>
      </c>
      <c r="H182" s="46">
        <v>0</v>
      </c>
      <c r="I182" s="45">
        <v>0</v>
      </c>
      <c r="J182" s="45">
        <v>0</v>
      </c>
      <c r="K182" s="45">
        <v>0</v>
      </c>
      <c r="L182" s="45">
        <v>1388.42</v>
      </c>
      <c r="M182" s="45">
        <v>0</v>
      </c>
      <c r="N182" s="46">
        <v>0</v>
      </c>
      <c r="O182" s="46">
        <v>8000</v>
      </c>
    </row>
    <row r="183" spans="2:15">
      <c r="B183" s="43" t="s">
        <v>1417</v>
      </c>
      <c r="C183" s="44" t="s">
        <v>1422</v>
      </c>
      <c r="D183" s="45" t="s">
        <v>122</v>
      </c>
      <c r="E183" s="45" t="s">
        <v>123</v>
      </c>
      <c r="F183" s="45" t="s">
        <v>124</v>
      </c>
      <c r="G183" s="46">
        <v>8099.17</v>
      </c>
      <c r="H183" s="46">
        <v>0</v>
      </c>
      <c r="I183" s="45">
        <v>0</v>
      </c>
      <c r="J183" s="45">
        <v>0</v>
      </c>
      <c r="K183" s="45">
        <v>0</v>
      </c>
      <c r="L183" s="45">
        <v>1700.83</v>
      </c>
      <c r="M183" s="45">
        <v>0</v>
      </c>
      <c r="N183" s="46">
        <v>0</v>
      </c>
      <c r="O183" s="46">
        <v>9800</v>
      </c>
    </row>
    <row r="184" spans="2:15">
      <c r="B184" s="43" t="s">
        <v>1417</v>
      </c>
      <c r="C184" s="44" t="s">
        <v>1423</v>
      </c>
      <c r="D184" s="45" t="s">
        <v>122</v>
      </c>
      <c r="E184" s="45" t="s">
        <v>123</v>
      </c>
      <c r="F184" s="45" t="s">
        <v>124</v>
      </c>
      <c r="G184" s="46">
        <v>7438.02</v>
      </c>
      <c r="H184" s="46">
        <v>0</v>
      </c>
      <c r="I184" s="45">
        <v>0</v>
      </c>
      <c r="J184" s="45">
        <v>0</v>
      </c>
      <c r="K184" s="45">
        <v>0</v>
      </c>
      <c r="L184" s="45">
        <v>1561.98</v>
      </c>
      <c r="M184" s="45">
        <v>0</v>
      </c>
      <c r="N184" s="46">
        <v>0</v>
      </c>
      <c r="O184" s="46">
        <v>9000</v>
      </c>
    </row>
    <row r="185" spans="2:15">
      <c r="B185" s="43" t="s">
        <v>1417</v>
      </c>
      <c r="C185" s="44" t="s">
        <v>1424</v>
      </c>
      <c r="D185" s="45" t="s">
        <v>122</v>
      </c>
      <c r="E185" s="45" t="s">
        <v>123</v>
      </c>
      <c r="F185" s="45" t="s">
        <v>124</v>
      </c>
      <c r="G185" s="46">
        <v>8347.11</v>
      </c>
      <c r="H185" s="46">
        <v>0</v>
      </c>
      <c r="I185" s="45">
        <v>0</v>
      </c>
      <c r="J185" s="45">
        <v>0</v>
      </c>
      <c r="K185" s="45">
        <v>0</v>
      </c>
      <c r="L185" s="45">
        <v>1752.89</v>
      </c>
      <c r="M185" s="45">
        <v>0</v>
      </c>
      <c r="N185" s="46">
        <v>0</v>
      </c>
      <c r="O185" s="46">
        <v>10100</v>
      </c>
    </row>
    <row r="186" spans="2:15">
      <c r="B186" s="43" t="s">
        <v>1417</v>
      </c>
      <c r="C186" s="44" t="s">
        <v>1425</v>
      </c>
      <c r="D186" s="45" t="s">
        <v>122</v>
      </c>
      <c r="E186" s="45" t="s">
        <v>123</v>
      </c>
      <c r="F186" s="45" t="s">
        <v>124</v>
      </c>
      <c r="G186" s="46">
        <v>5198.3500000000004</v>
      </c>
      <c r="H186" s="46">
        <v>0</v>
      </c>
      <c r="I186" s="45">
        <v>0</v>
      </c>
      <c r="J186" s="45">
        <v>0</v>
      </c>
      <c r="K186" s="45">
        <v>0</v>
      </c>
      <c r="L186" s="45">
        <v>1091.6500000000001</v>
      </c>
      <c r="M186" s="45">
        <v>0</v>
      </c>
      <c r="N186" s="46">
        <v>0</v>
      </c>
      <c r="O186" s="46">
        <v>6290</v>
      </c>
    </row>
    <row r="187" spans="2:15">
      <c r="B187" s="43" t="s">
        <v>1417</v>
      </c>
      <c r="C187" s="44" t="s">
        <v>1426</v>
      </c>
      <c r="D187" s="45" t="s">
        <v>122</v>
      </c>
      <c r="E187" s="45" t="s">
        <v>123</v>
      </c>
      <c r="F187" s="45" t="s">
        <v>124</v>
      </c>
      <c r="G187" s="46">
        <v>3099.17</v>
      </c>
      <c r="H187" s="46">
        <v>0</v>
      </c>
      <c r="I187" s="45">
        <v>0</v>
      </c>
      <c r="J187" s="45">
        <v>0</v>
      </c>
      <c r="K187" s="45">
        <v>0</v>
      </c>
      <c r="L187" s="45">
        <v>650.83000000000004</v>
      </c>
      <c r="M187" s="45">
        <v>0</v>
      </c>
      <c r="N187" s="46">
        <v>0</v>
      </c>
      <c r="O187" s="46">
        <v>3750</v>
      </c>
    </row>
    <row r="188" spans="2:15">
      <c r="B188" s="43" t="s">
        <v>1417</v>
      </c>
      <c r="C188" s="44" t="s">
        <v>1427</v>
      </c>
      <c r="D188" s="45" t="s">
        <v>122</v>
      </c>
      <c r="E188" s="45" t="s">
        <v>123</v>
      </c>
      <c r="F188" s="45" t="s">
        <v>124</v>
      </c>
      <c r="G188" s="46">
        <v>2231.4</v>
      </c>
      <c r="H188" s="46">
        <v>0</v>
      </c>
      <c r="I188" s="45">
        <v>0</v>
      </c>
      <c r="J188" s="45">
        <v>0</v>
      </c>
      <c r="K188" s="45">
        <v>0</v>
      </c>
      <c r="L188" s="45">
        <v>468.6</v>
      </c>
      <c r="M188" s="45">
        <v>0</v>
      </c>
      <c r="N188" s="46">
        <v>0</v>
      </c>
      <c r="O188" s="46">
        <v>2700</v>
      </c>
    </row>
    <row r="189" spans="2:15">
      <c r="B189" s="43" t="s">
        <v>1417</v>
      </c>
      <c r="C189" s="44" t="s">
        <v>1428</v>
      </c>
      <c r="D189" s="45" t="s">
        <v>122</v>
      </c>
      <c r="E189" s="45" t="s">
        <v>123</v>
      </c>
      <c r="F189" s="45" t="s">
        <v>124</v>
      </c>
      <c r="G189" s="46">
        <v>5619.83</v>
      </c>
      <c r="H189" s="46">
        <v>0</v>
      </c>
      <c r="I189" s="45">
        <v>0</v>
      </c>
      <c r="J189" s="45">
        <v>0</v>
      </c>
      <c r="K189" s="45">
        <v>0</v>
      </c>
      <c r="L189" s="45">
        <v>1180.17</v>
      </c>
      <c r="M189" s="45">
        <v>0</v>
      </c>
      <c r="N189" s="46">
        <v>0</v>
      </c>
      <c r="O189" s="46">
        <v>6800</v>
      </c>
    </row>
    <row r="190" spans="2:15">
      <c r="B190" s="43" t="s">
        <v>1417</v>
      </c>
      <c r="C190" s="44" t="s">
        <v>1429</v>
      </c>
      <c r="D190" s="45" t="s">
        <v>122</v>
      </c>
      <c r="E190" s="45" t="s">
        <v>123</v>
      </c>
      <c r="F190" s="45" t="s">
        <v>124</v>
      </c>
      <c r="G190" s="46">
        <v>2809.92</v>
      </c>
      <c r="H190" s="46">
        <v>0</v>
      </c>
      <c r="I190" s="45">
        <v>0</v>
      </c>
      <c r="J190" s="45">
        <v>0</v>
      </c>
      <c r="K190" s="45">
        <v>0</v>
      </c>
      <c r="L190" s="45">
        <v>590.08000000000004</v>
      </c>
      <c r="M190" s="45">
        <v>0</v>
      </c>
      <c r="N190" s="46">
        <v>0</v>
      </c>
      <c r="O190" s="46">
        <v>3400</v>
      </c>
    </row>
    <row r="191" spans="2:15">
      <c r="B191" s="43" t="s">
        <v>1417</v>
      </c>
      <c r="C191" s="44" t="s">
        <v>1430</v>
      </c>
      <c r="D191" s="45" t="s">
        <v>122</v>
      </c>
      <c r="E191" s="45" t="s">
        <v>123</v>
      </c>
      <c r="F191" s="45" t="s">
        <v>124</v>
      </c>
      <c r="G191" s="46">
        <v>11570.25</v>
      </c>
      <c r="H191" s="46">
        <v>0</v>
      </c>
      <c r="I191" s="45">
        <v>0</v>
      </c>
      <c r="J191" s="45">
        <v>0</v>
      </c>
      <c r="K191" s="45">
        <v>0</v>
      </c>
      <c r="L191" s="45">
        <v>2429.75</v>
      </c>
      <c r="M191" s="45">
        <v>0</v>
      </c>
      <c r="N191" s="46">
        <v>0</v>
      </c>
      <c r="O191" s="46">
        <v>14000</v>
      </c>
    </row>
    <row r="192" spans="2:15">
      <c r="B192" s="43" t="s">
        <v>1417</v>
      </c>
      <c r="C192" s="44" t="s">
        <v>1431</v>
      </c>
      <c r="D192" s="45" t="s">
        <v>122</v>
      </c>
      <c r="E192" s="45" t="s">
        <v>123</v>
      </c>
      <c r="F192" s="45" t="s">
        <v>124</v>
      </c>
      <c r="G192" s="46">
        <v>3140.5</v>
      </c>
      <c r="H192" s="46">
        <v>0</v>
      </c>
      <c r="I192" s="45">
        <v>0</v>
      </c>
      <c r="J192" s="45">
        <v>0</v>
      </c>
      <c r="K192" s="45">
        <v>0</v>
      </c>
      <c r="L192" s="45">
        <v>659.5</v>
      </c>
      <c r="M192" s="45">
        <v>0</v>
      </c>
      <c r="N192" s="46">
        <v>0</v>
      </c>
      <c r="O192" s="46">
        <v>3800</v>
      </c>
    </row>
    <row r="193" spans="2:15">
      <c r="B193" s="43" t="s">
        <v>1417</v>
      </c>
      <c r="C193" s="44" t="s">
        <v>1432</v>
      </c>
      <c r="D193" s="45" t="s">
        <v>122</v>
      </c>
      <c r="E193" s="45" t="s">
        <v>123</v>
      </c>
      <c r="F193" s="45" t="s">
        <v>124</v>
      </c>
      <c r="G193" s="46">
        <v>2644.63</v>
      </c>
      <c r="H193" s="46">
        <v>0</v>
      </c>
      <c r="I193" s="45">
        <v>0</v>
      </c>
      <c r="J193" s="45">
        <v>0</v>
      </c>
      <c r="K193" s="45">
        <v>0</v>
      </c>
      <c r="L193" s="45">
        <v>555.37</v>
      </c>
      <c r="M193" s="45">
        <v>0</v>
      </c>
      <c r="N193" s="46">
        <v>0</v>
      </c>
      <c r="O193" s="46">
        <v>3200</v>
      </c>
    </row>
    <row r="194" spans="2:15">
      <c r="B194" s="43" t="s">
        <v>1280</v>
      </c>
      <c r="C194" s="44" t="s">
        <v>1433</v>
      </c>
      <c r="D194" s="45" t="s">
        <v>122</v>
      </c>
      <c r="E194" s="45" t="s">
        <v>123</v>
      </c>
      <c r="F194" s="45" t="s">
        <v>124</v>
      </c>
      <c r="G194" s="46">
        <v>3099.17</v>
      </c>
      <c r="H194" s="46">
        <v>0</v>
      </c>
      <c r="I194" s="45">
        <v>0</v>
      </c>
      <c r="J194" s="45">
        <v>0</v>
      </c>
      <c r="K194" s="45">
        <v>0</v>
      </c>
      <c r="L194" s="45">
        <v>650.83000000000004</v>
      </c>
      <c r="M194" s="45">
        <v>0</v>
      </c>
      <c r="N194" s="46">
        <v>0</v>
      </c>
      <c r="O194" s="46">
        <v>3750</v>
      </c>
    </row>
    <row r="195" spans="2:15">
      <c r="B195" s="43" t="s">
        <v>1280</v>
      </c>
      <c r="C195" s="44" t="s">
        <v>1434</v>
      </c>
      <c r="D195" s="45" t="s">
        <v>122</v>
      </c>
      <c r="E195" s="45" t="s">
        <v>123</v>
      </c>
      <c r="F195" s="45" t="s">
        <v>124</v>
      </c>
      <c r="G195" s="46">
        <v>8099.17</v>
      </c>
      <c r="H195" s="46">
        <v>0</v>
      </c>
      <c r="I195" s="45">
        <v>0</v>
      </c>
      <c r="J195" s="45">
        <v>0</v>
      </c>
      <c r="K195" s="45">
        <v>0</v>
      </c>
      <c r="L195" s="45">
        <v>1700.83</v>
      </c>
      <c r="M195" s="45">
        <v>0</v>
      </c>
      <c r="N195" s="46">
        <v>0</v>
      </c>
      <c r="O195" s="46">
        <v>9800</v>
      </c>
    </row>
    <row r="196" spans="2:15">
      <c r="B196" s="43" t="s">
        <v>1280</v>
      </c>
      <c r="C196" s="44" t="s">
        <v>1435</v>
      </c>
      <c r="D196" s="45" t="s">
        <v>122</v>
      </c>
      <c r="E196" s="45" t="s">
        <v>123</v>
      </c>
      <c r="F196" s="45" t="s">
        <v>124</v>
      </c>
      <c r="G196" s="46">
        <v>2644.63</v>
      </c>
      <c r="H196" s="46">
        <v>0</v>
      </c>
      <c r="I196" s="45">
        <v>0</v>
      </c>
      <c r="J196" s="45">
        <v>0</v>
      </c>
      <c r="K196" s="45">
        <v>0</v>
      </c>
      <c r="L196" s="45">
        <v>555.37</v>
      </c>
      <c r="M196" s="45">
        <v>0</v>
      </c>
      <c r="N196" s="46">
        <v>0</v>
      </c>
      <c r="O196" s="46">
        <v>3200</v>
      </c>
    </row>
    <row r="197" spans="2:15">
      <c r="B197" s="43" t="s">
        <v>1280</v>
      </c>
      <c r="C197" s="44" t="s">
        <v>1436</v>
      </c>
      <c r="D197" s="45" t="s">
        <v>122</v>
      </c>
      <c r="E197" s="45" t="s">
        <v>123</v>
      </c>
      <c r="F197" s="45" t="s">
        <v>124</v>
      </c>
      <c r="G197" s="46">
        <v>3099.17</v>
      </c>
      <c r="H197" s="46">
        <v>0</v>
      </c>
      <c r="I197" s="45">
        <v>0</v>
      </c>
      <c r="J197" s="45">
        <v>0</v>
      </c>
      <c r="K197" s="45">
        <v>0</v>
      </c>
      <c r="L197" s="45">
        <v>650.83000000000004</v>
      </c>
      <c r="M197" s="45">
        <v>0</v>
      </c>
      <c r="N197" s="46">
        <v>0</v>
      </c>
      <c r="O197" s="46">
        <v>3750</v>
      </c>
    </row>
    <row r="198" spans="2:15">
      <c r="B198" s="43" t="s">
        <v>1280</v>
      </c>
      <c r="C198" s="44" t="s">
        <v>1437</v>
      </c>
      <c r="D198" s="45" t="s">
        <v>122</v>
      </c>
      <c r="E198" s="45" t="s">
        <v>123</v>
      </c>
      <c r="F198" s="45" t="s">
        <v>124</v>
      </c>
      <c r="G198" s="46">
        <v>3966.94</v>
      </c>
      <c r="H198" s="46">
        <v>0</v>
      </c>
      <c r="I198" s="45">
        <v>0</v>
      </c>
      <c r="J198" s="45">
        <v>0</v>
      </c>
      <c r="K198" s="45">
        <v>0</v>
      </c>
      <c r="L198" s="45">
        <v>833.06</v>
      </c>
      <c r="M198" s="45">
        <v>0</v>
      </c>
      <c r="N198" s="46">
        <v>0</v>
      </c>
      <c r="O198" s="46">
        <v>4800</v>
      </c>
    </row>
    <row r="199" spans="2:15">
      <c r="B199" s="43" t="s">
        <v>1280</v>
      </c>
      <c r="C199" s="44" t="s">
        <v>1438</v>
      </c>
      <c r="D199" s="45" t="s">
        <v>122</v>
      </c>
      <c r="E199" s="45" t="s">
        <v>123</v>
      </c>
      <c r="F199" s="45" t="s">
        <v>124</v>
      </c>
      <c r="G199" s="46">
        <v>8925.6200000000008</v>
      </c>
      <c r="H199" s="46">
        <v>0</v>
      </c>
      <c r="I199" s="45">
        <v>0</v>
      </c>
      <c r="J199" s="45">
        <v>0</v>
      </c>
      <c r="K199" s="45">
        <v>0</v>
      </c>
      <c r="L199" s="45">
        <v>1874.38</v>
      </c>
      <c r="M199" s="45">
        <v>0</v>
      </c>
      <c r="N199" s="46">
        <v>0</v>
      </c>
      <c r="O199" s="46">
        <v>10800</v>
      </c>
    </row>
    <row r="200" spans="2:15">
      <c r="B200" s="43" t="s">
        <v>1280</v>
      </c>
      <c r="C200" s="44" t="s">
        <v>1439</v>
      </c>
      <c r="D200" s="45" t="s">
        <v>122</v>
      </c>
      <c r="E200" s="45" t="s">
        <v>123</v>
      </c>
      <c r="F200" s="45" t="s">
        <v>124</v>
      </c>
      <c r="G200" s="46">
        <v>4628.1000000000004</v>
      </c>
      <c r="H200" s="46">
        <v>0</v>
      </c>
      <c r="I200" s="45">
        <v>0</v>
      </c>
      <c r="J200" s="45">
        <v>0</v>
      </c>
      <c r="K200" s="45">
        <v>0</v>
      </c>
      <c r="L200" s="45">
        <v>971.9</v>
      </c>
      <c r="M200" s="45">
        <v>0</v>
      </c>
      <c r="N200" s="46">
        <v>0</v>
      </c>
      <c r="O200" s="46">
        <v>5600</v>
      </c>
    </row>
    <row r="201" spans="2:15">
      <c r="B201" s="43" t="s">
        <v>1280</v>
      </c>
      <c r="C201" s="44" t="s">
        <v>1440</v>
      </c>
      <c r="D201" s="45" t="s">
        <v>122</v>
      </c>
      <c r="E201" s="45" t="s">
        <v>123</v>
      </c>
      <c r="F201" s="45" t="s">
        <v>124</v>
      </c>
      <c r="G201" s="46">
        <v>2933.88</v>
      </c>
      <c r="H201" s="46">
        <v>0</v>
      </c>
      <c r="I201" s="45">
        <v>0</v>
      </c>
      <c r="J201" s="45">
        <v>0</v>
      </c>
      <c r="K201" s="45">
        <v>0</v>
      </c>
      <c r="L201" s="45">
        <v>616.12</v>
      </c>
      <c r="M201" s="45">
        <v>0</v>
      </c>
      <c r="N201" s="46">
        <v>0</v>
      </c>
      <c r="O201" s="46">
        <v>3550</v>
      </c>
    </row>
    <row r="202" spans="2:15">
      <c r="B202" s="43" t="s">
        <v>1283</v>
      </c>
      <c r="C202" s="44" t="s">
        <v>1441</v>
      </c>
      <c r="D202" s="45" t="s">
        <v>122</v>
      </c>
      <c r="E202" s="45" t="s">
        <v>123</v>
      </c>
      <c r="F202" s="45" t="s">
        <v>124</v>
      </c>
      <c r="G202" s="46">
        <v>1652.89</v>
      </c>
      <c r="H202" s="46">
        <v>0</v>
      </c>
      <c r="I202" s="45">
        <v>0</v>
      </c>
      <c r="J202" s="45">
        <v>0</v>
      </c>
      <c r="K202" s="45">
        <v>0</v>
      </c>
      <c r="L202" s="45">
        <v>347.11</v>
      </c>
      <c r="M202" s="45">
        <v>0</v>
      </c>
      <c r="N202" s="46">
        <v>0</v>
      </c>
      <c r="O202" s="46">
        <v>2000</v>
      </c>
    </row>
    <row r="203" spans="2:15">
      <c r="B203" s="43" t="s">
        <v>1283</v>
      </c>
      <c r="C203" s="44" t="s">
        <v>1442</v>
      </c>
      <c r="D203" s="45" t="s">
        <v>122</v>
      </c>
      <c r="E203" s="45" t="s">
        <v>123</v>
      </c>
      <c r="F203" s="45" t="s">
        <v>124</v>
      </c>
      <c r="G203" s="46">
        <v>8264.4600000000009</v>
      </c>
      <c r="H203" s="46">
        <v>0</v>
      </c>
      <c r="I203" s="45">
        <v>0</v>
      </c>
      <c r="J203" s="45">
        <v>0</v>
      </c>
      <c r="K203" s="45">
        <v>0</v>
      </c>
      <c r="L203" s="45">
        <v>1735.54</v>
      </c>
      <c r="M203" s="45">
        <v>0</v>
      </c>
      <c r="N203" s="46">
        <v>0</v>
      </c>
      <c r="O203" s="46">
        <v>10000</v>
      </c>
    </row>
    <row r="204" spans="2:15">
      <c r="B204" s="43" t="s">
        <v>1283</v>
      </c>
      <c r="C204" s="44" t="s">
        <v>1443</v>
      </c>
      <c r="D204" s="45" t="s">
        <v>122</v>
      </c>
      <c r="E204" s="45" t="s">
        <v>123</v>
      </c>
      <c r="F204" s="45" t="s">
        <v>124</v>
      </c>
      <c r="G204" s="46">
        <v>2066.12</v>
      </c>
      <c r="H204" s="46">
        <v>0</v>
      </c>
      <c r="I204" s="45">
        <v>0</v>
      </c>
      <c r="J204" s="45">
        <v>0</v>
      </c>
      <c r="K204" s="45">
        <v>0</v>
      </c>
      <c r="L204" s="45">
        <v>433.88</v>
      </c>
      <c r="M204" s="45">
        <v>0</v>
      </c>
      <c r="N204" s="46">
        <v>0</v>
      </c>
      <c r="O204" s="46">
        <v>2500</v>
      </c>
    </row>
    <row r="205" spans="2:15">
      <c r="B205" s="43" t="s">
        <v>1283</v>
      </c>
      <c r="C205" s="44" t="s">
        <v>1444</v>
      </c>
      <c r="D205" s="45" t="s">
        <v>122</v>
      </c>
      <c r="E205" s="45" t="s">
        <v>123</v>
      </c>
      <c r="F205" s="45" t="s">
        <v>124</v>
      </c>
      <c r="G205" s="46">
        <v>3057.85</v>
      </c>
      <c r="H205" s="46">
        <v>0</v>
      </c>
      <c r="I205" s="45">
        <v>0</v>
      </c>
      <c r="J205" s="45">
        <v>0</v>
      </c>
      <c r="K205" s="45">
        <v>0</v>
      </c>
      <c r="L205" s="45">
        <v>642.15</v>
      </c>
      <c r="M205" s="45">
        <v>0</v>
      </c>
      <c r="N205" s="46">
        <v>0</v>
      </c>
      <c r="O205" s="46">
        <v>3700</v>
      </c>
    </row>
    <row r="206" spans="2:15">
      <c r="B206" s="43" t="s">
        <v>1283</v>
      </c>
      <c r="C206" s="44" t="s">
        <v>1445</v>
      </c>
      <c r="D206" s="45" t="s">
        <v>122</v>
      </c>
      <c r="E206" s="45" t="s">
        <v>123</v>
      </c>
      <c r="F206" s="45" t="s">
        <v>124</v>
      </c>
      <c r="G206" s="46">
        <v>17190.09</v>
      </c>
      <c r="H206" s="46">
        <v>0</v>
      </c>
      <c r="I206" s="45">
        <v>0</v>
      </c>
      <c r="J206" s="45">
        <v>0</v>
      </c>
      <c r="K206" s="45">
        <v>0</v>
      </c>
      <c r="L206" s="45">
        <v>3609.91</v>
      </c>
      <c r="M206" s="45">
        <v>0</v>
      </c>
      <c r="N206" s="46">
        <v>0</v>
      </c>
      <c r="O206" s="46">
        <v>20800</v>
      </c>
    </row>
    <row r="207" spans="2:15">
      <c r="B207" s="43" t="s">
        <v>1283</v>
      </c>
      <c r="C207" s="44" t="s">
        <v>1446</v>
      </c>
      <c r="D207" s="45" t="s">
        <v>122</v>
      </c>
      <c r="E207" s="45" t="s">
        <v>123</v>
      </c>
      <c r="F207" s="45" t="s">
        <v>124</v>
      </c>
      <c r="G207" s="46">
        <v>6528.93</v>
      </c>
      <c r="H207" s="46">
        <v>0</v>
      </c>
      <c r="I207" s="45">
        <v>0</v>
      </c>
      <c r="J207" s="45">
        <v>0</v>
      </c>
      <c r="K207" s="45">
        <v>0</v>
      </c>
      <c r="L207" s="45">
        <v>1371.07</v>
      </c>
      <c r="M207" s="45">
        <v>0</v>
      </c>
      <c r="N207" s="46">
        <v>0</v>
      </c>
      <c r="O207" s="46">
        <v>7900</v>
      </c>
    </row>
    <row r="208" spans="2:15">
      <c r="B208" s="43" t="s">
        <v>1283</v>
      </c>
      <c r="C208" s="44" t="s">
        <v>1447</v>
      </c>
      <c r="D208" s="45" t="s">
        <v>122</v>
      </c>
      <c r="E208" s="45" t="s">
        <v>123</v>
      </c>
      <c r="F208" s="45" t="s">
        <v>124</v>
      </c>
      <c r="G208" s="46">
        <v>10661.16</v>
      </c>
      <c r="H208" s="46">
        <v>0</v>
      </c>
      <c r="I208" s="45">
        <v>0</v>
      </c>
      <c r="J208" s="45">
        <v>0</v>
      </c>
      <c r="K208" s="45">
        <v>0</v>
      </c>
      <c r="L208" s="45">
        <v>2238.84</v>
      </c>
      <c r="M208" s="45">
        <v>0</v>
      </c>
      <c r="N208" s="46">
        <v>0</v>
      </c>
      <c r="O208" s="46">
        <v>12900</v>
      </c>
    </row>
    <row r="209" spans="2:15">
      <c r="B209" s="43" t="s">
        <v>1283</v>
      </c>
      <c r="C209" s="44" t="s">
        <v>1448</v>
      </c>
      <c r="D209" s="45" t="s">
        <v>122</v>
      </c>
      <c r="E209" s="45" t="s">
        <v>123</v>
      </c>
      <c r="F209" s="45" t="s">
        <v>124</v>
      </c>
      <c r="G209" s="46">
        <v>2479.34</v>
      </c>
      <c r="H209" s="46">
        <v>0</v>
      </c>
      <c r="I209" s="45">
        <v>0</v>
      </c>
      <c r="J209" s="45">
        <v>0</v>
      </c>
      <c r="K209" s="45">
        <v>0</v>
      </c>
      <c r="L209" s="45">
        <v>520.66</v>
      </c>
      <c r="M209" s="45">
        <v>0</v>
      </c>
      <c r="N209" s="46">
        <v>0</v>
      </c>
      <c r="O209" s="46">
        <v>3000</v>
      </c>
    </row>
    <row r="210" spans="2:15">
      <c r="B210" s="43" t="s">
        <v>1283</v>
      </c>
      <c r="C210" s="44" t="s">
        <v>1449</v>
      </c>
      <c r="D210" s="45" t="s">
        <v>122</v>
      </c>
      <c r="E210" s="45" t="s">
        <v>123</v>
      </c>
      <c r="F210" s="45" t="s">
        <v>124</v>
      </c>
      <c r="G210" s="46">
        <v>11157.02</v>
      </c>
      <c r="H210" s="46">
        <v>0</v>
      </c>
      <c r="I210" s="45">
        <v>0</v>
      </c>
      <c r="J210" s="45">
        <v>0</v>
      </c>
      <c r="K210" s="45">
        <v>0</v>
      </c>
      <c r="L210" s="45">
        <v>2342.98</v>
      </c>
      <c r="M210" s="45">
        <v>0</v>
      </c>
      <c r="N210" s="46">
        <v>0</v>
      </c>
      <c r="O210" s="46">
        <v>13500</v>
      </c>
    </row>
    <row r="211" spans="2:15">
      <c r="B211" s="43" t="s">
        <v>1283</v>
      </c>
      <c r="C211" s="44" t="s">
        <v>1450</v>
      </c>
      <c r="D211" s="45" t="s">
        <v>122</v>
      </c>
      <c r="E211" s="45" t="s">
        <v>123</v>
      </c>
      <c r="F211" s="45" t="s">
        <v>124</v>
      </c>
      <c r="G211" s="46">
        <v>4132.2300000000005</v>
      </c>
      <c r="H211" s="46">
        <v>0</v>
      </c>
      <c r="I211" s="45">
        <v>0</v>
      </c>
      <c r="J211" s="45">
        <v>0</v>
      </c>
      <c r="K211" s="45">
        <v>0</v>
      </c>
      <c r="L211" s="45">
        <v>867.77</v>
      </c>
      <c r="M211" s="45">
        <v>0</v>
      </c>
      <c r="N211" s="46">
        <v>0</v>
      </c>
      <c r="O211" s="46">
        <v>5000</v>
      </c>
    </row>
    <row r="212" spans="2:15">
      <c r="B212" s="43" t="s">
        <v>1283</v>
      </c>
      <c r="C212" s="44" t="s">
        <v>1451</v>
      </c>
      <c r="D212" s="45" t="s">
        <v>122</v>
      </c>
      <c r="E212" s="45" t="s">
        <v>123</v>
      </c>
      <c r="F212" s="45" t="s">
        <v>124</v>
      </c>
      <c r="G212" s="46">
        <v>4876.03</v>
      </c>
      <c r="H212" s="46">
        <v>0</v>
      </c>
      <c r="I212" s="45">
        <v>0</v>
      </c>
      <c r="J212" s="45">
        <v>0</v>
      </c>
      <c r="K212" s="45">
        <v>0</v>
      </c>
      <c r="L212" s="45">
        <v>1023.97</v>
      </c>
      <c r="M212" s="45">
        <v>0</v>
      </c>
      <c r="N212" s="46">
        <v>0</v>
      </c>
      <c r="O212" s="46">
        <v>5900</v>
      </c>
    </row>
    <row r="213" spans="2:15">
      <c r="B213" s="43" t="s">
        <v>1236</v>
      </c>
      <c r="C213" s="44" t="s">
        <v>1452</v>
      </c>
      <c r="D213" s="45" t="s">
        <v>122</v>
      </c>
      <c r="E213" s="45" t="s">
        <v>123</v>
      </c>
      <c r="F213" s="45" t="s">
        <v>124</v>
      </c>
      <c r="G213" s="46">
        <v>2479.34</v>
      </c>
      <c r="H213" s="46">
        <v>0</v>
      </c>
      <c r="I213" s="45">
        <v>0</v>
      </c>
      <c r="J213" s="45">
        <v>0</v>
      </c>
      <c r="K213" s="45">
        <v>0</v>
      </c>
      <c r="L213" s="45">
        <v>520.66</v>
      </c>
      <c r="M213" s="45">
        <v>0</v>
      </c>
      <c r="N213" s="46">
        <v>0</v>
      </c>
      <c r="O213" s="46">
        <v>3000</v>
      </c>
    </row>
    <row r="214" spans="2:15">
      <c r="B214" s="43" t="s">
        <v>1236</v>
      </c>
      <c r="C214" s="44" t="s">
        <v>1453</v>
      </c>
      <c r="D214" s="45" t="s">
        <v>122</v>
      </c>
      <c r="E214" s="45" t="s">
        <v>123</v>
      </c>
      <c r="F214" s="45" t="s">
        <v>124</v>
      </c>
      <c r="G214" s="46">
        <v>5454.55</v>
      </c>
      <c r="H214" s="46">
        <v>0</v>
      </c>
      <c r="I214" s="45">
        <v>0</v>
      </c>
      <c r="J214" s="45">
        <v>0</v>
      </c>
      <c r="K214" s="45">
        <v>0</v>
      </c>
      <c r="L214" s="45">
        <v>1145.45</v>
      </c>
      <c r="M214" s="45">
        <v>0</v>
      </c>
      <c r="N214" s="46">
        <v>0</v>
      </c>
      <c r="O214" s="46">
        <v>6600</v>
      </c>
    </row>
    <row r="215" spans="2:15">
      <c r="B215" s="43" t="s">
        <v>1236</v>
      </c>
      <c r="C215" s="44" t="s">
        <v>1454</v>
      </c>
      <c r="D215" s="45" t="s">
        <v>122</v>
      </c>
      <c r="E215" s="45" t="s">
        <v>123</v>
      </c>
      <c r="F215" s="45" t="s">
        <v>124</v>
      </c>
      <c r="G215" s="46">
        <v>9504.130000000001</v>
      </c>
      <c r="H215" s="46">
        <v>0</v>
      </c>
      <c r="I215" s="45">
        <v>0</v>
      </c>
      <c r="J215" s="45">
        <v>0</v>
      </c>
      <c r="K215" s="45">
        <v>0</v>
      </c>
      <c r="L215" s="45">
        <v>1995.87</v>
      </c>
      <c r="M215" s="45">
        <v>0</v>
      </c>
      <c r="N215" s="46">
        <v>0</v>
      </c>
      <c r="O215" s="46">
        <v>11500</v>
      </c>
    </row>
    <row r="216" spans="2:15">
      <c r="B216" s="43" t="s">
        <v>1236</v>
      </c>
      <c r="C216" s="44" t="s">
        <v>1455</v>
      </c>
      <c r="D216" s="45" t="s">
        <v>122</v>
      </c>
      <c r="E216" s="45" t="s">
        <v>123</v>
      </c>
      <c r="F216" s="45" t="s">
        <v>124</v>
      </c>
      <c r="G216" s="46">
        <v>11157.02</v>
      </c>
      <c r="H216" s="46">
        <v>0</v>
      </c>
      <c r="I216" s="45">
        <v>0</v>
      </c>
      <c r="J216" s="45">
        <v>0</v>
      </c>
      <c r="K216" s="45">
        <v>0</v>
      </c>
      <c r="L216" s="45">
        <v>2342.98</v>
      </c>
      <c r="M216" s="45">
        <v>0</v>
      </c>
      <c r="N216" s="46">
        <v>0</v>
      </c>
      <c r="O216" s="46">
        <v>13500</v>
      </c>
    </row>
    <row r="217" spans="2:15">
      <c r="B217" s="43" t="s">
        <v>1236</v>
      </c>
      <c r="C217" s="44" t="s">
        <v>1456</v>
      </c>
      <c r="D217" s="45" t="s">
        <v>122</v>
      </c>
      <c r="E217" s="45" t="s">
        <v>123</v>
      </c>
      <c r="F217" s="45" t="s">
        <v>124</v>
      </c>
      <c r="G217" s="46">
        <v>9669.42</v>
      </c>
      <c r="H217" s="46">
        <v>0</v>
      </c>
      <c r="I217" s="45">
        <v>0</v>
      </c>
      <c r="J217" s="45">
        <v>0</v>
      </c>
      <c r="K217" s="45">
        <v>0</v>
      </c>
      <c r="L217" s="45">
        <v>2030.5800000000002</v>
      </c>
      <c r="M217" s="45">
        <v>0</v>
      </c>
      <c r="N217" s="46">
        <v>0</v>
      </c>
      <c r="O217" s="46">
        <v>11700</v>
      </c>
    </row>
    <row r="218" spans="2:15">
      <c r="B218" s="43" t="s">
        <v>1236</v>
      </c>
      <c r="C218" s="44" t="s">
        <v>1457</v>
      </c>
      <c r="D218" s="45" t="s">
        <v>122</v>
      </c>
      <c r="E218" s="45" t="s">
        <v>123</v>
      </c>
      <c r="F218" s="45" t="s">
        <v>124</v>
      </c>
      <c r="G218" s="46">
        <v>5330.58</v>
      </c>
      <c r="H218" s="46">
        <v>0</v>
      </c>
      <c r="I218" s="45">
        <v>0</v>
      </c>
      <c r="J218" s="45">
        <v>0</v>
      </c>
      <c r="K218" s="45">
        <v>0</v>
      </c>
      <c r="L218" s="45">
        <v>1119.42</v>
      </c>
      <c r="M218" s="45">
        <v>0</v>
      </c>
      <c r="N218" s="46">
        <v>0</v>
      </c>
      <c r="O218" s="46">
        <v>6450</v>
      </c>
    </row>
    <row r="219" spans="2:15">
      <c r="B219" s="43" t="s">
        <v>1236</v>
      </c>
      <c r="C219" s="44" t="s">
        <v>1458</v>
      </c>
      <c r="D219" s="45" t="s">
        <v>122</v>
      </c>
      <c r="E219" s="45" t="s">
        <v>123</v>
      </c>
      <c r="F219" s="45" t="s">
        <v>124</v>
      </c>
      <c r="G219" s="46">
        <v>2479.34</v>
      </c>
      <c r="H219" s="46">
        <v>0</v>
      </c>
      <c r="I219" s="45">
        <v>0</v>
      </c>
      <c r="J219" s="45">
        <v>0</v>
      </c>
      <c r="K219" s="45">
        <v>0</v>
      </c>
      <c r="L219" s="45">
        <v>520.66</v>
      </c>
      <c r="M219" s="45">
        <v>0</v>
      </c>
      <c r="N219" s="46">
        <v>0</v>
      </c>
      <c r="O219" s="46">
        <v>3000</v>
      </c>
    </row>
    <row r="220" spans="2:15">
      <c r="B220" s="43" t="s">
        <v>1236</v>
      </c>
      <c r="C220" s="44" t="s">
        <v>1459</v>
      </c>
      <c r="D220" s="45" t="s">
        <v>122</v>
      </c>
      <c r="E220" s="45" t="s">
        <v>123</v>
      </c>
      <c r="F220" s="45" t="s">
        <v>124</v>
      </c>
      <c r="G220" s="46">
        <v>3305.79</v>
      </c>
      <c r="H220" s="46">
        <v>0</v>
      </c>
      <c r="I220" s="45">
        <v>0</v>
      </c>
      <c r="J220" s="45">
        <v>0</v>
      </c>
      <c r="K220" s="45">
        <v>0</v>
      </c>
      <c r="L220" s="45">
        <v>694.21</v>
      </c>
      <c r="M220" s="45">
        <v>0</v>
      </c>
      <c r="N220" s="46">
        <v>0</v>
      </c>
      <c r="O220" s="46">
        <v>4000</v>
      </c>
    </row>
    <row r="221" spans="2:15">
      <c r="B221" s="43" t="s">
        <v>1236</v>
      </c>
      <c r="C221" s="44" t="s">
        <v>1460</v>
      </c>
      <c r="D221" s="45" t="s">
        <v>122</v>
      </c>
      <c r="E221" s="45" t="s">
        <v>123</v>
      </c>
      <c r="F221" s="45" t="s">
        <v>124</v>
      </c>
      <c r="G221" s="46">
        <v>7024.79</v>
      </c>
      <c r="H221" s="46">
        <v>0</v>
      </c>
      <c r="I221" s="45">
        <v>0</v>
      </c>
      <c r="J221" s="45">
        <v>0</v>
      </c>
      <c r="K221" s="45">
        <v>0</v>
      </c>
      <c r="L221" s="45">
        <v>1475.21</v>
      </c>
      <c r="M221" s="45">
        <v>0</v>
      </c>
      <c r="N221" s="46">
        <v>0</v>
      </c>
      <c r="O221" s="46">
        <v>8500</v>
      </c>
    </row>
    <row r="222" spans="2:15">
      <c r="B222" s="43" t="s">
        <v>1285</v>
      </c>
      <c r="C222" s="44" t="s">
        <v>1461</v>
      </c>
      <c r="D222" s="45" t="s">
        <v>122</v>
      </c>
      <c r="E222" s="45" t="s">
        <v>123</v>
      </c>
      <c r="F222" s="45" t="s">
        <v>124</v>
      </c>
      <c r="G222" s="46">
        <v>7851.24</v>
      </c>
      <c r="H222" s="46">
        <v>0</v>
      </c>
      <c r="I222" s="45">
        <v>0</v>
      </c>
      <c r="J222" s="45">
        <v>0</v>
      </c>
      <c r="K222" s="45">
        <v>0</v>
      </c>
      <c r="L222" s="45">
        <v>1648.76</v>
      </c>
      <c r="M222" s="45">
        <v>0</v>
      </c>
      <c r="N222" s="46">
        <v>0</v>
      </c>
      <c r="O222" s="46">
        <v>9500</v>
      </c>
    </row>
    <row r="223" spans="2:15">
      <c r="B223" s="43" t="s">
        <v>1285</v>
      </c>
      <c r="C223" s="44" t="s">
        <v>1462</v>
      </c>
      <c r="D223" s="45" t="s">
        <v>122</v>
      </c>
      <c r="E223" s="45" t="s">
        <v>123</v>
      </c>
      <c r="F223" s="45" t="s">
        <v>124</v>
      </c>
      <c r="G223" s="46">
        <v>4958.68</v>
      </c>
      <c r="H223" s="46">
        <v>0</v>
      </c>
      <c r="I223" s="45">
        <v>0</v>
      </c>
      <c r="J223" s="45">
        <v>0</v>
      </c>
      <c r="K223" s="45">
        <v>0</v>
      </c>
      <c r="L223" s="45">
        <v>1041.32</v>
      </c>
      <c r="M223" s="45">
        <v>0</v>
      </c>
      <c r="N223" s="46">
        <v>0</v>
      </c>
      <c r="O223" s="46">
        <v>6000</v>
      </c>
    </row>
    <row r="224" spans="2:15">
      <c r="B224" s="43" t="s">
        <v>1285</v>
      </c>
      <c r="C224" s="44" t="s">
        <v>1463</v>
      </c>
      <c r="D224" s="45" t="s">
        <v>122</v>
      </c>
      <c r="E224" s="45" t="s">
        <v>123</v>
      </c>
      <c r="F224" s="45" t="s">
        <v>124</v>
      </c>
      <c r="G224" s="46">
        <v>4132.2300000000005</v>
      </c>
      <c r="H224" s="46">
        <v>0</v>
      </c>
      <c r="I224" s="45">
        <v>0</v>
      </c>
      <c r="J224" s="45">
        <v>0</v>
      </c>
      <c r="K224" s="45">
        <v>0</v>
      </c>
      <c r="L224" s="45">
        <v>867.77</v>
      </c>
      <c r="M224" s="45">
        <v>0</v>
      </c>
      <c r="N224" s="46">
        <v>0</v>
      </c>
      <c r="O224" s="46">
        <v>5000</v>
      </c>
    </row>
    <row r="225" spans="2:15">
      <c r="B225" s="43" t="s">
        <v>1285</v>
      </c>
      <c r="C225" s="44" t="s">
        <v>1464</v>
      </c>
      <c r="D225" s="45" t="s">
        <v>122</v>
      </c>
      <c r="E225" s="45" t="s">
        <v>123</v>
      </c>
      <c r="F225" s="45" t="s">
        <v>124</v>
      </c>
      <c r="G225" s="46">
        <v>6198.35</v>
      </c>
      <c r="H225" s="46">
        <v>0</v>
      </c>
      <c r="I225" s="45">
        <v>0</v>
      </c>
      <c r="J225" s="45">
        <v>0</v>
      </c>
      <c r="K225" s="45">
        <v>0</v>
      </c>
      <c r="L225" s="45">
        <v>1301.6500000000001</v>
      </c>
      <c r="M225" s="45">
        <v>0</v>
      </c>
      <c r="N225" s="46">
        <v>0</v>
      </c>
      <c r="O225" s="46">
        <v>7500</v>
      </c>
    </row>
    <row r="226" spans="2:15">
      <c r="B226" s="43" t="s">
        <v>1285</v>
      </c>
      <c r="C226" s="44" t="s">
        <v>1465</v>
      </c>
      <c r="D226" s="45" t="s">
        <v>122</v>
      </c>
      <c r="E226" s="45" t="s">
        <v>123</v>
      </c>
      <c r="F226" s="45" t="s">
        <v>124</v>
      </c>
      <c r="G226" s="46">
        <v>3000</v>
      </c>
      <c r="H226" s="46">
        <v>0</v>
      </c>
      <c r="I226" s="45">
        <v>0</v>
      </c>
      <c r="J226" s="45">
        <v>0</v>
      </c>
      <c r="K226" s="45">
        <v>0</v>
      </c>
      <c r="L226" s="45">
        <v>630</v>
      </c>
      <c r="M226" s="45">
        <v>0</v>
      </c>
      <c r="N226" s="46">
        <v>0</v>
      </c>
      <c r="O226" s="46">
        <v>3630</v>
      </c>
    </row>
    <row r="227" spans="2:15">
      <c r="B227" s="43" t="s">
        <v>1285</v>
      </c>
      <c r="C227" s="44" t="s">
        <v>1466</v>
      </c>
      <c r="D227" s="45" t="s">
        <v>122</v>
      </c>
      <c r="E227" s="45" t="s">
        <v>123</v>
      </c>
      <c r="F227" s="45" t="s">
        <v>124</v>
      </c>
      <c r="G227" s="46">
        <v>3719.01</v>
      </c>
      <c r="H227" s="46">
        <v>0</v>
      </c>
      <c r="I227" s="45">
        <v>0</v>
      </c>
      <c r="J227" s="45">
        <v>0</v>
      </c>
      <c r="K227" s="45">
        <v>0</v>
      </c>
      <c r="L227" s="45">
        <v>780.99</v>
      </c>
      <c r="M227" s="45">
        <v>0</v>
      </c>
      <c r="N227" s="46">
        <v>0</v>
      </c>
      <c r="O227" s="46">
        <v>4500</v>
      </c>
    </row>
    <row r="228" spans="2:15">
      <c r="B228" s="43" t="s">
        <v>1285</v>
      </c>
      <c r="C228" s="44" t="s">
        <v>1467</v>
      </c>
      <c r="D228" s="45" t="s">
        <v>122</v>
      </c>
      <c r="E228" s="45" t="s">
        <v>123</v>
      </c>
      <c r="F228" s="45" t="s">
        <v>124</v>
      </c>
      <c r="G228" s="46">
        <v>5165.29</v>
      </c>
      <c r="H228" s="46">
        <v>0</v>
      </c>
      <c r="I228" s="45">
        <v>0</v>
      </c>
      <c r="J228" s="45">
        <v>0</v>
      </c>
      <c r="K228" s="45">
        <v>0</v>
      </c>
      <c r="L228" s="45">
        <v>1084.71</v>
      </c>
      <c r="M228" s="45">
        <v>0</v>
      </c>
      <c r="N228" s="46">
        <v>0</v>
      </c>
      <c r="O228" s="46">
        <v>6250</v>
      </c>
    </row>
    <row r="229" spans="2:15">
      <c r="B229" s="43" t="s">
        <v>1285</v>
      </c>
      <c r="C229" s="44" t="s">
        <v>1468</v>
      </c>
      <c r="D229" s="45" t="s">
        <v>122</v>
      </c>
      <c r="E229" s="45" t="s">
        <v>123</v>
      </c>
      <c r="F229" s="45" t="s">
        <v>124</v>
      </c>
      <c r="G229" s="46">
        <v>7355.37</v>
      </c>
      <c r="H229" s="46">
        <v>0</v>
      </c>
      <c r="I229" s="45">
        <v>0</v>
      </c>
      <c r="J229" s="45">
        <v>0</v>
      </c>
      <c r="K229" s="45">
        <v>0</v>
      </c>
      <c r="L229" s="45">
        <v>1544.63</v>
      </c>
      <c r="M229" s="45">
        <v>0</v>
      </c>
      <c r="N229" s="46">
        <v>0</v>
      </c>
      <c r="O229" s="46">
        <v>8900</v>
      </c>
    </row>
    <row r="230" spans="2:15">
      <c r="B230" s="43" t="s">
        <v>1285</v>
      </c>
      <c r="C230" s="44" t="s">
        <v>1469</v>
      </c>
      <c r="D230" s="45" t="s">
        <v>122</v>
      </c>
      <c r="E230" s="45" t="s">
        <v>123</v>
      </c>
      <c r="F230" s="45" t="s">
        <v>124</v>
      </c>
      <c r="G230" s="46">
        <v>5330.58</v>
      </c>
      <c r="H230" s="46">
        <v>0</v>
      </c>
      <c r="I230" s="45">
        <v>0</v>
      </c>
      <c r="J230" s="45">
        <v>0</v>
      </c>
      <c r="K230" s="45">
        <v>0</v>
      </c>
      <c r="L230" s="45">
        <v>1119.42</v>
      </c>
      <c r="M230" s="45">
        <v>0</v>
      </c>
      <c r="N230" s="46">
        <v>0</v>
      </c>
      <c r="O230" s="46">
        <v>6450</v>
      </c>
    </row>
    <row r="231" spans="2:15">
      <c r="B231" s="43" t="s">
        <v>1285</v>
      </c>
      <c r="C231" s="44" t="s">
        <v>1470</v>
      </c>
      <c r="D231" s="45" t="s">
        <v>122</v>
      </c>
      <c r="E231" s="45" t="s">
        <v>123</v>
      </c>
      <c r="F231" s="45" t="s">
        <v>124</v>
      </c>
      <c r="G231" s="46">
        <v>3198.35</v>
      </c>
      <c r="H231" s="46">
        <v>0</v>
      </c>
      <c r="I231" s="45">
        <v>0</v>
      </c>
      <c r="J231" s="45">
        <v>0</v>
      </c>
      <c r="K231" s="45">
        <v>0</v>
      </c>
      <c r="L231" s="45">
        <v>671.65</v>
      </c>
      <c r="M231" s="45">
        <v>0</v>
      </c>
      <c r="N231" s="46">
        <v>0</v>
      </c>
      <c r="O231" s="46">
        <v>3870</v>
      </c>
    </row>
    <row r="232" spans="2:15">
      <c r="B232" s="43" t="s">
        <v>1285</v>
      </c>
      <c r="C232" s="44" t="s">
        <v>1471</v>
      </c>
      <c r="D232" s="45" t="s">
        <v>122</v>
      </c>
      <c r="E232" s="45" t="s">
        <v>123</v>
      </c>
      <c r="F232" s="45" t="s">
        <v>124</v>
      </c>
      <c r="G232" s="46">
        <v>2231.4</v>
      </c>
      <c r="H232" s="46">
        <v>0</v>
      </c>
      <c r="I232" s="45">
        <v>0</v>
      </c>
      <c r="J232" s="45">
        <v>0</v>
      </c>
      <c r="K232" s="45">
        <v>0</v>
      </c>
      <c r="L232" s="45">
        <v>468.6</v>
      </c>
      <c r="M232" s="45">
        <v>0</v>
      </c>
      <c r="N232" s="46">
        <v>0</v>
      </c>
      <c r="O232" s="46">
        <v>2700</v>
      </c>
    </row>
    <row r="233" spans="2:15">
      <c r="B233" s="43" t="s">
        <v>1285</v>
      </c>
      <c r="C233" s="44" t="s">
        <v>1472</v>
      </c>
      <c r="D233" s="45" t="s">
        <v>122</v>
      </c>
      <c r="E233" s="45" t="s">
        <v>123</v>
      </c>
      <c r="F233" s="45" t="s">
        <v>124</v>
      </c>
      <c r="G233" s="46">
        <v>5330.58</v>
      </c>
      <c r="H233" s="46">
        <v>0</v>
      </c>
      <c r="I233" s="45">
        <v>0</v>
      </c>
      <c r="J233" s="45">
        <v>0</v>
      </c>
      <c r="K233" s="45">
        <v>0</v>
      </c>
      <c r="L233" s="45">
        <v>1119.42</v>
      </c>
      <c r="M233" s="45">
        <v>0</v>
      </c>
      <c r="N233" s="46">
        <v>0</v>
      </c>
      <c r="O233" s="46">
        <v>6450</v>
      </c>
    </row>
    <row r="234" spans="2:15">
      <c r="B234" s="43" t="s">
        <v>1285</v>
      </c>
      <c r="C234" s="44" t="s">
        <v>1473</v>
      </c>
      <c r="D234" s="45" t="s">
        <v>122</v>
      </c>
      <c r="E234" s="45" t="s">
        <v>123</v>
      </c>
      <c r="F234" s="45" t="s">
        <v>124</v>
      </c>
      <c r="G234" s="46">
        <v>2231.4</v>
      </c>
      <c r="H234" s="46">
        <v>0</v>
      </c>
      <c r="I234" s="45">
        <v>0</v>
      </c>
      <c r="J234" s="45">
        <v>0</v>
      </c>
      <c r="K234" s="45">
        <v>0</v>
      </c>
      <c r="L234" s="45">
        <v>468.6</v>
      </c>
      <c r="M234" s="45">
        <v>0</v>
      </c>
      <c r="N234" s="46">
        <v>0</v>
      </c>
      <c r="O234" s="46">
        <v>2700</v>
      </c>
    </row>
    <row r="235" spans="2:15">
      <c r="B235" s="43" t="s">
        <v>1285</v>
      </c>
      <c r="C235" s="44" t="s">
        <v>1474</v>
      </c>
      <c r="D235" s="45" t="s">
        <v>122</v>
      </c>
      <c r="E235" s="45" t="s">
        <v>123</v>
      </c>
      <c r="F235" s="45" t="s">
        <v>124</v>
      </c>
      <c r="G235" s="46">
        <v>2809.92</v>
      </c>
      <c r="H235" s="46">
        <v>0</v>
      </c>
      <c r="I235" s="45">
        <v>0</v>
      </c>
      <c r="J235" s="45">
        <v>0</v>
      </c>
      <c r="K235" s="45">
        <v>0</v>
      </c>
      <c r="L235" s="45">
        <v>590.08000000000004</v>
      </c>
      <c r="M235" s="45">
        <v>0</v>
      </c>
      <c r="N235" s="46">
        <v>0</v>
      </c>
      <c r="O235" s="46">
        <v>3400</v>
      </c>
    </row>
    <row r="236" spans="2:15">
      <c r="B236" s="43" t="s">
        <v>1475</v>
      </c>
      <c r="C236" s="44" t="s">
        <v>1476</v>
      </c>
      <c r="D236" s="45" t="s">
        <v>122</v>
      </c>
      <c r="E236" s="45" t="s">
        <v>123</v>
      </c>
      <c r="F236" s="45" t="s">
        <v>124</v>
      </c>
      <c r="G236" s="46">
        <v>9917.36</v>
      </c>
      <c r="H236" s="46">
        <v>0</v>
      </c>
      <c r="I236" s="45">
        <v>0</v>
      </c>
      <c r="J236" s="45">
        <v>0</v>
      </c>
      <c r="K236" s="45">
        <v>0</v>
      </c>
      <c r="L236" s="45">
        <v>2082.64</v>
      </c>
      <c r="M236" s="45">
        <v>0</v>
      </c>
      <c r="N236" s="46">
        <v>0</v>
      </c>
      <c r="O236" s="46">
        <v>12000</v>
      </c>
    </row>
    <row r="237" spans="2:15">
      <c r="B237" s="43" t="s">
        <v>1475</v>
      </c>
      <c r="C237" s="44" t="s">
        <v>1477</v>
      </c>
      <c r="D237" s="45" t="s">
        <v>122</v>
      </c>
      <c r="E237" s="45" t="s">
        <v>123</v>
      </c>
      <c r="F237" s="45" t="s">
        <v>124</v>
      </c>
      <c r="G237" s="46">
        <v>6198.35</v>
      </c>
      <c r="H237" s="46">
        <v>0</v>
      </c>
      <c r="I237" s="45">
        <v>0</v>
      </c>
      <c r="J237" s="45">
        <v>0</v>
      </c>
      <c r="K237" s="45">
        <v>0</v>
      </c>
      <c r="L237" s="45">
        <v>1301.6500000000001</v>
      </c>
      <c r="M237" s="45">
        <v>0</v>
      </c>
      <c r="N237" s="46">
        <v>0</v>
      </c>
      <c r="O237" s="46">
        <v>7500</v>
      </c>
    </row>
    <row r="238" spans="2:15">
      <c r="B238" s="43" t="s">
        <v>1475</v>
      </c>
      <c r="C238" s="44" t="s">
        <v>1478</v>
      </c>
      <c r="D238" s="45" t="s">
        <v>122</v>
      </c>
      <c r="E238" s="45" t="s">
        <v>123</v>
      </c>
      <c r="F238" s="45" t="s">
        <v>124</v>
      </c>
      <c r="G238" s="46">
        <v>6454.55</v>
      </c>
      <c r="H238" s="46">
        <v>0</v>
      </c>
      <c r="I238" s="45">
        <v>0</v>
      </c>
      <c r="J238" s="45">
        <v>0</v>
      </c>
      <c r="K238" s="45">
        <v>0</v>
      </c>
      <c r="L238" s="45">
        <v>1355.45</v>
      </c>
      <c r="M238" s="45">
        <v>0</v>
      </c>
      <c r="N238" s="46">
        <v>0</v>
      </c>
      <c r="O238" s="46">
        <v>7810</v>
      </c>
    </row>
    <row r="239" spans="2:15">
      <c r="B239" s="43" t="s">
        <v>1475</v>
      </c>
      <c r="C239" s="44" t="s">
        <v>1479</v>
      </c>
      <c r="D239" s="45" t="s">
        <v>122</v>
      </c>
      <c r="E239" s="45" t="s">
        <v>123</v>
      </c>
      <c r="F239" s="45" t="s">
        <v>124</v>
      </c>
      <c r="G239" s="46">
        <v>5330.58</v>
      </c>
      <c r="H239" s="46">
        <v>0</v>
      </c>
      <c r="I239" s="45">
        <v>0</v>
      </c>
      <c r="J239" s="45">
        <v>0</v>
      </c>
      <c r="K239" s="45">
        <v>0</v>
      </c>
      <c r="L239" s="45">
        <v>1119.42</v>
      </c>
      <c r="M239" s="45">
        <v>0</v>
      </c>
      <c r="N239" s="46">
        <v>0</v>
      </c>
      <c r="O239" s="46">
        <v>6450</v>
      </c>
    </row>
    <row r="240" spans="2:15">
      <c r="B240" s="43" t="s">
        <v>1475</v>
      </c>
      <c r="C240" s="44" t="s">
        <v>1480</v>
      </c>
      <c r="D240" s="45" t="s">
        <v>122</v>
      </c>
      <c r="E240" s="45" t="s">
        <v>123</v>
      </c>
      <c r="F240" s="45" t="s">
        <v>124</v>
      </c>
      <c r="G240" s="46">
        <v>7024.8</v>
      </c>
      <c r="H240" s="46">
        <v>0</v>
      </c>
      <c r="I240" s="45">
        <v>0</v>
      </c>
      <c r="J240" s="45">
        <v>0</v>
      </c>
      <c r="K240" s="45">
        <v>0</v>
      </c>
      <c r="L240" s="45">
        <v>1475.2</v>
      </c>
      <c r="M240" s="45">
        <v>0</v>
      </c>
      <c r="N240" s="46">
        <v>0</v>
      </c>
      <c r="O240" s="46">
        <v>8500</v>
      </c>
    </row>
    <row r="241" spans="2:15">
      <c r="B241" s="43" t="s">
        <v>1475</v>
      </c>
      <c r="C241" s="44" t="s">
        <v>1481</v>
      </c>
      <c r="D241" s="45" t="s">
        <v>122</v>
      </c>
      <c r="E241" s="45" t="s">
        <v>123</v>
      </c>
      <c r="F241" s="45" t="s">
        <v>124</v>
      </c>
      <c r="G241" s="46">
        <v>12396.7</v>
      </c>
      <c r="H241" s="46">
        <v>0</v>
      </c>
      <c r="I241" s="45">
        <v>0</v>
      </c>
      <c r="J241" s="45">
        <v>0</v>
      </c>
      <c r="K241" s="45">
        <v>0</v>
      </c>
      <c r="L241" s="45">
        <v>2603.3000000000002</v>
      </c>
      <c r="M241" s="45">
        <v>0</v>
      </c>
      <c r="N241" s="46">
        <v>0</v>
      </c>
      <c r="O241" s="46">
        <v>15000</v>
      </c>
    </row>
    <row r="242" spans="2:15">
      <c r="B242" s="43" t="s">
        <v>1475</v>
      </c>
      <c r="C242" s="44" t="s">
        <v>1482</v>
      </c>
      <c r="D242" s="45" t="s">
        <v>122</v>
      </c>
      <c r="E242" s="45" t="s">
        <v>123</v>
      </c>
      <c r="F242" s="45" t="s">
        <v>124</v>
      </c>
      <c r="G242" s="46">
        <v>32727.280000000002</v>
      </c>
      <c r="H242" s="46">
        <v>0</v>
      </c>
      <c r="I242" s="45">
        <v>0</v>
      </c>
      <c r="J242" s="45">
        <v>0</v>
      </c>
      <c r="K242" s="45">
        <v>0</v>
      </c>
      <c r="L242" s="45">
        <v>6872.72</v>
      </c>
      <c r="M242" s="45">
        <v>0</v>
      </c>
      <c r="N242" s="46">
        <v>0</v>
      </c>
      <c r="O242" s="46">
        <v>39600</v>
      </c>
    </row>
    <row r="243" spans="2:15">
      <c r="B243" s="43" t="s">
        <v>1475</v>
      </c>
      <c r="C243" s="44" t="s">
        <v>1483</v>
      </c>
      <c r="D243" s="45" t="s">
        <v>122</v>
      </c>
      <c r="E243" s="45" t="s">
        <v>123</v>
      </c>
      <c r="F243" s="45" t="s">
        <v>124</v>
      </c>
      <c r="G243" s="46">
        <v>5454.55</v>
      </c>
      <c r="H243" s="46">
        <v>0</v>
      </c>
      <c r="I243" s="45">
        <v>0</v>
      </c>
      <c r="J243" s="45">
        <v>0</v>
      </c>
      <c r="K243" s="45">
        <v>0</v>
      </c>
      <c r="L243" s="45">
        <v>1145.45</v>
      </c>
      <c r="M243" s="45">
        <v>0</v>
      </c>
      <c r="N243" s="46">
        <v>0</v>
      </c>
      <c r="O243" s="46">
        <v>6600</v>
      </c>
    </row>
    <row r="244" spans="2:15">
      <c r="B244" s="43" t="s">
        <v>1475</v>
      </c>
      <c r="C244" s="44" t="s">
        <v>1484</v>
      </c>
      <c r="D244" s="45" t="s">
        <v>122</v>
      </c>
      <c r="E244" s="45" t="s">
        <v>123</v>
      </c>
      <c r="F244" s="45" t="s">
        <v>124</v>
      </c>
      <c r="G244" s="46">
        <v>5950.41</v>
      </c>
      <c r="H244" s="46">
        <v>0</v>
      </c>
      <c r="I244" s="45">
        <v>0</v>
      </c>
      <c r="J244" s="45">
        <v>0</v>
      </c>
      <c r="K244" s="45">
        <v>0</v>
      </c>
      <c r="L244" s="45">
        <v>1249.5899999999999</v>
      </c>
      <c r="M244" s="45">
        <v>0</v>
      </c>
      <c r="N244" s="46">
        <v>0</v>
      </c>
      <c r="O244" s="46">
        <v>7200</v>
      </c>
    </row>
    <row r="245" spans="2:15">
      <c r="B245" s="43" t="s">
        <v>1238</v>
      </c>
      <c r="C245" s="44" t="s">
        <v>1485</v>
      </c>
      <c r="D245" s="45" t="s">
        <v>122</v>
      </c>
      <c r="E245" s="45" t="s">
        <v>123</v>
      </c>
      <c r="F245" s="45" t="s">
        <v>124</v>
      </c>
      <c r="G245" s="46">
        <v>2231.4</v>
      </c>
      <c r="H245" s="46">
        <v>0</v>
      </c>
      <c r="I245" s="45">
        <v>0</v>
      </c>
      <c r="J245" s="45">
        <v>0</v>
      </c>
      <c r="K245" s="45">
        <v>0</v>
      </c>
      <c r="L245" s="45">
        <v>468.6</v>
      </c>
      <c r="M245" s="45">
        <v>0</v>
      </c>
      <c r="N245" s="46">
        <v>0</v>
      </c>
      <c r="O245" s="46">
        <v>2700</v>
      </c>
    </row>
    <row r="246" spans="2:15">
      <c r="B246" s="43" t="s">
        <v>1238</v>
      </c>
      <c r="C246" s="44" t="s">
        <v>1486</v>
      </c>
      <c r="D246" s="45" t="s">
        <v>122</v>
      </c>
      <c r="E246" s="45" t="s">
        <v>123</v>
      </c>
      <c r="F246" s="45" t="s">
        <v>124</v>
      </c>
      <c r="G246" s="46">
        <v>2396.69</v>
      </c>
      <c r="H246" s="46">
        <v>0</v>
      </c>
      <c r="I246" s="45">
        <v>0</v>
      </c>
      <c r="J246" s="45">
        <v>0</v>
      </c>
      <c r="K246" s="45">
        <v>0</v>
      </c>
      <c r="L246" s="45">
        <v>503.31</v>
      </c>
      <c r="M246" s="45">
        <v>0</v>
      </c>
      <c r="N246" s="46">
        <v>0</v>
      </c>
      <c r="O246" s="46">
        <v>2900</v>
      </c>
    </row>
    <row r="247" spans="2:15">
      <c r="B247" s="43" t="s">
        <v>1238</v>
      </c>
      <c r="C247" s="44" t="s">
        <v>1487</v>
      </c>
      <c r="D247" s="45" t="s">
        <v>122</v>
      </c>
      <c r="E247" s="45" t="s">
        <v>123</v>
      </c>
      <c r="F247" s="45" t="s">
        <v>124</v>
      </c>
      <c r="G247" s="46">
        <v>2479.34</v>
      </c>
      <c r="H247" s="46">
        <v>0</v>
      </c>
      <c r="I247" s="45">
        <v>0</v>
      </c>
      <c r="J247" s="45">
        <v>0</v>
      </c>
      <c r="K247" s="45">
        <v>0</v>
      </c>
      <c r="L247" s="45">
        <v>520.66</v>
      </c>
      <c r="M247" s="45">
        <v>0</v>
      </c>
      <c r="N247" s="46">
        <v>0</v>
      </c>
      <c r="O247" s="46">
        <v>3000</v>
      </c>
    </row>
    <row r="248" spans="2:15">
      <c r="B248" s="43" t="s">
        <v>1238</v>
      </c>
      <c r="C248" s="44" t="s">
        <v>1488</v>
      </c>
      <c r="D248" s="45" t="s">
        <v>122</v>
      </c>
      <c r="E248" s="45" t="s">
        <v>123</v>
      </c>
      <c r="F248" s="45" t="s">
        <v>124</v>
      </c>
      <c r="G248" s="46">
        <v>6198.35</v>
      </c>
      <c r="H248" s="46">
        <v>0</v>
      </c>
      <c r="I248" s="45">
        <v>0</v>
      </c>
      <c r="J248" s="45">
        <v>0</v>
      </c>
      <c r="K248" s="45">
        <v>0</v>
      </c>
      <c r="L248" s="45">
        <v>1301.6500000000001</v>
      </c>
      <c r="M248" s="45">
        <v>0</v>
      </c>
      <c r="N248" s="46">
        <v>0</v>
      </c>
      <c r="O248" s="46">
        <v>7500</v>
      </c>
    </row>
    <row r="249" spans="2:15">
      <c r="B249" s="43" t="s">
        <v>1238</v>
      </c>
      <c r="C249" s="44" t="s">
        <v>1489</v>
      </c>
      <c r="D249" s="45" t="s">
        <v>122</v>
      </c>
      <c r="E249" s="45" t="s">
        <v>123</v>
      </c>
      <c r="F249" s="45" t="s">
        <v>124</v>
      </c>
      <c r="G249" s="46">
        <v>2396.69</v>
      </c>
      <c r="H249" s="46">
        <v>0</v>
      </c>
      <c r="I249" s="45">
        <v>0</v>
      </c>
      <c r="J249" s="45">
        <v>0</v>
      </c>
      <c r="K249" s="45">
        <v>0</v>
      </c>
      <c r="L249" s="45">
        <v>503.31</v>
      </c>
      <c r="M249" s="45">
        <v>0</v>
      </c>
      <c r="N249" s="46">
        <v>0</v>
      </c>
      <c r="O249" s="46">
        <v>2900</v>
      </c>
    </row>
    <row r="250" spans="2:15">
      <c r="B250" s="43" t="s">
        <v>1238</v>
      </c>
      <c r="C250" s="44" t="s">
        <v>1490</v>
      </c>
      <c r="D250" s="45" t="s">
        <v>122</v>
      </c>
      <c r="E250" s="45" t="s">
        <v>123</v>
      </c>
      <c r="F250" s="45" t="s">
        <v>124</v>
      </c>
      <c r="G250" s="46">
        <v>2702.48</v>
      </c>
      <c r="H250" s="46">
        <v>0</v>
      </c>
      <c r="I250" s="45">
        <v>0</v>
      </c>
      <c r="J250" s="45">
        <v>0</v>
      </c>
      <c r="K250" s="45">
        <v>0</v>
      </c>
      <c r="L250" s="45">
        <v>567.52</v>
      </c>
      <c r="M250" s="45">
        <v>0</v>
      </c>
      <c r="N250" s="46">
        <v>0</v>
      </c>
      <c r="O250" s="46">
        <v>3270</v>
      </c>
    </row>
    <row r="251" spans="2:15">
      <c r="B251" s="43" t="s">
        <v>1238</v>
      </c>
      <c r="C251" s="44" t="s">
        <v>1491</v>
      </c>
      <c r="D251" s="45" t="s">
        <v>122</v>
      </c>
      <c r="E251" s="45" t="s">
        <v>123</v>
      </c>
      <c r="F251" s="45" t="s">
        <v>124</v>
      </c>
      <c r="G251" s="46">
        <v>3099.17</v>
      </c>
      <c r="H251" s="46">
        <v>0</v>
      </c>
      <c r="I251" s="45">
        <v>0</v>
      </c>
      <c r="J251" s="45">
        <v>0</v>
      </c>
      <c r="K251" s="45">
        <v>0</v>
      </c>
      <c r="L251" s="45">
        <v>650.83000000000004</v>
      </c>
      <c r="M251" s="45">
        <v>0</v>
      </c>
      <c r="N251" s="46">
        <v>0</v>
      </c>
      <c r="O251" s="46">
        <v>3750</v>
      </c>
    </row>
    <row r="252" spans="2:15">
      <c r="B252" s="43" t="s">
        <v>1238</v>
      </c>
      <c r="C252" s="44" t="s">
        <v>1492</v>
      </c>
      <c r="D252" s="45" t="s">
        <v>122</v>
      </c>
      <c r="E252" s="45" t="s">
        <v>123</v>
      </c>
      <c r="F252" s="45" t="s">
        <v>124</v>
      </c>
      <c r="G252" s="46">
        <v>7314.05</v>
      </c>
      <c r="H252" s="46">
        <v>0</v>
      </c>
      <c r="I252" s="45">
        <v>0</v>
      </c>
      <c r="J252" s="45">
        <v>0</v>
      </c>
      <c r="K252" s="45">
        <v>0</v>
      </c>
      <c r="L252" s="45">
        <v>1535.95</v>
      </c>
      <c r="M252" s="45">
        <v>0</v>
      </c>
      <c r="N252" s="46">
        <v>0</v>
      </c>
      <c r="O252" s="46">
        <v>8850</v>
      </c>
    </row>
    <row r="253" spans="2:15">
      <c r="B253" s="43" t="s">
        <v>1238</v>
      </c>
      <c r="C253" s="44" t="s">
        <v>1493</v>
      </c>
      <c r="D253" s="45" t="s">
        <v>122</v>
      </c>
      <c r="E253" s="45" t="s">
        <v>123</v>
      </c>
      <c r="F253" s="45" t="s">
        <v>124</v>
      </c>
      <c r="G253" s="46">
        <v>10743.8</v>
      </c>
      <c r="H253" s="46">
        <v>0</v>
      </c>
      <c r="I253" s="45">
        <v>0</v>
      </c>
      <c r="J253" s="45">
        <v>0</v>
      </c>
      <c r="K253" s="45">
        <v>0</v>
      </c>
      <c r="L253" s="45">
        <v>2256.2000000000003</v>
      </c>
      <c r="M253" s="45">
        <v>0</v>
      </c>
      <c r="N253" s="46">
        <v>0</v>
      </c>
      <c r="O253" s="46">
        <v>13000</v>
      </c>
    </row>
    <row r="254" spans="2:15">
      <c r="B254" s="43" t="s">
        <v>1238</v>
      </c>
      <c r="C254" s="44" t="s">
        <v>1494</v>
      </c>
      <c r="D254" s="45" t="s">
        <v>122</v>
      </c>
      <c r="E254" s="45" t="s">
        <v>123</v>
      </c>
      <c r="F254" s="45" t="s">
        <v>124</v>
      </c>
      <c r="G254" s="46">
        <v>6528.93</v>
      </c>
      <c r="H254" s="46">
        <v>0</v>
      </c>
      <c r="I254" s="45">
        <v>0</v>
      </c>
      <c r="J254" s="45">
        <v>0</v>
      </c>
      <c r="K254" s="45">
        <v>0</v>
      </c>
      <c r="L254" s="45">
        <v>1371.07</v>
      </c>
      <c r="M254" s="45">
        <v>0</v>
      </c>
      <c r="N254" s="46">
        <v>0</v>
      </c>
      <c r="O254" s="46">
        <v>7900</v>
      </c>
    </row>
    <row r="255" spans="2:15">
      <c r="B255" s="43" t="s">
        <v>1238</v>
      </c>
      <c r="C255" s="44" t="s">
        <v>1495</v>
      </c>
      <c r="D255" s="45" t="s">
        <v>122</v>
      </c>
      <c r="E255" s="45" t="s">
        <v>123</v>
      </c>
      <c r="F255" s="45" t="s">
        <v>124</v>
      </c>
      <c r="G255" s="46">
        <v>9586.7800000000007</v>
      </c>
      <c r="H255" s="46">
        <v>0</v>
      </c>
      <c r="I255" s="45">
        <v>0</v>
      </c>
      <c r="J255" s="45">
        <v>0</v>
      </c>
      <c r="K255" s="45">
        <v>0</v>
      </c>
      <c r="L255" s="45">
        <v>2013.22</v>
      </c>
      <c r="M255" s="45">
        <v>0</v>
      </c>
      <c r="N255" s="46">
        <v>0</v>
      </c>
      <c r="O255" s="46">
        <v>11600</v>
      </c>
    </row>
    <row r="256" spans="2:15">
      <c r="B256" s="43" t="s">
        <v>1238</v>
      </c>
      <c r="C256" s="44" t="s">
        <v>1496</v>
      </c>
      <c r="D256" s="45" t="s">
        <v>122</v>
      </c>
      <c r="E256" s="45" t="s">
        <v>123</v>
      </c>
      <c r="F256" s="45" t="s">
        <v>124</v>
      </c>
      <c r="G256" s="46">
        <v>3057.85</v>
      </c>
      <c r="H256" s="46">
        <v>0</v>
      </c>
      <c r="I256" s="45">
        <v>0</v>
      </c>
      <c r="J256" s="45">
        <v>0</v>
      </c>
      <c r="K256" s="45">
        <v>0</v>
      </c>
      <c r="L256" s="45">
        <v>642.15</v>
      </c>
      <c r="M256" s="45">
        <v>0</v>
      </c>
      <c r="N256" s="46">
        <v>0</v>
      </c>
      <c r="O256" s="46">
        <v>3700</v>
      </c>
    </row>
    <row r="257" spans="2:15">
      <c r="B257" s="43" t="s">
        <v>1497</v>
      </c>
      <c r="C257" s="44" t="s">
        <v>1498</v>
      </c>
      <c r="D257" s="45" t="s">
        <v>122</v>
      </c>
      <c r="E257" s="45" t="s">
        <v>123</v>
      </c>
      <c r="F257" s="45" t="s">
        <v>124</v>
      </c>
      <c r="G257" s="46">
        <v>2479.34</v>
      </c>
      <c r="H257" s="46">
        <v>0</v>
      </c>
      <c r="I257" s="45">
        <v>0</v>
      </c>
      <c r="J257" s="45">
        <v>0</v>
      </c>
      <c r="K257" s="45">
        <v>0</v>
      </c>
      <c r="L257" s="45">
        <v>520.66</v>
      </c>
      <c r="M257" s="45">
        <v>0</v>
      </c>
      <c r="N257" s="46">
        <v>0</v>
      </c>
      <c r="O257" s="46">
        <v>3000</v>
      </c>
    </row>
    <row r="258" spans="2:15">
      <c r="B258" s="43" t="s">
        <v>1497</v>
      </c>
      <c r="C258" s="44" t="s">
        <v>1499</v>
      </c>
      <c r="D258" s="45" t="s">
        <v>122</v>
      </c>
      <c r="E258" s="45" t="s">
        <v>123</v>
      </c>
      <c r="F258" s="45" t="s">
        <v>124</v>
      </c>
      <c r="G258" s="46">
        <v>4958.68</v>
      </c>
      <c r="H258" s="46">
        <v>0</v>
      </c>
      <c r="I258" s="45">
        <v>0</v>
      </c>
      <c r="J258" s="45">
        <v>0</v>
      </c>
      <c r="K258" s="45">
        <v>0</v>
      </c>
      <c r="L258" s="45">
        <v>1041.32</v>
      </c>
      <c r="M258" s="45">
        <v>0</v>
      </c>
      <c r="N258" s="46">
        <v>0</v>
      </c>
      <c r="O258" s="46">
        <v>6000</v>
      </c>
    </row>
    <row r="259" spans="2:15">
      <c r="B259" s="43" t="s">
        <v>1497</v>
      </c>
      <c r="C259" s="44" t="s">
        <v>1500</v>
      </c>
      <c r="D259" s="45" t="s">
        <v>122</v>
      </c>
      <c r="E259" s="45" t="s">
        <v>123</v>
      </c>
      <c r="F259" s="45" t="s">
        <v>124</v>
      </c>
      <c r="G259" s="46">
        <v>6528.93</v>
      </c>
      <c r="H259" s="46">
        <v>0</v>
      </c>
      <c r="I259" s="45">
        <v>0</v>
      </c>
      <c r="J259" s="45">
        <v>0</v>
      </c>
      <c r="K259" s="45">
        <v>0</v>
      </c>
      <c r="L259" s="45">
        <v>1371.07</v>
      </c>
      <c r="M259" s="45">
        <v>0</v>
      </c>
      <c r="N259" s="46">
        <v>0</v>
      </c>
      <c r="O259" s="46">
        <v>7900</v>
      </c>
    </row>
    <row r="260" spans="2:15">
      <c r="B260" s="43" t="s">
        <v>1497</v>
      </c>
      <c r="C260" s="44" t="s">
        <v>1501</v>
      </c>
      <c r="D260" s="45" t="s">
        <v>122</v>
      </c>
      <c r="E260" s="45" t="s">
        <v>123</v>
      </c>
      <c r="F260" s="45" t="s">
        <v>124</v>
      </c>
      <c r="G260" s="46">
        <v>1239.67</v>
      </c>
      <c r="H260" s="46">
        <v>0</v>
      </c>
      <c r="I260" s="45">
        <v>0</v>
      </c>
      <c r="J260" s="45">
        <v>0</v>
      </c>
      <c r="K260" s="45">
        <v>0</v>
      </c>
      <c r="L260" s="45">
        <v>260.33</v>
      </c>
      <c r="M260" s="45">
        <v>0</v>
      </c>
      <c r="N260" s="46">
        <v>0</v>
      </c>
      <c r="O260" s="46">
        <v>1500</v>
      </c>
    </row>
    <row r="261" spans="2:15">
      <c r="B261" s="43" t="s">
        <v>1497</v>
      </c>
      <c r="C261" s="44" t="s">
        <v>1502</v>
      </c>
      <c r="D261" s="45" t="s">
        <v>122</v>
      </c>
      <c r="E261" s="45" t="s">
        <v>123</v>
      </c>
      <c r="F261" s="45" t="s">
        <v>124</v>
      </c>
      <c r="G261" s="46">
        <v>2892.56</v>
      </c>
      <c r="H261" s="46">
        <v>0</v>
      </c>
      <c r="I261" s="45">
        <v>0</v>
      </c>
      <c r="J261" s="45">
        <v>0</v>
      </c>
      <c r="K261" s="45">
        <v>0</v>
      </c>
      <c r="L261" s="45">
        <v>607.44000000000005</v>
      </c>
      <c r="M261" s="45">
        <v>0</v>
      </c>
      <c r="N261" s="46">
        <v>0</v>
      </c>
      <c r="O261" s="46">
        <v>3500</v>
      </c>
    </row>
    <row r="262" spans="2:15">
      <c r="B262" s="43" t="s">
        <v>1497</v>
      </c>
      <c r="C262" s="44" t="s">
        <v>1503</v>
      </c>
      <c r="D262" s="45" t="s">
        <v>122</v>
      </c>
      <c r="E262" s="45" t="s">
        <v>123</v>
      </c>
      <c r="F262" s="45" t="s">
        <v>124</v>
      </c>
      <c r="G262" s="46">
        <v>6859.5</v>
      </c>
      <c r="H262" s="46">
        <v>0</v>
      </c>
      <c r="I262" s="45">
        <v>0</v>
      </c>
      <c r="J262" s="45">
        <v>0</v>
      </c>
      <c r="K262" s="45">
        <v>0</v>
      </c>
      <c r="L262" s="45">
        <v>1440.5</v>
      </c>
      <c r="M262" s="45">
        <v>0</v>
      </c>
      <c r="N262" s="46">
        <v>0</v>
      </c>
      <c r="O262" s="46">
        <v>8300</v>
      </c>
    </row>
    <row r="263" spans="2:15">
      <c r="B263" s="43" t="s">
        <v>1497</v>
      </c>
      <c r="C263" s="44" t="s">
        <v>1504</v>
      </c>
      <c r="D263" s="45" t="s">
        <v>122</v>
      </c>
      <c r="E263" s="45" t="s">
        <v>123</v>
      </c>
      <c r="F263" s="45" t="s">
        <v>124</v>
      </c>
      <c r="G263" s="46">
        <v>6322.31</v>
      </c>
      <c r="H263" s="46">
        <v>0</v>
      </c>
      <c r="I263" s="45">
        <v>0</v>
      </c>
      <c r="J263" s="45">
        <v>0</v>
      </c>
      <c r="K263" s="45">
        <v>0</v>
      </c>
      <c r="L263" s="45">
        <v>1327.69</v>
      </c>
      <c r="M263" s="45">
        <v>0</v>
      </c>
      <c r="N263" s="46">
        <v>0</v>
      </c>
      <c r="O263" s="46">
        <v>7650</v>
      </c>
    </row>
    <row r="264" spans="2:15">
      <c r="B264" s="43" t="s">
        <v>1497</v>
      </c>
      <c r="C264" s="44" t="s">
        <v>1505</v>
      </c>
      <c r="D264" s="45" t="s">
        <v>122</v>
      </c>
      <c r="E264" s="45" t="s">
        <v>123</v>
      </c>
      <c r="F264" s="45" t="s">
        <v>124</v>
      </c>
      <c r="G264" s="46">
        <v>3099.17</v>
      </c>
      <c r="H264" s="46">
        <v>0</v>
      </c>
      <c r="I264" s="45">
        <v>0</v>
      </c>
      <c r="J264" s="45">
        <v>0</v>
      </c>
      <c r="K264" s="45">
        <v>0</v>
      </c>
      <c r="L264" s="45">
        <v>650.83000000000004</v>
      </c>
      <c r="M264" s="45">
        <v>0</v>
      </c>
      <c r="N264" s="46">
        <v>0</v>
      </c>
      <c r="O264" s="46">
        <v>3750</v>
      </c>
    </row>
    <row r="265" spans="2:15">
      <c r="B265" s="43" t="s">
        <v>1506</v>
      </c>
      <c r="C265" s="44" t="s">
        <v>1507</v>
      </c>
      <c r="D265" s="45" t="s">
        <v>122</v>
      </c>
      <c r="E265" s="45" t="s">
        <v>123</v>
      </c>
      <c r="F265" s="45" t="s">
        <v>124</v>
      </c>
      <c r="G265" s="46">
        <v>4462.8100000000004</v>
      </c>
      <c r="H265" s="46">
        <v>0</v>
      </c>
      <c r="I265" s="45">
        <v>0</v>
      </c>
      <c r="J265" s="45">
        <v>0</v>
      </c>
      <c r="K265" s="45">
        <v>0</v>
      </c>
      <c r="L265" s="45">
        <v>937.19</v>
      </c>
      <c r="M265" s="45">
        <v>0</v>
      </c>
      <c r="N265" s="46">
        <v>0</v>
      </c>
      <c r="O265" s="46">
        <v>5400</v>
      </c>
    </row>
    <row r="266" spans="2:15">
      <c r="B266" s="43" t="s">
        <v>1506</v>
      </c>
      <c r="C266" s="44" t="s">
        <v>1508</v>
      </c>
      <c r="D266" s="45" t="s">
        <v>122</v>
      </c>
      <c r="E266" s="45" t="s">
        <v>123</v>
      </c>
      <c r="F266" s="45" t="s">
        <v>124</v>
      </c>
      <c r="G266" s="46">
        <v>3099.17</v>
      </c>
      <c r="H266" s="46">
        <v>0</v>
      </c>
      <c r="I266" s="45">
        <v>0</v>
      </c>
      <c r="J266" s="45">
        <v>0</v>
      </c>
      <c r="K266" s="45">
        <v>0</v>
      </c>
      <c r="L266" s="45">
        <v>650.83000000000004</v>
      </c>
      <c r="M266" s="45">
        <v>0</v>
      </c>
      <c r="N266" s="46">
        <v>0</v>
      </c>
      <c r="O266" s="46">
        <v>3750</v>
      </c>
    </row>
    <row r="267" spans="2:15">
      <c r="B267" s="43" t="s">
        <v>1506</v>
      </c>
      <c r="C267" s="44" t="s">
        <v>1509</v>
      </c>
      <c r="D267" s="45" t="s">
        <v>122</v>
      </c>
      <c r="E267" s="45" t="s">
        <v>123</v>
      </c>
      <c r="F267" s="45" t="s">
        <v>124</v>
      </c>
      <c r="G267" s="46">
        <v>5404.96</v>
      </c>
      <c r="H267" s="46">
        <v>0</v>
      </c>
      <c r="I267" s="45">
        <v>0</v>
      </c>
      <c r="J267" s="45">
        <v>0</v>
      </c>
      <c r="K267" s="45">
        <v>0</v>
      </c>
      <c r="L267" s="45">
        <v>1135.04</v>
      </c>
      <c r="M267" s="45">
        <v>0</v>
      </c>
      <c r="N267" s="46">
        <v>0</v>
      </c>
      <c r="O267" s="46">
        <v>6540</v>
      </c>
    </row>
    <row r="268" spans="2:15">
      <c r="B268" s="43" t="s">
        <v>1506</v>
      </c>
      <c r="C268" s="44" t="s">
        <v>1510</v>
      </c>
      <c r="D268" s="45" t="s">
        <v>122</v>
      </c>
      <c r="E268" s="45" t="s">
        <v>123</v>
      </c>
      <c r="F268" s="45" t="s">
        <v>124</v>
      </c>
      <c r="G268" s="46">
        <v>5950.41</v>
      </c>
      <c r="H268" s="46">
        <v>0</v>
      </c>
      <c r="I268" s="45">
        <v>0</v>
      </c>
      <c r="J268" s="45">
        <v>0</v>
      </c>
      <c r="K268" s="45">
        <v>0</v>
      </c>
      <c r="L268" s="45">
        <v>1249.5899999999999</v>
      </c>
      <c r="M268" s="45">
        <v>0</v>
      </c>
      <c r="N268" s="46">
        <v>0</v>
      </c>
      <c r="O268" s="46">
        <v>7200</v>
      </c>
    </row>
    <row r="269" spans="2:15">
      <c r="B269" s="43" t="s">
        <v>1506</v>
      </c>
      <c r="C269" s="44" t="s">
        <v>1511</v>
      </c>
      <c r="D269" s="45" t="s">
        <v>122</v>
      </c>
      <c r="E269" s="45" t="s">
        <v>123</v>
      </c>
      <c r="F269" s="45" t="s">
        <v>124</v>
      </c>
      <c r="G269" s="46">
        <v>14049.59</v>
      </c>
      <c r="H269" s="46">
        <v>0</v>
      </c>
      <c r="I269" s="45">
        <v>0</v>
      </c>
      <c r="J269" s="45">
        <v>0</v>
      </c>
      <c r="K269" s="45">
        <v>0</v>
      </c>
      <c r="L269" s="45">
        <v>2950.41</v>
      </c>
      <c r="M269" s="45">
        <v>0</v>
      </c>
      <c r="N269" s="46">
        <v>0</v>
      </c>
      <c r="O269" s="46">
        <v>17000</v>
      </c>
    </row>
    <row r="270" spans="2:15">
      <c r="B270" s="43" t="s">
        <v>1506</v>
      </c>
      <c r="C270" s="44" t="s">
        <v>1512</v>
      </c>
      <c r="D270" s="45" t="s">
        <v>122</v>
      </c>
      <c r="E270" s="45" t="s">
        <v>123</v>
      </c>
      <c r="F270" s="45" t="s">
        <v>124</v>
      </c>
      <c r="G270" s="46">
        <v>5454.55</v>
      </c>
      <c r="H270" s="46">
        <v>0</v>
      </c>
      <c r="I270" s="45">
        <v>0</v>
      </c>
      <c r="J270" s="45">
        <v>0</v>
      </c>
      <c r="K270" s="45">
        <v>0</v>
      </c>
      <c r="L270" s="45">
        <v>1145.45</v>
      </c>
      <c r="M270" s="45">
        <v>0</v>
      </c>
      <c r="N270" s="46">
        <v>0</v>
      </c>
      <c r="O270" s="46">
        <v>6600</v>
      </c>
    </row>
    <row r="271" spans="2:15">
      <c r="B271" s="43" t="s">
        <v>1506</v>
      </c>
      <c r="C271" s="44" t="s">
        <v>1513</v>
      </c>
      <c r="D271" s="45" t="s">
        <v>122</v>
      </c>
      <c r="E271" s="45" t="s">
        <v>123</v>
      </c>
      <c r="F271" s="45" t="s">
        <v>124</v>
      </c>
      <c r="G271" s="46">
        <v>10661.16</v>
      </c>
      <c r="H271" s="46">
        <v>0</v>
      </c>
      <c r="I271" s="45">
        <v>0</v>
      </c>
      <c r="J271" s="45">
        <v>0</v>
      </c>
      <c r="K271" s="45">
        <v>0</v>
      </c>
      <c r="L271" s="45">
        <v>2238.84</v>
      </c>
      <c r="M271" s="45">
        <v>0</v>
      </c>
      <c r="N271" s="46">
        <v>0</v>
      </c>
      <c r="O271" s="46">
        <v>12900</v>
      </c>
    </row>
    <row r="272" spans="2:15">
      <c r="B272" s="43" t="s">
        <v>1506</v>
      </c>
      <c r="C272" s="44" t="s">
        <v>1514</v>
      </c>
      <c r="D272" s="45" t="s">
        <v>1515</v>
      </c>
      <c r="E272" s="45" t="s">
        <v>123</v>
      </c>
      <c r="F272" s="45">
        <v>22251035</v>
      </c>
      <c r="G272" s="46">
        <v>6198.35</v>
      </c>
      <c r="H272" s="46">
        <v>0</v>
      </c>
      <c r="I272" s="45">
        <v>0</v>
      </c>
      <c r="J272" s="45">
        <v>0</v>
      </c>
      <c r="K272" s="45">
        <v>0</v>
      </c>
      <c r="L272" s="45">
        <v>1301.6500000000001</v>
      </c>
      <c r="M272" s="45">
        <v>0</v>
      </c>
      <c r="N272" s="46">
        <v>0</v>
      </c>
      <c r="O272" s="46">
        <v>7500</v>
      </c>
    </row>
    <row r="273" spans="2:15">
      <c r="B273" s="43" t="s">
        <v>1516</v>
      </c>
      <c r="C273" s="44" t="s">
        <v>1517</v>
      </c>
      <c r="D273" s="45" t="s">
        <v>122</v>
      </c>
      <c r="E273" s="45" t="s">
        <v>123</v>
      </c>
      <c r="F273" s="45" t="s">
        <v>124</v>
      </c>
      <c r="G273" s="46">
        <v>8264.4600000000009</v>
      </c>
      <c r="H273" s="46">
        <v>0</v>
      </c>
      <c r="I273" s="45">
        <v>0</v>
      </c>
      <c r="J273" s="45">
        <v>0</v>
      </c>
      <c r="K273" s="45">
        <v>0</v>
      </c>
      <c r="L273" s="45">
        <v>1735.54</v>
      </c>
      <c r="M273" s="45">
        <v>0</v>
      </c>
      <c r="N273" s="46">
        <v>0</v>
      </c>
      <c r="O273" s="46">
        <v>10000</v>
      </c>
    </row>
    <row r="274" spans="2:15">
      <c r="B274" s="43" t="s">
        <v>1516</v>
      </c>
      <c r="C274" s="44" t="s">
        <v>1518</v>
      </c>
      <c r="D274" s="45" t="s">
        <v>122</v>
      </c>
      <c r="E274" s="45" t="s">
        <v>123</v>
      </c>
      <c r="F274" s="45" t="s">
        <v>124</v>
      </c>
      <c r="G274" s="46">
        <v>4462.8100000000004</v>
      </c>
      <c r="H274" s="46">
        <v>0</v>
      </c>
      <c r="I274" s="45">
        <v>0</v>
      </c>
      <c r="J274" s="45">
        <v>0</v>
      </c>
      <c r="K274" s="45">
        <v>0</v>
      </c>
      <c r="L274" s="45">
        <v>937.19</v>
      </c>
      <c r="M274" s="45">
        <v>0</v>
      </c>
      <c r="N274" s="46">
        <v>0</v>
      </c>
      <c r="O274" s="46">
        <v>5400</v>
      </c>
    </row>
    <row r="275" spans="2:15">
      <c r="B275" s="43" t="s">
        <v>1516</v>
      </c>
      <c r="C275" s="44" t="s">
        <v>1519</v>
      </c>
      <c r="D275" s="45" t="s">
        <v>122</v>
      </c>
      <c r="E275" s="45" t="s">
        <v>123</v>
      </c>
      <c r="F275" s="45" t="s">
        <v>124</v>
      </c>
      <c r="G275" s="46">
        <v>4132.2300000000005</v>
      </c>
      <c r="H275" s="46">
        <v>0</v>
      </c>
      <c r="I275" s="45">
        <v>0</v>
      </c>
      <c r="J275" s="45">
        <v>0</v>
      </c>
      <c r="K275" s="45">
        <v>0</v>
      </c>
      <c r="L275" s="45">
        <v>867.77</v>
      </c>
      <c r="M275" s="45">
        <v>0</v>
      </c>
      <c r="N275" s="46">
        <v>0</v>
      </c>
      <c r="O275" s="46">
        <v>5000</v>
      </c>
    </row>
    <row r="276" spans="2:15">
      <c r="B276" s="43" t="s">
        <v>1516</v>
      </c>
      <c r="C276" s="44" t="s">
        <v>1520</v>
      </c>
      <c r="D276" s="45" t="s">
        <v>122</v>
      </c>
      <c r="E276" s="45" t="s">
        <v>123</v>
      </c>
      <c r="F276" s="45" t="s">
        <v>124</v>
      </c>
      <c r="G276" s="46">
        <v>2644.63</v>
      </c>
      <c r="H276" s="46">
        <v>0</v>
      </c>
      <c r="I276" s="45">
        <v>0</v>
      </c>
      <c r="J276" s="45">
        <v>0</v>
      </c>
      <c r="K276" s="45">
        <v>0</v>
      </c>
      <c r="L276" s="45">
        <v>555.37</v>
      </c>
      <c r="M276" s="45">
        <v>0</v>
      </c>
      <c r="N276" s="46">
        <v>0</v>
      </c>
      <c r="O276" s="46">
        <v>3200</v>
      </c>
    </row>
    <row r="277" spans="2:15">
      <c r="B277" s="43" t="s">
        <v>1516</v>
      </c>
      <c r="C277" s="44" t="s">
        <v>1521</v>
      </c>
      <c r="D277" s="45" t="s">
        <v>122</v>
      </c>
      <c r="E277" s="45" t="s">
        <v>123</v>
      </c>
      <c r="F277" s="45" t="s">
        <v>124</v>
      </c>
      <c r="G277" s="46">
        <v>9917.36</v>
      </c>
      <c r="H277" s="46">
        <v>0</v>
      </c>
      <c r="I277" s="45">
        <v>0</v>
      </c>
      <c r="J277" s="45">
        <v>0</v>
      </c>
      <c r="K277" s="45">
        <v>0</v>
      </c>
      <c r="L277" s="45">
        <v>2082.64</v>
      </c>
      <c r="M277" s="45">
        <v>0</v>
      </c>
      <c r="N277" s="46">
        <v>0</v>
      </c>
      <c r="O277" s="46">
        <v>12000</v>
      </c>
    </row>
    <row r="278" spans="2:15">
      <c r="B278" s="43" t="s">
        <v>1516</v>
      </c>
      <c r="C278" s="44" t="s">
        <v>1522</v>
      </c>
      <c r="D278" s="45" t="s">
        <v>122</v>
      </c>
      <c r="E278" s="45" t="s">
        <v>123</v>
      </c>
      <c r="F278" s="45" t="s">
        <v>124</v>
      </c>
      <c r="G278" s="46">
        <v>3388.43</v>
      </c>
      <c r="H278" s="46">
        <v>0</v>
      </c>
      <c r="I278" s="45">
        <v>0</v>
      </c>
      <c r="J278" s="45">
        <v>0</v>
      </c>
      <c r="K278" s="45">
        <v>0</v>
      </c>
      <c r="L278" s="45">
        <v>711.57</v>
      </c>
      <c r="M278" s="45">
        <v>0</v>
      </c>
      <c r="N278" s="46">
        <v>0</v>
      </c>
      <c r="O278" s="46">
        <v>4100</v>
      </c>
    </row>
    <row r="279" spans="2:15">
      <c r="B279" s="43" t="s">
        <v>1516</v>
      </c>
      <c r="C279" s="44" t="s">
        <v>1523</v>
      </c>
      <c r="D279" s="45" t="s">
        <v>122</v>
      </c>
      <c r="E279" s="45" t="s">
        <v>123</v>
      </c>
      <c r="F279" s="45" t="s">
        <v>124</v>
      </c>
      <c r="G279" s="46">
        <v>8347.11</v>
      </c>
      <c r="H279" s="46">
        <v>0</v>
      </c>
      <c r="I279" s="45">
        <v>0</v>
      </c>
      <c r="J279" s="45">
        <v>0</v>
      </c>
      <c r="K279" s="45">
        <v>0</v>
      </c>
      <c r="L279" s="45">
        <v>1752.89</v>
      </c>
      <c r="M279" s="45">
        <v>0</v>
      </c>
      <c r="N279" s="46">
        <v>0</v>
      </c>
      <c r="O279" s="46">
        <v>10100</v>
      </c>
    </row>
    <row r="280" spans="2:15">
      <c r="B280" s="43" t="s">
        <v>1516</v>
      </c>
      <c r="C280" s="44" t="s">
        <v>1524</v>
      </c>
      <c r="D280" s="45" t="s">
        <v>122</v>
      </c>
      <c r="E280" s="45" t="s">
        <v>123</v>
      </c>
      <c r="F280" s="45" t="s">
        <v>124</v>
      </c>
      <c r="G280" s="46">
        <v>6198.35</v>
      </c>
      <c r="H280" s="46">
        <v>0</v>
      </c>
      <c r="I280" s="45">
        <v>0</v>
      </c>
      <c r="J280" s="45">
        <v>0</v>
      </c>
      <c r="K280" s="45">
        <v>0</v>
      </c>
      <c r="L280" s="45">
        <v>1301.6500000000001</v>
      </c>
      <c r="M280" s="45">
        <v>0</v>
      </c>
      <c r="N280" s="46">
        <v>0</v>
      </c>
      <c r="O280" s="46">
        <v>7500</v>
      </c>
    </row>
    <row r="281" spans="2:15">
      <c r="B281" s="43" t="s">
        <v>1516</v>
      </c>
      <c r="C281" s="44" t="s">
        <v>1525</v>
      </c>
      <c r="D281" s="45" t="s">
        <v>122</v>
      </c>
      <c r="E281" s="45" t="s">
        <v>123</v>
      </c>
      <c r="F281" s="45" t="s">
        <v>124</v>
      </c>
      <c r="G281" s="46">
        <v>2479.34</v>
      </c>
      <c r="H281" s="46">
        <v>0</v>
      </c>
      <c r="I281" s="45">
        <v>0</v>
      </c>
      <c r="J281" s="45">
        <v>0</v>
      </c>
      <c r="K281" s="45">
        <v>0</v>
      </c>
      <c r="L281" s="45">
        <v>520.66</v>
      </c>
      <c r="M281" s="45">
        <v>0</v>
      </c>
      <c r="N281" s="46">
        <v>0</v>
      </c>
      <c r="O281" s="46">
        <v>3000</v>
      </c>
    </row>
    <row r="282" spans="2:15">
      <c r="B282" s="43" t="s">
        <v>1516</v>
      </c>
      <c r="C282" s="44" t="s">
        <v>1526</v>
      </c>
      <c r="D282" s="45" t="s">
        <v>122</v>
      </c>
      <c r="E282" s="45" t="s">
        <v>123</v>
      </c>
      <c r="F282" s="45" t="s">
        <v>124</v>
      </c>
      <c r="G282" s="46">
        <v>24958.68</v>
      </c>
      <c r="H282" s="46">
        <v>0</v>
      </c>
      <c r="I282" s="45">
        <v>0</v>
      </c>
      <c r="J282" s="45">
        <v>0</v>
      </c>
      <c r="K282" s="45">
        <v>0</v>
      </c>
      <c r="L282" s="45">
        <v>5241.32</v>
      </c>
      <c r="M282" s="45">
        <v>0</v>
      </c>
      <c r="N282" s="46">
        <v>0</v>
      </c>
      <c r="O282" s="46">
        <v>30200</v>
      </c>
    </row>
    <row r="283" spans="2:15">
      <c r="B283" s="43" t="s">
        <v>1228</v>
      </c>
      <c r="C283" s="44" t="s">
        <v>1527</v>
      </c>
      <c r="D283" s="45" t="s">
        <v>316</v>
      </c>
      <c r="E283" s="45" t="s">
        <v>123</v>
      </c>
      <c r="F283" s="45" t="s">
        <v>124</v>
      </c>
      <c r="G283" s="46">
        <v>4958.68</v>
      </c>
      <c r="H283" s="46">
        <v>0</v>
      </c>
      <c r="I283" s="45">
        <v>0</v>
      </c>
      <c r="J283" s="45">
        <v>0</v>
      </c>
      <c r="K283" s="45">
        <v>0</v>
      </c>
      <c r="L283" s="45">
        <v>1041.32</v>
      </c>
      <c r="M283" s="45">
        <v>0</v>
      </c>
      <c r="N283" s="46">
        <v>0</v>
      </c>
      <c r="O283" s="46">
        <v>6000</v>
      </c>
    </row>
    <row r="284" spans="2:15">
      <c r="B284" s="43" t="s">
        <v>1228</v>
      </c>
      <c r="C284" s="44" t="s">
        <v>1528</v>
      </c>
      <c r="D284" s="45" t="s">
        <v>1529</v>
      </c>
      <c r="E284" s="45" t="s">
        <v>123</v>
      </c>
      <c r="F284" s="45">
        <v>37993105</v>
      </c>
      <c r="G284" s="46">
        <v>4132.2300000000005</v>
      </c>
      <c r="H284" s="46">
        <v>0</v>
      </c>
      <c r="I284" s="45">
        <v>0</v>
      </c>
      <c r="J284" s="45">
        <v>0</v>
      </c>
      <c r="K284" s="45">
        <v>0</v>
      </c>
      <c r="L284" s="45">
        <v>867.77</v>
      </c>
      <c r="M284" s="45">
        <v>0</v>
      </c>
      <c r="N284" s="46">
        <v>0</v>
      </c>
      <c r="O284" s="46">
        <v>5000</v>
      </c>
    </row>
    <row r="285" spans="2:15">
      <c r="B285" s="43" t="s">
        <v>1228</v>
      </c>
      <c r="C285" s="44" t="s">
        <v>1530</v>
      </c>
      <c r="D285" s="45" t="s">
        <v>122</v>
      </c>
      <c r="E285" s="45" t="s">
        <v>123</v>
      </c>
      <c r="F285" s="45" t="s">
        <v>124</v>
      </c>
      <c r="G285" s="46">
        <v>7024.79</v>
      </c>
      <c r="H285" s="46">
        <v>0</v>
      </c>
      <c r="I285" s="45">
        <v>0</v>
      </c>
      <c r="J285" s="45">
        <v>0</v>
      </c>
      <c r="K285" s="45">
        <v>0</v>
      </c>
      <c r="L285" s="45">
        <v>1475.21</v>
      </c>
      <c r="M285" s="45">
        <v>0</v>
      </c>
      <c r="N285" s="46">
        <v>0</v>
      </c>
      <c r="O285" s="46">
        <v>8500</v>
      </c>
    </row>
    <row r="286" spans="2:15">
      <c r="B286" s="43" t="s">
        <v>1230</v>
      </c>
      <c r="C286" s="44" t="s">
        <v>1531</v>
      </c>
      <c r="D286" s="45" t="s">
        <v>379</v>
      </c>
      <c r="E286" s="45" t="s">
        <v>123</v>
      </c>
      <c r="F286" s="45">
        <v>14123802</v>
      </c>
      <c r="G286" s="46">
        <v>4958.68</v>
      </c>
      <c r="H286" s="46">
        <v>0</v>
      </c>
      <c r="I286" s="45">
        <v>0</v>
      </c>
      <c r="J286" s="45">
        <v>0</v>
      </c>
      <c r="K286" s="45">
        <v>0</v>
      </c>
      <c r="L286" s="45">
        <v>1041.32</v>
      </c>
      <c r="M286" s="45">
        <v>0</v>
      </c>
      <c r="N286" s="46">
        <v>0</v>
      </c>
      <c r="O286" s="46">
        <v>6000</v>
      </c>
    </row>
    <row r="287" spans="2:15">
      <c r="B287" s="43" t="s">
        <v>1248</v>
      </c>
      <c r="C287" s="44" t="s">
        <v>1532</v>
      </c>
      <c r="D287" s="45" t="s">
        <v>1533</v>
      </c>
      <c r="E287" s="45" t="s">
        <v>123</v>
      </c>
      <c r="F287" s="45">
        <v>22040665</v>
      </c>
      <c r="G287" s="46">
        <v>12396.7</v>
      </c>
      <c r="H287" s="46">
        <v>0</v>
      </c>
      <c r="I287" s="45">
        <v>0</v>
      </c>
      <c r="J287" s="45">
        <v>0</v>
      </c>
      <c r="K287" s="45">
        <v>0</v>
      </c>
      <c r="L287" s="45">
        <v>2603.3000000000002</v>
      </c>
      <c r="M287" s="45">
        <v>0</v>
      </c>
      <c r="N287" s="46">
        <v>0</v>
      </c>
      <c r="O287" s="46">
        <v>15000</v>
      </c>
    </row>
    <row r="288" spans="2:15">
      <c r="B288" s="43" t="s">
        <v>1248</v>
      </c>
      <c r="C288" s="44" t="s">
        <v>1534</v>
      </c>
      <c r="D288" s="45" t="s">
        <v>275</v>
      </c>
      <c r="E288" s="45" t="s">
        <v>276</v>
      </c>
      <c r="F288" s="45">
        <v>30590354798</v>
      </c>
      <c r="G288" s="46">
        <v>279217.08</v>
      </c>
      <c r="H288" s="46">
        <v>0</v>
      </c>
      <c r="I288" s="45">
        <v>0</v>
      </c>
      <c r="J288" s="45">
        <v>0</v>
      </c>
      <c r="K288" s="45">
        <v>0</v>
      </c>
      <c r="L288" s="45">
        <v>58635.59</v>
      </c>
      <c r="M288" s="45">
        <v>0</v>
      </c>
      <c r="N288" s="46">
        <v>0</v>
      </c>
      <c r="O288" s="46">
        <v>337852.67</v>
      </c>
    </row>
    <row r="289" spans="2:15">
      <c r="B289" s="43" t="s">
        <v>1248</v>
      </c>
      <c r="C289" s="44" t="s">
        <v>1535</v>
      </c>
      <c r="D289" s="45" t="s">
        <v>314</v>
      </c>
      <c r="E289" s="45" t="s">
        <v>276</v>
      </c>
      <c r="F289" s="45">
        <v>30658137642</v>
      </c>
      <c r="G289" s="46">
        <v>46649.59</v>
      </c>
      <c r="H289" s="46">
        <v>0</v>
      </c>
      <c r="I289" s="45">
        <v>0</v>
      </c>
      <c r="J289" s="45">
        <v>0</v>
      </c>
      <c r="K289" s="45">
        <v>0</v>
      </c>
      <c r="L289" s="45">
        <v>9796.41</v>
      </c>
      <c r="M289" s="45">
        <v>0</v>
      </c>
      <c r="N289" s="46">
        <v>0</v>
      </c>
      <c r="O289" s="46">
        <v>56446</v>
      </c>
    </row>
    <row r="290" spans="2:15">
      <c r="B290" s="43" t="s">
        <v>1248</v>
      </c>
      <c r="C290" s="44" t="s">
        <v>1536</v>
      </c>
      <c r="D290" s="45" t="s">
        <v>314</v>
      </c>
      <c r="E290" s="45" t="s">
        <v>276</v>
      </c>
      <c r="F290" s="45">
        <v>30658137642</v>
      </c>
      <c r="G290" s="46">
        <v>46649.59</v>
      </c>
      <c r="H290" s="46">
        <v>0</v>
      </c>
      <c r="I290" s="45">
        <v>0</v>
      </c>
      <c r="J290" s="45">
        <v>0</v>
      </c>
      <c r="K290" s="45">
        <v>0</v>
      </c>
      <c r="L290" s="45">
        <v>9796.41</v>
      </c>
      <c r="M290" s="45">
        <v>0</v>
      </c>
      <c r="N290" s="46">
        <v>0</v>
      </c>
      <c r="O290" s="46">
        <v>56446</v>
      </c>
    </row>
    <row r="291" spans="2:15">
      <c r="B291" s="43" t="s">
        <v>1232</v>
      </c>
      <c r="C291" s="44" t="s">
        <v>1537</v>
      </c>
      <c r="D291" s="45" t="s">
        <v>350</v>
      </c>
      <c r="E291" s="45" t="s">
        <v>123</v>
      </c>
      <c r="F291" s="45">
        <v>21645724</v>
      </c>
      <c r="G291" s="46">
        <v>7438.02</v>
      </c>
      <c r="H291" s="46">
        <v>0</v>
      </c>
      <c r="I291" s="45">
        <v>0</v>
      </c>
      <c r="J291" s="45">
        <v>0</v>
      </c>
      <c r="K291" s="45">
        <v>0</v>
      </c>
      <c r="L291" s="45">
        <v>1561.98</v>
      </c>
      <c r="M291" s="45">
        <v>0</v>
      </c>
      <c r="N291" s="46">
        <v>0</v>
      </c>
      <c r="O291" s="46">
        <v>9000</v>
      </c>
    </row>
    <row r="292" spans="2:15">
      <c r="B292" s="43" t="s">
        <v>1232</v>
      </c>
      <c r="C292" s="44" t="s">
        <v>1538</v>
      </c>
      <c r="D292" s="45" t="s">
        <v>350</v>
      </c>
      <c r="E292" s="45" t="s">
        <v>123</v>
      </c>
      <c r="F292" s="45">
        <v>21645724</v>
      </c>
      <c r="G292" s="46">
        <v>7438.02</v>
      </c>
      <c r="H292" s="46">
        <v>0</v>
      </c>
      <c r="I292" s="45">
        <v>0</v>
      </c>
      <c r="J292" s="45">
        <v>0</v>
      </c>
      <c r="K292" s="45">
        <v>0</v>
      </c>
      <c r="L292" s="45">
        <v>1561.98</v>
      </c>
      <c r="M292" s="45">
        <v>0</v>
      </c>
      <c r="N292" s="46">
        <v>0</v>
      </c>
      <c r="O292" s="46">
        <v>9000</v>
      </c>
    </row>
    <row r="293" spans="2:15">
      <c r="B293" s="43" t="s">
        <v>1232</v>
      </c>
      <c r="C293" s="44" t="s">
        <v>1539</v>
      </c>
      <c r="D293" s="45" t="s">
        <v>1540</v>
      </c>
      <c r="E293" s="45" t="s">
        <v>123</v>
      </c>
      <c r="F293" s="45">
        <v>11362236</v>
      </c>
      <c r="G293" s="46">
        <v>9917.35</v>
      </c>
      <c r="H293" s="46">
        <v>0</v>
      </c>
      <c r="I293" s="45">
        <v>0</v>
      </c>
      <c r="J293" s="45">
        <v>0</v>
      </c>
      <c r="K293" s="45">
        <v>0</v>
      </c>
      <c r="L293" s="45">
        <v>2082.65</v>
      </c>
      <c r="M293" s="45">
        <v>0</v>
      </c>
      <c r="N293" s="46">
        <v>0</v>
      </c>
      <c r="O293" s="46">
        <v>12000</v>
      </c>
    </row>
    <row r="294" spans="2:15">
      <c r="B294" s="43" t="s">
        <v>1232</v>
      </c>
      <c r="C294" s="44" t="s">
        <v>1541</v>
      </c>
      <c r="D294" s="45" t="s">
        <v>1540</v>
      </c>
      <c r="E294" s="45" t="s">
        <v>123</v>
      </c>
      <c r="F294" s="45">
        <v>11362236</v>
      </c>
      <c r="G294" s="46">
        <v>4958.68</v>
      </c>
      <c r="H294" s="46">
        <v>0</v>
      </c>
      <c r="I294" s="45">
        <v>0</v>
      </c>
      <c r="J294" s="45">
        <v>0</v>
      </c>
      <c r="K294" s="45">
        <v>0</v>
      </c>
      <c r="L294" s="45">
        <v>1041.32</v>
      </c>
      <c r="M294" s="45">
        <v>0</v>
      </c>
      <c r="N294" s="46">
        <v>0</v>
      </c>
      <c r="O294" s="46">
        <v>6000</v>
      </c>
    </row>
    <row r="295" spans="2:15">
      <c r="B295" s="43" t="s">
        <v>1232</v>
      </c>
      <c r="C295" s="44" t="s">
        <v>1542</v>
      </c>
      <c r="D295" s="45" t="s">
        <v>367</v>
      </c>
      <c r="E295" s="45" t="s">
        <v>123</v>
      </c>
      <c r="F295" s="45">
        <v>17855620</v>
      </c>
      <c r="G295" s="46">
        <v>3719.01</v>
      </c>
      <c r="H295" s="46">
        <v>0</v>
      </c>
      <c r="I295" s="45">
        <v>0</v>
      </c>
      <c r="J295" s="45">
        <v>0</v>
      </c>
      <c r="K295" s="45">
        <v>0</v>
      </c>
      <c r="L295" s="45">
        <v>780.99</v>
      </c>
      <c r="M295" s="45">
        <v>0</v>
      </c>
      <c r="N295" s="46">
        <v>0</v>
      </c>
      <c r="O295" s="46">
        <v>4500</v>
      </c>
    </row>
    <row r="296" spans="2:15">
      <c r="B296" s="43" t="s">
        <v>1232</v>
      </c>
      <c r="C296" s="44" t="s">
        <v>1543</v>
      </c>
      <c r="D296" s="45" t="s">
        <v>364</v>
      </c>
      <c r="E296" s="45" t="s">
        <v>123</v>
      </c>
      <c r="F296" s="45">
        <v>13211322</v>
      </c>
      <c r="G296" s="46">
        <v>3719.01</v>
      </c>
      <c r="H296" s="46">
        <v>0</v>
      </c>
      <c r="I296" s="45">
        <v>0</v>
      </c>
      <c r="J296" s="45">
        <v>0</v>
      </c>
      <c r="K296" s="45">
        <v>0</v>
      </c>
      <c r="L296" s="45">
        <v>780.99</v>
      </c>
      <c r="M296" s="45">
        <v>0</v>
      </c>
      <c r="N296" s="46">
        <v>0</v>
      </c>
      <c r="O296" s="46">
        <v>4500</v>
      </c>
    </row>
    <row r="297" spans="2:15">
      <c r="B297" s="43" t="s">
        <v>1232</v>
      </c>
      <c r="C297" s="44" t="s">
        <v>1544</v>
      </c>
      <c r="D297" s="45" t="s">
        <v>364</v>
      </c>
      <c r="E297" s="45" t="s">
        <v>123</v>
      </c>
      <c r="F297" s="45">
        <v>13211322</v>
      </c>
      <c r="G297" s="46">
        <v>3719.01</v>
      </c>
      <c r="H297" s="46">
        <v>0</v>
      </c>
      <c r="I297" s="45">
        <v>0</v>
      </c>
      <c r="J297" s="45">
        <v>0</v>
      </c>
      <c r="K297" s="45">
        <v>0</v>
      </c>
      <c r="L297" s="45">
        <v>780.99</v>
      </c>
      <c r="M297" s="45">
        <v>0</v>
      </c>
      <c r="N297" s="46">
        <v>0</v>
      </c>
      <c r="O297" s="46">
        <v>4500</v>
      </c>
    </row>
    <row r="298" spans="2:15">
      <c r="B298" s="43" t="s">
        <v>1232</v>
      </c>
      <c r="C298" s="44" t="s">
        <v>1545</v>
      </c>
      <c r="D298" s="45" t="s">
        <v>362</v>
      </c>
      <c r="E298" s="45" t="s">
        <v>123</v>
      </c>
      <c r="F298" s="45">
        <v>3192296</v>
      </c>
      <c r="G298" s="46">
        <v>3719.01</v>
      </c>
      <c r="H298" s="46">
        <v>0</v>
      </c>
      <c r="I298" s="45">
        <v>0</v>
      </c>
      <c r="J298" s="45">
        <v>0</v>
      </c>
      <c r="K298" s="45">
        <v>0</v>
      </c>
      <c r="L298" s="45">
        <v>780.99</v>
      </c>
      <c r="M298" s="45">
        <v>0</v>
      </c>
      <c r="N298" s="46">
        <v>0</v>
      </c>
      <c r="O298" s="46">
        <v>4500</v>
      </c>
    </row>
    <row r="299" spans="2:15">
      <c r="B299" s="43" t="s">
        <v>1232</v>
      </c>
      <c r="C299" s="44" t="s">
        <v>1546</v>
      </c>
      <c r="D299" s="45" t="s">
        <v>1547</v>
      </c>
      <c r="E299" s="45" t="s">
        <v>123</v>
      </c>
      <c r="F299" s="45">
        <v>14547747</v>
      </c>
      <c r="G299" s="46">
        <v>8925.6200000000008</v>
      </c>
      <c r="H299" s="46">
        <v>0</v>
      </c>
      <c r="I299" s="45">
        <v>0</v>
      </c>
      <c r="J299" s="45">
        <v>0</v>
      </c>
      <c r="K299" s="45">
        <v>0</v>
      </c>
      <c r="L299" s="45">
        <v>1874.38</v>
      </c>
      <c r="M299" s="45">
        <v>0</v>
      </c>
      <c r="N299" s="46">
        <v>0</v>
      </c>
      <c r="O299" s="46">
        <v>10800</v>
      </c>
    </row>
    <row r="300" spans="2:15">
      <c r="B300" s="43" t="s">
        <v>1232</v>
      </c>
      <c r="C300" s="44" t="s">
        <v>1548</v>
      </c>
      <c r="D300" s="45" t="s">
        <v>1547</v>
      </c>
      <c r="E300" s="45" t="s">
        <v>123</v>
      </c>
      <c r="F300" s="45">
        <v>14547747</v>
      </c>
      <c r="G300" s="46">
        <v>4132.2300000000005</v>
      </c>
      <c r="H300" s="46">
        <v>0</v>
      </c>
      <c r="I300" s="45">
        <v>0</v>
      </c>
      <c r="J300" s="45">
        <v>0</v>
      </c>
      <c r="K300" s="45">
        <v>0</v>
      </c>
      <c r="L300" s="45">
        <v>867.77</v>
      </c>
      <c r="M300" s="45">
        <v>0</v>
      </c>
      <c r="N300" s="46">
        <v>0</v>
      </c>
      <c r="O300" s="46">
        <v>5000</v>
      </c>
    </row>
    <row r="301" spans="2:15">
      <c r="B301" s="43" t="s">
        <v>1232</v>
      </c>
      <c r="C301" s="44" t="s">
        <v>1549</v>
      </c>
      <c r="D301" s="45" t="s">
        <v>406</v>
      </c>
      <c r="E301" s="45" t="s">
        <v>123</v>
      </c>
      <c r="F301" s="45">
        <v>12791306</v>
      </c>
      <c r="G301" s="46">
        <v>7438.02</v>
      </c>
      <c r="H301" s="46">
        <v>0</v>
      </c>
      <c r="I301" s="45">
        <v>0</v>
      </c>
      <c r="J301" s="45">
        <v>0</v>
      </c>
      <c r="K301" s="45">
        <v>0</v>
      </c>
      <c r="L301" s="45">
        <v>1561.98</v>
      </c>
      <c r="M301" s="45">
        <v>0</v>
      </c>
      <c r="N301" s="46">
        <v>0</v>
      </c>
      <c r="O301" s="46">
        <v>9000</v>
      </c>
    </row>
    <row r="302" spans="2:15">
      <c r="B302" s="43" t="s">
        <v>1232</v>
      </c>
      <c r="C302" s="44" t="s">
        <v>1550</v>
      </c>
      <c r="D302" s="45" t="s">
        <v>367</v>
      </c>
      <c r="E302" s="45" t="s">
        <v>123</v>
      </c>
      <c r="F302" s="45">
        <v>17855620</v>
      </c>
      <c r="G302" s="46">
        <v>7438.02</v>
      </c>
      <c r="H302" s="46">
        <v>0</v>
      </c>
      <c r="I302" s="45">
        <v>0</v>
      </c>
      <c r="J302" s="45">
        <v>0</v>
      </c>
      <c r="K302" s="45">
        <v>0</v>
      </c>
      <c r="L302" s="45">
        <v>1561.98</v>
      </c>
      <c r="M302" s="45">
        <v>0</v>
      </c>
      <c r="N302" s="46">
        <v>0</v>
      </c>
      <c r="O302" s="46">
        <v>9000</v>
      </c>
    </row>
    <row r="303" spans="2:15">
      <c r="B303" s="43" t="s">
        <v>1255</v>
      </c>
      <c r="C303" s="44" t="s">
        <v>1551</v>
      </c>
      <c r="D303" s="45" t="s">
        <v>362</v>
      </c>
      <c r="E303" s="45" t="s">
        <v>123</v>
      </c>
      <c r="F303" s="45">
        <v>3192296</v>
      </c>
      <c r="G303" s="46">
        <v>3719.01</v>
      </c>
      <c r="H303" s="46">
        <v>0</v>
      </c>
      <c r="I303" s="45">
        <v>0</v>
      </c>
      <c r="J303" s="45">
        <v>0</v>
      </c>
      <c r="K303" s="45">
        <v>0</v>
      </c>
      <c r="L303" s="45">
        <v>780.99</v>
      </c>
      <c r="M303" s="45">
        <v>0</v>
      </c>
      <c r="N303" s="46">
        <v>0</v>
      </c>
      <c r="O303" s="46">
        <v>4500</v>
      </c>
    </row>
    <row r="304" spans="2:15">
      <c r="B304" s="43" t="s">
        <v>1255</v>
      </c>
      <c r="C304" s="44" t="s">
        <v>1552</v>
      </c>
      <c r="D304" s="45" t="s">
        <v>364</v>
      </c>
      <c r="E304" s="45" t="s">
        <v>123</v>
      </c>
      <c r="F304" s="45">
        <v>13211322</v>
      </c>
      <c r="G304" s="46">
        <v>9917.36</v>
      </c>
      <c r="H304" s="46">
        <v>0</v>
      </c>
      <c r="I304" s="45">
        <v>0</v>
      </c>
      <c r="J304" s="45">
        <v>0</v>
      </c>
      <c r="K304" s="45">
        <v>0</v>
      </c>
      <c r="L304" s="45">
        <v>2082.64</v>
      </c>
      <c r="M304" s="45">
        <v>0</v>
      </c>
      <c r="N304" s="46">
        <v>0</v>
      </c>
      <c r="O304" s="46">
        <v>12000</v>
      </c>
    </row>
    <row r="305" spans="2:15">
      <c r="B305" s="43" t="s">
        <v>1255</v>
      </c>
      <c r="C305" s="44" t="s">
        <v>1553</v>
      </c>
      <c r="D305" s="45" t="s">
        <v>362</v>
      </c>
      <c r="E305" s="45" t="s">
        <v>123</v>
      </c>
      <c r="F305" s="45">
        <v>3192296</v>
      </c>
      <c r="G305" s="46">
        <v>9917.36</v>
      </c>
      <c r="H305" s="46">
        <v>0</v>
      </c>
      <c r="I305" s="45">
        <v>0</v>
      </c>
      <c r="J305" s="45">
        <v>0</v>
      </c>
      <c r="K305" s="45">
        <v>0</v>
      </c>
      <c r="L305" s="45">
        <v>2082.64</v>
      </c>
      <c r="M305" s="45">
        <v>0</v>
      </c>
      <c r="N305" s="46">
        <v>0</v>
      </c>
      <c r="O305" s="46">
        <v>12000</v>
      </c>
    </row>
    <row r="306" spans="2:15">
      <c r="B306" s="43" t="s">
        <v>1255</v>
      </c>
      <c r="C306" s="44" t="s">
        <v>1554</v>
      </c>
      <c r="D306" s="45" t="s">
        <v>344</v>
      </c>
      <c r="E306" s="45" t="s">
        <v>123</v>
      </c>
      <c r="F306" s="45">
        <v>4186965</v>
      </c>
      <c r="G306" s="46">
        <v>5371.9</v>
      </c>
      <c r="H306" s="46">
        <v>0</v>
      </c>
      <c r="I306" s="45">
        <v>0</v>
      </c>
      <c r="J306" s="45">
        <v>0</v>
      </c>
      <c r="K306" s="45">
        <v>0</v>
      </c>
      <c r="L306" s="45">
        <v>1128.1000000000001</v>
      </c>
      <c r="M306" s="45">
        <v>0</v>
      </c>
      <c r="N306" s="46">
        <v>0</v>
      </c>
      <c r="O306" s="46">
        <v>6500</v>
      </c>
    </row>
    <row r="307" spans="2:15">
      <c r="B307" s="43" t="s">
        <v>1255</v>
      </c>
      <c r="C307" s="44" t="s">
        <v>1555</v>
      </c>
      <c r="D307" s="45" t="s">
        <v>1540</v>
      </c>
      <c r="E307" s="45" t="s">
        <v>123</v>
      </c>
      <c r="F307" s="45">
        <v>11362236</v>
      </c>
      <c r="G307" s="46">
        <v>6198.35</v>
      </c>
      <c r="H307" s="46">
        <v>0</v>
      </c>
      <c r="I307" s="45">
        <v>0</v>
      </c>
      <c r="J307" s="45">
        <v>0</v>
      </c>
      <c r="K307" s="45">
        <v>0</v>
      </c>
      <c r="L307" s="45">
        <v>1301.6500000000001</v>
      </c>
      <c r="M307" s="45">
        <v>0</v>
      </c>
      <c r="N307" s="46">
        <v>0</v>
      </c>
      <c r="O307" s="46">
        <v>7500</v>
      </c>
    </row>
    <row r="308" spans="2:15">
      <c r="B308" s="43" t="s">
        <v>1255</v>
      </c>
      <c r="C308" s="44" t="s">
        <v>1556</v>
      </c>
      <c r="D308" s="45" t="s">
        <v>775</v>
      </c>
      <c r="E308" s="45" t="s">
        <v>123</v>
      </c>
      <c r="F308" s="45">
        <v>20404430</v>
      </c>
      <c r="G308" s="46">
        <v>11570.25</v>
      </c>
      <c r="H308" s="46">
        <v>0</v>
      </c>
      <c r="I308" s="45">
        <v>0</v>
      </c>
      <c r="J308" s="45">
        <v>0</v>
      </c>
      <c r="K308" s="45">
        <v>0</v>
      </c>
      <c r="L308" s="45">
        <v>2429.75</v>
      </c>
      <c r="M308" s="45">
        <v>0</v>
      </c>
      <c r="N308" s="46">
        <v>0</v>
      </c>
      <c r="O308" s="46">
        <v>14000</v>
      </c>
    </row>
    <row r="309" spans="2:15">
      <c r="B309" s="43" t="s">
        <v>1255</v>
      </c>
      <c r="C309" s="44" t="s">
        <v>1557</v>
      </c>
      <c r="D309" s="45" t="s">
        <v>307</v>
      </c>
      <c r="E309" s="45" t="s">
        <v>276</v>
      </c>
      <c r="F309" s="45">
        <v>30571766287</v>
      </c>
      <c r="G309" s="46">
        <v>23523.97</v>
      </c>
      <c r="H309" s="46">
        <v>0</v>
      </c>
      <c r="I309" s="45">
        <v>0</v>
      </c>
      <c r="J309" s="45">
        <v>0</v>
      </c>
      <c r="K309" s="45">
        <v>0</v>
      </c>
      <c r="L309" s="45">
        <v>4940.03</v>
      </c>
      <c r="M309" s="45">
        <v>0</v>
      </c>
      <c r="N309" s="46">
        <v>0</v>
      </c>
      <c r="O309" s="46">
        <v>28464</v>
      </c>
    </row>
    <row r="310" spans="2:15">
      <c r="B310" s="43" t="s">
        <v>1268</v>
      </c>
      <c r="C310" s="44" t="s">
        <v>1558</v>
      </c>
      <c r="D310" s="45" t="s">
        <v>772</v>
      </c>
      <c r="E310" s="45" t="s">
        <v>123</v>
      </c>
      <c r="F310" s="45">
        <v>705467</v>
      </c>
      <c r="G310" s="46">
        <v>4545.45</v>
      </c>
      <c r="H310" s="46">
        <v>0</v>
      </c>
      <c r="I310" s="45">
        <v>0</v>
      </c>
      <c r="J310" s="45">
        <v>0</v>
      </c>
      <c r="K310" s="45">
        <v>0</v>
      </c>
      <c r="L310" s="45">
        <v>954.55</v>
      </c>
      <c r="M310" s="45">
        <v>0</v>
      </c>
      <c r="N310" s="46">
        <v>0</v>
      </c>
      <c r="O310" s="46">
        <v>5500</v>
      </c>
    </row>
    <row r="311" spans="2:15">
      <c r="B311" s="43" t="s">
        <v>1268</v>
      </c>
      <c r="C311" s="44" t="s">
        <v>1559</v>
      </c>
      <c r="D311" s="45" t="s">
        <v>304</v>
      </c>
      <c r="E311" s="45" t="s">
        <v>123</v>
      </c>
      <c r="F311" s="45">
        <v>93354584</v>
      </c>
      <c r="G311" s="46">
        <v>4132.2300000000005</v>
      </c>
      <c r="H311" s="46">
        <v>0</v>
      </c>
      <c r="I311" s="45">
        <v>0</v>
      </c>
      <c r="J311" s="45">
        <v>0</v>
      </c>
      <c r="K311" s="45">
        <v>0</v>
      </c>
      <c r="L311" s="45">
        <v>867.77</v>
      </c>
      <c r="M311" s="45">
        <v>0</v>
      </c>
      <c r="N311" s="46">
        <v>0</v>
      </c>
      <c r="O311" s="46">
        <v>5000</v>
      </c>
    </row>
    <row r="312" spans="2:15">
      <c r="B312" s="43" t="s">
        <v>1268</v>
      </c>
      <c r="C312" s="44" t="s">
        <v>1560</v>
      </c>
      <c r="D312" s="45" t="s">
        <v>358</v>
      </c>
      <c r="E312" s="45" t="s">
        <v>123</v>
      </c>
      <c r="F312" s="45">
        <v>93195134</v>
      </c>
      <c r="G312" s="46">
        <v>3471.08</v>
      </c>
      <c r="H312" s="46">
        <v>0</v>
      </c>
      <c r="I312" s="45">
        <v>0</v>
      </c>
      <c r="J312" s="45">
        <v>0</v>
      </c>
      <c r="K312" s="45">
        <v>0</v>
      </c>
      <c r="L312" s="45">
        <v>728.92</v>
      </c>
      <c r="M312" s="45">
        <v>0</v>
      </c>
      <c r="N312" s="46">
        <v>0</v>
      </c>
      <c r="O312" s="46">
        <v>4200</v>
      </c>
    </row>
    <row r="313" spans="2:15">
      <c r="B313" s="43" t="s">
        <v>1268</v>
      </c>
      <c r="C313" s="44" t="s">
        <v>1561</v>
      </c>
      <c r="D313" s="45" t="s">
        <v>369</v>
      </c>
      <c r="E313" s="45" t="s">
        <v>123</v>
      </c>
      <c r="F313" s="45">
        <v>92316435</v>
      </c>
      <c r="G313" s="46">
        <v>5785.12</v>
      </c>
      <c r="H313" s="46">
        <v>0</v>
      </c>
      <c r="I313" s="45">
        <v>0</v>
      </c>
      <c r="J313" s="45">
        <v>0</v>
      </c>
      <c r="K313" s="45">
        <v>0</v>
      </c>
      <c r="L313" s="45">
        <v>1214.8800000000001</v>
      </c>
      <c r="M313" s="45">
        <v>0</v>
      </c>
      <c r="N313" s="46">
        <v>0</v>
      </c>
      <c r="O313" s="46">
        <v>7000</v>
      </c>
    </row>
    <row r="314" spans="2:15">
      <c r="B314" s="43" t="s">
        <v>1268</v>
      </c>
      <c r="C314" s="44" t="s">
        <v>1562</v>
      </c>
      <c r="D314" s="45" t="s">
        <v>379</v>
      </c>
      <c r="E314" s="45" t="s">
        <v>123</v>
      </c>
      <c r="F314" s="45">
        <v>14123802</v>
      </c>
      <c r="G314" s="46">
        <v>9338.85</v>
      </c>
      <c r="H314" s="46">
        <v>0</v>
      </c>
      <c r="I314" s="45">
        <v>0</v>
      </c>
      <c r="J314" s="45">
        <v>0</v>
      </c>
      <c r="K314" s="45">
        <v>0</v>
      </c>
      <c r="L314" s="45">
        <v>1961.15</v>
      </c>
      <c r="M314" s="45">
        <v>0</v>
      </c>
      <c r="N314" s="46">
        <v>0</v>
      </c>
      <c r="O314" s="46">
        <v>11300</v>
      </c>
    </row>
    <row r="315" spans="2:15">
      <c r="B315" s="43" t="s">
        <v>1268</v>
      </c>
      <c r="C315" s="44" t="s">
        <v>1563</v>
      </c>
      <c r="D315" s="45" t="s">
        <v>314</v>
      </c>
      <c r="E315" s="45" t="s">
        <v>276</v>
      </c>
      <c r="F315" s="45">
        <v>30658137642</v>
      </c>
      <c r="G315" s="46">
        <v>19421.490000000002</v>
      </c>
      <c r="H315" s="46">
        <v>0</v>
      </c>
      <c r="I315" s="45">
        <v>0</v>
      </c>
      <c r="J315" s="45">
        <v>0</v>
      </c>
      <c r="K315" s="45">
        <v>0</v>
      </c>
      <c r="L315" s="45">
        <v>4078.51</v>
      </c>
      <c r="M315" s="45">
        <v>0</v>
      </c>
      <c r="N315" s="46">
        <v>0</v>
      </c>
      <c r="O315" s="46">
        <v>23500</v>
      </c>
    </row>
    <row r="316" spans="2:15">
      <c r="B316" s="43" t="s">
        <v>1268</v>
      </c>
      <c r="C316" s="44" t="s">
        <v>1564</v>
      </c>
      <c r="D316" s="45" t="s">
        <v>1565</v>
      </c>
      <c r="E316" s="45" t="s">
        <v>276</v>
      </c>
      <c r="F316" s="45">
        <v>30585412453</v>
      </c>
      <c r="G316" s="46">
        <v>8925.6200000000008</v>
      </c>
      <c r="H316" s="46">
        <v>0</v>
      </c>
      <c r="I316" s="45">
        <v>0</v>
      </c>
      <c r="J316" s="45">
        <v>0</v>
      </c>
      <c r="K316" s="45">
        <v>0</v>
      </c>
      <c r="L316" s="45">
        <v>1874.38</v>
      </c>
      <c r="M316" s="45">
        <v>0</v>
      </c>
      <c r="N316" s="46">
        <v>0</v>
      </c>
      <c r="O316" s="46">
        <v>10800</v>
      </c>
    </row>
    <row r="317" spans="2:15">
      <c r="B317" s="43" t="s">
        <v>1268</v>
      </c>
      <c r="C317" s="44" t="s">
        <v>1566</v>
      </c>
      <c r="D317" s="45" t="s">
        <v>1565</v>
      </c>
      <c r="E317" s="45" t="s">
        <v>276</v>
      </c>
      <c r="F317" s="45">
        <v>30585412453</v>
      </c>
      <c r="G317" s="46">
        <v>8925.6200000000008</v>
      </c>
      <c r="H317" s="46">
        <v>0</v>
      </c>
      <c r="I317" s="45">
        <v>0</v>
      </c>
      <c r="J317" s="45">
        <v>0</v>
      </c>
      <c r="K317" s="45">
        <v>0</v>
      </c>
      <c r="L317" s="45">
        <v>1874.38</v>
      </c>
      <c r="M317" s="45">
        <v>0</v>
      </c>
      <c r="N317" s="46">
        <v>0</v>
      </c>
      <c r="O317" s="46">
        <v>10800</v>
      </c>
    </row>
    <row r="318" spans="2:15">
      <c r="B318" s="43" t="s">
        <v>1275</v>
      </c>
      <c r="C318" s="44" t="s">
        <v>1567</v>
      </c>
      <c r="D318" s="45" t="s">
        <v>321</v>
      </c>
      <c r="E318" s="45" t="s">
        <v>123</v>
      </c>
      <c r="F318" s="45" t="s">
        <v>124</v>
      </c>
      <c r="G318" s="46">
        <v>1719.01</v>
      </c>
      <c r="H318" s="46">
        <v>0</v>
      </c>
      <c r="I318" s="45">
        <v>0</v>
      </c>
      <c r="J318" s="45">
        <v>0</v>
      </c>
      <c r="K318" s="45">
        <v>0</v>
      </c>
      <c r="L318" s="45">
        <v>360.99</v>
      </c>
      <c r="M318" s="45">
        <v>0</v>
      </c>
      <c r="N318" s="46">
        <v>0</v>
      </c>
      <c r="O318" s="46">
        <v>2080</v>
      </c>
    </row>
    <row r="319" spans="2:15">
      <c r="B319" s="43" t="s">
        <v>1275</v>
      </c>
      <c r="C319" s="44" t="s">
        <v>1568</v>
      </c>
      <c r="D319" s="45" t="s">
        <v>415</v>
      </c>
      <c r="E319" s="45" t="s">
        <v>123</v>
      </c>
      <c r="F319" s="45">
        <v>10093884</v>
      </c>
      <c r="G319" s="46">
        <v>4214.88</v>
      </c>
      <c r="H319" s="46">
        <v>0</v>
      </c>
      <c r="I319" s="45">
        <v>0</v>
      </c>
      <c r="J319" s="45">
        <v>0</v>
      </c>
      <c r="K319" s="45">
        <v>0</v>
      </c>
      <c r="L319" s="45">
        <v>885.12</v>
      </c>
      <c r="M319" s="45">
        <v>0</v>
      </c>
      <c r="N319" s="46">
        <v>0</v>
      </c>
      <c r="O319" s="46">
        <v>5100</v>
      </c>
    </row>
    <row r="320" spans="2:15">
      <c r="B320" s="43" t="s">
        <v>1275</v>
      </c>
      <c r="C320" s="44" t="s">
        <v>1569</v>
      </c>
      <c r="D320" s="45" t="s">
        <v>1570</v>
      </c>
      <c r="E320" s="45" t="s">
        <v>123</v>
      </c>
      <c r="F320" s="45">
        <v>4481390</v>
      </c>
      <c r="G320" s="46">
        <v>24793.39</v>
      </c>
      <c r="H320" s="46">
        <v>0</v>
      </c>
      <c r="I320" s="45">
        <v>0</v>
      </c>
      <c r="J320" s="45">
        <v>0</v>
      </c>
      <c r="K320" s="45">
        <v>0</v>
      </c>
      <c r="L320" s="45">
        <v>5206.6099999999997</v>
      </c>
      <c r="M320" s="45">
        <v>0</v>
      </c>
      <c r="N320" s="46">
        <v>0</v>
      </c>
      <c r="O320" s="46">
        <v>30000</v>
      </c>
    </row>
    <row r="321" spans="2:15">
      <c r="B321" s="43" t="s">
        <v>1275</v>
      </c>
      <c r="C321" s="44" t="s">
        <v>1571</v>
      </c>
      <c r="D321" s="45" t="s">
        <v>298</v>
      </c>
      <c r="E321" s="45" t="s">
        <v>123</v>
      </c>
      <c r="F321" s="45">
        <v>24448662</v>
      </c>
      <c r="G321" s="46">
        <v>4958.68</v>
      </c>
      <c r="H321" s="46">
        <v>0</v>
      </c>
      <c r="I321" s="45">
        <v>0</v>
      </c>
      <c r="J321" s="45">
        <v>0</v>
      </c>
      <c r="K321" s="45">
        <v>0</v>
      </c>
      <c r="L321" s="45">
        <v>1041.32</v>
      </c>
      <c r="M321" s="45">
        <v>0</v>
      </c>
      <c r="N321" s="46">
        <v>0</v>
      </c>
      <c r="O321" s="46">
        <v>6000</v>
      </c>
    </row>
    <row r="322" spans="2:15">
      <c r="B322" s="43" t="s">
        <v>1275</v>
      </c>
      <c r="C322" s="44" t="s">
        <v>1572</v>
      </c>
      <c r="D322" s="45" t="s">
        <v>298</v>
      </c>
      <c r="E322" s="45" t="s">
        <v>123</v>
      </c>
      <c r="F322" s="45">
        <v>24448662</v>
      </c>
      <c r="G322" s="46">
        <v>4958.68</v>
      </c>
      <c r="H322" s="46">
        <v>0</v>
      </c>
      <c r="I322" s="45">
        <v>0</v>
      </c>
      <c r="J322" s="45">
        <v>0</v>
      </c>
      <c r="K322" s="45">
        <v>0</v>
      </c>
      <c r="L322" s="45">
        <v>1041.32</v>
      </c>
      <c r="M322" s="45">
        <v>0</v>
      </c>
      <c r="N322" s="46">
        <v>0</v>
      </c>
      <c r="O322" s="46">
        <v>6000</v>
      </c>
    </row>
    <row r="323" spans="2:15">
      <c r="B323" s="43" t="s">
        <v>1275</v>
      </c>
      <c r="C323" s="44" t="s">
        <v>1573</v>
      </c>
      <c r="D323" s="45" t="s">
        <v>352</v>
      </c>
      <c r="E323" s="45" t="s">
        <v>123</v>
      </c>
      <c r="F323" s="45">
        <v>11361026</v>
      </c>
      <c r="G323" s="46">
        <v>3057.85</v>
      </c>
      <c r="H323" s="46">
        <v>0</v>
      </c>
      <c r="I323" s="45">
        <v>0</v>
      </c>
      <c r="J323" s="45">
        <v>0</v>
      </c>
      <c r="K323" s="45">
        <v>0</v>
      </c>
      <c r="L323" s="45">
        <v>642.15</v>
      </c>
      <c r="M323" s="45">
        <v>0</v>
      </c>
      <c r="N323" s="46">
        <v>0</v>
      </c>
      <c r="O323" s="46">
        <v>3700</v>
      </c>
    </row>
    <row r="324" spans="2:15">
      <c r="B324" s="43" t="s">
        <v>1275</v>
      </c>
      <c r="C324" s="44" t="s">
        <v>1574</v>
      </c>
      <c r="D324" s="45" t="s">
        <v>411</v>
      </c>
      <c r="E324" s="45" t="s">
        <v>123</v>
      </c>
      <c r="F324" s="45">
        <v>13699449</v>
      </c>
      <c r="G324" s="46">
        <v>45371.9</v>
      </c>
      <c r="H324" s="46">
        <v>0</v>
      </c>
      <c r="I324" s="45">
        <v>0</v>
      </c>
      <c r="J324" s="45">
        <v>0</v>
      </c>
      <c r="K324" s="45">
        <v>0</v>
      </c>
      <c r="L324" s="45">
        <v>9528.1</v>
      </c>
      <c r="M324" s="45">
        <v>0</v>
      </c>
      <c r="N324" s="46">
        <v>0</v>
      </c>
      <c r="O324" s="46">
        <v>54900</v>
      </c>
    </row>
    <row r="325" spans="2:15">
      <c r="B325" s="43" t="s">
        <v>1275</v>
      </c>
      <c r="C325" s="44" t="s">
        <v>1575</v>
      </c>
      <c r="D325" s="45" t="s">
        <v>399</v>
      </c>
      <c r="E325" s="45" t="s">
        <v>123</v>
      </c>
      <c r="F325" s="45" t="s">
        <v>124</v>
      </c>
      <c r="G325" s="46">
        <v>8677.69</v>
      </c>
      <c r="H325" s="46">
        <v>0</v>
      </c>
      <c r="I325" s="45">
        <v>0</v>
      </c>
      <c r="J325" s="45">
        <v>0</v>
      </c>
      <c r="K325" s="45">
        <v>0</v>
      </c>
      <c r="L325" s="45">
        <v>1822.31</v>
      </c>
      <c r="M325" s="45">
        <v>0</v>
      </c>
      <c r="N325" s="46">
        <v>0</v>
      </c>
      <c r="O325" s="46">
        <v>10500</v>
      </c>
    </row>
    <row r="326" spans="2:15">
      <c r="B326" s="43" t="s">
        <v>1275</v>
      </c>
      <c r="C326" s="44" t="s">
        <v>1576</v>
      </c>
      <c r="D326" s="45" t="s">
        <v>354</v>
      </c>
      <c r="E326" s="45" t="s">
        <v>123</v>
      </c>
      <c r="F326" s="45">
        <v>382591</v>
      </c>
      <c r="G326" s="46">
        <v>5619.83</v>
      </c>
      <c r="H326" s="46">
        <v>0</v>
      </c>
      <c r="I326" s="45">
        <v>0</v>
      </c>
      <c r="J326" s="45">
        <v>0</v>
      </c>
      <c r="K326" s="45">
        <v>0</v>
      </c>
      <c r="L326" s="45">
        <v>1180.17</v>
      </c>
      <c r="M326" s="45">
        <v>0</v>
      </c>
      <c r="N326" s="46">
        <v>0</v>
      </c>
      <c r="O326" s="46">
        <v>6800</v>
      </c>
    </row>
    <row r="327" spans="2:15">
      <c r="B327" s="43" t="s">
        <v>1275</v>
      </c>
      <c r="C327" s="44" t="s">
        <v>1577</v>
      </c>
      <c r="D327" s="45" t="s">
        <v>856</v>
      </c>
      <c r="E327" s="45" t="s">
        <v>123</v>
      </c>
      <c r="F327" s="45">
        <v>36622635</v>
      </c>
      <c r="G327" s="46">
        <v>5702.48</v>
      </c>
      <c r="H327" s="46">
        <v>0</v>
      </c>
      <c r="I327" s="45">
        <v>0</v>
      </c>
      <c r="J327" s="45">
        <v>0</v>
      </c>
      <c r="K327" s="45">
        <v>0</v>
      </c>
      <c r="L327" s="45">
        <v>1197.52</v>
      </c>
      <c r="M327" s="45">
        <v>0</v>
      </c>
      <c r="N327" s="46">
        <v>0</v>
      </c>
      <c r="O327" s="46">
        <v>6900</v>
      </c>
    </row>
    <row r="328" spans="2:15">
      <c r="B328" s="43" t="s">
        <v>1275</v>
      </c>
      <c r="C328" s="44" t="s">
        <v>1578</v>
      </c>
      <c r="D328" s="45" t="s">
        <v>856</v>
      </c>
      <c r="E328" s="45" t="s">
        <v>123</v>
      </c>
      <c r="F328" s="45">
        <v>36622635</v>
      </c>
      <c r="G328" s="46">
        <v>3966.94</v>
      </c>
      <c r="H328" s="46">
        <v>0</v>
      </c>
      <c r="I328" s="45">
        <v>0</v>
      </c>
      <c r="J328" s="45">
        <v>0</v>
      </c>
      <c r="K328" s="45">
        <v>0</v>
      </c>
      <c r="L328" s="45">
        <v>833.06</v>
      </c>
      <c r="M328" s="45">
        <v>0</v>
      </c>
      <c r="N328" s="46">
        <v>0</v>
      </c>
      <c r="O328" s="46">
        <v>4800</v>
      </c>
    </row>
    <row r="329" spans="2:15">
      <c r="B329" s="43" t="s">
        <v>1277</v>
      </c>
      <c r="C329" s="44" t="s">
        <v>1579</v>
      </c>
      <c r="D329" s="45" t="s">
        <v>1580</v>
      </c>
      <c r="E329" s="45" t="s">
        <v>123</v>
      </c>
      <c r="F329" s="45">
        <v>14009056</v>
      </c>
      <c r="G329" s="46">
        <v>4702.4800000000005</v>
      </c>
      <c r="H329" s="46">
        <v>0</v>
      </c>
      <c r="I329" s="45">
        <v>0</v>
      </c>
      <c r="J329" s="45">
        <v>0</v>
      </c>
      <c r="K329" s="45">
        <v>0</v>
      </c>
      <c r="L329" s="45">
        <v>987.52</v>
      </c>
      <c r="M329" s="45">
        <v>0</v>
      </c>
      <c r="N329" s="46">
        <v>0</v>
      </c>
      <c r="O329" s="46">
        <v>5690</v>
      </c>
    </row>
    <row r="330" spans="2:15">
      <c r="B330" s="43" t="s">
        <v>1277</v>
      </c>
      <c r="C330" s="44" t="s">
        <v>1581</v>
      </c>
      <c r="D330" s="45" t="s">
        <v>314</v>
      </c>
      <c r="E330" s="45" t="s">
        <v>276</v>
      </c>
      <c r="F330" s="45">
        <v>30658137642</v>
      </c>
      <c r="G330" s="46">
        <v>14958.68</v>
      </c>
      <c r="H330" s="46">
        <v>0</v>
      </c>
      <c r="I330" s="45">
        <v>0</v>
      </c>
      <c r="J330" s="45">
        <v>0</v>
      </c>
      <c r="K330" s="45">
        <v>0</v>
      </c>
      <c r="L330" s="45">
        <v>3141.32</v>
      </c>
      <c r="M330" s="45">
        <v>0</v>
      </c>
      <c r="N330" s="46">
        <v>0</v>
      </c>
      <c r="O330" s="46">
        <v>18100</v>
      </c>
    </row>
    <row r="331" spans="2:15">
      <c r="B331" s="43" t="s">
        <v>1234</v>
      </c>
      <c r="C331" s="44" t="s">
        <v>1582</v>
      </c>
      <c r="D331" s="45" t="s">
        <v>286</v>
      </c>
      <c r="E331" s="45" t="s">
        <v>123</v>
      </c>
      <c r="F331" s="45">
        <v>10138957</v>
      </c>
      <c r="G331" s="46">
        <v>4132.2300000000005</v>
      </c>
      <c r="H331" s="46">
        <v>0</v>
      </c>
      <c r="I331" s="45">
        <v>0</v>
      </c>
      <c r="J331" s="45">
        <v>0</v>
      </c>
      <c r="K331" s="45">
        <v>0</v>
      </c>
      <c r="L331" s="45">
        <v>867.77</v>
      </c>
      <c r="M331" s="45">
        <v>0</v>
      </c>
      <c r="N331" s="46">
        <v>0</v>
      </c>
      <c r="O331" s="46">
        <v>5000</v>
      </c>
    </row>
    <row r="332" spans="2:15">
      <c r="B332" s="43" t="s">
        <v>1234</v>
      </c>
      <c r="C332" s="44" t="s">
        <v>1583</v>
      </c>
      <c r="D332" s="45" t="s">
        <v>854</v>
      </c>
      <c r="E332" s="45" t="s">
        <v>123</v>
      </c>
      <c r="F332" s="45">
        <v>24699538</v>
      </c>
      <c r="G332" s="46">
        <v>7024.79</v>
      </c>
      <c r="H332" s="46">
        <v>0</v>
      </c>
      <c r="I332" s="45">
        <v>0</v>
      </c>
      <c r="J332" s="45">
        <v>0</v>
      </c>
      <c r="K332" s="45">
        <v>0</v>
      </c>
      <c r="L332" s="45">
        <v>1475.21</v>
      </c>
      <c r="M332" s="45">
        <v>0</v>
      </c>
      <c r="N332" s="46">
        <v>0</v>
      </c>
      <c r="O332" s="46">
        <v>8500</v>
      </c>
    </row>
    <row r="333" spans="2:15">
      <c r="B333" s="43" t="s">
        <v>1234</v>
      </c>
      <c r="C333" s="44" t="s">
        <v>1584</v>
      </c>
      <c r="D333" s="45" t="s">
        <v>335</v>
      </c>
      <c r="E333" s="45" t="s">
        <v>123</v>
      </c>
      <c r="F333" s="45">
        <v>902191</v>
      </c>
      <c r="G333" s="46">
        <v>8099.18</v>
      </c>
      <c r="H333" s="46">
        <v>0</v>
      </c>
      <c r="I333" s="45">
        <v>0</v>
      </c>
      <c r="J333" s="45">
        <v>0</v>
      </c>
      <c r="K333" s="45">
        <v>0</v>
      </c>
      <c r="L333" s="45">
        <v>1700.82</v>
      </c>
      <c r="M333" s="45">
        <v>0</v>
      </c>
      <c r="N333" s="46">
        <v>0</v>
      </c>
      <c r="O333" s="46">
        <v>9800</v>
      </c>
    </row>
    <row r="334" spans="2:15">
      <c r="B334" s="43" t="s">
        <v>1234</v>
      </c>
      <c r="C334" s="44" t="s">
        <v>1585</v>
      </c>
      <c r="D334" s="45" t="s">
        <v>391</v>
      </c>
      <c r="E334" s="45" t="s">
        <v>123</v>
      </c>
      <c r="F334" s="45">
        <v>4702938</v>
      </c>
      <c r="G334" s="46">
        <v>12148.76</v>
      </c>
      <c r="H334" s="46">
        <v>0</v>
      </c>
      <c r="I334" s="45">
        <v>0</v>
      </c>
      <c r="J334" s="45">
        <v>0</v>
      </c>
      <c r="K334" s="45">
        <v>0</v>
      </c>
      <c r="L334" s="45">
        <v>2551.2400000000002</v>
      </c>
      <c r="M334" s="45">
        <v>0</v>
      </c>
      <c r="N334" s="46">
        <v>0</v>
      </c>
      <c r="O334" s="46">
        <v>14700</v>
      </c>
    </row>
    <row r="335" spans="2:15">
      <c r="B335" s="43" t="s">
        <v>1234</v>
      </c>
      <c r="C335" s="44" t="s">
        <v>1586</v>
      </c>
      <c r="D335" s="45" t="s">
        <v>411</v>
      </c>
      <c r="E335" s="45" t="s">
        <v>123</v>
      </c>
      <c r="F335" s="45">
        <v>13699449</v>
      </c>
      <c r="G335" s="46">
        <v>16528.920000000002</v>
      </c>
      <c r="H335" s="46">
        <v>0</v>
      </c>
      <c r="I335" s="45">
        <v>0</v>
      </c>
      <c r="J335" s="45">
        <v>0</v>
      </c>
      <c r="K335" s="45">
        <v>0</v>
      </c>
      <c r="L335" s="45">
        <v>3471.08</v>
      </c>
      <c r="M335" s="45">
        <v>0</v>
      </c>
      <c r="N335" s="46">
        <v>0</v>
      </c>
      <c r="O335" s="46">
        <v>20000</v>
      </c>
    </row>
    <row r="336" spans="2:15">
      <c r="B336" s="43" t="s">
        <v>1234</v>
      </c>
      <c r="C336" s="44" t="s">
        <v>1587</v>
      </c>
      <c r="D336" s="45" t="s">
        <v>1588</v>
      </c>
      <c r="E336" s="45" t="s">
        <v>123</v>
      </c>
      <c r="F336" s="45">
        <v>18375246</v>
      </c>
      <c r="G336" s="46">
        <v>31404.959999999999</v>
      </c>
      <c r="H336" s="46">
        <v>0</v>
      </c>
      <c r="I336" s="45">
        <v>0</v>
      </c>
      <c r="J336" s="45">
        <v>0</v>
      </c>
      <c r="K336" s="45">
        <v>0</v>
      </c>
      <c r="L336" s="45">
        <v>6595.04</v>
      </c>
      <c r="M336" s="45">
        <v>0</v>
      </c>
      <c r="N336" s="46">
        <v>0</v>
      </c>
      <c r="O336" s="46">
        <v>38000</v>
      </c>
    </row>
    <row r="337" spans="2:15">
      <c r="B337" s="43" t="s">
        <v>1417</v>
      </c>
      <c r="C337" s="44" t="s">
        <v>1589</v>
      </c>
      <c r="D337" s="45" t="s">
        <v>375</v>
      </c>
      <c r="E337" s="45" t="s">
        <v>123</v>
      </c>
      <c r="F337" s="45">
        <v>22990821</v>
      </c>
      <c r="G337" s="46">
        <v>6611.57</v>
      </c>
      <c r="H337" s="46">
        <v>0</v>
      </c>
      <c r="I337" s="45">
        <v>0</v>
      </c>
      <c r="J337" s="45">
        <v>0</v>
      </c>
      <c r="K337" s="45">
        <v>0</v>
      </c>
      <c r="L337" s="45">
        <v>1388.43</v>
      </c>
      <c r="M337" s="45">
        <v>0</v>
      </c>
      <c r="N337" s="46">
        <v>0</v>
      </c>
      <c r="O337" s="46">
        <v>8000</v>
      </c>
    </row>
    <row r="338" spans="2:15">
      <c r="B338" s="43" t="s">
        <v>1417</v>
      </c>
      <c r="C338" s="44" t="s">
        <v>1590</v>
      </c>
      <c r="D338" s="45" t="s">
        <v>323</v>
      </c>
      <c r="E338" s="45" t="s">
        <v>123</v>
      </c>
      <c r="F338" s="45">
        <v>94061699</v>
      </c>
      <c r="G338" s="46">
        <v>6776.86</v>
      </c>
      <c r="H338" s="46">
        <v>0</v>
      </c>
      <c r="I338" s="45">
        <v>0</v>
      </c>
      <c r="J338" s="45">
        <v>0</v>
      </c>
      <c r="K338" s="45">
        <v>0</v>
      </c>
      <c r="L338" s="45">
        <v>1423.14</v>
      </c>
      <c r="M338" s="45">
        <v>0</v>
      </c>
      <c r="N338" s="46">
        <v>0</v>
      </c>
      <c r="O338" s="46">
        <v>8200</v>
      </c>
    </row>
    <row r="339" spans="2:15">
      <c r="B339" s="43" t="s">
        <v>1417</v>
      </c>
      <c r="C339" s="44" t="s">
        <v>1591</v>
      </c>
      <c r="D339" s="45" t="s">
        <v>1592</v>
      </c>
      <c r="E339" s="45" t="s">
        <v>123</v>
      </c>
      <c r="F339" s="45">
        <v>3176218</v>
      </c>
      <c r="G339" s="46">
        <v>64710.74</v>
      </c>
      <c r="H339" s="46">
        <v>0</v>
      </c>
      <c r="I339" s="45">
        <v>0</v>
      </c>
      <c r="J339" s="45">
        <v>0</v>
      </c>
      <c r="K339" s="45">
        <v>0</v>
      </c>
      <c r="L339" s="45">
        <v>13589.26</v>
      </c>
      <c r="M339" s="45">
        <v>0</v>
      </c>
      <c r="N339" s="46">
        <v>0</v>
      </c>
      <c r="O339" s="46">
        <v>78300</v>
      </c>
    </row>
    <row r="340" spans="2:15">
      <c r="B340" s="43" t="s">
        <v>1280</v>
      </c>
      <c r="C340" s="44" t="s">
        <v>1593</v>
      </c>
      <c r="D340" s="45" t="s">
        <v>1594</v>
      </c>
      <c r="E340" s="45" t="s">
        <v>123</v>
      </c>
      <c r="F340" s="45">
        <v>18604400</v>
      </c>
      <c r="G340" s="46">
        <v>10661.16</v>
      </c>
      <c r="H340" s="46">
        <v>0</v>
      </c>
      <c r="I340" s="45">
        <v>0</v>
      </c>
      <c r="J340" s="45">
        <v>0</v>
      </c>
      <c r="K340" s="45">
        <v>0</v>
      </c>
      <c r="L340" s="45">
        <v>2238.84</v>
      </c>
      <c r="M340" s="45">
        <v>0</v>
      </c>
      <c r="N340" s="46">
        <v>0</v>
      </c>
      <c r="O340" s="46">
        <v>12900</v>
      </c>
    </row>
    <row r="341" spans="2:15">
      <c r="B341" s="43" t="s">
        <v>1280</v>
      </c>
      <c r="C341" s="44" t="s">
        <v>1595</v>
      </c>
      <c r="D341" s="45" t="s">
        <v>417</v>
      </c>
      <c r="E341" s="45" t="s">
        <v>123</v>
      </c>
      <c r="F341" s="45" t="s">
        <v>124</v>
      </c>
      <c r="G341" s="46">
        <v>42975.199999999997</v>
      </c>
      <c r="H341" s="46">
        <v>0</v>
      </c>
      <c r="I341" s="45">
        <v>0</v>
      </c>
      <c r="J341" s="45">
        <v>0</v>
      </c>
      <c r="K341" s="45">
        <v>0</v>
      </c>
      <c r="L341" s="45">
        <v>9024.8000000000011</v>
      </c>
      <c r="M341" s="45">
        <v>0</v>
      </c>
      <c r="N341" s="46">
        <v>0</v>
      </c>
      <c r="O341" s="46">
        <v>52000</v>
      </c>
    </row>
    <row r="342" spans="2:15">
      <c r="B342" s="43" t="s">
        <v>1283</v>
      </c>
      <c r="C342" s="44" t="s">
        <v>1596</v>
      </c>
      <c r="D342" s="45" t="s">
        <v>769</v>
      </c>
      <c r="E342" s="45" t="s">
        <v>123</v>
      </c>
      <c r="F342" s="45">
        <v>21363216</v>
      </c>
      <c r="G342" s="46">
        <v>20661.16</v>
      </c>
      <c r="H342" s="46">
        <v>0</v>
      </c>
      <c r="I342" s="45">
        <v>0</v>
      </c>
      <c r="J342" s="45">
        <v>0</v>
      </c>
      <c r="K342" s="45">
        <v>0</v>
      </c>
      <c r="L342" s="45">
        <v>4338.84</v>
      </c>
      <c r="M342" s="45">
        <v>0</v>
      </c>
      <c r="N342" s="46">
        <v>0</v>
      </c>
      <c r="O342" s="46">
        <v>25000</v>
      </c>
    </row>
    <row r="343" spans="2:15">
      <c r="B343" s="43" t="s">
        <v>1283</v>
      </c>
      <c r="C343" s="44" t="s">
        <v>1597</v>
      </c>
      <c r="D343" s="45" t="s">
        <v>360</v>
      </c>
      <c r="E343" s="45" t="s">
        <v>123</v>
      </c>
      <c r="F343" s="45">
        <v>5804480</v>
      </c>
      <c r="G343" s="46">
        <v>4958.68</v>
      </c>
      <c r="H343" s="46">
        <v>0</v>
      </c>
      <c r="I343" s="45">
        <v>0</v>
      </c>
      <c r="J343" s="45">
        <v>0</v>
      </c>
      <c r="K343" s="45">
        <v>0</v>
      </c>
      <c r="L343" s="45">
        <v>1041.32</v>
      </c>
      <c r="M343" s="45">
        <v>0</v>
      </c>
      <c r="N343" s="46">
        <v>0</v>
      </c>
      <c r="O343" s="46">
        <v>6000</v>
      </c>
    </row>
    <row r="344" spans="2:15">
      <c r="B344" s="43" t="s">
        <v>1236</v>
      </c>
      <c r="C344" s="44" t="s">
        <v>1598</v>
      </c>
      <c r="D344" s="45" t="s">
        <v>1599</v>
      </c>
      <c r="E344" s="45" t="s">
        <v>123</v>
      </c>
      <c r="F344" s="45">
        <v>17814995</v>
      </c>
      <c r="G344" s="46">
        <v>24132.23</v>
      </c>
      <c r="H344" s="46">
        <v>0</v>
      </c>
      <c r="I344" s="45">
        <v>0</v>
      </c>
      <c r="J344" s="45">
        <v>0</v>
      </c>
      <c r="K344" s="45">
        <v>0</v>
      </c>
      <c r="L344" s="45">
        <v>5067.7700000000004</v>
      </c>
      <c r="M344" s="45">
        <v>0</v>
      </c>
      <c r="N344" s="46">
        <v>0</v>
      </c>
      <c r="O344" s="46">
        <v>29200</v>
      </c>
    </row>
    <row r="345" spans="2:15">
      <c r="B345" s="43" t="s">
        <v>1236</v>
      </c>
      <c r="C345" s="44" t="s">
        <v>1600</v>
      </c>
      <c r="D345" s="45" t="s">
        <v>1601</v>
      </c>
      <c r="E345" s="45" t="s">
        <v>123</v>
      </c>
      <c r="F345" s="45">
        <v>95756049</v>
      </c>
      <c r="G345" s="46">
        <v>4462.8100000000004</v>
      </c>
      <c r="H345" s="46">
        <v>0</v>
      </c>
      <c r="I345" s="45">
        <v>0</v>
      </c>
      <c r="J345" s="45">
        <v>0</v>
      </c>
      <c r="K345" s="45">
        <v>0</v>
      </c>
      <c r="L345" s="45">
        <v>937.19</v>
      </c>
      <c r="M345" s="45">
        <v>0</v>
      </c>
      <c r="N345" s="46">
        <v>0</v>
      </c>
      <c r="O345" s="46">
        <v>5400</v>
      </c>
    </row>
    <row r="346" spans="2:15">
      <c r="B346" s="43" t="s">
        <v>1236</v>
      </c>
      <c r="C346" s="44" t="s">
        <v>1602</v>
      </c>
      <c r="D346" s="45" t="s">
        <v>1603</v>
      </c>
      <c r="E346" s="45" t="s">
        <v>123</v>
      </c>
      <c r="F346" s="45">
        <v>5971592</v>
      </c>
      <c r="G346" s="46">
        <v>12644.63</v>
      </c>
      <c r="H346" s="46">
        <v>0</v>
      </c>
      <c r="I346" s="45">
        <v>0</v>
      </c>
      <c r="J346" s="45">
        <v>0</v>
      </c>
      <c r="K346" s="45">
        <v>0</v>
      </c>
      <c r="L346" s="45">
        <v>2655.37</v>
      </c>
      <c r="M346" s="45">
        <v>0</v>
      </c>
      <c r="N346" s="46">
        <v>0</v>
      </c>
      <c r="O346" s="46">
        <v>15300</v>
      </c>
    </row>
    <row r="347" spans="2:15">
      <c r="B347" s="43" t="s">
        <v>1285</v>
      </c>
      <c r="C347" s="44" t="s">
        <v>1604</v>
      </c>
      <c r="D347" s="45" t="s">
        <v>1605</v>
      </c>
      <c r="E347" s="45" t="s">
        <v>123</v>
      </c>
      <c r="F347" s="45">
        <v>12394145</v>
      </c>
      <c r="G347" s="46">
        <v>20330.580000000002</v>
      </c>
      <c r="H347" s="46">
        <v>0</v>
      </c>
      <c r="I347" s="45">
        <v>0</v>
      </c>
      <c r="J347" s="45">
        <v>0</v>
      </c>
      <c r="K347" s="45">
        <v>0</v>
      </c>
      <c r="L347" s="45">
        <v>4269.42</v>
      </c>
      <c r="M347" s="45">
        <v>0</v>
      </c>
      <c r="N347" s="46">
        <v>0</v>
      </c>
      <c r="O347" s="46">
        <v>24600</v>
      </c>
    </row>
    <row r="348" spans="2:15">
      <c r="B348" s="43" t="s">
        <v>1285</v>
      </c>
      <c r="C348" s="44" t="s">
        <v>1606</v>
      </c>
      <c r="D348" s="45" t="s">
        <v>300</v>
      </c>
      <c r="E348" s="45" t="s">
        <v>123</v>
      </c>
      <c r="F348" s="45">
        <v>23103620</v>
      </c>
      <c r="G348" s="46">
        <v>14876.03</v>
      </c>
      <c r="H348" s="46">
        <v>0</v>
      </c>
      <c r="I348" s="45">
        <v>0</v>
      </c>
      <c r="J348" s="45">
        <v>0</v>
      </c>
      <c r="K348" s="45">
        <v>0</v>
      </c>
      <c r="L348" s="45">
        <v>3123.97</v>
      </c>
      <c r="M348" s="45">
        <v>0</v>
      </c>
      <c r="N348" s="46">
        <v>0</v>
      </c>
      <c r="O348" s="46">
        <v>18000</v>
      </c>
    </row>
    <row r="349" spans="2:15">
      <c r="B349" s="43" t="s">
        <v>1285</v>
      </c>
      <c r="C349" s="44" t="s">
        <v>1607</v>
      </c>
      <c r="D349" s="45" t="s">
        <v>379</v>
      </c>
      <c r="E349" s="45" t="s">
        <v>123</v>
      </c>
      <c r="F349" s="45">
        <v>14123802</v>
      </c>
      <c r="G349" s="46">
        <v>4958.68</v>
      </c>
      <c r="H349" s="46">
        <v>0</v>
      </c>
      <c r="I349" s="45">
        <v>0</v>
      </c>
      <c r="J349" s="45">
        <v>0</v>
      </c>
      <c r="K349" s="45">
        <v>0</v>
      </c>
      <c r="L349" s="45">
        <v>1041.32</v>
      </c>
      <c r="M349" s="45">
        <v>0</v>
      </c>
      <c r="N349" s="46">
        <v>0</v>
      </c>
      <c r="O349" s="46">
        <v>6000</v>
      </c>
    </row>
    <row r="350" spans="2:15">
      <c r="B350" s="43" t="s">
        <v>1285</v>
      </c>
      <c r="C350" s="44" t="s">
        <v>1608</v>
      </c>
      <c r="D350" s="45" t="s">
        <v>1609</v>
      </c>
      <c r="E350" s="45" t="s">
        <v>123</v>
      </c>
      <c r="F350" s="45">
        <v>22344274</v>
      </c>
      <c r="G350" s="46">
        <v>2892.56</v>
      </c>
      <c r="H350" s="46">
        <v>0</v>
      </c>
      <c r="I350" s="45">
        <v>0</v>
      </c>
      <c r="J350" s="45">
        <v>0</v>
      </c>
      <c r="K350" s="45">
        <v>0</v>
      </c>
      <c r="L350" s="45">
        <v>607.44000000000005</v>
      </c>
      <c r="M350" s="45">
        <v>0</v>
      </c>
      <c r="N350" s="46">
        <v>0</v>
      </c>
      <c r="O350" s="46">
        <v>3500</v>
      </c>
    </row>
    <row r="351" spans="2:15">
      <c r="B351" s="43" t="s">
        <v>1475</v>
      </c>
      <c r="C351" s="44" t="s">
        <v>1610</v>
      </c>
      <c r="D351" s="45" t="s">
        <v>337</v>
      </c>
      <c r="E351" s="45" t="s">
        <v>123</v>
      </c>
      <c r="F351" s="45">
        <v>4164120</v>
      </c>
      <c r="G351" s="46">
        <v>1198.3500000000001</v>
      </c>
      <c r="H351" s="46">
        <v>0</v>
      </c>
      <c r="I351" s="45">
        <v>0</v>
      </c>
      <c r="J351" s="45">
        <v>0</v>
      </c>
      <c r="K351" s="45">
        <v>0</v>
      </c>
      <c r="L351" s="45">
        <v>251.65</v>
      </c>
      <c r="M351" s="45">
        <v>0</v>
      </c>
      <c r="N351" s="46">
        <v>0</v>
      </c>
      <c r="O351" s="46">
        <v>1450</v>
      </c>
    </row>
    <row r="352" spans="2:15">
      <c r="B352" s="43" t="s">
        <v>1475</v>
      </c>
      <c r="C352" s="44" t="s">
        <v>1611</v>
      </c>
      <c r="D352" s="45" t="s">
        <v>1609</v>
      </c>
      <c r="E352" s="45" t="s">
        <v>123</v>
      </c>
      <c r="F352" s="45">
        <v>22344274</v>
      </c>
      <c r="G352" s="46">
        <v>23140.5</v>
      </c>
      <c r="H352" s="46">
        <v>0</v>
      </c>
      <c r="I352" s="45">
        <v>0</v>
      </c>
      <c r="J352" s="45">
        <v>0</v>
      </c>
      <c r="K352" s="45">
        <v>0</v>
      </c>
      <c r="L352" s="45">
        <v>4859.5</v>
      </c>
      <c r="M352" s="45">
        <v>0</v>
      </c>
      <c r="N352" s="46">
        <v>0</v>
      </c>
      <c r="O352" s="46">
        <v>28000</v>
      </c>
    </row>
    <row r="353" spans="2:16">
      <c r="B353" s="43" t="s">
        <v>1475</v>
      </c>
      <c r="C353" s="44" t="s">
        <v>1612</v>
      </c>
      <c r="D353" s="45" t="s">
        <v>1613</v>
      </c>
      <c r="E353" s="45" t="s">
        <v>123</v>
      </c>
      <c r="F353" s="45">
        <v>37537331</v>
      </c>
      <c r="G353" s="46">
        <v>18760.330000000002</v>
      </c>
      <c r="H353" s="46">
        <v>0</v>
      </c>
      <c r="I353" s="45">
        <v>0</v>
      </c>
      <c r="J353" s="45">
        <v>0</v>
      </c>
      <c r="K353" s="45">
        <v>0</v>
      </c>
      <c r="L353" s="45">
        <v>3939.67</v>
      </c>
      <c r="M353" s="45">
        <v>0</v>
      </c>
      <c r="N353" s="46">
        <v>0</v>
      </c>
      <c r="O353" s="46">
        <v>22700</v>
      </c>
    </row>
    <row r="354" spans="2:16">
      <c r="B354" s="43" t="s">
        <v>1238</v>
      </c>
      <c r="C354" s="44" t="s">
        <v>1614</v>
      </c>
      <c r="D354" s="45" t="s">
        <v>409</v>
      </c>
      <c r="E354" s="45" t="s">
        <v>123</v>
      </c>
      <c r="F354" s="45">
        <v>2925288</v>
      </c>
      <c r="G354" s="46">
        <v>24380.16</v>
      </c>
      <c r="H354" s="46">
        <v>0</v>
      </c>
      <c r="I354" s="45">
        <v>0</v>
      </c>
      <c r="J354" s="45">
        <v>0</v>
      </c>
      <c r="K354" s="45">
        <v>0</v>
      </c>
      <c r="L354" s="45">
        <v>5119.84</v>
      </c>
      <c r="M354" s="45">
        <v>0</v>
      </c>
      <c r="N354" s="46">
        <v>0</v>
      </c>
      <c r="O354" s="46">
        <v>29500</v>
      </c>
    </row>
    <row r="355" spans="2:16">
      <c r="B355" s="43" t="s">
        <v>1238</v>
      </c>
      <c r="C355" s="44" t="s">
        <v>1615</v>
      </c>
      <c r="D355" s="45" t="s">
        <v>302</v>
      </c>
      <c r="E355" s="45" t="s">
        <v>123</v>
      </c>
      <c r="F355" s="45">
        <v>4648296</v>
      </c>
      <c r="G355" s="46">
        <v>12892.56</v>
      </c>
      <c r="H355" s="46">
        <v>0</v>
      </c>
      <c r="I355" s="45">
        <v>0</v>
      </c>
      <c r="J355" s="45">
        <v>0</v>
      </c>
      <c r="K355" s="45">
        <v>0</v>
      </c>
      <c r="L355" s="45">
        <v>2707.44</v>
      </c>
      <c r="M355" s="45">
        <v>0</v>
      </c>
      <c r="N355" s="46">
        <v>0</v>
      </c>
      <c r="O355" s="46">
        <v>15600</v>
      </c>
    </row>
    <row r="356" spans="2:16">
      <c r="B356" s="43" t="s">
        <v>1497</v>
      </c>
      <c r="C356" s="44" t="s">
        <v>1616</v>
      </c>
      <c r="D356" s="45" t="s">
        <v>307</v>
      </c>
      <c r="E356" s="45" t="s">
        <v>276</v>
      </c>
      <c r="F356" s="45">
        <v>30571766287</v>
      </c>
      <c r="G356" s="46">
        <v>8760.33</v>
      </c>
      <c r="H356" s="46">
        <v>0</v>
      </c>
      <c r="I356" s="45">
        <v>0</v>
      </c>
      <c r="J356" s="45">
        <v>0</v>
      </c>
      <c r="K356" s="45">
        <v>0</v>
      </c>
      <c r="L356" s="45">
        <v>1839.67</v>
      </c>
      <c r="M356" s="45">
        <v>0</v>
      </c>
      <c r="N356" s="46">
        <v>0</v>
      </c>
      <c r="O356" s="46">
        <v>10600</v>
      </c>
    </row>
    <row r="357" spans="2:16">
      <c r="B357" s="43" t="s">
        <v>1506</v>
      </c>
      <c r="C357" s="44" t="s">
        <v>1617</v>
      </c>
      <c r="D357" s="45" t="s">
        <v>1618</v>
      </c>
      <c r="E357" s="45" t="s">
        <v>123</v>
      </c>
      <c r="F357" s="45">
        <v>5956226</v>
      </c>
      <c r="G357" s="46">
        <v>11198.35</v>
      </c>
      <c r="H357" s="46">
        <v>0</v>
      </c>
      <c r="I357" s="45">
        <v>0</v>
      </c>
      <c r="J357" s="45">
        <v>0</v>
      </c>
      <c r="K357" s="45">
        <v>0</v>
      </c>
      <c r="L357" s="45">
        <v>2351.65</v>
      </c>
      <c r="M357" s="45">
        <v>0</v>
      </c>
      <c r="N357" s="46">
        <v>0</v>
      </c>
      <c r="O357" s="46">
        <v>13550</v>
      </c>
    </row>
    <row r="358" spans="2:16">
      <c r="B358" s="43" t="s">
        <v>1506</v>
      </c>
      <c r="C358" s="44" t="s">
        <v>1619</v>
      </c>
      <c r="D358" s="45" t="s">
        <v>1529</v>
      </c>
      <c r="E358" s="45" t="s">
        <v>123</v>
      </c>
      <c r="F358" s="45">
        <v>37993105</v>
      </c>
      <c r="G358" s="46">
        <v>4132.2300000000005</v>
      </c>
      <c r="H358" s="46">
        <v>0</v>
      </c>
      <c r="I358" s="45">
        <v>0</v>
      </c>
      <c r="J358" s="45">
        <v>0</v>
      </c>
      <c r="K358" s="45">
        <v>0</v>
      </c>
      <c r="L358" s="45">
        <v>867.77</v>
      </c>
      <c r="M358" s="45">
        <v>0</v>
      </c>
      <c r="N358" s="46">
        <v>0</v>
      </c>
      <c r="O358" s="46">
        <v>5000</v>
      </c>
    </row>
    <row r="359" spans="2:16">
      <c r="B359" s="43" t="s">
        <v>1506</v>
      </c>
      <c r="C359" s="44" t="s">
        <v>1620</v>
      </c>
      <c r="D359" s="45" t="s">
        <v>431</v>
      </c>
      <c r="E359" s="45" t="s">
        <v>123</v>
      </c>
      <c r="F359" s="45" t="s">
        <v>124</v>
      </c>
      <c r="G359" s="46">
        <v>11983.47</v>
      </c>
      <c r="H359" s="46">
        <v>0</v>
      </c>
      <c r="I359" s="45">
        <v>0</v>
      </c>
      <c r="J359" s="45">
        <v>0</v>
      </c>
      <c r="K359" s="45">
        <v>0</v>
      </c>
      <c r="L359" s="45">
        <v>2516.5300000000002</v>
      </c>
      <c r="M359" s="45">
        <v>0</v>
      </c>
      <c r="N359" s="46">
        <v>0</v>
      </c>
      <c r="O359" s="46">
        <v>14500</v>
      </c>
    </row>
    <row r="360" spans="2:16">
      <c r="B360" s="43" t="s">
        <v>1516</v>
      </c>
      <c r="C360" s="44" t="s">
        <v>1621</v>
      </c>
      <c r="D360" s="45" t="s">
        <v>1622</v>
      </c>
      <c r="E360" s="45" t="s">
        <v>123</v>
      </c>
      <c r="F360" s="45">
        <v>16994318</v>
      </c>
      <c r="G360" s="46">
        <v>31404.959999999999</v>
      </c>
      <c r="H360" s="46">
        <v>0</v>
      </c>
      <c r="I360" s="45">
        <v>0</v>
      </c>
      <c r="J360" s="45">
        <v>0</v>
      </c>
      <c r="K360" s="45">
        <v>0</v>
      </c>
      <c r="L360" s="45">
        <v>6595.04</v>
      </c>
      <c r="M360" s="45">
        <v>0</v>
      </c>
      <c r="N360" s="46">
        <v>0</v>
      </c>
      <c r="O360" s="46">
        <v>38000</v>
      </c>
    </row>
    <row r="361" spans="2:16">
      <c r="B361" s="43" t="s">
        <v>1516</v>
      </c>
      <c r="C361" s="44" t="s">
        <v>1623</v>
      </c>
      <c r="D361" s="45" t="s">
        <v>348</v>
      </c>
      <c r="E361" s="45" t="s">
        <v>123</v>
      </c>
      <c r="F361" s="45">
        <v>26542077</v>
      </c>
      <c r="G361" s="46">
        <v>12644.62</v>
      </c>
      <c r="H361" s="46">
        <v>0</v>
      </c>
      <c r="I361" s="45">
        <v>0</v>
      </c>
      <c r="J361" s="45">
        <v>0</v>
      </c>
      <c r="K361" s="45">
        <v>0</v>
      </c>
      <c r="L361" s="45">
        <v>2655.38</v>
      </c>
      <c r="M361" s="45">
        <v>0</v>
      </c>
      <c r="N361" s="46">
        <v>0</v>
      </c>
      <c r="O361" s="46">
        <v>15300</v>
      </c>
    </row>
    <row r="362" spans="2:16">
      <c r="B362" s="43" t="s">
        <v>1516</v>
      </c>
      <c r="C362" s="44" t="s">
        <v>1624</v>
      </c>
      <c r="D362" s="45" t="s">
        <v>316</v>
      </c>
      <c r="E362" s="45" t="s">
        <v>123</v>
      </c>
      <c r="F362" s="45" t="s">
        <v>124</v>
      </c>
      <c r="G362" s="46">
        <v>6446.28</v>
      </c>
      <c r="H362" s="46">
        <v>0</v>
      </c>
      <c r="I362" s="45">
        <v>0</v>
      </c>
      <c r="J362" s="45">
        <v>0</v>
      </c>
      <c r="K362" s="45">
        <v>0</v>
      </c>
      <c r="L362" s="45">
        <v>1353.72</v>
      </c>
      <c r="M362" s="45">
        <v>0</v>
      </c>
      <c r="N362" s="46">
        <v>0</v>
      </c>
      <c r="O362" s="46">
        <v>7800</v>
      </c>
    </row>
    <row r="363" spans="2:16">
      <c r="B363" s="43" t="s">
        <v>1516</v>
      </c>
      <c r="C363" s="44" t="s">
        <v>1625</v>
      </c>
      <c r="D363" s="45" t="s">
        <v>905</v>
      </c>
      <c r="E363" s="45" t="s">
        <v>123</v>
      </c>
      <c r="F363" s="45">
        <v>26317300</v>
      </c>
      <c r="G363" s="46">
        <v>6446.28</v>
      </c>
      <c r="H363" s="46">
        <v>0</v>
      </c>
      <c r="I363" s="45">
        <v>0</v>
      </c>
      <c r="J363" s="45">
        <v>0</v>
      </c>
      <c r="K363" s="45">
        <v>0</v>
      </c>
      <c r="L363" s="45">
        <v>1353.72</v>
      </c>
      <c r="M363" s="45">
        <v>0</v>
      </c>
      <c r="N363" s="46">
        <v>0</v>
      </c>
      <c r="O363" s="46">
        <v>7800</v>
      </c>
    </row>
    <row r="364" spans="2:16">
      <c r="B364" s="43" t="s">
        <v>1475</v>
      </c>
      <c r="C364" s="44" t="s">
        <v>1626</v>
      </c>
      <c r="D364" s="45" t="s">
        <v>16</v>
      </c>
      <c r="E364" s="45" t="s">
        <v>17</v>
      </c>
      <c r="F364" s="45">
        <v>30522428163</v>
      </c>
      <c r="G364" s="46">
        <v>-143801.65</v>
      </c>
      <c r="H364" s="46">
        <v>0</v>
      </c>
      <c r="I364" s="45">
        <v>0</v>
      </c>
      <c r="J364" s="45">
        <v>0</v>
      </c>
      <c r="K364" s="45">
        <v>0</v>
      </c>
      <c r="L364" s="45">
        <v>-30198.35</v>
      </c>
      <c r="M364" s="45">
        <v>0</v>
      </c>
      <c r="N364" s="46">
        <v>0</v>
      </c>
      <c r="O364" s="46">
        <v>-174000</v>
      </c>
      <c r="P364" s="22"/>
    </row>
    <row r="365" spans="2:16">
      <c r="B365" s="43" t="s">
        <v>1475</v>
      </c>
      <c r="C365" s="44" t="s">
        <v>1627</v>
      </c>
      <c r="D365" s="45" t="s">
        <v>16</v>
      </c>
      <c r="E365" s="45" t="s">
        <v>17</v>
      </c>
      <c r="F365" s="45">
        <v>30522428163</v>
      </c>
      <c r="G365" s="46">
        <v>-95206.6</v>
      </c>
      <c r="H365" s="46">
        <v>0</v>
      </c>
      <c r="I365" s="45">
        <v>0</v>
      </c>
      <c r="J365" s="45">
        <v>0</v>
      </c>
      <c r="K365" s="45">
        <v>0</v>
      </c>
      <c r="L365" s="45">
        <v>-19993.39</v>
      </c>
      <c r="M365" s="45">
        <v>0</v>
      </c>
      <c r="N365" s="46">
        <v>0</v>
      </c>
      <c r="O365" s="46">
        <v>-115199.99</v>
      </c>
      <c r="P365" s="22"/>
    </row>
    <row r="366" spans="2:16">
      <c r="B366" s="43" t="s">
        <v>1475</v>
      </c>
      <c r="C366" s="44" t="s">
        <v>1628</v>
      </c>
      <c r="D366" s="45" t="s">
        <v>16</v>
      </c>
      <c r="E366" s="45" t="s">
        <v>17</v>
      </c>
      <c r="F366" s="45">
        <v>30522428163</v>
      </c>
      <c r="G366" s="46">
        <v>-76142.23</v>
      </c>
      <c r="H366" s="46">
        <v>0</v>
      </c>
      <c r="I366" s="45">
        <v>0</v>
      </c>
      <c r="J366" s="45">
        <v>0</v>
      </c>
      <c r="K366" s="45">
        <v>0</v>
      </c>
      <c r="L366" s="45">
        <v>-15989.87</v>
      </c>
      <c r="M366" s="45">
        <v>0</v>
      </c>
      <c r="N366" s="46">
        <v>0</v>
      </c>
      <c r="O366" s="46">
        <v>-92132.1</v>
      </c>
      <c r="P366" s="22"/>
    </row>
    <row r="367" spans="2:16">
      <c r="B367" s="43" t="s">
        <v>1475</v>
      </c>
      <c r="C367" s="44" t="s">
        <v>1629</v>
      </c>
      <c r="D367" s="45" t="s">
        <v>16</v>
      </c>
      <c r="E367" s="45" t="s">
        <v>17</v>
      </c>
      <c r="F367" s="45">
        <v>30522428163</v>
      </c>
      <c r="G367" s="46">
        <v>-21211.99</v>
      </c>
      <c r="H367" s="46">
        <v>0</v>
      </c>
      <c r="I367" s="45">
        <v>0</v>
      </c>
      <c r="J367" s="45">
        <v>0</v>
      </c>
      <c r="K367" s="45">
        <v>0</v>
      </c>
      <c r="L367" s="45">
        <v>-4454.5200000000004</v>
      </c>
      <c r="M367" s="45">
        <v>0</v>
      </c>
      <c r="N367" s="46">
        <v>0</v>
      </c>
      <c r="O367" s="46">
        <v>-25666.51</v>
      </c>
      <c r="P367" s="22"/>
    </row>
    <row r="368" spans="2:16">
      <c r="B368" s="43" t="s">
        <v>1475</v>
      </c>
      <c r="C368" s="44" t="s">
        <v>1630</v>
      </c>
      <c r="D368" s="45" t="s">
        <v>16</v>
      </c>
      <c r="E368" s="45" t="s">
        <v>17</v>
      </c>
      <c r="F368" s="45">
        <v>30522428163</v>
      </c>
      <c r="G368" s="46">
        <v>-8413.2000000000007</v>
      </c>
      <c r="H368" s="46">
        <v>0</v>
      </c>
      <c r="I368" s="45">
        <v>0</v>
      </c>
      <c r="J368" s="45">
        <v>0</v>
      </c>
      <c r="K368" s="45">
        <v>0</v>
      </c>
      <c r="L368" s="45">
        <v>-1766.77</v>
      </c>
      <c r="M368" s="45">
        <v>0</v>
      </c>
      <c r="N368" s="46">
        <v>0</v>
      </c>
      <c r="O368" s="46">
        <v>-10179.969999999999</v>
      </c>
      <c r="P368" s="22"/>
    </row>
    <row r="369" spans="2:16">
      <c r="B369" s="43" t="s">
        <v>1248</v>
      </c>
      <c r="C369" s="44" t="s">
        <v>1631</v>
      </c>
      <c r="D369" s="45" t="s">
        <v>16</v>
      </c>
      <c r="E369" s="45" t="s">
        <v>17</v>
      </c>
      <c r="F369" s="45">
        <v>30522428163</v>
      </c>
      <c r="G369" s="46">
        <v>-344263.8</v>
      </c>
      <c r="H369" s="46">
        <v>0</v>
      </c>
      <c r="I369" s="45">
        <v>0</v>
      </c>
      <c r="J369" s="45">
        <v>0</v>
      </c>
      <c r="K369" s="45">
        <v>0</v>
      </c>
      <c r="L369" s="45">
        <v>-72295.400000000009</v>
      </c>
      <c r="M369" s="45">
        <v>0</v>
      </c>
      <c r="N369" s="46">
        <v>0</v>
      </c>
      <c r="O369" s="46">
        <v>-416559.2</v>
      </c>
      <c r="P369" s="22"/>
    </row>
    <row r="370" spans="2:16">
      <c r="B370" s="43" t="s">
        <v>1248</v>
      </c>
      <c r="C370" s="44" t="s">
        <v>1632</v>
      </c>
      <c r="D370" s="45" t="s">
        <v>16</v>
      </c>
      <c r="E370" s="45" t="s">
        <v>17</v>
      </c>
      <c r="F370" s="45">
        <v>30522428163</v>
      </c>
      <c r="G370" s="46">
        <v>-36033.06</v>
      </c>
      <c r="H370" s="46">
        <v>0</v>
      </c>
      <c r="I370" s="45">
        <v>0</v>
      </c>
      <c r="J370" s="45">
        <v>0</v>
      </c>
      <c r="K370" s="45">
        <v>0</v>
      </c>
      <c r="L370" s="45">
        <v>-7566.94</v>
      </c>
      <c r="M370" s="45">
        <v>0</v>
      </c>
      <c r="N370" s="46">
        <v>0</v>
      </c>
      <c r="O370" s="46">
        <v>-43600</v>
      </c>
      <c r="P370" s="22"/>
    </row>
    <row r="371" spans="2:16">
      <c r="B371" s="43" t="s">
        <v>1283</v>
      </c>
      <c r="C371" s="44" t="s">
        <v>1633</v>
      </c>
      <c r="D371" s="45" t="s">
        <v>16</v>
      </c>
      <c r="E371" s="45" t="s">
        <v>17</v>
      </c>
      <c r="F371" s="45">
        <v>30522428163</v>
      </c>
      <c r="G371" s="46">
        <v>-68000</v>
      </c>
      <c r="H371" s="46">
        <v>0</v>
      </c>
      <c r="I371" s="45">
        <v>0</v>
      </c>
      <c r="J371" s="45">
        <v>0</v>
      </c>
      <c r="K371" s="45">
        <v>0</v>
      </c>
      <c r="L371" s="45">
        <v>-14280</v>
      </c>
      <c r="M371" s="45">
        <v>0</v>
      </c>
      <c r="N371" s="46">
        <v>0</v>
      </c>
      <c r="O371" s="46">
        <v>-82280</v>
      </c>
      <c r="P371" s="22"/>
    </row>
    <row r="372" spans="2:16">
      <c r="B372" s="43" t="s">
        <v>1475</v>
      </c>
      <c r="C372" s="44" t="s">
        <v>1634</v>
      </c>
      <c r="D372" s="45" t="s">
        <v>16</v>
      </c>
      <c r="E372" s="45" t="s">
        <v>17</v>
      </c>
      <c r="F372" s="45">
        <v>30522428163</v>
      </c>
      <c r="G372" s="46">
        <v>-19358.560000000001</v>
      </c>
      <c r="H372" s="46">
        <v>0</v>
      </c>
      <c r="I372" s="45">
        <v>0</v>
      </c>
      <c r="J372" s="45">
        <v>0</v>
      </c>
      <c r="K372" s="45">
        <v>0</v>
      </c>
      <c r="L372" s="45">
        <v>-4065.3</v>
      </c>
      <c r="M372" s="45">
        <v>0</v>
      </c>
      <c r="N372" s="46">
        <v>0</v>
      </c>
      <c r="O372" s="46">
        <v>-23423.86</v>
      </c>
      <c r="P372" s="22"/>
    </row>
    <row r="373" spans="2:16">
      <c r="B373" s="43" t="s">
        <v>1230</v>
      </c>
      <c r="C373" s="44" t="s">
        <v>1635</v>
      </c>
      <c r="D373" s="45" t="s">
        <v>122</v>
      </c>
      <c r="E373" s="45" t="s">
        <v>123</v>
      </c>
      <c r="F373" s="45" t="s">
        <v>124</v>
      </c>
      <c r="G373" s="46">
        <v>-4132.2300000000005</v>
      </c>
      <c r="H373" s="46">
        <v>0</v>
      </c>
      <c r="I373" s="45">
        <v>0</v>
      </c>
      <c r="J373" s="45">
        <v>0</v>
      </c>
      <c r="K373" s="45">
        <v>0</v>
      </c>
      <c r="L373" s="45">
        <v>-867.77</v>
      </c>
      <c r="M373" s="45">
        <v>0</v>
      </c>
      <c r="N373" s="46">
        <v>0</v>
      </c>
      <c r="O373" s="46">
        <v>-5000</v>
      </c>
      <c r="P373" s="22"/>
    </row>
    <row r="374" spans="2:16">
      <c r="B374" s="43" t="s">
        <v>1251</v>
      </c>
      <c r="C374" s="44" t="s">
        <v>1636</v>
      </c>
      <c r="D374" s="45" t="s">
        <v>122</v>
      </c>
      <c r="E374" s="45" t="s">
        <v>123</v>
      </c>
      <c r="F374" s="45" t="s">
        <v>124</v>
      </c>
      <c r="G374" s="46">
        <v>-8677.69</v>
      </c>
      <c r="H374" s="46">
        <v>0</v>
      </c>
      <c r="I374" s="45">
        <v>0</v>
      </c>
      <c r="J374" s="45">
        <v>0</v>
      </c>
      <c r="K374" s="45">
        <v>0</v>
      </c>
      <c r="L374" s="45">
        <v>-1822.31</v>
      </c>
      <c r="M374" s="45">
        <v>0</v>
      </c>
      <c r="N374" s="46">
        <v>0</v>
      </c>
      <c r="O374" s="46">
        <v>-10500</v>
      </c>
    </row>
    <row r="375" spans="2:16">
      <c r="B375" s="43" t="s">
        <v>1232</v>
      </c>
      <c r="C375" s="44" t="s">
        <v>1637</v>
      </c>
      <c r="D375" s="45" t="s">
        <v>122</v>
      </c>
      <c r="E375" s="45" t="s">
        <v>123</v>
      </c>
      <c r="F375" s="45" t="s">
        <v>124</v>
      </c>
      <c r="G375" s="46">
        <v>-6942.15</v>
      </c>
      <c r="H375" s="46">
        <v>0</v>
      </c>
      <c r="I375" s="45">
        <v>0</v>
      </c>
      <c r="J375" s="45">
        <v>0</v>
      </c>
      <c r="K375" s="45">
        <v>0</v>
      </c>
      <c r="L375" s="45">
        <v>-1457.85</v>
      </c>
      <c r="M375" s="45">
        <v>0</v>
      </c>
      <c r="N375" s="46">
        <v>0</v>
      </c>
      <c r="O375" s="46">
        <v>-8400</v>
      </c>
    </row>
    <row r="376" spans="2:16">
      <c r="B376" s="43" t="s">
        <v>1248</v>
      </c>
      <c r="C376" s="44" t="s">
        <v>1638</v>
      </c>
      <c r="D376" s="45" t="s">
        <v>314</v>
      </c>
      <c r="E376" s="45" t="s">
        <v>276</v>
      </c>
      <c r="F376" s="45">
        <v>30658137642</v>
      </c>
      <c r="G376" s="46">
        <v>-46649.59</v>
      </c>
      <c r="H376" s="46">
        <v>0</v>
      </c>
      <c r="I376" s="45">
        <v>0</v>
      </c>
      <c r="J376" s="45">
        <v>0</v>
      </c>
      <c r="K376" s="45">
        <v>0</v>
      </c>
      <c r="L376" s="45">
        <v>-9796.41</v>
      </c>
      <c r="M376" s="45">
        <v>0</v>
      </c>
      <c r="N376" s="46">
        <v>0</v>
      </c>
      <c r="O376" s="46">
        <v>-56446</v>
      </c>
    </row>
    <row r="377" spans="2:16">
      <c r="B377" s="43" t="s">
        <v>1268</v>
      </c>
      <c r="C377" s="44" t="s">
        <v>1639</v>
      </c>
      <c r="D377" s="45" t="s">
        <v>1565</v>
      </c>
      <c r="E377" s="45" t="s">
        <v>276</v>
      </c>
      <c r="F377" s="45">
        <v>30585412453</v>
      </c>
      <c r="G377" s="46">
        <v>-8925.6200000000008</v>
      </c>
      <c r="H377" s="46">
        <v>0</v>
      </c>
      <c r="I377" s="45">
        <v>0</v>
      </c>
      <c r="J377" s="45">
        <v>0</v>
      </c>
      <c r="K377" s="45">
        <v>0</v>
      </c>
      <c r="L377" s="45">
        <v>-1874.38</v>
      </c>
      <c r="M377" s="45">
        <v>0</v>
      </c>
      <c r="N377" s="46">
        <v>0</v>
      </c>
      <c r="O377" s="46">
        <v>-10800</v>
      </c>
    </row>
    <row r="378" spans="2:16">
      <c r="B378" s="43" t="s">
        <v>1497</v>
      </c>
      <c r="C378" s="44" t="s">
        <v>1640</v>
      </c>
      <c r="D378" s="45" t="s">
        <v>307</v>
      </c>
      <c r="E378" s="45" t="s">
        <v>276</v>
      </c>
      <c r="F378" s="45">
        <v>30571766287</v>
      </c>
      <c r="G378" s="46">
        <v>-8760.33</v>
      </c>
      <c r="H378" s="46">
        <v>0</v>
      </c>
      <c r="I378" s="45">
        <v>0</v>
      </c>
      <c r="J378" s="45">
        <v>0</v>
      </c>
      <c r="K378" s="45">
        <v>0</v>
      </c>
      <c r="L378" s="45">
        <v>-1839.67</v>
      </c>
      <c r="M378" s="45">
        <v>0</v>
      </c>
      <c r="N378" s="46">
        <v>0</v>
      </c>
      <c r="O378" s="46">
        <v>-10600</v>
      </c>
    </row>
    <row r="379" spans="2:16">
      <c r="B379" s="43"/>
      <c r="C379" s="44"/>
      <c r="D379" s="45"/>
      <c r="E379" s="45"/>
      <c r="F379" s="45"/>
      <c r="G379" s="60">
        <f>SUM(G51:G378)</f>
        <v>1692207.6700000004</v>
      </c>
      <c r="H379" s="42"/>
      <c r="I379" s="41"/>
      <c r="J379" s="41"/>
      <c r="K379" s="41"/>
      <c r="L379" s="61">
        <f>SUM(L51:L378)</f>
        <v>355363.37000000029</v>
      </c>
      <c r="M379" s="41"/>
      <c r="N379" s="42"/>
      <c r="O379" s="42"/>
    </row>
    <row r="380" spans="2:16">
      <c r="B380" s="47" t="s">
        <v>432</v>
      </c>
      <c r="C380" s="47" t="s">
        <v>433</v>
      </c>
      <c r="D380" s="47" t="s">
        <v>434</v>
      </c>
      <c r="E380" s="47" t="s">
        <v>435</v>
      </c>
      <c r="F380" s="47" t="s">
        <v>436</v>
      </c>
      <c r="G380" s="58">
        <f>SUM(G49:G379)</f>
        <v>29485107.340000059</v>
      </c>
      <c r="H380" s="58">
        <f ca="1">SUM(OFFSET($A$1,5,COLUMN()-1):OFFSET($A$1,ROW()-2,COLUMN()-1))</f>
        <v>0</v>
      </c>
      <c r="I380" s="58">
        <f ca="1">SUM(OFFSET($A$1,5,COLUMN()-1):OFFSET($A$1,ROW()-2,COLUMN()-1))</f>
        <v>0</v>
      </c>
      <c r="J380" s="58">
        <f ca="1">SUM(OFFSET($A$1,5,COLUMN()-1):OFFSET($A$1,ROW()-2,COLUMN()-1))</f>
        <v>0</v>
      </c>
      <c r="K380" s="58">
        <f ca="1">SUM(OFFSET($A$1,5,COLUMN()-1):OFFSET($A$1,ROW()-2,COLUMN()-1))</f>
        <v>0</v>
      </c>
      <c r="L380" s="58">
        <f>SUM(L49:L379)</f>
        <v>6191872.0300000114</v>
      </c>
      <c r="M380" s="58">
        <f ca="1">SUM(OFFSET($A$1,5,COLUMN()-1):OFFSET($A$1,ROW()-2,COLUMN()-1))</f>
        <v>0</v>
      </c>
      <c r="N380" s="58">
        <f ca="1">SUM(OFFSET($A$1,5,COLUMN()-1):OFFSET($A$1,ROW()-2,COLUMN()-1))</f>
        <v>0</v>
      </c>
      <c r="O380" s="58">
        <f ca="1">SUM(G380:N380)</f>
        <v>35676979.370000072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44"/>
  <sheetViews>
    <sheetView workbookViewId="0">
      <selection activeCell="C3" sqref="C3"/>
    </sheetView>
  </sheetViews>
  <sheetFormatPr baseColWidth="10" defaultRowHeight="15"/>
  <cols>
    <col min="1" max="1" width="5" customWidth="1"/>
    <col min="3" max="3" width="23.5703125" customWidth="1"/>
    <col min="4" max="4" width="25.28515625" customWidth="1"/>
    <col min="5" max="5" width="22" bestFit="1" customWidth="1"/>
    <col min="6" max="6" width="16.28515625" customWidth="1"/>
    <col min="7" max="7" width="18.42578125" customWidth="1"/>
    <col min="8" max="8" width="13.42578125" customWidth="1"/>
    <col min="9" max="10" width="11.5703125" bestFit="1" customWidth="1"/>
    <col min="11" max="11" width="11.85546875" customWidth="1"/>
    <col min="12" max="12" width="18.140625" bestFit="1" customWidth="1"/>
    <col min="13" max="13" width="11.5703125" bestFit="1" customWidth="1"/>
    <col min="14" max="14" width="11.85546875" customWidth="1"/>
    <col min="15" max="15" width="18.5703125" customWidth="1"/>
  </cols>
  <sheetData>
    <row r="1" spans="2:15" ht="15.75">
      <c r="B1" s="77" t="s">
        <v>2023</v>
      </c>
    </row>
    <row r="2" spans="2:15">
      <c r="B2" s="62" t="s">
        <v>0</v>
      </c>
      <c r="C2" s="62" t="s">
        <v>1</v>
      </c>
      <c r="D2" s="62" t="s">
        <v>2</v>
      </c>
      <c r="E2" s="62" t="s">
        <v>3</v>
      </c>
      <c r="F2" s="62" t="s">
        <v>4</v>
      </c>
      <c r="G2" s="62" t="s">
        <v>5</v>
      </c>
      <c r="H2" s="62" t="s">
        <v>6</v>
      </c>
      <c r="I2" s="62" t="s">
        <v>7</v>
      </c>
      <c r="J2" s="62" t="s">
        <v>8</v>
      </c>
      <c r="K2" s="62" t="s">
        <v>9</v>
      </c>
      <c r="L2" s="62" t="s">
        <v>10</v>
      </c>
      <c r="M2" s="62" t="s">
        <v>11</v>
      </c>
      <c r="N2" s="62" t="s">
        <v>12</v>
      </c>
      <c r="O2" s="63" t="s">
        <v>13</v>
      </c>
    </row>
    <row r="3" spans="2:15">
      <c r="B3" s="64" t="s">
        <v>1642</v>
      </c>
      <c r="C3" s="65" t="s">
        <v>1653</v>
      </c>
      <c r="D3" s="66" t="s">
        <v>16</v>
      </c>
      <c r="E3" s="66" t="s">
        <v>17</v>
      </c>
      <c r="F3" s="66">
        <v>30522428163</v>
      </c>
      <c r="G3" s="67">
        <v>1781239.67</v>
      </c>
      <c r="H3" s="67">
        <v>0</v>
      </c>
      <c r="I3" s="68">
        <v>0</v>
      </c>
      <c r="J3" s="68">
        <v>0</v>
      </c>
      <c r="K3" s="68">
        <v>0</v>
      </c>
      <c r="L3" s="68">
        <v>374060.33</v>
      </c>
      <c r="M3" s="68">
        <v>0</v>
      </c>
      <c r="N3" s="67">
        <v>0</v>
      </c>
      <c r="O3" s="69">
        <v>2155300</v>
      </c>
    </row>
    <row r="4" spans="2:15">
      <c r="B4" s="70" t="s">
        <v>1671</v>
      </c>
      <c r="C4" s="44" t="s">
        <v>1681</v>
      </c>
      <c r="D4" s="45" t="s">
        <v>16</v>
      </c>
      <c r="E4" s="45" t="s">
        <v>17</v>
      </c>
      <c r="F4" s="45">
        <v>30522428163</v>
      </c>
      <c r="G4" s="71">
        <v>2415865.14</v>
      </c>
      <c r="H4" s="71">
        <v>0</v>
      </c>
      <c r="I4" s="49">
        <v>0</v>
      </c>
      <c r="J4" s="49">
        <v>0</v>
      </c>
      <c r="K4" s="49">
        <v>0</v>
      </c>
      <c r="L4" s="49">
        <v>507331.68</v>
      </c>
      <c r="M4" s="49">
        <v>0</v>
      </c>
      <c r="N4" s="71">
        <v>0</v>
      </c>
      <c r="O4" s="72">
        <v>2923196.82</v>
      </c>
    </row>
    <row r="5" spans="2:15">
      <c r="B5" s="70" t="s">
        <v>1671</v>
      </c>
      <c r="C5" s="44" t="s">
        <v>1682</v>
      </c>
      <c r="D5" s="45" t="s">
        <v>16</v>
      </c>
      <c r="E5" s="45" t="s">
        <v>17</v>
      </c>
      <c r="F5" s="45">
        <v>30522428163</v>
      </c>
      <c r="G5" s="71">
        <v>2353966.94</v>
      </c>
      <c r="H5" s="71">
        <v>0</v>
      </c>
      <c r="I5" s="49">
        <v>0</v>
      </c>
      <c r="J5" s="49">
        <v>0</v>
      </c>
      <c r="K5" s="49">
        <v>0</v>
      </c>
      <c r="L5" s="49">
        <v>494333.06</v>
      </c>
      <c r="M5" s="49">
        <v>0</v>
      </c>
      <c r="N5" s="71">
        <v>0</v>
      </c>
      <c r="O5" s="72">
        <v>2848300</v>
      </c>
    </row>
    <row r="6" spans="2:15">
      <c r="B6" s="70" t="s">
        <v>1671</v>
      </c>
      <c r="C6" s="44" t="s">
        <v>1683</v>
      </c>
      <c r="D6" s="45" t="s">
        <v>16</v>
      </c>
      <c r="E6" s="45" t="s">
        <v>17</v>
      </c>
      <c r="F6" s="45">
        <v>30522428163</v>
      </c>
      <c r="G6" s="71">
        <v>5720661.1600000001</v>
      </c>
      <c r="H6" s="71">
        <v>0</v>
      </c>
      <c r="I6" s="49">
        <v>0</v>
      </c>
      <c r="J6" s="49">
        <v>0</v>
      </c>
      <c r="K6" s="49">
        <v>0</v>
      </c>
      <c r="L6" s="49">
        <v>1201338.8400000001</v>
      </c>
      <c r="M6" s="49">
        <v>0</v>
      </c>
      <c r="N6" s="71">
        <v>0</v>
      </c>
      <c r="O6" s="72">
        <v>6922000</v>
      </c>
    </row>
    <row r="7" spans="2:15">
      <c r="B7" s="70" t="s">
        <v>1774</v>
      </c>
      <c r="C7" s="44" t="s">
        <v>1789</v>
      </c>
      <c r="D7" s="45" t="s">
        <v>16</v>
      </c>
      <c r="E7" s="45" t="s">
        <v>17</v>
      </c>
      <c r="F7" s="45">
        <v>30522428163</v>
      </c>
      <c r="G7" s="71">
        <v>4682644.62</v>
      </c>
      <c r="H7" s="71">
        <v>0</v>
      </c>
      <c r="I7" s="49">
        <v>0</v>
      </c>
      <c r="J7" s="49">
        <v>0</v>
      </c>
      <c r="K7" s="49">
        <v>0</v>
      </c>
      <c r="L7" s="49">
        <v>983355.36</v>
      </c>
      <c r="M7" s="49">
        <v>0</v>
      </c>
      <c r="N7" s="71">
        <v>0</v>
      </c>
      <c r="O7" s="72">
        <v>5665999.9800000004</v>
      </c>
    </row>
    <row r="8" spans="2:15">
      <c r="B8" s="70" t="s">
        <v>1800</v>
      </c>
      <c r="C8" s="44" t="s">
        <v>1812</v>
      </c>
      <c r="D8" s="45" t="s">
        <v>16</v>
      </c>
      <c r="E8" s="45" t="s">
        <v>17</v>
      </c>
      <c r="F8" s="45">
        <v>30522428163</v>
      </c>
      <c r="G8" s="71">
        <v>2878760.34</v>
      </c>
      <c r="H8" s="71">
        <v>0</v>
      </c>
      <c r="I8" s="49">
        <v>0</v>
      </c>
      <c r="J8" s="49">
        <v>0</v>
      </c>
      <c r="K8" s="49">
        <v>0</v>
      </c>
      <c r="L8" s="49">
        <v>604539.66</v>
      </c>
      <c r="M8" s="49">
        <v>0</v>
      </c>
      <c r="N8" s="71">
        <v>0</v>
      </c>
      <c r="O8" s="72">
        <v>3483300</v>
      </c>
    </row>
    <row r="9" spans="2:15">
      <c r="B9" s="70" t="s">
        <v>1818</v>
      </c>
      <c r="C9" s="44" t="s">
        <v>1828</v>
      </c>
      <c r="D9" s="45" t="s">
        <v>16</v>
      </c>
      <c r="E9" s="45" t="s">
        <v>17</v>
      </c>
      <c r="F9" s="45">
        <v>30522428163</v>
      </c>
      <c r="G9" s="71">
        <v>2975123.97</v>
      </c>
      <c r="H9" s="71">
        <v>0</v>
      </c>
      <c r="I9" s="49">
        <v>0</v>
      </c>
      <c r="J9" s="49">
        <v>0</v>
      </c>
      <c r="K9" s="49">
        <v>0</v>
      </c>
      <c r="L9" s="49">
        <v>624776.05000000005</v>
      </c>
      <c r="M9" s="49">
        <v>0</v>
      </c>
      <c r="N9" s="71">
        <v>0</v>
      </c>
      <c r="O9" s="72">
        <v>3599900.02</v>
      </c>
    </row>
    <row r="10" spans="2:15">
      <c r="B10" s="70" t="s">
        <v>1849</v>
      </c>
      <c r="C10" s="44" t="s">
        <v>1865</v>
      </c>
      <c r="D10" s="45" t="s">
        <v>16</v>
      </c>
      <c r="E10" s="45" t="s">
        <v>17</v>
      </c>
      <c r="F10" s="45">
        <v>30522428163</v>
      </c>
      <c r="G10" s="71">
        <v>526033.06000000006</v>
      </c>
      <c r="H10" s="71">
        <v>0</v>
      </c>
      <c r="I10" s="49">
        <v>0</v>
      </c>
      <c r="J10" s="49">
        <v>0</v>
      </c>
      <c r="K10" s="49">
        <v>0</v>
      </c>
      <c r="L10" s="49">
        <v>110466.92</v>
      </c>
      <c r="M10" s="49">
        <v>0</v>
      </c>
      <c r="N10" s="71">
        <v>0</v>
      </c>
      <c r="O10" s="72">
        <v>636499.98</v>
      </c>
    </row>
    <row r="11" spans="2:15">
      <c r="B11" s="70" t="s">
        <v>1849</v>
      </c>
      <c r="C11" s="44" t="s">
        <v>1866</v>
      </c>
      <c r="D11" s="45" t="s">
        <v>16</v>
      </c>
      <c r="E11" s="45" t="s">
        <v>17</v>
      </c>
      <c r="F11" s="45">
        <v>30522428163</v>
      </c>
      <c r="G11" s="71">
        <v>1636363.64</v>
      </c>
      <c r="H11" s="71">
        <v>0</v>
      </c>
      <c r="I11" s="49">
        <v>0</v>
      </c>
      <c r="J11" s="49">
        <v>0</v>
      </c>
      <c r="K11" s="49">
        <v>0</v>
      </c>
      <c r="L11" s="49">
        <v>343636.36</v>
      </c>
      <c r="M11" s="49">
        <v>0</v>
      </c>
      <c r="N11" s="71">
        <v>0</v>
      </c>
      <c r="O11" s="72">
        <v>1980000</v>
      </c>
    </row>
    <row r="12" spans="2:15">
      <c r="B12" s="70" t="s">
        <v>1849</v>
      </c>
      <c r="C12" s="44" t="s">
        <v>1867</v>
      </c>
      <c r="D12" s="45" t="s">
        <v>16</v>
      </c>
      <c r="E12" s="45" t="s">
        <v>17</v>
      </c>
      <c r="F12" s="45">
        <v>30522428163</v>
      </c>
      <c r="G12" s="71">
        <v>5619834.71</v>
      </c>
      <c r="H12" s="71">
        <v>0</v>
      </c>
      <c r="I12" s="49">
        <v>0</v>
      </c>
      <c r="J12" s="49">
        <v>0</v>
      </c>
      <c r="K12" s="49">
        <v>0</v>
      </c>
      <c r="L12" s="49">
        <v>1180165.29</v>
      </c>
      <c r="M12" s="49">
        <v>0</v>
      </c>
      <c r="N12" s="71">
        <v>0</v>
      </c>
      <c r="O12" s="72">
        <v>6800000</v>
      </c>
    </row>
    <row r="13" spans="2:15">
      <c r="B13" s="70" t="s">
        <v>1849</v>
      </c>
      <c r="C13" s="44" t="s">
        <v>1868</v>
      </c>
      <c r="D13" s="45" t="s">
        <v>16</v>
      </c>
      <c r="E13" s="45" t="s">
        <v>17</v>
      </c>
      <c r="F13" s="45">
        <v>30522428163</v>
      </c>
      <c r="G13" s="71">
        <v>718099.17</v>
      </c>
      <c r="H13" s="71">
        <v>0</v>
      </c>
      <c r="I13" s="49">
        <v>0</v>
      </c>
      <c r="J13" s="49">
        <v>0</v>
      </c>
      <c r="K13" s="49">
        <v>0</v>
      </c>
      <c r="L13" s="49">
        <v>150800.83000000002</v>
      </c>
      <c r="M13" s="49">
        <v>0</v>
      </c>
      <c r="N13" s="71">
        <v>0</v>
      </c>
      <c r="O13" s="72">
        <v>868900</v>
      </c>
    </row>
    <row r="14" spans="2:15">
      <c r="B14" s="70" t="s">
        <v>1932</v>
      </c>
      <c r="C14" s="44" t="s">
        <v>1942</v>
      </c>
      <c r="D14" s="45" t="s">
        <v>16</v>
      </c>
      <c r="E14" s="45" t="s">
        <v>17</v>
      </c>
      <c r="F14" s="45">
        <v>30522428163</v>
      </c>
      <c r="G14" s="71">
        <v>1836528.92</v>
      </c>
      <c r="H14" s="71">
        <v>0</v>
      </c>
      <c r="I14" s="49">
        <v>0</v>
      </c>
      <c r="J14" s="49">
        <v>0</v>
      </c>
      <c r="K14" s="49">
        <v>0</v>
      </c>
      <c r="L14" s="49">
        <v>385671.09</v>
      </c>
      <c r="M14" s="49">
        <v>0</v>
      </c>
      <c r="N14" s="71">
        <v>0</v>
      </c>
      <c r="O14" s="72">
        <v>2222200.0100000002</v>
      </c>
    </row>
    <row r="15" spans="2:15">
      <c r="B15" s="70" t="s">
        <v>1932</v>
      </c>
      <c r="C15" s="44" t="s">
        <v>1943</v>
      </c>
      <c r="D15" s="45" t="s">
        <v>16</v>
      </c>
      <c r="E15" s="45" t="s">
        <v>17</v>
      </c>
      <c r="F15" s="45">
        <v>30522428163</v>
      </c>
      <c r="G15" s="71">
        <v>5769256.2000000002</v>
      </c>
      <c r="H15" s="71">
        <v>0</v>
      </c>
      <c r="I15" s="49">
        <v>0</v>
      </c>
      <c r="J15" s="49">
        <v>0</v>
      </c>
      <c r="K15" s="49">
        <v>0</v>
      </c>
      <c r="L15" s="49">
        <v>1211543.8</v>
      </c>
      <c r="M15" s="49">
        <v>0</v>
      </c>
      <c r="N15" s="71">
        <v>0</v>
      </c>
      <c r="O15" s="72">
        <v>6980800</v>
      </c>
    </row>
    <row r="16" spans="2:15">
      <c r="B16" s="70" t="s">
        <v>1953</v>
      </c>
      <c r="C16" s="44" t="s">
        <v>1970</v>
      </c>
      <c r="D16" s="45" t="s">
        <v>33</v>
      </c>
      <c r="E16" s="45" t="s">
        <v>17</v>
      </c>
      <c r="F16" s="45">
        <v>30683032227</v>
      </c>
      <c r="G16" s="71">
        <v>1073553.72</v>
      </c>
      <c r="H16" s="71">
        <v>0</v>
      </c>
      <c r="I16" s="49">
        <v>0</v>
      </c>
      <c r="J16" s="49">
        <v>0</v>
      </c>
      <c r="K16" s="49">
        <v>0</v>
      </c>
      <c r="L16" s="49">
        <v>225446.28</v>
      </c>
      <c r="M16" s="49">
        <v>0</v>
      </c>
      <c r="N16" s="71">
        <v>0</v>
      </c>
      <c r="O16" s="72">
        <v>1299000</v>
      </c>
    </row>
    <row r="17" spans="2:15">
      <c r="B17" s="70" t="s">
        <v>1981</v>
      </c>
      <c r="C17" s="44" t="s">
        <v>1998</v>
      </c>
      <c r="D17" s="45" t="s">
        <v>16</v>
      </c>
      <c r="E17" s="45" t="s">
        <v>17</v>
      </c>
      <c r="F17" s="45">
        <v>30522428163</v>
      </c>
      <c r="G17" s="71">
        <v>9464280.9900000002</v>
      </c>
      <c r="H17" s="71">
        <v>0</v>
      </c>
      <c r="I17" s="49">
        <v>0</v>
      </c>
      <c r="J17" s="49">
        <v>0</v>
      </c>
      <c r="K17" s="49">
        <v>0</v>
      </c>
      <c r="L17" s="49">
        <v>1987499.01</v>
      </c>
      <c r="M17" s="49">
        <v>0</v>
      </c>
      <c r="N17" s="71">
        <v>0</v>
      </c>
      <c r="O17" s="72">
        <v>11451780</v>
      </c>
    </row>
    <row r="18" spans="2:15">
      <c r="B18" s="70" t="s">
        <v>1642</v>
      </c>
      <c r="C18" s="44" t="s">
        <v>1654</v>
      </c>
      <c r="D18" s="45" t="s">
        <v>1655</v>
      </c>
      <c r="E18" s="45" t="s">
        <v>17</v>
      </c>
      <c r="F18" s="45">
        <v>30716542374</v>
      </c>
      <c r="G18" s="71">
        <v>6198.35</v>
      </c>
      <c r="H18" s="71">
        <v>0</v>
      </c>
      <c r="I18" s="49">
        <v>0</v>
      </c>
      <c r="J18" s="49">
        <v>0</v>
      </c>
      <c r="K18" s="49">
        <v>0</v>
      </c>
      <c r="L18" s="49">
        <v>1301.6500000000001</v>
      </c>
      <c r="M18" s="49">
        <v>0</v>
      </c>
      <c r="N18" s="71">
        <v>0</v>
      </c>
      <c r="O18" s="72">
        <v>7500</v>
      </c>
    </row>
    <row r="19" spans="2:15">
      <c r="B19" s="70" t="s">
        <v>1642</v>
      </c>
      <c r="C19" s="44" t="s">
        <v>1656</v>
      </c>
      <c r="D19" s="45" t="s">
        <v>16</v>
      </c>
      <c r="E19" s="45" t="s">
        <v>17</v>
      </c>
      <c r="F19" s="45">
        <v>30522428163</v>
      </c>
      <c r="G19" s="71">
        <v>254952</v>
      </c>
      <c r="H19" s="71">
        <v>0</v>
      </c>
      <c r="I19" s="49">
        <v>0</v>
      </c>
      <c r="J19" s="49">
        <v>0</v>
      </c>
      <c r="K19" s="49">
        <v>0</v>
      </c>
      <c r="L19" s="49">
        <v>53539.92</v>
      </c>
      <c r="M19" s="49">
        <v>0</v>
      </c>
      <c r="N19" s="71">
        <v>0</v>
      </c>
      <c r="O19" s="72">
        <v>308491.92</v>
      </c>
    </row>
    <row r="20" spans="2:15">
      <c r="B20" s="70" t="s">
        <v>1642</v>
      </c>
      <c r="C20" s="44" t="s">
        <v>1657</v>
      </c>
      <c r="D20" s="45" t="s">
        <v>16</v>
      </c>
      <c r="E20" s="45" t="s">
        <v>17</v>
      </c>
      <c r="F20" s="45">
        <v>30522428163</v>
      </c>
      <c r="G20" s="71">
        <v>346237.46</v>
      </c>
      <c r="H20" s="71">
        <v>0</v>
      </c>
      <c r="I20" s="49">
        <v>0</v>
      </c>
      <c r="J20" s="49">
        <v>0</v>
      </c>
      <c r="K20" s="49">
        <v>0</v>
      </c>
      <c r="L20" s="49">
        <v>72709.87</v>
      </c>
      <c r="M20" s="49">
        <v>0</v>
      </c>
      <c r="N20" s="71">
        <v>0</v>
      </c>
      <c r="O20" s="72">
        <v>418947.33</v>
      </c>
    </row>
    <row r="21" spans="2:15">
      <c r="B21" s="70" t="s">
        <v>1642</v>
      </c>
      <c r="C21" s="44" t="s">
        <v>1658</v>
      </c>
      <c r="D21" s="45" t="s">
        <v>16</v>
      </c>
      <c r="E21" s="45" t="s">
        <v>17</v>
      </c>
      <c r="F21" s="45">
        <v>30522428163</v>
      </c>
      <c r="G21" s="71">
        <v>45794.26</v>
      </c>
      <c r="H21" s="71">
        <v>0</v>
      </c>
      <c r="I21" s="49">
        <v>0</v>
      </c>
      <c r="J21" s="49">
        <v>0</v>
      </c>
      <c r="K21" s="49">
        <v>0</v>
      </c>
      <c r="L21" s="49">
        <v>9616.7900000000009</v>
      </c>
      <c r="M21" s="49">
        <v>0</v>
      </c>
      <c r="N21" s="71">
        <v>0</v>
      </c>
      <c r="O21" s="72">
        <v>55411.05</v>
      </c>
    </row>
    <row r="22" spans="2:15">
      <c r="B22" s="70" t="s">
        <v>1642</v>
      </c>
      <c r="C22" s="44" t="s">
        <v>1659</v>
      </c>
      <c r="D22" s="45" t="s">
        <v>60</v>
      </c>
      <c r="E22" s="45" t="s">
        <v>17</v>
      </c>
      <c r="F22" s="45">
        <v>30710538014</v>
      </c>
      <c r="G22" s="71">
        <v>17532.23</v>
      </c>
      <c r="H22" s="71">
        <v>0</v>
      </c>
      <c r="I22" s="49">
        <v>0</v>
      </c>
      <c r="J22" s="49">
        <v>0</v>
      </c>
      <c r="K22" s="49">
        <v>0</v>
      </c>
      <c r="L22" s="49">
        <v>3681.77</v>
      </c>
      <c r="M22" s="49">
        <v>0</v>
      </c>
      <c r="N22" s="71">
        <v>0</v>
      </c>
      <c r="O22" s="72">
        <v>21214</v>
      </c>
    </row>
    <row r="23" spans="2:15">
      <c r="B23" s="70" t="s">
        <v>1642</v>
      </c>
      <c r="C23" s="44" t="s">
        <v>1660</v>
      </c>
      <c r="D23" s="45" t="s">
        <v>68</v>
      </c>
      <c r="E23" s="45" t="s">
        <v>17</v>
      </c>
      <c r="F23" s="45">
        <v>30711244383</v>
      </c>
      <c r="G23" s="71">
        <v>6375.37</v>
      </c>
      <c r="H23" s="71">
        <v>0</v>
      </c>
      <c r="I23" s="49">
        <v>0</v>
      </c>
      <c r="J23" s="49">
        <v>0</v>
      </c>
      <c r="K23" s="49">
        <v>0</v>
      </c>
      <c r="L23" s="49">
        <v>1338.83</v>
      </c>
      <c r="M23" s="49">
        <v>0</v>
      </c>
      <c r="N23" s="71">
        <v>0</v>
      </c>
      <c r="O23" s="72">
        <v>7714.2</v>
      </c>
    </row>
    <row r="24" spans="2:15">
      <c r="B24" s="70" t="s">
        <v>1642</v>
      </c>
      <c r="C24" s="44" t="s">
        <v>1661</v>
      </c>
      <c r="D24" s="45" t="s">
        <v>64</v>
      </c>
      <c r="E24" s="45" t="s">
        <v>17</v>
      </c>
      <c r="F24" s="45">
        <v>30546771314</v>
      </c>
      <c r="G24" s="71">
        <v>10530.58</v>
      </c>
      <c r="H24" s="71">
        <v>0</v>
      </c>
      <c r="I24" s="49">
        <v>0</v>
      </c>
      <c r="J24" s="49">
        <v>0</v>
      </c>
      <c r="K24" s="49">
        <v>0</v>
      </c>
      <c r="L24" s="49">
        <v>2211.42</v>
      </c>
      <c r="M24" s="49">
        <v>0</v>
      </c>
      <c r="N24" s="71">
        <v>0</v>
      </c>
      <c r="O24" s="72">
        <v>12742</v>
      </c>
    </row>
    <row r="25" spans="2:15">
      <c r="B25" s="70" t="s">
        <v>1671</v>
      </c>
      <c r="C25" s="44" t="s">
        <v>1684</v>
      </c>
      <c r="D25" s="45" t="s">
        <v>98</v>
      </c>
      <c r="E25" s="45" t="s">
        <v>17</v>
      </c>
      <c r="F25" s="45">
        <v>30707118454</v>
      </c>
      <c r="G25" s="71">
        <v>4433.0600000000004</v>
      </c>
      <c r="H25" s="71">
        <v>0</v>
      </c>
      <c r="I25" s="49">
        <v>0</v>
      </c>
      <c r="J25" s="49">
        <v>0</v>
      </c>
      <c r="K25" s="49">
        <v>0</v>
      </c>
      <c r="L25" s="49">
        <v>930.94</v>
      </c>
      <c r="M25" s="49">
        <v>0</v>
      </c>
      <c r="N25" s="71">
        <v>0</v>
      </c>
      <c r="O25" s="72">
        <v>5364</v>
      </c>
    </row>
    <row r="26" spans="2:15">
      <c r="B26" s="70" t="s">
        <v>1671</v>
      </c>
      <c r="C26" s="44" t="s">
        <v>1685</v>
      </c>
      <c r="D26" s="45" t="s">
        <v>57</v>
      </c>
      <c r="E26" s="45" t="s">
        <v>17</v>
      </c>
      <c r="F26" s="45">
        <v>30715186655</v>
      </c>
      <c r="G26" s="71">
        <v>68319.83</v>
      </c>
      <c r="H26" s="71">
        <v>0</v>
      </c>
      <c r="I26" s="49">
        <v>0</v>
      </c>
      <c r="J26" s="49">
        <v>0</v>
      </c>
      <c r="K26" s="49">
        <v>0</v>
      </c>
      <c r="L26" s="49">
        <v>14347.16</v>
      </c>
      <c r="M26" s="49">
        <v>0</v>
      </c>
      <c r="N26" s="71">
        <v>0</v>
      </c>
      <c r="O26" s="72">
        <v>82666.990000000005</v>
      </c>
    </row>
    <row r="27" spans="2:15">
      <c r="B27" s="70" t="s">
        <v>1671</v>
      </c>
      <c r="C27" s="44" t="s">
        <v>1686</v>
      </c>
      <c r="D27" s="45" t="s">
        <v>66</v>
      </c>
      <c r="E27" s="45" t="s">
        <v>17</v>
      </c>
      <c r="F27" s="45">
        <v>30710961790</v>
      </c>
      <c r="G27" s="71">
        <v>53102.07</v>
      </c>
      <c r="H27" s="71">
        <v>0</v>
      </c>
      <c r="I27" s="49">
        <v>0</v>
      </c>
      <c r="J27" s="49">
        <v>0</v>
      </c>
      <c r="K27" s="49">
        <v>0</v>
      </c>
      <c r="L27" s="49">
        <v>11151.43</v>
      </c>
      <c r="M27" s="49">
        <v>0</v>
      </c>
      <c r="N27" s="71">
        <v>0</v>
      </c>
      <c r="O27" s="72">
        <v>64253.5</v>
      </c>
    </row>
    <row r="28" spans="2:15">
      <c r="B28" s="70" t="s">
        <v>1671</v>
      </c>
      <c r="C28" s="44" t="s">
        <v>1687</v>
      </c>
      <c r="D28" s="45" t="s">
        <v>80</v>
      </c>
      <c r="E28" s="45" t="s">
        <v>17</v>
      </c>
      <c r="F28" s="45">
        <v>30608716390</v>
      </c>
      <c r="G28" s="71">
        <v>1983.47</v>
      </c>
      <c r="H28" s="71">
        <v>0</v>
      </c>
      <c r="I28" s="49">
        <v>0</v>
      </c>
      <c r="J28" s="49">
        <v>0</v>
      </c>
      <c r="K28" s="49">
        <v>0</v>
      </c>
      <c r="L28" s="49">
        <v>416.53</v>
      </c>
      <c r="M28" s="49">
        <v>0</v>
      </c>
      <c r="N28" s="71">
        <v>0</v>
      </c>
      <c r="O28" s="72">
        <v>2400</v>
      </c>
    </row>
    <row r="29" spans="2:15">
      <c r="B29" s="70" t="s">
        <v>1671</v>
      </c>
      <c r="C29" s="44" t="s">
        <v>1688</v>
      </c>
      <c r="D29" s="45" t="s">
        <v>33</v>
      </c>
      <c r="E29" s="45" t="s">
        <v>17</v>
      </c>
      <c r="F29" s="45">
        <v>30683032227</v>
      </c>
      <c r="G29" s="71">
        <v>281380.28999999998</v>
      </c>
      <c r="H29" s="71">
        <v>0</v>
      </c>
      <c r="I29" s="49">
        <v>0</v>
      </c>
      <c r="J29" s="49">
        <v>0</v>
      </c>
      <c r="K29" s="49">
        <v>0</v>
      </c>
      <c r="L29" s="49">
        <v>59089.86</v>
      </c>
      <c r="M29" s="49">
        <v>0</v>
      </c>
      <c r="N29" s="71">
        <v>0</v>
      </c>
      <c r="O29" s="72">
        <v>340470.15</v>
      </c>
    </row>
    <row r="30" spans="2:15">
      <c r="B30" s="70" t="s">
        <v>1671</v>
      </c>
      <c r="C30" s="44" t="s">
        <v>1689</v>
      </c>
      <c r="D30" s="45" t="s">
        <v>33</v>
      </c>
      <c r="E30" s="45" t="s">
        <v>17</v>
      </c>
      <c r="F30" s="45">
        <v>30683032227</v>
      </c>
      <c r="G30" s="71">
        <v>23623.8</v>
      </c>
      <c r="H30" s="71">
        <v>0</v>
      </c>
      <c r="I30" s="49">
        <v>0</v>
      </c>
      <c r="J30" s="49">
        <v>0</v>
      </c>
      <c r="K30" s="49">
        <v>0</v>
      </c>
      <c r="L30" s="49">
        <v>4961</v>
      </c>
      <c r="M30" s="49">
        <v>0</v>
      </c>
      <c r="N30" s="71">
        <v>0</v>
      </c>
      <c r="O30" s="72">
        <v>28584.799999999999</v>
      </c>
    </row>
    <row r="31" spans="2:15">
      <c r="B31" s="70" t="s">
        <v>1671</v>
      </c>
      <c r="C31" s="44" t="s">
        <v>1690</v>
      </c>
      <c r="D31" s="45" t="s">
        <v>16</v>
      </c>
      <c r="E31" s="45" t="s">
        <v>17</v>
      </c>
      <c r="F31" s="45">
        <v>30522428163</v>
      </c>
      <c r="G31" s="71">
        <v>252862.44</v>
      </c>
      <c r="H31" s="71">
        <v>0</v>
      </c>
      <c r="I31" s="49">
        <v>0</v>
      </c>
      <c r="J31" s="49">
        <v>0</v>
      </c>
      <c r="K31" s="49">
        <v>0</v>
      </c>
      <c r="L31" s="49">
        <v>53101.11</v>
      </c>
      <c r="M31" s="49">
        <v>0</v>
      </c>
      <c r="N31" s="71">
        <v>0</v>
      </c>
      <c r="O31" s="72">
        <v>305963.55</v>
      </c>
    </row>
    <row r="32" spans="2:15">
      <c r="B32" s="70" t="s">
        <v>1695</v>
      </c>
      <c r="C32" s="44" t="s">
        <v>1706</v>
      </c>
      <c r="D32" s="45" t="s">
        <v>84</v>
      </c>
      <c r="E32" s="45" t="s">
        <v>17</v>
      </c>
      <c r="F32" s="45">
        <v>30709016012</v>
      </c>
      <c r="G32" s="71">
        <v>48206.58</v>
      </c>
      <c r="H32" s="71">
        <v>0</v>
      </c>
      <c r="I32" s="49">
        <v>0</v>
      </c>
      <c r="J32" s="49">
        <v>0</v>
      </c>
      <c r="K32" s="49">
        <v>0</v>
      </c>
      <c r="L32" s="49">
        <v>10123.380000000001</v>
      </c>
      <c r="M32" s="49">
        <v>0</v>
      </c>
      <c r="N32" s="71">
        <v>0</v>
      </c>
      <c r="O32" s="72">
        <v>58329.96</v>
      </c>
    </row>
    <row r="33" spans="2:15">
      <c r="B33" s="70" t="s">
        <v>1695</v>
      </c>
      <c r="C33" s="44" t="s">
        <v>1707</v>
      </c>
      <c r="D33" s="45" t="s">
        <v>62</v>
      </c>
      <c r="E33" s="45" t="s">
        <v>17</v>
      </c>
      <c r="F33" s="45">
        <v>30713669004</v>
      </c>
      <c r="G33" s="71">
        <v>14996.69</v>
      </c>
      <c r="H33" s="71">
        <v>0</v>
      </c>
      <c r="I33" s="49">
        <v>0</v>
      </c>
      <c r="J33" s="49">
        <v>0</v>
      </c>
      <c r="K33" s="49">
        <v>0</v>
      </c>
      <c r="L33" s="49">
        <v>3149.3</v>
      </c>
      <c r="M33" s="49">
        <v>0</v>
      </c>
      <c r="N33" s="71">
        <v>0</v>
      </c>
      <c r="O33" s="72">
        <v>18145.990000000002</v>
      </c>
    </row>
    <row r="34" spans="2:15">
      <c r="B34" s="70" t="s">
        <v>1714</v>
      </c>
      <c r="C34" s="44" t="s">
        <v>1726</v>
      </c>
      <c r="D34" s="45" t="s">
        <v>70</v>
      </c>
      <c r="E34" s="45" t="s">
        <v>17</v>
      </c>
      <c r="F34" s="45">
        <v>30645337979</v>
      </c>
      <c r="G34" s="71">
        <v>11215.39</v>
      </c>
      <c r="H34" s="71">
        <v>0</v>
      </c>
      <c r="I34" s="49">
        <v>0</v>
      </c>
      <c r="J34" s="49">
        <v>0</v>
      </c>
      <c r="K34" s="49">
        <v>0</v>
      </c>
      <c r="L34" s="49">
        <v>2355.23</v>
      </c>
      <c r="M34" s="49">
        <v>0</v>
      </c>
      <c r="N34" s="71">
        <v>0</v>
      </c>
      <c r="O34" s="72">
        <v>13570.62</v>
      </c>
    </row>
    <row r="35" spans="2:15">
      <c r="B35" s="70" t="s">
        <v>1714</v>
      </c>
      <c r="C35" s="44" t="s">
        <v>1727</v>
      </c>
      <c r="D35" s="45" t="s">
        <v>74</v>
      </c>
      <c r="E35" s="45" t="s">
        <v>17</v>
      </c>
      <c r="F35" s="45">
        <v>30707612971</v>
      </c>
      <c r="G35" s="71">
        <v>9915.7900000000009</v>
      </c>
      <c r="H35" s="71">
        <v>0</v>
      </c>
      <c r="I35" s="49">
        <v>0</v>
      </c>
      <c r="J35" s="49">
        <v>0</v>
      </c>
      <c r="K35" s="49">
        <v>0</v>
      </c>
      <c r="L35" s="49">
        <v>2082.3200000000002</v>
      </c>
      <c r="M35" s="49">
        <v>0</v>
      </c>
      <c r="N35" s="71">
        <v>0</v>
      </c>
      <c r="O35" s="72">
        <v>11998.11</v>
      </c>
    </row>
    <row r="36" spans="2:15">
      <c r="B36" s="70" t="s">
        <v>1714</v>
      </c>
      <c r="C36" s="44" t="s">
        <v>1728</v>
      </c>
      <c r="D36" s="45" t="s">
        <v>80</v>
      </c>
      <c r="E36" s="45" t="s">
        <v>17</v>
      </c>
      <c r="F36" s="45">
        <v>30608716390</v>
      </c>
      <c r="G36" s="71">
        <v>1818.18</v>
      </c>
      <c r="H36" s="71">
        <v>0</v>
      </c>
      <c r="I36" s="49">
        <v>0</v>
      </c>
      <c r="J36" s="49">
        <v>0</v>
      </c>
      <c r="K36" s="49">
        <v>0</v>
      </c>
      <c r="L36" s="49">
        <v>381.82</v>
      </c>
      <c r="M36" s="49">
        <v>0</v>
      </c>
      <c r="N36" s="71">
        <v>0</v>
      </c>
      <c r="O36" s="72">
        <v>2200</v>
      </c>
    </row>
    <row r="37" spans="2:15">
      <c r="B37" s="70" t="s">
        <v>1714</v>
      </c>
      <c r="C37" s="44" t="s">
        <v>1729</v>
      </c>
      <c r="D37" s="45" t="s">
        <v>72</v>
      </c>
      <c r="E37" s="45" t="s">
        <v>17</v>
      </c>
      <c r="F37" s="45">
        <v>30657418877</v>
      </c>
      <c r="G37" s="71">
        <v>3065.29</v>
      </c>
      <c r="H37" s="71">
        <v>0</v>
      </c>
      <c r="I37" s="49">
        <v>0</v>
      </c>
      <c r="J37" s="49">
        <v>0</v>
      </c>
      <c r="K37" s="49">
        <v>0</v>
      </c>
      <c r="L37" s="49">
        <v>643.71</v>
      </c>
      <c r="M37" s="49">
        <v>0</v>
      </c>
      <c r="N37" s="71">
        <v>0</v>
      </c>
      <c r="O37" s="72">
        <v>3709</v>
      </c>
    </row>
    <row r="38" spans="2:15">
      <c r="B38" s="70" t="s">
        <v>1714</v>
      </c>
      <c r="C38" s="44" t="s">
        <v>1730</v>
      </c>
      <c r="D38" s="45" t="s">
        <v>84</v>
      </c>
      <c r="E38" s="45" t="s">
        <v>17</v>
      </c>
      <c r="F38" s="45">
        <v>30709016012</v>
      </c>
      <c r="G38" s="71">
        <v>10041.32</v>
      </c>
      <c r="H38" s="71">
        <v>0</v>
      </c>
      <c r="I38" s="49">
        <v>0</v>
      </c>
      <c r="J38" s="49">
        <v>0</v>
      </c>
      <c r="K38" s="49">
        <v>0</v>
      </c>
      <c r="L38" s="49">
        <v>2108.6799999999998</v>
      </c>
      <c r="M38" s="49">
        <v>0</v>
      </c>
      <c r="N38" s="71">
        <v>0</v>
      </c>
      <c r="O38" s="72">
        <v>12150</v>
      </c>
    </row>
    <row r="39" spans="2:15">
      <c r="B39" s="70" t="s">
        <v>1749</v>
      </c>
      <c r="C39" s="44" t="s">
        <v>1765</v>
      </c>
      <c r="D39" s="45" t="s">
        <v>80</v>
      </c>
      <c r="E39" s="45" t="s">
        <v>17</v>
      </c>
      <c r="F39" s="45">
        <v>30608716390</v>
      </c>
      <c r="G39" s="71">
        <v>2466.94</v>
      </c>
      <c r="H39" s="71">
        <v>0</v>
      </c>
      <c r="I39" s="49">
        <v>0</v>
      </c>
      <c r="J39" s="49">
        <v>0</v>
      </c>
      <c r="K39" s="49">
        <v>0</v>
      </c>
      <c r="L39" s="49">
        <v>518.06000000000006</v>
      </c>
      <c r="M39" s="49">
        <v>0</v>
      </c>
      <c r="N39" s="71">
        <v>0</v>
      </c>
      <c r="O39" s="72">
        <v>2985</v>
      </c>
    </row>
    <row r="40" spans="2:15">
      <c r="B40" s="70" t="s">
        <v>1774</v>
      </c>
      <c r="C40" s="44" t="s">
        <v>1790</v>
      </c>
      <c r="D40" s="45" t="s">
        <v>80</v>
      </c>
      <c r="E40" s="45" t="s">
        <v>17</v>
      </c>
      <c r="F40" s="45">
        <v>30608716390</v>
      </c>
      <c r="G40" s="71">
        <v>1818.18</v>
      </c>
      <c r="H40" s="71">
        <v>0</v>
      </c>
      <c r="I40" s="49">
        <v>0</v>
      </c>
      <c r="J40" s="49">
        <v>0</v>
      </c>
      <c r="K40" s="49">
        <v>0</v>
      </c>
      <c r="L40" s="49">
        <v>381.82</v>
      </c>
      <c r="M40" s="49">
        <v>0</v>
      </c>
      <c r="N40" s="71">
        <v>0</v>
      </c>
      <c r="O40" s="72">
        <v>2200</v>
      </c>
    </row>
    <row r="41" spans="2:15">
      <c r="B41" s="70" t="s">
        <v>1774</v>
      </c>
      <c r="C41" s="44" t="s">
        <v>1791</v>
      </c>
      <c r="D41" s="45" t="s">
        <v>80</v>
      </c>
      <c r="E41" s="45" t="s">
        <v>17</v>
      </c>
      <c r="F41" s="45">
        <v>30608716390</v>
      </c>
      <c r="G41" s="71">
        <v>3115.7</v>
      </c>
      <c r="H41" s="71">
        <v>0</v>
      </c>
      <c r="I41" s="49">
        <v>0</v>
      </c>
      <c r="J41" s="49">
        <v>0</v>
      </c>
      <c r="K41" s="49">
        <v>0</v>
      </c>
      <c r="L41" s="49">
        <v>654.30000000000007</v>
      </c>
      <c r="M41" s="49">
        <v>0</v>
      </c>
      <c r="N41" s="71">
        <v>0</v>
      </c>
      <c r="O41" s="72">
        <v>3770</v>
      </c>
    </row>
    <row r="42" spans="2:15">
      <c r="B42" s="70" t="s">
        <v>1831</v>
      </c>
      <c r="C42" s="44" t="s">
        <v>1844</v>
      </c>
      <c r="D42" s="45" t="s">
        <v>33</v>
      </c>
      <c r="E42" s="45" t="s">
        <v>17</v>
      </c>
      <c r="F42" s="45">
        <v>30683032227</v>
      </c>
      <c r="G42" s="71">
        <v>186776.86</v>
      </c>
      <c r="H42" s="71">
        <v>0</v>
      </c>
      <c r="I42" s="49">
        <v>0</v>
      </c>
      <c r="J42" s="49">
        <v>0</v>
      </c>
      <c r="K42" s="49">
        <v>0</v>
      </c>
      <c r="L42" s="49">
        <v>39223.14</v>
      </c>
      <c r="M42" s="49">
        <v>0</v>
      </c>
      <c r="N42" s="71">
        <v>0</v>
      </c>
      <c r="O42" s="72">
        <v>226000</v>
      </c>
    </row>
    <row r="43" spans="2:15">
      <c r="B43" s="70" t="s">
        <v>1849</v>
      </c>
      <c r="C43" s="44" t="s">
        <v>1870</v>
      </c>
      <c r="D43" s="45" t="s">
        <v>33</v>
      </c>
      <c r="E43" s="45" t="s">
        <v>17</v>
      </c>
      <c r="F43" s="45">
        <v>30683032227</v>
      </c>
      <c r="G43" s="71">
        <v>8099.17</v>
      </c>
      <c r="H43" s="71">
        <v>0</v>
      </c>
      <c r="I43" s="49">
        <v>0</v>
      </c>
      <c r="J43" s="49">
        <v>0</v>
      </c>
      <c r="K43" s="49">
        <v>0</v>
      </c>
      <c r="L43" s="49">
        <v>1700.83</v>
      </c>
      <c r="M43" s="49">
        <v>0</v>
      </c>
      <c r="N43" s="71">
        <v>0</v>
      </c>
      <c r="O43" s="72">
        <v>9800</v>
      </c>
    </row>
    <row r="44" spans="2:15">
      <c r="B44" s="70" t="s">
        <v>1849</v>
      </c>
      <c r="C44" s="44" t="s">
        <v>1871</v>
      </c>
      <c r="D44" s="45" t="s">
        <v>1872</v>
      </c>
      <c r="E44" s="45" t="s">
        <v>17</v>
      </c>
      <c r="F44" s="45">
        <v>30606274161</v>
      </c>
      <c r="G44" s="71">
        <v>6032.23</v>
      </c>
      <c r="H44" s="71">
        <v>0</v>
      </c>
      <c r="I44" s="49">
        <v>0</v>
      </c>
      <c r="J44" s="49">
        <v>0</v>
      </c>
      <c r="K44" s="49">
        <v>0</v>
      </c>
      <c r="L44" s="49">
        <v>1266.77</v>
      </c>
      <c r="M44" s="49">
        <v>0</v>
      </c>
      <c r="N44" s="71">
        <v>0</v>
      </c>
      <c r="O44" s="72">
        <v>7299</v>
      </c>
    </row>
    <row r="45" spans="2:15">
      <c r="B45" s="70" t="s">
        <v>1849</v>
      </c>
      <c r="C45" s="44" t="s">
        <v>1873</v>
      </c>
      <c r="D45" s="45" t="s">
        <v>16</v>
      </c>
      <c r="E45" s="45" t="s">
        <v>17</v>
      </c>
      <c r="F45" s="45">
        <v>30522428163</v>
      </c>
      <c r="G45" s="71">
        <v>60330.58</v>
      </c>
      <c r="H45" s="71">
        <v>0</v>
      </c>
      <c r="I45" s="49">
        <v>0</v>
      </c>
      <c r="J45" s="49">
        <v>0</v>
      </c>
      <c r="K45" s="49">
        <v>0</v>
      </c>
      <c r="L45" s="49">
        <v>12669.42</v>
      </c>
      <c r="M45" s="49">
        <v>0</v>
      </c>
      <c r="N45" s="71">
        <v>0</v>
      </c>
      <c r="O45" s="72">
        <v>73000</v>
      </c>
    </row>
    <row r="46" spans="2:15">
      <c r="B46" s="70" t="s">
        <v>1849</v>
      </c>
      <c r="C46" s="44" t="s">
        <v>1874</v>
      </c>
      <c r="D46" s="45" t="s">
        <v>80</v>
      </c>
      <c r="E46" s="45" t="s">
        <v>17</v>
      </c>
      <c r="F46" s="45">
        <v>30608716390</v>
      </c>
      <c r="G46" s="71">
        <v>1557.85</v>
      </c>
      <c r="H46" s="71">
        <v>0</v>
      </c>
      <c r="I46" s="49">
        <v>0</v>
      </c>
      <c r="J46" s="49">
        <v>0</v>
      </c>
      <c r="K46" s="49">
        <v>0</v>
      </c>
      <c r="L46" s="49">
        <v>327.15000000000003</v>
      </c>
      <c r="M46" s="49">
        <v>0</v>
      </c>
      <c r="N46" s="71">
        <v>0</v>
      </c>
      <c r="O46" s="72">
        <v>1885</v>
      </c>
    </row>
    <row r="47" spans="2:15">
      <c r="B47" s="70" t="s">
        <v>1932</v>
      </c>
      <c r="C47" s="44" t="s">
        <v>1944</v>
      </c>
      <c r="D47" s="45" t="s">
        <v>80</v>
      </c>
      <c r="E47" s="45" t="s">
        <v>17</v>
      </c>
      <c r="F47" s="45">
        <v>30608716390</v>
      </c>
      <c r="G47" s="71">
        <v>7851.23</v>
      </c>
      <c r="H47" s="71">
        <v>0</v>
      </c>
      <c r="I47" s="49">
        <v>0</v>
      </c>
      <c r="J47" s="49">
        <v>0</v>
      </c>
      <c r="K47" s="49">
        <v>0</v>
      </c>
      <c r="L47" s="49">
        <v>1648.76</v>
      </c>
      <c r="M47" s="49">
        <v>0</v>
      </c>
      <c r="N47" s="71">
        <v>0</v>
      </c>
      <c r="O47" s="72">
        <v>9499.99</v>
      </c>
    </row>
    <row r="48" spans="2:15">
      <c r="B48" s="70" t="s">
        <v>1953</v>
      </c>
      <c r="C48" s="44" t="s">
        <v>1971</v>
      </c>
      <c r="D48" s="45" t="s">
        <v>80</v>
      </c>
      <c r="E48" s="45" t="s">
        <v>17</v>
      </c>
      <c r="F48" s="45">
        <v>30608716390</v>
      </c>
      <c r="G48" s="71">
        <v>1557.85</v>
      </c>
      <c r="H48" s="71">
        <v>0</v>
      </c>
      <c r="I48" s="49">
        <v>0</v>
      </c>
      <c r="J48" s="49">
        <v>0</v>
      </c>
      <c r="K48" s="49">
        <v>0</v>
      </c>
      <c r="L48" s="49">
        <v>327.15000000000003</v>
      </c>
      <c r="M48" s="49">
        <v>0</v>
      </c>
      <c r="N48" s="71">
        <v>0</v>
      </c>
      <c r="O48" s="72">
        <v>1885</v>
      </c>
    </row>
    <row r="49" spans="2:15">
      <c r="B49" s="70" t="s">
        <v>1831</v>
      </c>
      <c r="C49" s="44" t="s">
        <v>1840</v>
      </c>
      <c r="D49" s="45" t="s">
        <v>16</v>
      </c>
      <c r="E49" s="45" t="s">
        <v>17</v>
      </c>
      <c r="F49" s="45">
        <v>30522428163</v>
      </c>
      <c r="G49" s="71">
        <v>-263971.19</v>
      </c>
      <c r="H49" s="71">
        <v>0</v>
      </c>
      <c r="I49" s="49">
        <v>0</v>
      </c>
      <c r="J49" s="49">
        <v>0</v>
      </c>
      <c r="K49" s="49">
        <v>0</v>
      </c>
      <c r="L49" s="49">
        <v>-55433.95</v>
      </c>
      <c r="M49" s="49">
        <v>0</v>
      </c>
      <c r="N49" s="71">
        <v>0</v>
      </c>
      <c r="O49" s="72">
        <v>-319405.14</v>
      </c>
    </row>
    <row r="50" spans="2:15">
      <c r="B50" s="70" t="s">
        <v>1831</v>
      </c>
      <c r="C50" s="44" t="s">
        <v>1841</v>
      </c>
      <c r="D50" s="45" t="s">
        <v>16</v>
      </c>
      <c r="E50" s="45" t="s">
        <v>17</v>
      </c>
      <c r="F50" s="45">
        <v>30522428163</v>
      </c>
      <c r="G50" s="71">
        <v>-464778.43</v>
      </c>
      <c r="H50" s="71">
        <v>0</v>
      </c>
      <c r="I50" s="49">
        <v>0</v>
      </c>
      <c r="J50" s="49">
        <v>0</v>
      </c>
      <c r="K50" s="49">
        <v>0</v>
      </c>
      <c r="L50" s="49">
        <v>-97603.47</v>
      </c>
      <c r="M50" s="49">
        <v>0</v>
      </c>
      <c r="N50" s="71">
        <v>0</v>
      </c>
      <c r="O50" s="72">
        <v>-562381.9</v>
      </c>
    </row>
    <row r="51" spans="2:15">
      <c r="B51" s="70" t="s">
        <v>1831</v>
      </c>
      <c r="C51" s="44" t="s">
        <v>1842</v>
      </c>
      <c r="D51" s="45" t="s">
        <v>16</v>
      </c>
      <c r="E51" s="45" t="s">
        <v>17</v>
      </c>
      <c r="F51" s="45">
        <v>30522428163</v>
      </c>
      <c r="G51" s="71">
        <v>-337968.38</v>
      </c>
      <c r="H51" s="71">
        <v>0</v>
      </c>
      <c r="I51" s="49">
        <v>0</v>
      </c>
      <c r="J51" s="49">
        <v>0</v>
      </c>
      <c r="K51" s="49">
        <v>0</v>
      </c>
      <c r="L51" s="49">
        <v>-70973.36</v>
      </c>
      <c r="M51" s="49">
        <v>0</v>
      </c>
      <c r="N51" s="71">
        <v>0</v>
      </c>
      <c r="O51" s="72">
        <v>-408941.74</v>
      </c>
    </row>
    <row r="52" spans="2:15">
      <c r="B52" s="70" t="s">
        <v>1831</v>
      </c>
      <c r="C52" s="44" t="s">
        <v>1843</v>
      </c>
      <c r="D52" s="45" t="s">
        <v>16</v>
      </c>
      <c r="E52" s="45" t="s">
        <v>17</v>
      </c>
      <c r="F52" s="45">
        <v>30522428163</v>
      </c>
      <c r="G52" s="71">
        <v>-27381.3</v>
      </c>
      <c r="H52" s="71">
        <v>0</v>
      </c>
      <c r="I52" s="49">
        <v>0</v>
      </c>
      <c r="J52" s="49">
        <v>0</v>
      </c>
      <c r="K52" s="49">
        <v>0</v>
      </c>
      <c r="L52" s="49">
        <v>-5750.07</v>
      </c>
      <c r="M52" s="49">
        <v>0</v>
      </c>
      <c r="N52" s="71">
        <v>0</v>
      </c>
      <c r="O52" s="72">
        <v>-33131.370000000003</v>
      </c>
    </row>
    <row r="53" spans="2:15">
      <c r="B53" s="70" t="s">
        <v>1953</v>
      </c>
      <c r="C53" s="44" t="s">
        <v>1969</v>
      </c>
      <c r="D53" s="45" t="s">
        <v>16</v>
      </c>
      <c r="E53" s="45" t="s">
        <v>17</v>
      </c>
      <c r="F53" s="45">
        <v>30522428163</v>
      </c>
      <c r="G53" s="71">
        <v>-1258595.04</v>
      </c>
      <c r="H53" s="71">
        <v>0</v>
      </c>
      <c r="I53" s="49">
        <v>0</v>
      </c>
      <c r="J53" s="49">
        <v>0</v>
      </c>
      <c r="K53" s="49">
        <v>0</v>
      </c>
      <c r="L53" s="49">
        <v>-264304.96000000002</v>
      </c>
      <c r="M53" s="49">
        <v>0</v>
      </c>
      <c r="N53" s="71">
        <v>0</v>
      </c>
      <c r="O53" s="72">
        <v>-1522900</v>
      </c>
    </row>
    <row r="54" spans="2:15">
      <c r="B54" s="70" t="s">
        <v>1981</v>
      </c>
      <c r="C54" s="44" t="s">
        <v>1997</v>
      </c>
      <c r="D54" s="45" t="s">
        <v>16</v>
      </c>
      <c r="E54" s="45" t="s">
        <v>17</v>
      </c>
      <c r="F54" s="45">
        <v>30522428163</v>
      </c>
      <c r="G54" s="71">
        <v>-64627.27</v>
      </c>
      <c r="H54" s="71">
        <v>0</v>
      </c>
      <c r="I54" s="49">
        <v>0</v>
      </c>
      <c r="J54" s="49">
        <v>0</v>
      </c>
      <c r="K54" s="49">
        <v>0</v>
      </c>
      <c r="L54" s="49">
        <v>-13571.73</v>
      </c>
      <c r="M54" s="49">
        <v>0</v>
      </c>
      <c r="N54" s="71">
        <v>0</v>
      </c>
      <c r="O54" s="72">
        <v>-78199</v>
      </c>
    </row>
    <row r="55" spans="2:15">
      <c r="B55" s="70" t="s">
        <v>1849</v>
      </c>
      <c r="C55" s="44" t="s">
        <v>1869</v>
      </c>
      <c r="D55" s="45" t="s">
        <v>80</v>
      </c>
      <c r="E55" s="45" t="s">
        <v>17</v>
      </c>
      <c r="F55" s="45">
        <v>30608716390</v>
      </c>
      <c r="G55" s="71">
        <v>-909.09</v>
      </c>
      <c r="H55" s="71">
        <v>0</v>
      </c>
      <c r="I55" s="49">
        <v>0</v>
      </c>
      <c r="J55" s="49">
        <v>0</v>
      </c>
      <c r="K55" s="49">
        <v>0</v>
      </c>
      <c r="L55" s="49">
        <v>-190.91</v>
      </c>
      <c r="M55" s="49">
        <v>0</v>
      </c>
      <c r="N55" s="71">
        <v>0</v>
      </c>
      <c r="O55" s="72">
        <v>-1100</v>
      </c>
    </row>
    <row r="56" spans="2:15">
      <c r="B56" s="70"/>
      <c r="C56" s="44"/>
      <c r="D56" s="45"/>
      <c r="E56" s="45"/>
      <c r="F56" s="45"/>
      <c r="G56" s="76">
        <f>SUM(G3:G55)</f>
        <v>48786172.589999981</v>
      </c>
      <c r="H56" s="76">
        <f t="shared" ref="H56:O56" si="0">SUM(H3:H55)</f>
        <v>0</v>
      </c>
      <c r="I56" s="76">
        <f t="shared" si="0"/>
        <v>0</v>
      </c>
      <c r="J56" s="76">
        <f t="shared" si="0"/>
        <v>0</v>
      </c>
      <c r="K56" s="76">
        <f t="shared" si="0"/>
        <v>0</v>
      </c>
      <c r="L56" s="76">
        <f t="shared" si="0"/>
        <v>10245096.23</v>
      </c>
      <c r="M56" s="76">
        <f t="shared" si="0"/>
        <v>0</v>
      </c>
      <c r="N56" s="76">
        <f t="shared" si="0"/>
        <v>0</v>
      </c>
      <c r="O56" s="76">
        <f t="shared" si="0"/>
        <v>59031268.819999993</v>
      </c>
    </row>
    <row r="57" spans="2:15" ht="15.75">
      <c r="B57" s="77" t="s">
        <v>2022</v>
      </c>
    </row>
    <row r="58" spans="2:15">
      <c r="B58" s="70" t="s">
        <v>1642</v>
      </c>
      <c r="C58" s="44" t="s">
        <v>1643</v>
      </c>
      <c r="D58" s="45" t="s">
        <v>122</v>
      </c>
      <c r="E58" s="45" t="s">
        <v>123</v>
      </c>
      <c r="F58" s="45" t="s">
        <v>124</v>
      </c>
      <c r="G58" s="71">
        <v>6115.7</v>
      </c>
      <c r="H58" s="71">
        <v>0</v>
      </c>
      <c r="I58" s="49">
        <v>0</v>
      </c>
      <c r="J58" s="49">
        <v>0</v>
      </c>
      <c r="K58" s="49">
        <v>0</v>
      </c>
      <c r="L58" s="49">
        <v>1284.3</v>
      </c>
      <c r="M58" s="49">
        <v>0</v>
      </c>
      <c r="N58" s="71">
        <v>0</v>
      </c>
      <c r="O58" s="72">
        <v>7400</v>
      </c>
    </row>
    <row r="59" spans="2:15">
      <c r="B59" s="70" t="s">
        <v>1642</v>
      </c>
      <c r="C59" s="44" t="s">
        <v>1644</v>
      </c>
      <c r="D59" s="45" t="s">
        <v>122</v>
      </c>
      <c r="E59" s="45" t="s">
        <v>123</v>
      </c>
      <c r="F59" s="45" t="s">
        <v>124</v>
      </c>
      <c r="G59" s="71">
        <v>19008.27</v>
      </c>
      <c r="H59" s="71">
        <v>0</v>
      </c>
      <c r="I59" s="49">
        <v>0</v>
      </c>
      <c r="J59" s="49">
        <v>0</v>
      </c>
      <c r="K59" s="49">
        <v>0</v>
      </c>
      <c r="L59" s="49">
        <v>3991.73</v>
      </c>
      <c r="M59" s="49">
        <v>0</v>
      </c>
      <c r="N59" s="71">
        <v>0</v>
      </c>
      <c r="O59" s="72">
        <v>23000</v>
      </c>
    </row>
    <row r="60" spans="2:15">
      <c r="B60" s="70" t="s">
        <v>1642</v>
      </c>
      <c r="C60" s="44" t="s">
        <v>1645</v>
      </c>
      <c r="D60" s="45" t="s">
        <v>122</v>
      </c>
      <c r="E60" s="45" t="s">
        <v>123</v>
      </c>
      <c r="F60" s="45" t="s">
        <v>124</v>
      </c>
      <c r="G60" s="71">
        <v>2066.12</v>
      </c>
      <c r="H60" s="71">
        <v>0</v>
      </c>
      <c r="I60" s="49">
        <v>0</v>
      </c>
      <c r="J60" s="49">
        <v>0</v>
      </c>
      <c r="K60" s="49">
        <v>0</v>
      </c>
      <c r="L60" s="49">
        <v>433.88</v>
      </c>
      <c r="M60" s="49">
        <v>0</v>
      </c>
      <c r="N60" s="71">
        <v>0</v>
      </c>
      <c r="O60" s="72">
        <v>2500</v>
      </c>
    </row>
    <row r="61" spans="2:15">
      <c r="B61" s="70" t="s">
        <v>1642</v>
      </c>
      <c r="C61" s="44" t="s">
        <v>1646</v>
      </c>
      <c r="D61" s="45" t="s">
        <v>122</v>
      </c>
      <c r="E61" s="45" t="s">
        <v>123</v>
      </c>
      <c r="F61" s="45" t="s">
        <v>124</v>
      </c>
      <c r="G61" s="71">
        <v>6446.28</v>
      </c>
      <c r="H61" s="71">
        <v>0</v>
      </c>
      <c r="I61" s="49">
        <v>0</v>
      </c>
      <c r="J61" s="49">
        <v>0</v>
      </c>
      <c r="K61" s="49">
        <v>0</v>
      </c>
      <c r="L61" s="49">
        <v>1353.72</v>
      </c>
      <c r="M61" s="49">
        <v>0</v>
      </c>
      <c r="N61" s="71">
        <v>0</v>
      </c>
      <c r="O61" s="72">
        <v>7800</v>
      </c>
    </row>
    <row r="62" spans="2:15">
      <c r="B62" s="70" t="s">
        <v>1642</v>
      </c>
      <c r="C62" s="44" t="s">
        <v>1647</v>
      </c>
      <c r="D62" s="45" t="s">
        <v>122</v>
      </c>
      <c r="E62" s="45" t="s">
        <v>123</v>
      </c>
      <c r="F62" s="45" t="s">
        <v>124</v>
      </c>
      <c r="G62" s="71">
        <v>2702.48</v>
      </c>
      <c r="H62" s="71">
        <v>0</v>
      </c>
      <c r="I62" s="49">
        <v>0</v>
      </c>
      <c r="J62" s="49">
        <v>0</v>
      </c>
      <c r="K62" s="49">
        <v>0</v>
      </c>
      <c r="L62" s="49">
        <v>567.52</v>
      </c>
      <c r="M62" s="49">
        <v>0</v>
      </c>
      <c r="N62" s="71">
        <v>0</v>
      </c>
      <c r="O62" s="72">
        <v>3270</v>
      </c>
    </row>
    <row r="63" spans="2:15">
      <c r="B63" s="70" t="s">
        <v>1642</v>
      </c>
      <c r="C63" s="44" t="s">
        <v>1648</v>
      </c>
      <c r="D63" s="45" t="s">
        <v>122</v>
      </c>
      <c r="E63" s="45" t="s">
        <v>123</v>
      </c>
      <c r="F63" s="45" t="s">
        <v>124</v>
      </c>
      <c r="G63" s="71">
        <v>5330.58</v>
      </c>
      <c r="H63" s="71">
        <v>0</v>
      </c>
      <c r="I63" s="49">
        <v>0</v>
      </c>
      <c r="J63" s="49">
        <v>0</v>
      </c>
      <c r="K63" s="49">
        <v>0</v>
      </c>
      <c r="L63" s="49">
        <v>1119.42</v>
      </c>
      <c r="M63" s="49">
        <v>0</v>
      </c>
      <c r="N63" s="71">
        <v>0</v>
      </c>
      <c r="O63" s="72">
        <v>6450</v>
      </c>
    </row>
    <row r="64" spans="2:15">
      <c r="B64" s="70" t="s">
        <v>1642</v>
      </c>
      <c r="C64" s="44" t="s">
        <v>1649</v>
      </c>
      <c r="D64" s="45" t="s">
        <v>122</v>
      </c>
      <c r="E64" s="45" t="s">
        <v>123</v>
      </c>
      <c r="F64" s="45" t="s">
        <v>124</v>
      </c>
      <c r="G64" s="71">
        <v>6198.35</v>
      </c>
      <c r="H64" s="71">
        <v>0</v>
      </c>
      <c r="I64" s="49">
        <v>0</v>
      </c>
      <c r="J64" s="49">
        <v>0</v>
      </c>
      <c r="K64" s="49">
        <v>0</v>
      </c>
      <c r="L64" s="49">
        <v>1301.6500000000001</v>
      </c>
      <c r="M64" s="49">
        <v>0</v>
      </c>
      <c r="N64" s="71">
        <v>0</v>
      </c>
      <c r="O64" s="72">
        <v>7500</v>
      </c>
    </row>
    <row r="65" spans="2:15">
      <c r="B65" s="70" t="s">
        <v>1642</v>
      </c>
      <c r="C65" s="44" t="s">
        <v>1650</v>
      </c>
      <c r="D65" s="45" t="s">
        <v>122</v>
      </c>
      <c r="E65" s="45" t="s">
        <v>123</v>
      </c>
      <c r="F65" s="45" t="s">
        <v>124</v>
      </c>
      <c r="G65" s="71">
        <v>8512.4</v>
      </c>
      <c r="H65" s="71">
        <v>0</v>
      </c>
      <c r="I65" s="49">
        <v>0</v>
      </c>
      <c r="J65" s="49">
        <v>0</v>
      </c>
      <c r="K65" s="49">
        <v>0</v>
      </c>
      <c r="L65" s="49">
        <v>1787.6</v>
      </c>
      <c r="M65" s="49">
        <v>0</v>
      </c>
      <c r="N65" s="71">
        <v>0</v>
      </c>
      <c r="O65" s="72">
        <v>10300</v>
      </c>
    </row>
    <row r="66" spans="2:15">
      <c r="B66" s="70" t="s">
        <v>1642</v>
      </c>
      <c r="C66" s="44" t="s">
        <v>1651</v>
      </c>
      <c r="D66" s="45" t="s">
        <v>122</v>
      </c>
      <c r="E66" s="45" t="s">
        <v>123</v>
      </c>
      <c r="F66" s="45" t="s">
        <v>124</v>
      </c>
      <c r="G66" s="71">
        <v>4462.8100000000004</v>
      </c>
      <c r="H66" s="71">
        <v>0</v>
      </c>
      <c r="I66" s="49">
        <v>0</v>
      </c>
      <c r="J66" s="49">
        <v>0</v>
      </c>
      <c r="K66" s="49">
        <v>0</v>
      </c>
      <c r="L66" s="49">
        <v>937.19</v>
      </c>
      <c r="M66" s="49">
        <v>0</v>
      </c>
      <c r="N66" s="71">
        <v>0</v>
      </c>
      <c r="O66" s="72">
        <v>5400</v>
      </c>
    </row>
    <row r="67" spans="2:15">
      <c r="B67" s="70" t="s">
        <v>1642</v>
      </c>
      <c r="C67" s="44" t="s">
        <v>1652</v>
      </c>
      <c r="D67" s="45" t="s">
        <v>122</v>
      </c>
      <c r="E67" s="45" t="s">
        <v>123</v>
      </c>
      <c r="F67" s="45" t="s">
        <v>124</v>
      </c>
      <c r="G67" s="71">
        <v>8264.4600000000009</v>
      </c>
      <c r="H67" s="71">
        <v>0</v>
      </c>
      <c r="I67" s="49">
        <v>0</v>
      </c>
      <c r="J67" s="49">
        <v>0</v>
      </c>
      <c r="K67" s="49">
        <v>0</v>
      </c>
      <c r="L67" s="49">
        <v>1735.54</v>
      </c>
      <c r="M67" s="49">
        <v>0</v>
      </c>
      <c r="N67" s="71">
        <v>0</v>
      </c>
      <c r="O67" s="72">
        <v>10000</v>
      </c>
    </row>
    <row r="68" spans="2:15">
      <c r="B68" s="70" t="s">
        <v>1671</v>
      </c>
      <c r="C68" s="44" t="s">
        <v>1672</v>
      </c>
      <c r="D68" s="45" t="s">
        <v>122</v>
      </c>
      <c r="E68" s="45" t="s">
        <v>123</v>
      </c>
      <c r="F68" s="45" t="s">
        <v>124</v>
      </c>
      <c r="G68" s="71">
        <v>3099.17</v>
      </c>
      <c r="H68" s="71">
        <v>0</v>
      </c>
      <c r="I68" s="49">
        <v>0</v>
      </c>
      <c r="J68" s="49">
        <v>0</v>
      </c>
      <c r="K68" s="49">
        <v>0</v>
      </c>
      <c r="L68" s="49">
        <v>650.83000000000004</v>
      </c>
      <c r="M68" s="49">
        <v>0</v>
      </c>
      <c r="N68" s="71">
        <v>0</v>
      </c>
      <c r="O68" s="72">
        <v>3750</v>
      </c>
    </row>
    <row r="69" spans="2:15">
      <c r="B69" s="70" t="s">
        <v>1671</v>
      </c>
      <c r="C69" s="44" t="s">
        <v>1673</v>
      </c>
      <c r="D69" s="45" t="s">
        <v>122</v>
      </c>
      <c r="E69" s="45" t="s">
        <v>123</v>
      </c>
      <c r="F69" s="45" t="s">
        <v>124</v>
      </c>
      <c r="G69" s="71">
        <v>3099.17</v>
      </c>
      <c r="H69" s="71">
        <v>0</v>
      </c>
      <c r="I69" s="49">
        <v>0</v>
      </c>
      <c r="J69" s="49">
        <v>0</v>
      </c>
      <c r="K69" s="49">
        <v>0</v>
      </c>
      <c r="L69" s="49">
        <v>650.83000000000004</v>
      </c>
      <c r="M69" s="49">
        <v>0</v>
      </c>
      <c r="N69" s="71">
        <v>0</v>
      </c>
      <c r="O69" s="72">
        <v>3750</v>
      </c>
    </row>
    <row r="70" spans="2:15">
      <c r="B70" s="70" t="s">
        <v>1671</v>
      </c>
      <c r="C70" s="44" t="s">
        <v>1674</v>
      </c>
      <c r="D70" s="45" t="s">
        <v>122</v>
      </c>
      <c r="E70" s="45" t="s">
        <v>123</v>
      </c>
      <c r="F70" s="45" t="s">
        <v>124</v>
      </c>
      <c r="G70" s="71">
        <v>3099.17</v>
      </c>
      <c r="H70" s="71">
        <v>0</v>
      </c>
      <c r="I70" s="49">
        <v>0</v>
      </c>
      <c r="J70" s="49">
        <v>0</v>
      </c>
      <c r="K70" s="49">
        <v>0</v>
      </c>
      <c r="L70" s="49">
        <v>650.83000000000004</v>
      </c>
      <c r="M70" s="49">
        <v>0</v>
      </c>
      <c r="N70" s="71">
        <v>0</v>
      </c>
      <c r="O70" s="72">
        <v>3750</v>
      </c>
    </row>
    <row r="71" spans="2:15">
      <c r="B71" s="70" t="s">
        <v>1671</v>
      </c>
      <c r="C71" s="44" t="s">
        <v>1675</v>
      </c>
      <c r="D71" s="45" t="s">
        <v>122</v>
      </c>
      <c r="E71" s="45" t="s">
        <v>123</v>
      </c>
      <c r="F71" s="45" t="s">
        <v>124</v>
      </c>
      <c r="G71" s="71">
        <v>3884.3</v>
      </c>
      <c r="H71" s="71">
        <v>0</v>
      </c>
      <c r="I71" s="49">
        <v>0</v>
      </c>
      <c r="J71" s="49">
        <v>0</v>
      </c>
      <c r="K71" s="49">
        <v>0</v>
      </c>
      <c r="L71" s="49">
        <v>815.7</v>
      </c>
      <c r="M71" s="49">
        <v>0</v>
      </c>
      <c r="N71" s="71">
        <v>0</v>
      </c>
      <c r="O71" s="72">
        <v>4700</v>
      </c>
    </row>
    <row r="72" spans="2:15">
      <c r="B72" s="70" t="s">
        <v>1671</v>
      </c>
      <c r="C72" s="44" t="s">
        <v>1676</v>
      </c>
      <c r="D72" s="45" t="s">
        <v>122</v>
      </c>
      <c r="E72" s="45" t="s">
        <v>123</v>
      </c>
      <c r="F72" s="45" t="s">
        <v>124</v>
      </c>
      <c r="G72" s="71">
        <v>4958.68</v>
      </c>
      <c r="H72" s="71">
        <v>0</v>
      </c>
      <c r="I72" s="49">
        <v>0</v>
      </c>
      <c r="J72" s="49">
        <v>0</v>
      </c>
      <c r="K72" s="49">
        <v>0</v>
      </c>
      <c r="L72" s="49">
        <v>1041.32</v>
      </c>
      <c r="M72" s="49">
        <v>0</v>
      </c>
      <c r="N72" s="71">
        <v>0</v>
      </c>
      <c r="O72" s="72">
        <v>6000</v>
      </c>
    </row>
    <row r="73" spans="2:15">
      <c r="B73" s="70" t="s">
        <v>1671</v>
      </c>
      <c r="C73" s="44" t="s">
        <v>1677</v>
      </c>
      <c r="D73" s="45" t="s">
        <v>122</v>
      </c>
      <c r="E73" s="45" t="s">
        <v>123</v>
      </c>
      <c r="F73" s="45" t="s">
        <v>124</v>
      </c>
      <c r="G73" s="71">
        <v>2892.56</v>
      </c>
      <c r="H73" s="71">
        <v>0</v>
      </c>
      <c r="I73" s="49">
        <v>0</v>
      </c>
      <c r="J73" s="49">
        <v>0</v>
      </c>
      <c r="K73" s="49">
        <v>0</v>
      </c>
      <c r="L73" s="49">
        <v>607.44000000000005</v>
      </c>
      <c r="M73" s="49">
        <v>0</v>
      </c>
      <c r="N73" s="71">
        <v>0</v>
      </c>
      <c r="O73" s="72">
        <v>3500</v>
      </c>
    </row>
    <row r="74" spans="2:15">
      <c r="B74" s="70" t="s">
        <v>1671</v>
      </c>
      <c r="C74" s="44" t="s">
        <v>1678</v>
      </c>
      <c r="D74" s="45" t="s">
        <v>122</v>
      </c>
      <c r="E74" s="45" t="s">
        <v>123</v>
      </c>
      <c r="F74" s="45" t="s">
        <v>124</v>
      </c>
      <c r="G74" s="71">
        <v>991.74</v>
      </c>
      <c r="H74" s="71">
        <v>0</v>
      </c>
      <c r="I74" s="49">
        <v>0</v>
      </c>
      <c r="J74" s="49">
        <v>0</v>
      </c>
      <c r="K74" s="49">
        <v>0</v>
      </c>
      <c r="L74" s="49">
        <v>208.26</v>
      </c>
      <c r="M74" s="49">
        <v>0</v>
      </c>
      <c r="N74" s="71">
        <v>0</v>
      </c>
      <c r="O74" s="72">
        <v>1200</v>
      </c>
    </row>
    <row r="75" spans="2:15">
      <c r="B75" s="70" t="s">
        <v>1671</v>
      </c>
      <c r="C75" s="44" t="s">
        <v>1679</v>
      </c>
      <c r="D75" s="45" t="s">
        <v>122</v>
      </c>
      <c r="E75" s="45" t="s">
        <v>123</v>
      </c>
      <c r="F75" s="45" t="s">
        <v>124</v>
      </c>
      <c r="G75" s="71">
        <v>5041.32</v>
      </c>
      <c r="H75" s="71">
        <v>0</v>
      </c>
      <c r="I75" s="49">
        <v>0</v>
      </c>
      <c r="J75" s="49">
        <v>0</v>
      </c>
      <c r="K75" s="49">
        <v>0</v>
      </c>
      <c r="L75" s="49">
        <v>1058.68</v>
      </c>
      <c r="M75" s="49">
        <v>0</v>
      </c>
      <c r="N75" s="71">
        <v>0</v>
      </c>
      <c r="O75" s="72">
        <v>6100</v>
      </c>
    </row>
    <row r="76" spans="2:15">
      <c r="B76" s="70" t="s">
        <v>1671</v>
      </c>
      <c r="C76" s="44" t="s">
        <v>1680</v>
      </c>
      <c r="D76" s="45" t="s">
        <v>122</v>
      </c>
      <c r="E76" s="45" t="s">
        <v>123</v>
      </c>
      <c r="F76" s="45" t="s">
        <v>124</v>
      </c>
      <c r="G76" s="71">
        <v>6859.5</v>
      </c>
      <c r="H76" s="71">
        <v>0</v>
      </c>
      <c r="I76" s="49">
        <v>0</v>
      </c>
      <c r="J76" s="49">
        <v>0</v>
      </c>
      <c r="K76" s="49">
        <v>0</v>
      </c>
      <c r="L76" s="49">
        <v>1440.5</v>
      </c>
      <c r="M76" s="49">
        <v>0</v>
      </c>
      <c r="N76" s="71">
        <v>0</v>
      </c>
      <c r="O76" s="72">
        <v>8300</v>
      </c>
    </row>
    <row r="77" spans="2:15">
      <c r="B77" s="70" t="s">
        <v>1695</v>
      </c>
      <c r="C77" s="44" t="s">
        <v>1696</v>
      </c>
      <c r="D77" s="45" t="s">
        <v>122</v>
      </c>
      <c r="E77" s="45" t="s">
        <v>123</v>
      </c>
      <c r="F77" s="45" t="s">
        <v>124</v>
      </c>
      <c r="G77" s="71">
        <v>11570.25</v>
      </c>
      <c r="H77" s="71">
        <v>0</v>
      </c>
      <c r="I77" s="49">
        <v>0</v>
      </c>
      <c r="J77" s="49">
        <v>0</v>
      </c>
      <c r="K77" s="49">
        <v>0</v>
      </c>
      <c r="L77" s="49">
        <v>2429.75</v>
      </c>
      <c r="M77" s="49">
        <v>0</v>
      </c>
      <c r="N77" s="71">
        <v>0</v>
      </c>
      <c r="O77" s="72">
        <v>14000</v>
      </c>
    </row>
    <row r="78" spans="2:15">
      <c r="B78" s="70" t="s">
        <v>1695</v>
      </c>
      <c r="C78" s="44" t="s">
        <v>1697</v>
      </c>
      <c r="D78" s="45" t="s">
        <v>122</v>
      </c>
      <c r="E78" s="45" t="s">
        <v>123</v>
      </c>
      <c r="F78" s="45" t="s">
        <v>124</v>
      </c>
      <c r="G78" s="71">
        <v>6776.86</v>
      </c>
      <c r="H78" s="71">
        <v>0</v>
      </c>
      <c r="I78" s="49">
        <v>0</v>
      </c>
      <c r="J78" s="49">
        <v>0</v>
      </c>
      <c r="K78" s="49">
        <v>0</v>
      </c>
      <c r="L78" s="49">
        <v>1423.14</v>
      </c>
      <c r="M78" s="49">
        <v>0</v>
      </c>
      <c r="N78" s="71">
        <v>0</v>
      </c>
      <c r="O78" s="72">
        <v>8200</v>
      </c>
    </row>
    <row r="79" spans="2:15">
      <c r="B79" s="70" t="s">
        <v>1695</v>
      </c>
      <c r="C79" s="44" t="s">
        <v>1698</v>
      </c>
      <c r="D79" s="45" t="s">
        <v>122</v>
      </c>
      <c r="E79" s="45" t="s">
        <v>123</v>
      </c>
      <c r="F79" s="45" t="s">
        <v>124</v>
      </c>
      <c r="G79" s="71">
        <v>6776.86</v>
      </c>
      <c r="H79" s="71">
        <v>0</v>
      </c>
      <c r="I79" s="49">
        <v>0</v>
      </c>
      <c r="J79" s="49">
        <v>0</v>
      </c>
      <c r="K79" s="49">
        <v>0</v>
      </c>
      <c r="L79" s="49">
        <v>1423.14</v>
      </c>
      <c r="M79" s="49">
        <v>0</v>
      </c>
      <c r="N79" s="71">
        <v>0</v>
      </c>
      <c r="O79" s="72">
        <v>8200</v>
      </c>
    </row>
    <row r="80" spans="2:15">
      <c r="B80" s="70" t="s">
        <v>1695</v>
      </c>
      <c r="C80" s="44" t="s">
        <v>1699</v>
      </c>
      <c r="D80" s="45" t="s">
        <v>122</v>
      </c>
      <c r="E80" s="45" t="s">
        <v>123</v>
      </c>
      <c r="F80" s="45" t="s">
        <v>124</v>
      </c>
      <c r="G80" s="71">
        <v>8595.0400000000009</v>
      </c>
      <c r="H80" s="71">
        <v>0</v>
      </c>
      <c r="I80" s="49">
        <v>0</v>
      </c>
      <c r="J80" s="49">
        <v>0</v>
      </c>
      <c r="K80" s="49">
        <v>0</v>
      </c>
      <c r="L80" s="49">
        <v>1804.96</v>
      </c>
      <c r="M80" s="49">
        <v>0</v>
      </c>
      <c r="N80" s="71">
        <v>0</v>
      </c>
      <c r="O80" s="72">
        <v>10400</v>
      </c>
    </row>
    <row r="81" spans="2:15">
      <c r="B81" s="70" t="s">
        <v>1695</v>
      </c>
      <c r="C81" s="44" t="s">
        <v>1700</v>
      </c>
      <c r="D81" s="45" t="s">
        <v>122</v>
      </c>
      <c r="E81" s="45" t="s">
        <v>123</v>
      </c>
      <c r="F81" s="45" t="s">
        <v>124</v>
      </c>
      <c r="G81" s="71">
        <v>6776.86</v>
      </c>
      <c r="H81" s="71">
        <v>0</v>
      </c>
      <c r="I81" s="49">
        <v>0</v>
      </c>
      <c r="J81" s="49">
        <v>0</v>
      </c>
      <c r="K81" s="49">
        <v>0</v>
      </c>
      <c r="L81" s="49">
        <v>1423.14</v>
      </c>
      <c r="M81" s="49">
        <v>0</v>
      </c>
      <c r="N81" s="71">
        <v>0</v>
      </c>
      <c r="O81" s="72">
        <v>8200</v>
      </c>
    </row>
    <row r="82" spans="2:15">
      <c r="B82" s="70" t="s">
        <v>1695</v>
      </c>
      <c r="C82" s="44" t="s">
        <v>1701</v>
      </c>
      <c r="D82" s="45" t="s">
        <v>122</v>
      </c>
      <c r="E82" s="45" t="s">
        <v>123</v>
      </c>
      <c r="F82" s="45" t="s">
        <v>124</v>
      </c>
      <c r="G82" s="71">
        <v>4132.2300000000005</v>
      </c>
      <c r="H82" s="71">
        <v>0</v>
      </c>
      <c r="I82" s="49">
        <v>0</v>
      </c>
      <c r="J82" s="49">
        <v>0</v>
      </c>
      <c r="K82" s="49">
        <v>0</v>
      </c>
      <c r="L82" s="49">
        <v>867.77</v>
      </c>
      <c r="M82" s="49">
        <v>0</v>
      </c>
      <c r="N82" s="71">
        <v>0</v>
      </c>
      <c r="O82" s="72">
        <v>5000</v>
      </c>
    </row>
    <row r="83" spans="2:15">
      <c r="B83" s="70" t="s">
        <v>1695</v>
      </c>
      <c r="C83" s="44" t="s">
        <v>1702</v>
      </c>
      <c r="D83" s="45" t="s">
        <v>122</v>
      </c>
      <c r="E83" s="45" t="s">
        <v>123</v>
      </c>
      <c r="F83" s="45" t="s">
        <v>124</v>
      </c>
      <c r="G83" s="71">
        <v>1900.83</v>
      </c>
      <c r="H83" s="71">
        <v>0</v>
      </c>
      <c r="I83" s="49">
        <v>0</v>
      </c>
      <c r="J83" s="49">
        <v>0</v>
      </c>
      <c r="K83" s="49">
        <v>0</v>
      </c>
      <c r="L83" s="49">
        <v>399.17</v>
      </c>
      <c r="M83" s="49">
        <v>0</v>
      </c>
      <c r="N83" s="71">
        <v>0</v>
      </c>
      <c r="O83" s="72">
        <v>2300</v>
      </c>
    </row>
    <row r="84" spans="2:15">
      <c r="B84" s="70" t="s">
        <v>1695</v>
      </c>
      <c r="C84" s="44" t="s">
        <v>1703</v>
      </c>
      <c r="D84" s="45" t="s">
        <v>122</v>
      </c>
      <c r="E84" s="45" t="s">
        <v>123</v>
      </c>
      <c r="F84" s="45" t="s">
        <v>124</v>
      </c>
      <c r="G84" s="71">
        <v>3305.79</v>
      </c>
      <c r="H84" s="71">
        <v>0</v>
      </c>
      <c r="I84" s="49">
        <v>0</v>
      </c>
      <c r="J84" s="49">
        <v>0</v>
      </c>
      <c r="K84" s="49">
        <v>0</v>
      </c>
      <c r="L84" s="49">
        <v>694.21</v>
      </c>
      <c r="M84" s="49">
        <v>0</v>
      </c>
      <c r="N84" s="71">
        <v>0</v>
      </c>
      <c r="O84" s="72">
        <v>4000</v>
      </c>
    </row>
    <row r="85" spans="2:15">
      <c r="B85" s="70" t="s">
        <v>1695</v>
      </c>
      <c r="C85" s="44" t="s">
        <v>1704</v>
      </c>
      <c r="D85" s="45" t="s">
        <v>122</v>
      </c>
      <c r="E85" s="45" t="s">
        <v>123</v>
      </c>
      <c r="F85" s="45" t="s">
        <v>124</v>
      </c>
      <c r="G85" s="71">
        <v>14049.59</v>
      </c>
      <c r="H85" s="71">
        <v>0</v>
      </c>
      <c r="I85" s="49">
        <v>0</v>
      </c>
      <c r="J85" s="49">
        <v>0</v>
      </c>
      <c r="K85" s="49">
        <v>0</v>
      </c>
      <c r="L85" s="49">
        <v>2950.41</v>
      </c>
      <c r="M85" s="49">
        <v>0</v>
      </c>
      <c r="N85" s="71">
        <v>0</v>
      </c>
      <c r="O85" s="72">
        <v>17000</v>
      </c>
    </row>
    <row r="86" spans="2:15">
      <c r="B86" s="70" t="s">
        <v>1695</v>
      </c>
      <c r="C86" s="44" t="s">
        <v>1705</v>
      </c>
      <c r="D86" s="45" t="s">
        <v>122</v>
      </c>
      <c r="E86" s="45" t="s">
        <v>123</v>
      </c>
      <c r="F86" s="45" t="s">
        <v>124</v>
      </c>
      <c r="G86" s="71">
        <v>2231.4</v>
      </c>
      <c r="H86" s="71">
        <v>0</v>
      </c>
      <c r="I86" s="49">
        <v>0</v>
      </c>
      <c r="J86" s="49">
        <v>0</v>
      </c>
      <c r="K86" s="49">
        <v>0</v>
      </c>
      <c r="L86" s="49">
        <v>468.6</v>
      </c>
      <c r="M86" s="49">
        <v>0</v>
      </c>
      <c r="N86" s="71">
        <v>0</v>
      </c>
      <c r="O86" s="72">
        <v>2700</v>
      </c>
    </row>
    <row r="87" spans="2:15">
      <c r="B87" s="70" t="s">
        <v>1714</v>
      </c>
      <c r="C87" s="44" t="s">
        <v>1715</v>
      </c>
      <c r="D87" s="45" t="s">
        <v>122</v>
      </c>
      <c r="E87" s="45" t="s">
        <v>123</v>
      </c>
      <c r="F87" s="45" t="s">
        <v>124</v>
      </c>
      <c r="G87" s="71">
        <v>2479.34</v>
      </c>
      <c r="H87" s="71">
        <v>0</v>
      </c>
      <c r="I87" s="49">
        <v>0</v>
      </c>
      <c r="J87" s="49">
        <v>0</v>
      </c>
      <c r="K87" s="49">
        <v>0</v>
      </c>
      <c r="L87" s="49">
        <v>520.66</v>
      </c>
      <c r="M87" s="49">
        <v>0</v>
      </c>
      <c r="N87" s="71">
        <v>0</v>
      </c>
      <c r="O87" s="72">
        <v>3000</v>
      </c>
    </row>
    <row r="88" spans="2:15">
      <c r="B88" s="70" t="s">
        <v>1714</v>
      </c>
      <c r="C88" s="44" t="s">
        <v>1716</v>
      </c>
      <c r="D88" s="45" t="s">
        <v>122</v>
      </c>
      <c r="E88" s="45" t="s">
        <v>123</v>
      </c>
      <c r="F88" s="45" t="s">
        <v>124</v>
      </c>
      <c r="G88" s="71">
        <v>6776.86</v>
      </c>
      <c r="H88" s="71">
        <v>0</v>
      </c>
      <c r="I88" s="49">
        <v>0</v>
      </c>
      <c r="J88" s="49">
        <v>0</v>
      </c>
      <c r="K88" s="49">
        <v>0</v>
      </c>
      <c r="L88" s="49">
        <v>1423.14</v>
      </c>
      <c r="M88" s="49">
        <v>0</v>
      </c>
      <c r="N88" s="71">
        <v>0</v>
      </c>
      <c r="O88" s="72">
        <v>8200</v>
      </c>
    </row>
    <row r="89" spans="2:15">
      <c r="B89" s="70" t="s">
        <v>1714</v>
      </c>
      <c r="C89" s="44" t="s">
        <v>1717</v>
      </c>
      <c r="D89" s="45" t="s">
        <v>122</v>
      </c>
      <c r="E89" s="45" t="s">
        <v>123</v>
      </c>
      <c r="F89" s="45" t="s">
        <v>124</v>
      </c>
      <c r="G89" s="71">
        <v>7099.17</v>
      </c>
      <c r="H89" s="71">
        <v>0</v>
      </c>
      <c r="I89" s="49">
        <v>0</v>
      </c>
      <c r="J89" s="49">
        <v>0</v>
      </c>
      <c r="K89" s="49">
        <v>0</v>
      </c>
      <c r="L89" s="49">
        <v>1490.83</v>
      </c>
      <c r="M89" s="49">
        <v>0</v>
      </c>
      <c r="N89" s="71">
        <v>0</v>
      </c>
      <c r="O89" s="72">
        <v>8590</v>
      </c>
    </row>
    <row r="90" spans="2:15">
      <c r="B90" s="70" t="s">
        <v>1714</v>
      </c>
      <c r="C90" s="44" t="s">
        <v>1718</v>
      </c>
      <c r="D90" s="45" t="s">
        <v>122</v>
      </c>
      <c r="E90" s="45" t="s">
        <v>123</v>
      </c>
      <c r="F90" s="45" t="s">
        <v>124</v>
      </c>
      <c r="G90" s="71">
        <v>3099.17</v>
      </c>
      <c r="H90" s="71">
        <v>0</v>
      </c>
      <c r="I90" s="49">
        <v>0</v>
      </c>
      <c r="J90" s="49">
        <v>0</v>
      </c>
      <c r="K90" s="49">
        <v>0</v>
      </c>
      <c r="L90" s="49">
        <v>650.83000000000004</v>
      </c>
      <c r="M90" s="49">
        <v>0</v>
      </c>
      <c r="N90" s="71">
        <v>0</v>
      </c>
      <c r="O90" s="72">
        <v>3750</v>
      </c>
    </row>
    <row r="91" spans="2:15">
      <c r="B91" s="70" t="s">
        <v>1714</v>
      </c>
      <c r="C91" s="44" t="s">
        <v>1719</v>
      </c>
      <c r="D91" s="45" t="s">
        <v>122</v>
      </c>
      <c r="E91" s="45" t="s">
        <v>123</v>
      </c>
      <c r="F91" s="45" t="s">
        <v>124</v>
      </c>
      <c r="G91" s="71">
        <v>7024.79</v>
      </c>
      <c r="H91" s="71">
        <v>0</v>
      </c>
      <c r="I91" s="49">
        <v>0</v>
      </c>
      <c r="J91" s="49">
        <v>0</v>
      </c>
      <c r="K91" s="49">
        <v>0</v>
      </c>
      <c r="L91" s="49">
        <v>1475.21</v>
      </c>
      <c r="M91" s="49">
        <v>0</v>
      </c>
      <c r="N91" s="71">
        <v>0</v>
      </c>
      <c r="O91" s="72">
        <v>8500</v>
      </c>
    </row>
    <row r="92" spans="2:15">
      <c r="B92" s="70" t="s">
        <v>1714</v>
      </c>
      <c r="C92" s="44" t="s">
        <v>1720</v>
      </c>
      <c r="D92" s="45" t="s">
        <v>122</v>
      </c>
      <c r="E92" s="45" t="s">
        <v>123</v>
      </c>
      <c r="F92" s="45" t="s">
        <v>124</v>
      </c>
      <c r="G92" s="71">
        <v>6033.06</v>
      </c>
      <c r="H92" s="71">
        <v>0</v>
      </c>
      <c r="I92" s="49">
        <v>0</v>
      </c>
      <c r="J92" s="49">
        <v>0</v>
      </c>
      <c r="K92" s="49">
        <v>0</v>
      </c>
      <c r="L92" s="49">
        <v>1266.94</v>
      </c>
      <c r="M92" s="49">
        <v>0</v>
      </c>
      <c r="N92" s="71">
        <v>0</v>
      </c>
      <c r="O92" s="72">
        <v>7300</v>
      </c>
    </row>
    <row r="93" spans="2:15">
      <c r="B93" s="70" t="s">
        <v>1714</v>
      </c>
      <c r="C93" s="44" t="s">
        <v>1721</v>
      </c>
      <c r="D93" s="45" t="s">
        <v>122</v>
      </c>
      <c r="E93" s="45" t="s">
        <v>123</v>
      </c>
      <c r="F93" s="45" t="s">
        <v>124</v>
      </c>
      <c r="G93" s="71">
        <v>12793.39</v>
      </c>
      <c r="H93" s="71">
        <v>0</v>
      </c>
      <c r="I93" s="49">
        <v>0</v>
      </c>
      <c r="J93" s="49">
        <v>0</v>
      </c>
      <c r="K93" s="49">
        <v>0</v>
      </c>
      <c r="L93" s="49">
        <v>2686.61</v>
      </c>
      <c r="M93" s="49">
        <v>0</v>
      </c>
      <c r="N93" s="71">
        <v>0</v>
      </c>
      <c r="O93" s="72">
        <v>15480</v>
      </c>
    </row>
    <row r="94" spans="2:15">
      <c r="B94" s="70" t="s">
        <v>1714</v>
      </c>
      <c r="C94" s="44" t="s">
        <v>1722</v>
      </c>
      <c r="D94" s="45" t="s">
        <v>122</v>
      </c>
      <c r="E94" s="45" t="s">
        <v>123</v>
      </c>
      <c r="F94" s="45" t="s">
        <v>124</v>
      </c>
      <c r="G94" s="71">
        <v>2900.83</v>
      </c>
      <c r="H94" s="71">
        <v>0</v>
      </c>
      <c r="I94" s="49">
        <v>0</v>
      </c>
      <c r="J94" s="49">
        <v>0</v>
      </c>
      <c r="K94" s="49">
        <v>0</v>
      </c>
      <c r="L94" s="49">
        <v>609.16999999999996</v>
      </c>
      <c r="M94" s="49">
        <v>0</v>
      </c>
      <c r="N94" s="71">
        <v>0</v>
      </c>
      <c r="O94" s="72">
        <v>3510</v>
      </c>
    </row>
    <row r="95" spans="2:15">
      <c r="B95" s="70" t="s">
        <v>1714</v>
      </c>
      <c r="C95" s="44" t="s">
        <v>1723</v>
      </c>
      <c r="D95" s="45" t="s">
        <v>122</v>
      </c>
      <c r="E95" s="45" t="s">
        <v>123</v>
      </c>
      <c r="F95" s="45" t="s">
        <v>124</v>
      </c>
      <c r="G95" s="71">
        <v>5041.32</v>
      </c>
      <c r="H95" s="71">
        <v>0</v>
      </c>
      <c r="I95" s="49">
        <v>0</v>
      </c>
      <c r="J95" s="49">
        <v>0</v>
      </c>
      <c r="K95" s="49">
        <v>0</v>
      </c>
      <c r="L95" s="49">
        <v>1058.68</v>
      </c>
      <c r="M95" s="49">
        <v>0</v>
      </c>
      <c r="N95" s="71">
        <v>0</v>
      </c>
      <c r="O95" s="72">
        <v>6100</v>
      </c>
    </row>
    <row r="96" spans="2:15">
      <c r="B96" s="70" t="s">
        <v>1714</v>
      </c>
      <c r="C96" s="44" t="s">
        <v>1724</v>
      </c>
      <c r="D96" s="45" t="s">
        <v>122</v>
      </c>
      <c r="E96" s="45" t="s">
        <v>123</v>
      </c>
      <c r="F96" s="45" t="s">
        <v>124</v>
      </c>
      <c r="G96" s="71">
        <v>3388.43</v>
      </c>
      <c r="H96" s="71">
        <v>0</v>
      </c>
      <c r="I96" s="49">
        <v>0</v>
      </c>
      <c r="J96" s="49">
        <v>0</v>
      </c>
      <c r="K96" s="49">
        <v>0</v>
      </c>
      <c r="L96" s="49">
        <v>711.57</v>
      </c>
      <c r="M96" s="49">
        <v>0</v>
      </c>
      <c r="N96" s="71">
        <v>0</v>
      </c>
      <c r="O96" s="72">
        <v>4100</v>
      </c>
    </row>
    <row r="97" spans="2:15">
      <c r="B97" s="70" t="s">
        <v>1714</v>
      </c>
      <c r="C97" s="44" t="s">
        <v>1725</v>
      </c>
      <c r="D97" s="45" t="s">
        <v>122</v>
      </c>
      <c r="E97" s="45" t="s">
        <v>123</v>
      </c>
      <c r="F97" s="45" t="s">
        <v>124</v>
      </c>
      <c r="G97" s="71">
        <v>3099.17</v>
      </c>
      <c r="H97" s="71">
        <v>0</v>
      </c>
      <c r="I97" s="49">
        <v>0</v>
      </c>
      <c r="J97" s="49">
        <v>0</v>
      </c>
      <c r="K97" s="49">
        <v>0</v>
      </c>
      <c r="L97" s="49">
        <v>650.83000000000004</v>
      </c>
      <c r="M97" s="49">
        <v>0</v>
      </c>
      <c r="N97" s="71">
        <v>0</v>
      </c>
      <c r="O97" s="72">
        <v>3750</v>
      </c>
    </row>
    <row r="98" spans="2:15">
      <c r="B98" s="70" t="s">
        <v>1732</v>
      </c>
      <c r="C98" s="44" t="s">
        <v>1733</v>
      </c>
      <c r="D98" s="45" t="s">
        <v>122</v>
      </c>
      <c r="E98" s="45" t="s">
        <v>123</v>
      </c>
      <c r="F98" s="45" t="s">
        <v>124</v>
      </c>
      <c r="G98" s="71">
        <v>5289.26</v>
      </c>
      <c r="H98" s="71">
        <v>0</v>
      </c>
      <c r="I98" s="49">
        <v>0</v>
      </c>
      <c r="J98" s="49">
        <v>0</v>
      </c>
      <c r="K98" s="49">
        <v>0</v>
      </c>
      <c r="L98" s="49">
        <v>1110.74</v>
      </c>
      <c r="M98" s="49">
        <v>0</v>
      </c>
      <c r="N98" s="71">
        <v>0</v>
      </c>
      <c r="O98" s="72">
        <v>6400</v>
      </c>
    </row>
    <row r="99" spans="2:15">
      <c r="B99" s="70" t="s">
        <v>1732</v>
      </c>
      <c r="C99" s="44" t="s">
        <v>1734</v>
      </c>
      <c r="D99" s="45" t="s">
        <v>1735</v>
      </c>
      <c r="E99" s="45" t="s">
        <v>123</v>
      </c>
      <c r="F99" s="45">
        <v>36821376</v>
      </c>
      <c r="G99" s="71">
        <v>3884.3</v>
      </c>
      <c r="H99" s="71">
        <v>0</v>
      </c>
      <c r="I99" s="49">
        <v>0</v>
      </c>
      <c r="J99" s="49">
        <v>0</v>
      </c>
      <c r="K99" s="49">
        <v>0</v>
      </c>
      <c r="L99" s="49">
        <v>815.7</v>
      </c>
      <c r="M99" s="49">
        <v>0</v>
      </c>
      <c r="N99" s="71">
        <v>0</v>
      </c>
      <c r="O99" s="72">
        <v>4700</v>
      </c>
    </row>
    <row r="100" spans="2:15">
      <c r="B100" s="70" t="s">
        <v>1732</v>
      </c>
      <c r="C100" s="44" t="s">
        <v>1736</v>
      </c>
      <c r="D100" s="45" t="s">
        <v>122</v>
      </c>
      <c r="E100" s="45" t="s">
        <v>123</v>
      </c>
      <c r="F100" s="45" t="s">
        <v>124</v>
      </c>
      <c r="G100" s="71">
        <v>17355.37</v>
      </c>
      <c r="H100" s="71">
        <v>0</v>
      </c>
      <c r="I100" s="49">
        <v>0</v>
      </c>
      <c r="J100" s="49">
        <v>0</v>
      </c>
      <c r="K100" s="49">
        <v>0</v>
      </c>
      <c r="L100" s="49">
        <v>3644.63</v>
      </c>
      <c r="M100" s="49">
        <v>0</v>
      </c>
      <c r="N100" s="71">
        <v>0</v>
      </c>
      <c r="O100" s="72">
        <v>21000</v>
      </c>
    </row>
    <row r="101" spans="2:15">
      <c r="B101" s="70" t="s">
        <v>1732</v>
      </c>
      <c r="C101" s="44" t="s">
        <v>1737</v>
      </c>
      <c r="D101" s="45" t="s">
        <v>1738</v>
      </c>
      <c r="E101" s="45" t="s">
        <v>123</v>
      </c>
      <c r="F101" s="45">
        <v>92732136</v>
      </c>
      <c r="G101" s="71">
        <v>7900.83</v>
      </c>
      <c r="H101" s="71">
        <v>0</v>
      </c>
      <c r="I101" s="49">
        <v>0</v>
      </c>
      <c r="J101" s="49">
        <v>0</v>
      </c>
      <c r="K101" s="49">
        <v>0</v>
      </c>
      <c r="L101" s="49">
        <v>1659.17</v>
      </c>
      <c r="M101" s="49">
        <v>0</v>
      </c>
      <c r="N101" s="71">
        <v>0</v>
      </c>
      <c r="O101" s="72">
        <v>9560</v>
      </c>
    </row>
    <row r="102" spans="2:15">
      <c r="B102" s="70" t="s">
        <v>1732</v>
      </c>
      <c r="C102" s="44" t="s">
        <v>1739</v>
      </c>
      <c r="D102" s="45" t="s">
        <v>122</v>
      </c>
      <c r="E102" s="45" t="s">
        <v>123</v>
      </c>
      <c r="F102" s="45" t="s">
        <v>124</v>
      </c>
      <c r="G102" s="71">
        <v>4876.03</v>
      </c>
      <c r="H102" s="71">
        <v>0</v>
      </c>
      <c r="I102" s="49">
        <v>0</v>
      </c>
      <c r="J102" s="49">
        <v>0</v>
      </c>
      <c r="K102" s="49">
        <v>0</v>
      </c>
      <c r="L102" s="49">
        <v>1023.97</v>
      </c>
      <c r="M102" s="49">
        <v>0</v>
      </c>
      <c r="N102" s="71">
        <v>0</v>
      </c>
      <c r="O102" s="72">
        <v>5900</v>
      </c>
    </row>
    <row r="103" spans="2:15">
      <c r="B103" s="70" t="s">
        <v>1732</v>
      </c>
      <c r="C103" s="44" t="s">
        <v>1740</v>
      </c>
      <c r="D103" s="45" t="s">
        <v>122</v>
      </c>
      <c r="E103" s="45" t="s">
        <v>123</v>
      </c>
      <c r="F103" s="45" t="s">
        <v>124</v>
      </c>
      <c r="G103" s="71">
        <v>17404.96</v>
      </c>
      <c r="H103" s="71">
        <v>0</v>
      </c>
      <c r="I103" s="49">
        <v>0</v>
      </c>
      <c r="J103" s="49">
        <v>0</v>
      </c>
      <c r="K103" s="49">
        <v>0</v>
      </c>
      <c r="L103" s="49">
        <v>3655.04</v>
      </c>
      <c r="M103" s="49">
        <v>0</v>
      </c>
      <c r="N103" s="71">
        <v>0</v>
      </c>
      <c r="O103" s="72">
        <v>21060</v>
      </c>
    </row>
    <row r="104" spans="2:15">
      <c r="B104" s="70" t="s">
        <v>1732</v>
      </c>
      <c r="C104" s="44" t="s">
        <v>1741</v>
      </c>
      <c r="D104" s="45" t="s">
        <v>122</v>
      </c>
      <c r="E104" s="45" t="s">
        <v>123</v>
      </c>
      <c r="F104" s="45" t="s">
        <v>124</v>
      </c>
      <c r="G104" s="71">
        <v>6528.93</v>
      </c>
      <c r="H104" s="71">
        <v>0</v>
      </c>
      <c r="I104" s="49">
        <v>0</v>
      </c>
      <c r="J104" s="49">
        <v>0</v>
      </c>
      <c r="K104" s="49">
        <v>0</v>
      </c>
      <c r="L104" s="49">
        <v>1371.07</v>
      </c>
      <c r="M104" s="49">
        <v>0</v>
      </c>
      <c r="N104" s="71">
        <v>0</v>
      </c>
      <c r="O104" s="72">
        <v>7900</v>
      </c>
    </row>
    <row r="105" spans="2:15">
      <c r="B105" s="70" t="s">
        <v>1732</v>
      </c>
      <c r="C105" s="44" t="s">
        <v>1742</v>
      </c>
      <c r="D105" s="45" t="s">
        <v>122</v>
      </c>
      <c r="E105" s="45" t="s">
        <v>123</v>
      </c>
      <c r="F105" s="45" t="s">
        <v>124</v>
      </c>
      <c r="G105" s="71">
        <v>3305.79</v>
      </c>
      <c r="H105" s="71">
        <v>0</v>
      </c>
      <c r="I105" s="49">
        <v>0</v>
      </c>
      <c r="J105" s="49">
        <v>0</v>
      </c>
      <c r="K105" s="49">
        <v>0</v>
      </c>
      <c r="L105" s="49">
        <v>694.21</v>
      </c>
      <c r="M105" s="49">
        <v>0</v>
      </c>
      <c r="N105" s="71">
        <v>0</v>
      </c>
      <c r="O105" s="72">
        <v>4000</v>
      </c>
    </row>
    <row r="106" spans="2:15">
      <c r="B106" s="70" t="s">
        <v>1732</v>
      </c>
      <c r="C106" s="44" t="s">
        <v>1743</v>
      </c>
      <c r="D106" s="45" t="s">
        <v>122</v>
      </c>
      <c r="E106" s="45" t="s">
        <v>123</v>
      </c>
      <c r="F106" s="45" t="s">
        <v>124</v>
      </c>
      <c r="G106" s="71">
        <v>12066.12</v>
      </c>
      <c r="H106" s="71">
        <v>0</v>
      </c>
      <c r="I106" s="49">
        <v>0</v>
      </c>
      <c r="J106" s="49">
        <v>0</v>
      </c>
      <c r="K106" s="49">
        <v>0</v>
      </c>
      <c r="L106" s="49">
        <v>2533.88</v>
      </c>
      <c r="M106" s="49">
        <v>0</v>
      </c>
      <c r="N106" s="71">
        <v>0</v>
      </c>
      <c r="O106" s="72">
        <v>14600</v>
      </c>
    </row>
    <row r="107" spans="2:15">
      <c r="B107" s="70" t="s">
        <v>1732</v>
      </c>
      <c r="C107" s="44" t="s">
        <v>1744</v>
      </c>
      <c r="D107" s="45" t="s">
        <v>122</v>
      </c>
      <c r="E107" s="45" t="s">
        <v>123</v>
      </c>
      <c r="F107" s="45" t="s">
        <v>124</v>
      </c>
      <c r="G107" s="71">
        <v>6776.86</v>
      </c>
      <c r="H107" s="71">
        <v>0</v>
      </c>
      <c r="I107" s="49">
        <v>0</v>
      </c>
      <c r="J107" s="49">
        <v>0</v>
      </c>
      <c r="K107" s="49">
        <v>0</v>
      </c>
      <c r="L107" s="49">
        <v>1423.14</v>
      </c>
      <c r="M107" s="49">
        <v>0</v>
      </c>
      <c r="N107" s="71">
        <v>0</v>
      </c>
      <c r="O107" s="72">
        <v>8200</v>
      </c>
    </row>
    <row r="108" spans="2:15">
      <c r="B108" s="70" t="s">
        <v>1732</v>
      </c>
      <c r="C108" s="44" t="s">
        <v>1745</v>
      </c>
      <c r="D108" s="45" t="s">
        <v>122</v>
      </c>
      <c r="E108" s="45" t="s">
        <v>123</v>
      </c>
      <c r="F108" s="45" t="s">
        <v>124</v>
      </c>
      <c r="G108" s="71">
        <v>6115.7</v>
      </c>
      <c r="H108" s="71">
        <v>0</v>
      </c>
      <c r="I108" s="49">
        <v>0</v>
      </c>
      <c r="J108" s="49">
        <v>0</v>
      </c>
      <c r="K108" s="49">
        <v>0</v>
      </c>
      <c r="L108" s="49">
        <v>1284.3</v>
      </c>
      <c r="M108" s="49">
        <v>0</v>
      </c>
      <c r="N108" s="71">
        <v>0</v>
      </c>
      <c r="O108" s="72">
        <v>7400</v>
      </c>
    </row>
    <row r="109" spans="2:15">
      <c r="B109" s="70" t="s">
        <v>1749</v>
      </c>
      <c r="C109" s="44" t="s">
        <v>1751</v>
      </c>
      <c r="D109" s="45" t="s">
        <v>122</v>
      </c>
      <c r="E109" s="45" t="s">
        <v>123</v>
      </c>
      <c r="F109" s="45" t="s">
        <v>124</v>
      </c>
      <c r="G109" s="71">
        <v>6033.06</v>
      </c>
      <c r="H109" s="71">
        <v>0</v>
      </c>
      <c r="I109" s="49">
        <v>0</v>
      </c>
      <c r="J109" s="49">
        <v>0</v>
      </c>
      <c r="K109" s="49">
        <v>0</v>
      </c>
      <c r="L109" s="49">
        <v>1266.94</v>
      </c>
      <c r="M109" s="49">
        <v>0</v>
      </c>
      <c r="N109" s="71">
        <v>0</v>
      </c>
      <c r="O109" s="72">
        <v>7300</v>
      </c>
    </row>
    <row r="110" spans="2:15">
      <c r="B110" s="70" t="s">
        <v>1749</v>
      </c>
      <c r="C110" s="44" t="s">
        <v>1752</v>
      </c>
      <c r="D110" s="45" t="s">
        <v>122</v>
      </c>
      <c r="E110" s="45" t="s">
        <v>123</v>
      </c>
      <c r="F110" s="45" t="s">
        <v>124</v>
      </c>
      <c r="G110" s="71">
        <v>2644.63</v>
      </c>
      <c r="H110" s="71">
        <v>0</v>
      </c>
      <c r="I110" s="49">
        <v>0</v>
      </c>
      <c r="J110" s="49">
        <v>0</v>
      </c>
      <c r="K110" s="49">
        <v>0</v>
      </c>
      <c r="L110" s="49">
        <v>555.37</v>
      </c>
      <c r="M110" s="49">
        <v>0</v>
      </c>
      <c r="N110" s="71">
        <v>0</v>
      </c>
      <c r="O110" s="72">
        <v>3200</v>
      </c>
    </row>
    <row r="111" spans="2:15">
      <c r="B111" s="70" t="s">
        <v>1749</v>
      </c>
      <c r="C111" s="44" t="s">
        <v>1753</v>
      </c>
      <c r="D111" s="45" t="s">
        <v>122</v>
      </c>
      <c r="E111" s="45" t="s">
        <v>123</v>
      </c>
      <c r="F111" s="45" t="s">
        <v>124</v>
      </c>
      <c r="G111" s="71">
        <v>7603.31</v>
      </c>
      <c r="H111" s="71">
        <v>0</v>
      </c>
      <c r="I111" s="49">
        <v>0</v>
      </c>
      <c r="J111" s="49">
        <v>0</v>
      </c>
      <c r="K111" s="49">
        <v>0</v>
      </c>
      <c r="L111" s="49">
        <v>1596.69</v>
      </c>
      <c r="M111" s="49">
        <v>0</v>
      </c>
      <c r="N111" s="71">
        <v>0</v>
      </c>
      <c r="O111" s="72">
        <v>9200</v>
      </c>
    </row>
    <row r="112" spans="2:15">
      <c r="B112" s="70" t="s">
        <v>1749</v>
      </c>
      <c r="C112" s="44" t="s">
        <v>1754</v>
      </c>
      <c r="D112" s="45" t="s">
        <v>122</v>
      </c>
      <c r="E112" s="45" t="s">
        <v>123</v>
      </c>
      <c r="F112" s="45" t="s">
        <v>124</v>
      </c>
      <c r="G112" s="71">
        <v>2727.27</v>
      </c>
      <c r="H112" s="71">
        <v>0</v>
      </c>
      <c r="I112" s="49">
        <v>0</v>
      </c>
      <c r="J112" s="49">
        <v>0</v>
      </c>
      <c r="K112" s="49">
        <v>0</v>
      </c>
      <c r="L112" s="49">
        <v>572.73</v>
      </c>
      <c r="M112" s="49">
        <v>0</v>
      </c>
      <c r="N112" s="71">
        <v>0</v>
      </c>
      <c r="O112" s="72">
        <v>3300</v>
      </c>
    </row>
    <row r="113" spans="2:15">
      <c r="B113" s="70" t="s">
        <v>1749</v>
      </c>
      <c r="C113" s="44" t="s">
        <v>1755</v>
      </c>
      <c r="D113" s="45" t="s">
        <v>122</v>
      </c>
      <c r="E113" s="45" t="s">
        <v>123</v>
      </c>
      <c r="F113" s="45" t="s">
        <v>124</v>
      </c>
      <c r="G113" s="71">
        <v>12892.56</v>
      </c>
      <c r="H113" s="71">
        <v>0</v>
      </c>
      <c r="I113" s="49">
        <v>0</v>
      </c>
      <c r="J113" s="49">
        <v>0</v>
      </c>
      <c r="K113" s="49">
        <v>0</v>
      </c>
      <c r="L113" s="49">
        <v>2707.44</v>
      </c>
      <c r="M113" s="49">
        <v>0</v>
      </c>
      <c r="N113" s="71">
        <v>0</v>
      </c>
      <c r="O113" s="72">
        <v>15600</v>
      </c>
    </row>
    <row r="114" spans="2:15">
      <c r="B114" s="70" t="s">
        <v>1749</v>
      </c>
      <c r="C114" s="44" t="s">
        <v>1756</v>
      </c>
      <c r="D114" s="45" t="s">
        <v>122</v>
      </c>
      <c r="E114" s="45" t="s">
        <v>123</v>
      </c>
      <c r="F114" s="45" t="s">
        <v>124</v>
      </c>
      <c r="G114" s="71">
        <v>5330.58</v>
      </c>
      <c r="H114" s="71">
        <v>0</v>
      </c>
      <c r="I114" s="49">
        <v>0</v>
      </c>
      <c r="J114" s="49">
        <v>0</v>
      </c>
      <c r="K114" s="49">
        <v>0</v>
      </c>
      <c r="L114" s="49">
        <v>1119.42</v>
      </c>
      <c r="M114" s="49">
        <v>0</v>
      </c>
      <c r="N114" s="71">
        <v>0</v>
      </c>
      <c r="O114" s="72">
        <v>6450</v>
      </c>
    </row>
    <row r="115" spans="2:15">
      <c r="B115" s="70" t="s">
        <v>1749</v>
      </c>
      <c r="C115" s="44" t="s">
        <v>1757</v>
      </c>
      <c r="D115" s="45" t="s">
        <v>122</v>
      </c>
      <c r="E115" s="45" t="s">
        <v>123</v>
      </c>
      <c r="F115" s="45" t="s">
        <v>124</v>
      </c>
      <c r="G115" s="71">
        <v>9917.36</v>
      </c>
      <c r="H115" s="71">
        <v>0</v>
      </c>
      <c r="I115" s="49">
        <v>0</v>
      </c>
      <c r="J115" s="49">
        <v>0</v>
      </c>
      <c r="K115" s="49">
        <v>0</v>
      </c>
      <c r="L115" s="49">
        <v>2082.64</v>
      </c>
      <c r="M115" s="49">
        <v>0</v>
      </c>
      <c r="N115" s="71">
        <v>0</v>
      </c>
      <c r="O115" s="72">
        <v>12000</v>
      </c>
    </row>
    <row r="116" spans="2:15">
      <c r="B116" s="70" t="s">
        <v>1749</v>
      </c>
      <c r="C116" s="44" t="s">
        <v>1758</v>
      </c>
      <c r="D116" s="45" t="s">
        <v>122</v>
      </c>
      <c r="E116" s="45" t="s">
        <v>123</v>
      </c>
      <c r="F116" s="45" t="s">
        <v>124</v>
      </c>
      <c r="G116" s="71">
        <v>991.74</v>
      </c>
      <c r="H116" s="71">
        <v>0</v>
      </c>
      <c r="I116" s="49">
        <v>0</v>
      </c>
      <c r="J116" s="49">
        <v>0</v>
      </c>
      <c r="K116" s="49">
        <v>0</v>
      </c>
      <c r="L116" s="49">
        <v>208.26</v>
      </c>
      <c r="M116" s="49">
        <v>0</v>
      </c>
      <c r="N116" s="71">
        <v>0</v>
      </c>
      <c r="O116" s="72">
        <v>1200</v>
      </c>
    </row>
    <row r="117" spans="2:15">
      <c r="B117" s="70" t="s">
        <v>1749</v>
      </c>
      <c r="C117" s="44" t="s">
        <v>1759</v>
      </c>
      <c r="D117" s="45" t="s">
        <v>122</v>
      </c>
      <c r="E117" s="45" t="s">
        <v>123</v>
      </c>
      <c r="F117" s="45" t="s">
        <v>124</v>
      </c>
      <c r="G117" s="71">
        <v>8264.4600000000009</v>
      </c>
      <c r="H117" s="71">
        <v>0</v>
      </c>
      <c r="I117" s="49">
        <v>0</v>
      </c>
      <c r="J117" s="49">
        <v>0</v>
      </c>
      <c r="K117" s="49">
        <v>0</v>
      </c>
      <c r="L117" s="49">
        <v>1735.54</v>
      </c>
      <c r="M117" s="49">
        <v>0</v>
      </c>
      <c r="N117" s="71">
        <v>0</v>
      </c>
      <c r="O117" s="72">
        <v>10000</v>
      </c>
    </row>
    <row r="118" spans="2:15">
      <c r="B118" s="70" t="s">
        <v>1749</v>
      </c>
      <c r="C118" s="44" t="s">
        <v>1760</v>
      </c>
      <c r="D118" s="45" t="s">
        <v>122</v>
      </c>
      <c r="E118" s="45" t="s">
        <v>123</v>
      </c>
      <c r="F118" s="45" t="s">
        <v>124</v>
      </c>
      <c r="G118" s="71">
        <v>7438.02</v>
      </c>
      <c r="H118" s="71">
        <v>0</v>
      </c>
      <c r="I118" s="49">
        <v>0</v>
      </c>
      <c r="J118" s="49">
        <v>0</v>
      </c>
      <c r="K118" s="49">
        <v>0</v>
      </c>
      <c r="L118" s="49">
        <v>1561.98</v>
      </c>
      <c r="M118" s="49">
        <v>0</v>
      </c>
      <c r="N118" s="71">
        <v>0</v>
      </c>
      <c r="O118" s="72">
        <v>9000</v>
      </c>
    </row>
    <row r="119" spans="2:15">
      <c r="B119" s="70" t="s">
        <v>1749</v>
      </c>
      <c r="C119" s="44" t="s">
        <v>1761</v>
      </c>
      <c r="D119" s="45" t="s">
        <v>122</v>
      </c>
      <c r="E119" s="45" t="s">
        <v>123</v>
      </c>
      <c r="F119" s="45" t="s">
        <v>124</v>
      </c>
      <c r="G119" s="71">
        <v>6033.06</v>
      </c>
      <c r="H119" s="71">
        <v>0</v>
      </c>
      <c r="I119" s="49">
        <v>0</v>
      </c>
      <c r="J119" s="49">
        <v>0</v>
      </c>
      <c r="K119" s="49">
        <v>0</v>
      </c>
      <c r="L119" s="49">
        <v>1266.94</v>
      </c>
      <c r="M119" s="49">
        <v>0</v>
      </c>
      <c r="N119" s="71">
        <v>0</v>
      </c>
      <c r="O119" s="72">
        <v>7300</v>
      </c>
    </row>
    <row r="120" spans="2:15">
      <c r="B120" s="70" t="s">
        <v>1749</v>
      </c>
      <c r="C120" s="44" t="s">
        <v>1762</v>
      </c>
      <c r="D120" s="45" t="s">
        <v>122</v>
      </c>
      <c r="E120" s="45" t="s">
        <v>123</v>
      </c>
      <c r="F120" s="45" t="s">
        <v>124</v>
      </c>
      <c r="G120" s="71">
        <v>3264.46</v>
      </c>
      <c r="H120" s="71">
        <v>0</v>
      </c>
      <c r="I120" s="49">
        <v>0</v>
      </c>
      <c r="J120" s="49">
        <v>0</v>
      </c>
      <c r="K120" s="49">
        <v>0</v>
      </c>
      <c r="L120" s="49">
        <v>685.54</v>
      </c>
      <c r="M120" s="49">
        <v>0</v>
      </c>
      <c r="N120" s="71">
        <v>0</v>
      </c>
      <c r="O120" s="72">
        <v>3950</v>
      </c>
    </row>
    <row r="121" spans="2:15">
      <c r="B121" s="70" t="s">
        <v>1749</v>
      </c>
      <c r="C121" s="44" t="s">
        <v>1763</v>
      </c>
      <c r="D121" s="45" t="s">
        <v>122</v>
      </c>
      <c r="E121" s="45" t="s">
        <v>123</v>
      </c>
      <c r="F121" s="45" t="s">
        <v>124</v>
      </c>
      <c r="G121" s="71">
        <v>6776.86</v>
      </c>
      <c r="H121" s="71">
        <v>0</v>
      </c>
      <c r="I121" s="49">
        <v>0</v>
      </c>
      <c r="J121" s="49">
        <v>0</v>
      </c>
      <c r="K121" s="49">
        <v>0</v>
      </c>
      <c r="L121" s="49">
        <v>1423.14</v>
      </c>
      <c r="M121" s="49">
        <v>0</v>
      </c>
      <c r="N121" s="71">
        <v>0</v>
      </c>
      <c r="O121" s="72">
        <v>8200</v>
      </c>
    </row>
    <row r="122" spans="2:15">
      <c r="B122" s="70" t="s">
        <v>1749</v>
      </c>
      <c r="C122" s="44" t="s">
        <v>1764</v>
      </c>
      <c r="D122" s="45" t="s">
        <v>122</v>
      </c>
      <c r="E122" s="45" t="s">
        <v>123</v>
      </c>
      <c r="F122" s="45" t="s">
        <v>124</v>
      </c>
      <c r="G122" s="71">
        <v>16033.06</v>
      </c>
      <c r="H122" s="71">
        <v>0</v>
      </c>
      <c r="I122" s="49">
        <v>0</v>
      </c>
      <c r="J122" s="49">
        <v>0</v>
      </c>
      <c r="K122" s="49">
        <v>0</v>
      </c>
      <c r="L122" s="49">
        <v>3366.94</v>
      </c>
      <c r="M122" s="49">
        <v>0</v>
      </c>
      <c r="N122" s="71">
        <v>0</v>
      </c>
      <c r="O122" s="72">
        <v>19400</v>
      </c>
    </row>
    <row r="123" spans="2:15">
      <c r="B123" s="70" t="s">
        <v>1774</v>
      </c>
      <c r="C123" s="44" t="s">
        <v>1775</v>
      </c>
      <c r="D123" s="45" t="s">
        <v>122</v>
      </c>
      <c r="E123" s="45" t="s">
        <v>123</v>
      </c>
      <c r="F123" s="45" t="s">
        <v>124</v>
      </c>
      <c r="G123" s="71">
        <v>10082.64</v>
      </c>
      <c r="H123" s="71">
        <v>0</v>
      </c>
      <c r="I123" s="49">
        <v>0</v>
      </c>
      <c r="J123" s="49">
        <v>0</v>
      </c>
      <c r="K123" s="49">
        <v>0</v>
      </c>
      <c r="L123" s="49">
        <v>2117.36</v>
      </c>
      <c r="M123" s="49">
        <v>0</v>
      </c>
      <c r="N123" s="71">
        <v>0</v>
      </c>
      <c r="O123" s="72">
        <v>12200</v>
      </c>
    </row>
    <row r="124" spans="2:15">
      <c r="B124" s="70" t="s">
        <v>1774</v>
      </c>
      <c r="C124" s="44" t="s">
        <v>1776</v>
      </c>
      <c r="D124" s="45" t="s">
        <v>122</v>
      </c>
      <c r="E124" s="45" t="s">
        <v>123</v>
      </c>
      <c r="F124" s="45" t="s">
        <v>124</v>
      </c>
      <c r="G124" s="71">
        <v>8264.4600000000009</v>
      </c>
      <c r="H124" s="71">
        <v>0</v>
      </c>
      <c r="I124" s="49">
        <v>0</v>
      </c>
      <c r="J124" s="49">
        <v>0</v>
      </c>
      <c r="K124" s="49">
        <v>0</v>
      </c>
      <c r="L124" s="49">
        <v>1735.54</v>
      </c>
      <c r="M124" s="49">
        <v>0</v>
      </c>
      <c r="N124" s="71">
        <v>0</v>
      </c>
      <c r="O124" s="72">
        <v>10000</v>
      </c>
    </row>
    <row r="125" spans="2:15">
      <c r="B125" s="70" t="s">
        <v>1774</v>
      </c>
      <c r="C125" s="44" t="s">
        <v>1777</v>
      </c>
      <c r="D125" s="45" t="s">
        <v>122</v>
      </c>
      <c r="E125" s="45" t="s">
        <v>123</v>
      </c>
      <c r="F125" s="45" t="s">
        <v>124</v>
      </c>
      <c r="G125" s="71">
        <v>2644.63</v>
      </c>
      <c r="H125" s="71">
        <v>0</v>
      </c>
      <c r="I125" s="49">
        <v>0</v>
      </c>
      <c r="J125" s="49">
        <v>0</v>
      </c>
      <c r="K125" s="49">
        <v>0</v>
      </c>
      <c r="L125" s="49">
        <v>555.37</v>
      </c>
      <c r="M125" s="49">
        <v>0</v>
      </c>
      <c r="N125" s="71">
        <v>0</v>
      </c>
      <c r="O125" s="72">
        <v>3200</v>
      </c>
    </row>
    <row r="126" spans="2:15">
      <c r="B126" s="70" t="s">
        <v>1774</v>
      </c>
      <c r="C126" s="44" t="s">
        <v>1778</v>
      </c>
      <c r="D126" s="45" t="s">
        <v>122</v>
      </c>
      <c r="E126" s="45" t="s">
        <v>123</v>
      </c>
      <c r="F126" s="45" t="s">
        <v>124</v>
      </c>
      <c r="G126" s="71">
        <v>4380.17</v>
      </c>
      <c r="H126" s="71">
        <v>0</v>
      </c>
      <c r="I126" s="49">
        <v>0</v>
      </c>
      <c r="J126" s="49">
        <v>0</v>
      </c>
      <c r="K126" s="49">
        <v>0</v>
      </c>
      <c r="L126" s="49">
        <v>919.83</v>
      </c>
      <c r="M126" s="49">
        <v>0</v>
      </c>
      <c r="N126" s="71">
        <v>0</v>
      </c>
      <c r="O126" s="72">
        <v>5300</v>
      </c>
    </row>
    <row r="127" spans="2:15">
      <c r="B127" s="70" t="s">
        <v>1774</v>
      </c>
      <c r="C127" s="44" t="s">
        <v>1779</v>
      </c>
      <c r="D127" s="45" t="s">
        <v>122</v>
      </c>
      <c r="E127" s="45" t="s">
        <v>123</v>
      </c>
      <c r="F127" s="45" t="s">
        <v>124</v>
      </c>
      <c r="G127" s="71">
        <v>4545.45</v>
      </c>
      <c r="H127" s="71">
        <v>0</v>
      </c>
      <c r="I127" s="49">
        <v>0</v>
      </c>
      <c r="J127" s="49">
        <v>0</v>
      </c>
      <c r="K127" s="49">
        <v>0</v>
      </c>
      <c r="L127" s="49">
        <v>954.55</v>
      </c>
      <c r="M127" s="49">
        <v>0</v>
      </c>
      <c r="N127" s="71">
        <v>0</v>
      </c>
      <c r="O127" s="72">
        <v>5500</v>
      </c>
    </row>
    <row r="128" spans="2:15">
      <c r="B128" s="70" t="s">
        <v>1774</v>
      </c>
      <c r="C128" s="44" t="s">
        <v>1780</v>
      </c>
      <c r="D128" s="45" t="s">
        <v>122</v>
      </c>
      <c r="E128" s="45" t="s">
        <v>123</v>
      </c>
      <c r="F128" s="45" t="s">
        <v>124</v>
      </c>
      <c r="G128" s="71">
        <v>2694.21</v>
      </c>
      <c r="H128" s="71">
        <v>0</v>
      </c>
      <c r="I128" s="49">
        <v>0</v>
      </c>
      <c r="J128" s="49">
        <v>0</v>
      </c>
      <c r="K128" s="49">
        <v>0</v>
      </c>
      <c r="L128" s="49">
        <v>565.79</v>
      </c>
      <c r="M128" s="49">
        <v>0</v>
      </c>
      <c r="N128" s="71">
        <v>0</v>
      </c>
      <c r="O128" s="72">
        <v>3260</v>
      </c>
    </row>
    <row r="129" spans="2:15">
      <c r="B129" s="70" t="s">
        <v>1774</v>
      </c>
      <c r="C129" s="44" t="s">
        <v>1781</v>
      </c>
      <c r="D129" s="45" t="s">
        <v>122</v>
      </c>
      <c r="E129" s="45" t="s">
        <v>123</v>
      </c>
      <c r="F129" s="45" t="s">
        <v>124</v>
      </c>
      <c r="G129" s="71">
        <v>5454.55</v>
      </c>
      <c r="H129" s="71">
        <v>0</v>
      </c>
      <c r="I129" s="49">
        <v>0</v>
      </c>
      <c r="J129" s="49">
        <v>0</v>
      </c>
      <c r="K129" s="49">
        <v>0</v>
      </c>
      <c r="L129" s="49">
        <v>1145.45</v>
      </c>
      <c r="M129" s="49">
        <v>0</v>
      </c>
      <c r="N129" s="71">
        <v>0</v>
      </c>
      <c r="O129" s="72">
        <v>6600</v>
      </c>
    </row>
    <row r="130" spans="2:15">
      <c r="B130" s="70" t="s">
        <v>1774</v>
      </c>
      <c r="C130" s="44" t="s">
        <v>1782</v>
      </c>
      <c r="D130" s="45" t="s">
        <v>122</v>
      </c>
      <c r="E130" s="45" t="s">
        <v>123</v>
      </c>
      <c r="F130" s="45" t="s">
        <v>124</v>
      </c>
      <c r="G130" s="71">
        <v>2479.34</v>
      </c>
      <c r="H130" s="71">
        <v>0</v>
      </c>
      <c r="I130" s="49">
        <v>0</v>
      </c>
      <c r="J130" s="49">
        <v>0</v>
      </c>
      <c r="K130" s="49">
        <v>0</v>
      </c>
      <c r="L130" s="49">
        <v>520.66</v>
      </c>
      <c r="M130" s="49">
        <v>0</v>
      </c>
      <c r="N130" s="71">
        <v>0</v>
      </c>
      <c r="O130" s="72">
        <v>3000</v>
      </c>
    </row>
    <row r="131" spans="2:15">
      <c r="B131" s="70" t="s">
        <v>1774</v>
      </c>
      <c r="C131" s="44" t="s">
        <v>1783</v>
      </c>
      <c r="D131" s="45" t="s">
        <v>122</v>
      </c>
      <c r="E131" s="45" t="s">
        <v>123</v>
      </c>
      <c r="F131" s="45" t="s">
        <v>124</v>
      </c>
      <c r="G131" s="71">
        <v>5289.26</v>
      </c>
      <c r="H131" s="71">
        <v>0</v>
      </c>
      <c r="I131" s="49">
        <v>0</v>
      </c>
      <c r="J131" s="49">
        <v>0</v>
      </c>
      <c r="K131" s="49">
        <v>0</v>
      </c>
      <c r="L131" s="49">
        <v>1110.74</v>
      </c>
      <c r="M131" s="49">
        <v>0</v>
      </c>
      <c r="N131" s="71">
        <v>0</v>
      </c>
      <c r="O131" s="72">
        <v>6400</v>
      </c>
    </row>
    <row r="132" spans="2:15">
      <c r="B132" s="70" t="s">
        <v>1774</v>
      </c>
      <c r="C132" s="44" t="s">
        <v>1784</v>
      </c>
      <c r="D132" s="45" t="s">
        <v>122</v>
      </c>
      <c r="E132" s="45" t="s">
        <v>123</v>
      </c>
      <c r="F132" s="45" t="s">
        <v>124</v>
      </c>
      <c r="G132" s="71">
        <v>12396.69</v>
      </c>
      <c r="H132" s="71">
        <v>0</v>
      </c>
      <c r="I132" s="49">
        <v>0</v>
      </c>
      <c r="J132" s="49">
        <v>0</v>
      </c>
      <c r="K132" s="49">
        <v>0</v>
      </c>
      <c r="L132" s="49">
        <v>2603.31</v>
      </c>
      <c r="M132" s="49">
        <v>0</v>
      </c>
      <c r="N132" s="71">
        <v>0</v>
      </c>
      <c r="O132" s="72">
        <v>15000</v>
      </c>
    </row>
    <row r="133" spans="2:15">
      <c r="B133" s="70" t="s">
        <v>1774</v>
      </c>
      <c r="C133" s="44" t="s">
        <v>1785</v>
      </c>
      <c r="D133" s="45" t="s">
        <v>122</v>
      </c>
      <c r="E133" s="45" t="s">
        <v>123</v>
      </c>
      <c r="F133" s="45" t="s">
        <v>124</v>
      </c>
      <c r="G133" s="71">
        <v>5330.58</v>
      </c>
      <c r="H133" s="71">
        <v>0</v>
      </c>
      <c r="I133" s="49">
        <v>0</v>
      </c>
      <c r="J133" s="49">
        <v>0</v>
      </c>
      <c r="K133" s="49">
        <v>0</v>
      </c>
      <c r="L133" s="49">
        <v>1119.42</v>
      </c>
      <c r="M133" s="49">
        <v>0</v>
      </c>
      <c r="N133" s="71">
        <v>0</v>
      </c>
      <c r="O133" s="72">
        <v>6450</v>
      </c>
    </row>
    <row r="134" spans="2:15">
      <c r="B134" s="70" t="s">
        <v>1774</v>
      </c>
      <c r="C134" s="44" t="s">
        <v>1786</v>
      </c>
      <c r="D134" s="45" t="s">
        <v>122</v>
      </c>
      <c r="E134" s="45" t="s">
        <v>123</v>
      </c>
      <c r="F134" s="45" t="s">
        <v>124</v>
      </c>
      <c r="G134" s="71">
        <v>1983.47</v>
      </c>
      <c r="H134" s="71">
        <v>0</v>
      </c>
      <c r="I134" s="49">
        <v>0</v>
      </c>
      <c r="J134" s="49">
        <v>0</v>
      </c>
      <c r="K134" s="49">
        <v>0</v>
      </c>
      <c r="L134" s="49">
        <v>416.53</v>
      </c>
      <c r="M134" s="49">
        <v>0</v>
      </c>
      <c r="N134" s="71">
        <v>0</v>
      </c>
      <c r="O134" s="72">
        <v>2400</v>
      </c>
    </row>
    <row r="135" spans="2:15">
      <c r="B135" s="70" t="s">
        <v>1774</v>
      </c>
      <c r="C135" s="44" t="s">
        <v>1787</v>
      </c>
      <c r="D135" s="45" t="s">
        <v>122</v>
      </c>
      <c r="E135" s="45" t="s">
        <v>123</v>
      </c>
      <c r="F135" s="45" t="s">
        <v>124</v>
      </c>
      <c r="G135" s="71">
        <v>9421.49</v>
      </c>
      <c r="H135" s="71">
        <v>0</v>
      </c>
      <c r="I135" s="49">
        <v>0</v>
      </c>
      <c r="J135" s="49">
        <v>0</v>
      </c>
      <c r="K135" s="49">
        <v>0</v>
      </c>
      <c r="L135" s="49">
        <v>1978.51</v>
      </c>
      <c r="M135" s="49">
        <v>0</v>
      </c>
      <c r="N135" s="71">
        <v>0</v>
      </c>
      <c r="O135" s="72">
        <v>11400</v>
      </c>
    </row>
    <row r="136" spans="2:15">
      <c r="B136" s="70" t="s">
        <v>1774</v>
      </c>
      <c r="C136" s="44" t="s">
        <v>1788</v>
      </c>
      <c r="D136" s="45" t="s">
        <v>122</v>
      </c>
      <c r="E136" s="45" t="s">
        <v>123</v>
      </c>
      <c r="F136" s="45" t="s">
        <v>124</v>
      </c>
      <c r="G136" s="71">
        <v>2479.34</v>
      </c>
      <c r="H136" s="71">
        <v>0</v>
      </c>
      <c r="I136" s="49">
        <v>0</v>
      </c>
      <c r="J136" s="49">
        <v>0</v>
      </c>
      <c r="K136" s="49">
        <v>0</v>
      </c>
      <c r="L136" s="49">
        <v>520.66</v>
      </c>
      <c r="M136" s="49">
        <v>0</v>
      </c>
      <c r="N136" s="71">
        <v>0</v>
      </c>
      <c r="O136" s="72">
        <v>3000</v>
      </c>
    </row>
    <row r="137" spans="2:15">
      <c r="B137" s="70" t="s">
        <v>1800</v>
      </c>
      <c r="C137" s="44" t="s">
        <v>1801</v>
      </c>
      <c r="D137" s="45" t="s">
        <v>122</v>
      </c>
      <c r="E137" s="45" t="s">
        <v>123</v>
      </c>
      <c r="F137" s="45" t="s">
        <v>124</v>
      </c>
      <c r="G137" s="71">
        <v>6198.35</v>
      </c>
      <c r="H137" s="71">
        <v>0</v>
      </c>
      <c r="I137" s="49">
        <v>0</v>
      </c>
      <c r="J137" s="49">
        <v>0</v>
      </c>
      <c r="K137" s="49">
        <v>0</v>
      </c>
      <c r="L137" s="49">
        <v>1301.6500000000001</v>
      </c>
      <c r="M137" s="49">
        <v>0</v>
      </c>
      <c r="N137" s="71">
        <v>0</v>
      </c>
      <c r="O137" s="72">
        <v>7500</v>
      </c>
    </row>
    <row r="138" spans="2:15">
      <c r="B138" s="70" t="s">
        <v>1800</v>
      </c>
      <c r="C138" s="44" t="s">
        <v>1802</v>
      </c>
      <c r="D138" s="45" t="s">
        <v>122</v>
      </c>
      <c r="E138" s="45" t="s">
        <v>123</v>
      </c>
      <c r="F138" s="45" t="s">
        <v>124</v>
      </c>
      <c r="G138" s="71">
        <v>2892.56</v>
      </c>
      <c r="H138" s="71">
        <v>0</v>
      </c>
      <c r="I138" s="49">
        <v>0</v>
      </c>
      <c r="J138" s="49">
        <v>0</v>
      </c>
      <c r="K138" s="49">
        <v>0</v>
      </c>
      <c r="L138" s="49">
        <v>607.44000000000005</v>
      </c>
      <c r="M138" s="49">
        <v>0</v>
      </c>
      <c r="N138" s="71">
        <v>0</v>
      </c>
      <c r="O138" s="72">
        <v>3500</v>
      </c>
    </row>
    <row r="139" spans="2:15">
      <c r="B139" s="70" t="s">
        <v>1800</v>
      </c>
      <c r="C139" s="44" t="s">
        <v>1803</v>
      </c>
      <c r="D139" s="45" t="s">
        <v>122</v>
      </c>
      <c r="E139" s="45" t="s">
        <v>123</v>
      </c>
      <c r="F139" s="45" t="s">
        <v>124</v>
      </c>
      <c r="G139" s="71">
        <v>2892.56</v>
      </c>
      <c r="H139" s="71">
        <v>0</v>
      </c>
      <c r="I139" s="49">
        <v>0</v>
      </c>
      <c r="J139" s="49">
        <v>0</v>
      </c>
      <c r="K139" s="49">
        <v>0</v>
      </c>
      <c r="L139" s="49">
        <v>607.44000000000005</v>
      </c>
      <c r="M139" s="49">
        <v>0</v>
      </c>
      <c r="N139" s="71">
        <v>0</v>
      </c>
      <c r="O139" s="72">
        <v>3500</v>
      </c>
    </row>
    <row r="140" spans="2:15">
      <c r="B140" s="70" t="s">
        <v>1800</v>
      </c>
      <c r="C140" s="44" t="s">
        <v>1804</v>
      </c>
      <c r="D140" s="45" t="s">
        <v>122</v>
      </c>
      <c r="E140" s="45" t="s">
        <v>123</v>
      </c>
      <c r="F140" s="45" t="s">
        <v>124</v>
      </c>
      <c r="G140" s="71">
        <v>16611.57</v>
      </c>
      <c r="H140" s="71">
        <v>0</v>
      </c>
      <c r="I140" s="49">
        <v>0</v>
      </c>
      <c r="J140" s="49">
        <v>0</v>
      </c>
      <c r="K140" s="49">
        <v>0</v>
      </c>
      <c r="L140" s="49">
        <v>3488.43</v>
      </c>
      <c r="M140" s="49">
        <v>0</v>
      </c>
      <c r="N140" s="71">
        <v>0</v>
      </c>
      <c r="O140" s="72">
        <v>20100</v>
      </c>
    </row>
    <row r="141" spans="2:15">
      <c r="B141" s="70" t="s">
        <v>1800</v>
      </c>
      <c r="C141" s="44" t="s">
        <v>1805</v>
      </c>
      <c r="D141" s="45" t="s">
        <v>122</v>
      </c>
      <c r="E141" s="45" t="s">
        <v>123</v>
      </c>
      <c r="F141" s="45" t="s">
        <v>124</v>
      </c>
      <c r="G141" s="71">
        <v>7024.79</v>
      </c>
      <c r="H141" s="71">
        <v>0</v>
      </c>
      <c r="I141" s="49">
        <v>0</v>
      </c>
      <c r="J141" s="49">
        <v>0</v>
      </c>
      <c r="K141" s="49">
        <v>0</v>
      </c>
      <c r="L141" s="49">
        <v>1475.21</v>
      </c>
      <c r="M141" s="49">
        <v>0</v>
      </c>
      <c r="N141" s="71">
        <v>0</v>
      </c>
      <c r="O141" s="72">
        <v>8500</v>
      </c>
    </row>
    <row r="142" spans="2:15">
      <c r="B142" s="70" t="s">
        <v>1800</v>
      </c>
      <c r="C142" s="44" t="s">
        <v>1806</v>
      </c>
      <c r="D142" s="45" t="s">
        <v>122</v>
      </c>
      <c r="E142" s="45" t="s">
        <v>123</v>
      </c>
      <c r="F142" s="45" t="s">
        <v>124</v>
      </c>
      <c r="G142" s="71">
        <v>5702.48</v>
      </c>
      <c r="H142" s="71">
        <v>0</v>
      </c>
      <c r="I142" s="49">
        <v>0</v>
      </c>
      <c r="J142" s="49">
        <v>0</v>
      </c>
      <c r="K142" s="49">
        <v>0</v>
      </c>
      <c r="L142" s="49">
        <v>1197.52</v>
      </c>
      <c r="M142" s="49">
        <v>0</v>
      </c>
      <c r="N142" s="71">
        <v>0</v>
      </c>
      <c r="O142" s="72">
        <v>6900</v>
      </c>
    </row>
    <row r="143" spans="2:15">
      <c r="B143" s="70" t="s">
        <v>1800</v>
      </c>
      <c r="C143" s="44" t="s">
        <v>1807</v>
      </c>
      <c r="D143" s="45" t="s">
        <v>122</v>
      </c>
      <c r="E143" s="45" t="s">
        <v>123</v>
      </c>
      <c r="F143" s="45" t="s">
        <v>124</v>
      </c>
      <c r="G143" s="71">
        <v>5454.55</v>
      </c>
      <c r="H143" s="71">
        <v>0</v>
      </c>
      <c r="I143" s="49">
        <v>0</v>
      </c>
      <c r="J143" s="49">
        <v>0</v>
      </c>
      <c r="K143" s="49">
        <v>0</v>
      </c>
      <c r="L143" s="49">
        <v>1145.45</v>
      </c>
      <c r="M143" s="49">
        <v>0</v>
      </c>
      <c r="N143" s="71">
        <v>0</v>
      </c>
      <c r="O143" s="72">
        <v>6600</v>
      </c>
    </row>
    <row r="144" spans="2:15">
      <c r="B144" s="70" t="s">
        <v>1800</v>
      </c>
      <c r="C144" s="44" t="s">
        <v>1808</v>
      </c>
      <c r="D144" s="45" t="s">
        <v>122</v>
      </c>
      <c r="E144" s="45" t="s">
        <v>123</v>
      </c>
      <c r="F144" s="45" t="s">
        <v>124</v>
      </c>
      <c r="G144" s="71">
        <v>2892.56</v>
      </c>
      <c r="H144" s="71">
        <v>0</v>
      </c>
      <c r="I144" s="49">
        <v>0</v>
      </c>
      <c r="J144" s="49">
        <v>0</v>
      </c>
      <c r="K144" s="49">
        <v>0</v>
      </c>
      <c r="L144" s="49">
        <v>607.44000000000005</v>
      </c>
      <c r="M144" s="49">
        <v>0</v>
      </c>
      <c r="N144" s="71">
        <v>0</v>
      </c>
      <c r="O144" s="72">
        <v>3500</v>
      </c>
    </row>
    <row r="145" spans="2:15">
      <c r="B145" s="70" t="s">
        <v>1800</v>
      </c>
      <c r="C145" s="44" t="s">
        <v>1809</v>
      </c>
      <c r="D145" s="45" t="s">
        <v>122</v>
      </c>
      <c r="E145" s="45" t="s">
        <v>123</v>
      </c>
      <c r="F145" s="45" t="s">
        <v>124</v>
      </c>
      <c r="G145" s="71">
        <v>2231.4</v>
      </c>
      <c r="H145" s="71">
        <v>0</v>
      </c>
      <c r="I145" s="49">
        <v>0</v>
      </c>
      <c r="J145" s="49">
        <v>0</v>
      </c>
      <c r="K145" s="49">
        <v>0</v>
      </c>
      <c r="L145" s="49">
        <v>468.6</v>
      </c>
      <c r="M145" s="49">
        <v>0</v>
      </c>
      <c r="N145" s="71">
        <v>0</v>
      </c>
      <c r="O145" s="72">
        <v>2700</v>
      </c>
    </row>
    <row r="146" spans="2:15">
      <c r="B146" s="70" t="s">
        <v>1800</v>
      </c>
      <c r="C146" s="44" t="s">
        <v>1810</v>
      </c>
      <c r="D146" s="45" t="s">
        <v>122</v>
      </c>
      <c r="E146" s="45" t="s">
        <v>123</v>
      </c>
      <c r="F146" s="45" t="s">
        <v>124</v>
      </c>
      <c r="G146" s="71">
        <v>6033.06</v>
      </c>
      <c r="H146" s="71">
        <v>0</v>
      </c>
      <c r="I146" s="49">
        <v>0</v>
      </c>
      <c r="J146" s="49">
        <v>0</v>
      </c>
      <c r="K146" s="49">
        <v>0</v>
      </c>
      <c r="L146" s="49">
        <v>1266.94</v>
      </c>
      <c r="M146" s="49">
        <v>0</v>
      </c>
      <c r="N146" s="71">
        <v>0</v>
      </c>
      <c r="O146" s="72">
        <v>7300</v>
      </c>
    </row>
    <row r="147" spans="2:15">
      <c r="B147" s="70" t="s">
        <v>1800</v>
      </c>
      <c r="C147" s="44" t="s">
        <v>1811</v>
      </c>
      <c r="D147" s="45" t="s">
        <v>122</v>
      </c>
      <c r="E147" s="45" t="s">
        <v>123</v>
      </c>
      <c r="F147" s="45" t="s">
        <v>124</v>
      </c>
      <c r="G147" s="71">
        <v>2231.4</v>
      </c>
      <c r="H147" s="71">
        <v>0</v>
      </c>
      <c r="I147" s="49">
        <v>0</v>
      </c>
      <c r="J147" s="49">
        <v>0</v>
      </c>
      <c r="K147" s="49">
        <v>0</v>
      </c>
      <c r="L147" s="49">
        <v>468.6</v>
      </c>
      <c r="M147" s="49">
        <v>0</v>
      </c>
      <c r="N147" s="71">
        <v>0</v>
      </c>
      <c r="O147" s="72">
        <v>2700</v>
      </c>
    </row>
    <row r="148" spans="2:15">
      <c r="B148" s="70" t="s">
        <v>1818</v>
      </c>
      <c r="C148" s="44" t="s">
        <v>1819</v>
      </c>
      <c r="D148" s="45" t="s">
        <v>122</v>
      </c>
      <c r="E148" s="45" t="s">
        <v>123</v>
      </c>
      <c r="F148" s="45" t="s">
        <v>124</v>
      </c>
      <c r="G148" s="71">
        <v>6776.86</v>
      </c>
      <c r="H148" s="71">
        <v>0</v>
      </c>
      <c r="I148" s="49">
        <v>0</v>
      </c>
      <c r="J148" s="49">
        <v>0</v>
      </c>
      <c r="K148" s="49">
        <v>0</v>
      </c>
      <c r="L148" s="49">
        <v>1423.14</v>
      </c>
      <c r="M148" s="49">
        <v>0</v>
      </c>
      <c r="N148" s="71">
        <v>0</v>
      </c>
      <c r="O148" s="72">
        <v>8200</v>
      </c>
    </row>
    <row r="149" spans="2:15">
      <c r="B149" s="70" t="s">
        <v>1818</v>
      </c>
      <c r="C149" s="44" t="s">
        <v>1820</v>
      </c>
      <c r="D149" s="45" t="s">
        <v>122</v>
      </c>
      <c r="E149" s="45" t="s">
        <v>123</v>
      </c>
      <c r="F149" s="45" t="s">
        <v>124</v>
      </c>
      <c r="G149" s="71">
        <v>7685.95</v>
      </c>
      <c r="H149" s="71">
        <v>0</v>
      </c>
      <c r="I149" s="49">
        <v>0</v>
      </c>
      <c r="J149" s="49">
        <v>0</v>
      </c>
      <c r="K149" s="49">
        <v>0</v>
      </c>
      <c r="L149" s="49">
        <v>1614.05</v>
      </c>
      <c r="M149" s="49">
        <v>0</v>
      </c>
      <c r="N149" s="71">
        <v>0</v>
      </c>
      <c r="O149" s="72">
        <v>9300</v>
      </c>
    </row>
    <row r="150" spans="2:15">
      <c r="B150" s="70" t="s">
        <v>1818</v>
      </c>
      <c r="C150" s="44" t="s">
        <v>1821</v>
      </c>
      <c r="D150" s="45" t="s">
        <v>122</v>
      </c>
      <c r="E150" s="45" t="s">
        <v>123</v>
      </c>
      <c r="F150" s="45" t="s">
        <v>124</v>
      </c>
      <c r="G150" s="71">
        <v>14876.03</v>
      </c>
      <c r="H150" s="71">
        <v>0</v>
      </c>
      <c r="I150" s="49">
        <v>0</v>
      </c>
      <c r="J150" s="49">
        <v>0</v>
      </c>
      <c r="K150" s="49">
        <v>0</v>
      </c>
      <c r="L150" s="49">
        <v>3123.97</v>
      </c>
      <c r="M150" s="49">
        <v>0</v>
      </c>
      <c r="N150" s="71">
        <v>0</v>
      </c>
      <c r="O150" s="72">
        <v>18000</v>
      </c>
    </row>
    <row r="151" spans="2:15">
      <c r="B151" s="70" t="s">
        <v>1818</v>
      </c>
      <c r="C151" s="44" t="s">
        <v>1822</v>
      </c>
      <c r="D151" s="45" t="s">
        <v>122</v>
      </c>
      <c r="E151" s="45" t="s">
        <v>123</v>
      </c>
      <c r="F151" s="45" t="s">
        <v>124</v>
      </c>
      <c r="G151" s="71">
        <v>7049.59</v>
      </c>
      <c r="H151" s="71">
        <v>0</v>
      </c>
      <c r="I151" s="49">
        <v>0</v>
      </c>
      <c r="J151" s="49">
        <v>0</v>
      </c>
      <c r="K151" s="49">
        <v>0</v>
      </c>
      <c r="L151" s="49">
        <v>1480.41</v>
      </c>
      <c r="M151" s="49">
        <v>0</v>
      </c>
      <c r="N151" s="71">
        <v>0</v>
      </c>
      <c r="O151" s="72">
        <v>8530</v>
      </c>
    </row>
    <row r="152" spans="2:15">
      <c r="B152" s="70" t="s">
        <v>1818</v>
      </c>
      <c r="C152" s="44" t="s">
        <v>1823</v>
      </c>
      <c r="D152" s="45" t="s">
        <v>122</v>
      </c>
      <c r="E152" s="45" t="s">
        <v>123</v>
      </c>
      <c r="F152" s="45" t="s">
        <v>124</v>
      </c>
      <c r="G152" s="71">
        <v>19008.260000000002</v>
      </c>
      <c r="H152" s="71">
        <v>0</v>
      </c>
      <c r="I152" s="49">
        <v>0</v>
      </c>
      <c r="J152" s="49">
        <v>0</v>
      </c>
      <c r="K152" s="49">
        <v>0</v>
      </c>
      <c r="L152" s="49">
        <v>3991.74</v>
      </c>
      <c r="M152" s="49">
        <v>0</v>
      </c>
      <c r="N152" s="71">
        <v>0</v>
      </c>
      <c r="O152" s="72">
        <v>23000</v>
      </c>
    </row>
    <row r="153" spans="2:15">
      <c r="B153" s="70" t="s">
        <v>1818</v>
      </c>
      <c r="C153" s="44" t="s">
        <v>1824</v>
      </c>
      <c r="D153" s="45" t="s">
        <v>122</v>
      </c>
      <c r="E153" s="45" t="s">
        <v>123</v>
      </c>
      <c r="F153" s="45" t="s">
        <v>124</v>
      </c>
      <c r="G153" s="71">
        <v>7024.79</v>
      </c>
      <c r="H153" s="71">
        <v>0</v>
      </c>
      <c r="I153" s="49">
        <v>0</v>
      </c>
      <c r="J153" s="49">
        <v>0</v>
      </c>
      <c r="K153" s="49">
        <v>0</v>
      </c>
      <c r="L153" s="49">
        <v>1475.21</v>
      </c>
      <c r="M153" s="49">
        <v>0</v>
      </c>
      <c r="N153" s="71">
        <v>0</v>
      </c>
      <c r="O153" s="72">
        <v>8500</v>
      </c>
    </row>
    <row r="154" spans="2:15">
      <c r="B154" s="70" t="s">
        <v>1818</v>
      </c>
      <c r="C154" s="44" t="s">
        <v>1825</v>
      </c>
      <c r="D154" s="45" t="s">
        <v>122</v>
      </c>
      <c r="E154" s="45" t="s">
        <v>123</v>
      </c>
      <c r="F154" s="45" t="s">
        <v>124</v>
      </c>
      <c r="G154" s="71">
        <v>12644.63</v>
      </c>
      <c r="H154" s="71">
        <v>0</v>
      </c>
      <c r="I154" s="49">
        <v>0</v>
      </c>
      <c r="J154" s="49">
        <v>0</v>
      </c>
      <c r="K154" s="49">
        <v>0</v>
      </c>
      <c r="L154" s="49">
        <v>2655.37</v>
      </c>
      <c r="M154" s="49">
        <v>0</v>
      </c>
      <c r="N154" s="71">
        <v>0</v>
      </c>
      <c r="O154" s="72">
        <v>15300</v>
      </c>
    </row>
    <row r="155" spans="2:15">
      <c r="B155" s="70" t="s">
        <v>1818</v>
      </c>
      <c r="C155" s="44" t="s">
        <v>1826</v>
      </c>
      <c r="D155" s="45" t="s">
        <v>122</v>
      </c>
      <c r="E155" s="45" t="s">
        <v>123</v>
      </c>
      <c r="F155" s="45" t="s">
        <v>124</v>
      </c>
      <c r="G155" s="71">
        <v>4958.68</v>
      </c>
      <c r="H155" s="71">
        <v>0</v>
      </c>
      <c r="I155" s="49">
        <v>0</v>
      </c>
      <c r="J155" s="49">
        <v>0</v>
      </c>
      <c r="K155" s="49">
        <v>0</v>
      </c>
      <c r="L155" s="49">
        <v>1041.32</v>
      </c>
      <c r="M155" s="49">
        <v>0</v>
      </c>
      <c r="N155" s="71">
        <v>0</v>
      </c>
      <c r="O155" s="72">
        <v>6000</v>
      </c>
    </row>
    <row r="156" spans="2:15">
      <c r="B156" s="70" t="s">
        <v>1818</v>
      </c>
      <c r="C156" s="44" t="s">
        <v>1827</v>
      </c>
      <c r="D156" s="45" t="s">
        <v>122</v>
      </c>
      <c r="E156" s="45" t="s">
        <v>123</v>
      </c>
      <c r="F156" s="45" t="s">
        <v>124</v>
      </c>
      <c r="G156" s="71">
        <v>6776.86</v>
      </c>
      <c r="H156" s="71">
        <v>0</v>
      </c>
      <c r="I156" s="49">
        <v>0</v>
      </c>
      <c r="J156" s="49">
        <v>0</v>
      </c>
      <c r="K156" s="49">
        <v>0</v>
      </c>
      <c r="L156" s="49">
        <v>1423.14</v>
      </c>
      <c r="M156" s="49">
        <v>0</v>
      </c>
      <c r="N156" s="71">
        <v>0</v>
      </c>
      <c r="O156" s="72">
        <v>8200</v>
      </c>
    </row>
    <row r="157" spans="2:15">
      <c r="B157" s="70" t="s">
        <v>1831</v>
      </c>
      <c r="C157" s="44" t="s">
        <v>1832</v>
      </c>
      <c r="D157" s="45" t="s">
        <v>122</v>
      </c>
      <c r="E157" s="45" t="s">
        <v>123</v>
      </c>
      <c r="F157" s="45" t="s">
        <v>124</v>
      </c>
      <c r="G157" s="71">
        <v>7768.6</v>
      </c>
      <c r="H157" s="71">
        <v>0</v>
      </c>
      <c r="I157" s="49">
        <v>0</v>
      </c>
      <c r="J157" s="49">
        <v>0</v>
      </c>
      <c r="K157" s="49">
        <v>0</v>
      </c>
      <c r="L157" s="49">
        <v>1631.4</v>
      </c>
      <c r="M157" s="49">
        <v>0</v>
      </c>
      <c r="N157" s="71">
        <v>0</v>
      </c>
      <c r="O157" s="72">
        <v>9400</v>
      </c>
    </row>
    <row r="158" spans="2:15">
      <c r="B158" s="70" t="s">
        <v>1831</v>
      </c>
      <c r="C158" s="44" t="s">
        <v>1833</v>
      </c>
      <c r="D158" s="45" t="s">
        <v>122</v>
      </c>
      <c r="E158" s="45" t="s">
        <v>123</v>
      </c>
      <c r="F158" s="45" t="s">
        <v>124</v>
      </c>
      <c r="G158" s="71">
        <v>3388.43</v>
      </c>
      <c r="H158" s="71">
        <v>0</v>
      </c>
      <c r="I158" s="49">
        <v>0</v>
      </c>
      <c r="J158" s="49">
        <v>0</v>
      </c>
      <c r="K158" s="49">
        <v>0</v>
      </c>
      <c r="L158" s="49">
        <v>711.57</v>
      </c>
      <c r="M158" s="49">
        <v>0</v>
      </c>
      <c r="N158" s="71">
        <v>0</v>
      </c>
      <c r="O158" s="72">
        <v>4100</v>
      </c>
    </row>
    <row r="159" spans="2:15">
      <c r="B159" s="70" t="s">
        <v>1831</v>
      </c>
      <c r="C159" s="44" t="s">
        <v>1834</v>
      </c>
      <c r="D159" s="45" t="s">
        <v>122</v>
      </c>
      <c r="E159" s="45" t="s">
        <v>123</v>
      </c>
      <c r="F159" s="45" t="s">
        <v>124</v>
      </c>
      <c r="G159" s="71">
        <v>2479.34</v>
      </c>
      <c r="H159" s="71">
        <v>0</v>
      </c>
      <c r="I159" s="49">
        <v>0</v>
      </c>
      <c r="J159" s="49">
        <v>0</v>
      </c>
      <c r="K159" s="49">
        <v>0</v>
      </c>
      <c r="L159" s="49">
        <v>520.66</v>
      </c>
      <c r="M159" s="49">
        <v>0</v>
      </c>
      <c r="N159" s="71">
        <v>0</v>
      </c>
      <c r="O159" s="72">
        <v>3000</v>
      </c>
    </row>
    <row r="160" spans="2:15">
      <c r="B160" s="70" t="s">
        <v>1831</v>
      </c>
      <c r="C160" s="44" t="s">
        <v>1835</v>
      </c>
      <c r="D160" s="45" t="s">
        <v>122</v>
      </c>
      <c r="E160" s="45" t="s">
        <v>123</v>
      </c>
      <c r="F160" s="45" t="s">
        <v>124</v>
      </c>
      <c r="G160" s="71">
        <v>15619.83</v>
      </c>
      <c r="H160" s="71">
        <v>0</v>
      </c>
      <c r="I160" s="49">
        <v>0</v>
      </c>
      <c r="J160" s="49">
        <v>0</v>
      </c>
      <c r="K160" s="49">
        <v>0</v>
      </c>
      <c r="L160" s="49">
        <v>3280.17</v>
      </c>
      <c r="M160" s="49">
        <v>0</v>
      </c>
      <c r="N160" s="71">
        <v>0</v>
      </c>
      <c r="O160" s="72">
        <v>18900</v>
      </c>
    </row>
    <row r="161" spans="2:15">
      <c r="B161" s="70" t="s">
        <v>1831</v>
      </c>
      <c r="C161" s="44" t="s">
        <v>1836</v>
      </c>
      <c r="D161" s="45" t="s">
        <v>122</v>
      </c>
      <c r="E161" s="45" t="s">
        <v>123</v>
      </c>
      <c r="F161" s="45" t="s">
        <v>124</v>
      </c>
      <c r="G161" s="71">
        <v>3057.85</v>
      </c>
      <c r="H161" s="71">
        <v>0</v>
      </c>
      <c r="I161" s="49">
        <v>0</v>
      </c>
      <c r="J161" s="49">
        <v>0</v>
      </c>
      <c r="K161" s="49">
        <v>0</v>
      </c>
      <c r="L161" s="49">
        <v>642.15</v>
      </c>
      <c r="M161" s="49">
        <v>0</v>
      </c>
      <c r="N161" s="71">
        <v>0</v>
      </c>
      <c r="O161" s="72">
        <v>3700</v>
      </c>
    </row>
    <row r="162" spans="2:15">
      <c r="B162" s="70" t="s">
        <v>1831</v>
      </c>
      <c r="C162" s="44" t="s">
        <v>1837</v>
      </c>
      <c r="D162" s="45" t="s">
        <v>122</v>
      </c>
      <c r="E162" s="45" t="s">
        <v>123</v>
      </c>
      <c r="F162" s="45" t="s">
        <v>124</v>
      </c>
      <c r="G162" s="71">
        <v>3099.17</v>
      </c>
      <c r="H162" s="71">
        <v>0</v>
      </c>
      <c r="I162" s="49">
        <v>0</v>
      </c>
      <c r="J162" s="49">
        <v>0</v>
      </c>
      <c r="K162" s="49">
        <v>0</v>
      </c>
      <c r="L162" s="49">
        <v>650.83000000000004</v>
      </c>
      <c r="M162" s="49">
        <v>0</v>
      </c>
      <c r="N162" s="71">
        <v>0</v>
      </c>
      <c r="O162" s="72">
        <v>3750</v>
      </c>
    </row>
    <row r="163" spans="2:15">
      <c r="B163" s="70" t="s">
        <v>1831</v>
      </c>
      <c r="C163" s="44" t="s">
        <v>1838</v>
      </c>
      <c r="D163" s="45" t="s">
        <v>122</v>
      </c>
      <c r="E163" s="45" t="s">
        <v>123</v>
      </c>
      <c r="F163" s="45" t="s">
        <v>124</v>
      </c>
      <c r="G163" s="71">
        <v>12396.69</v>
      </c>
      <c r="H163" s="71">
        <v>0</v>
      </c>
      <c r="I163" s="49">
        <v>0</v>
      </c>
      <c r="J163" s="49">
        <v>0</v>
      </c>
      <c r="K163" s="49">
        <v>0</v>
      </c>
      <c r="L163" s="49">
        <v>2603.31</v>
      </c>
      <c r="M163" s="49">
        <v>0</v>
      </c>
      <c r="N163" s="71">
        <v>0</v>
      </c>
      <c r="O163" s="72">
        <v>15000</v>
      </c>
    </row>
    <row r="164" spans="2:15">
      <c r="B164" s="70" t="s">
        <v>1831</v>
      </c>
      <c r="C164" s="44" t="s">
        <v>1839</v>
      </c>
      <c r="D164" s="45" t="s">
        <v>122</v>
      </c>
      <c r="E164" s="45" t="s">
        <v>123</v>
      </c>
      <c r="F164" s="45" t="s">
        <v>124</v>
      </c>
      <c r="G164" s="71">
        <v>6446.28</v>
      </c>
      <c r="H164" s="71">
        <v>0</v>
      </c>
      <c r="I164" s="49">
        <v>0</v>
      </c>
      <c r="J164" s="49">
        <v>0</v>
      </c>
      <c r="K164" s="49">
        <v>0</v>
      </c>
      <c r="L164" s="49">
        <v>1353.72</v>
      </c>
      <c r="M164" s="49">
        <v>0</v>
      </c>
      <c r="N164" s="71">
        <v>0</v>
      </c>
      <c r="O164" s="72">
        <v>7800</v>
      </c>
    </row>
    <row r="165" spans="2:15">
      <c r="B165" s="70" t="s">
        <v>1849</v>
      </c>
      <c r="C165" s="44" t="s">
        <v>1850</v>
      </c>
      <c r="D165" s="45" t="s">
        <v>122</v>
      </c>
      <c r="E165" s="45" t="s">
        <v>123</v>
      </c>
      <c r="F165" s="45" t="s">
        <v>124</v>
      </c>
      <c r="G165" s="71">
        <v>2479.34</v>
      </c>
      <c r="H165" s="71">
        <v>0</v>
      </c>
      <c r="I165" s="49">
        <v>0</v>
      </c>
      <c r="J165" s="49">
        <v>0</v>
      </c>
      <c r="K165" s="49">
        <v>0</v>
      </c>
      <c r="L165" s="49">
        <v>520.66</v>
      </c>
      <c r="M165" s="49">
        <v>0</v>
      </c>
      <c r="N165" s="71">
        <v>0</v>
      </c>
      <c r="O165" s="72">
        <v>3000</v>
      </c>
    </row>
    <row r="166" spans="2:15">
      <c r="B166" s="70" t="s">
        <v>1849</v>
      </c>
      <c r="C166" s="44" t="s">
        <v>1851</v>
      </c>
      <c r="D166" s="45" t="s">
        <v>122</v>
      </c>
      <c r="E166" s="45" t="s">
        <v>123</v>
      </c>
      <c r="F166" s="45" t="s">
        <v>124</v>
      </c>
      <c r="G166" s="71">
        <v>5785.12</v>
      </c>
      <c r="H166" s="71">
        <v>0</v>
      </c>
      <c r="I166" s="49">
        <v>0</v>
      </c>
      <c r="J166" s="49">
        <v>0</v>
      </c>
      <c r="K166" s="49">
        <v>0</v>
      </c>
      <c r="L166" s="49">
        <v>1214.8800000000001</v>
      </c>
      <c r="M166" s="49">
        <v>0</v>
      </c>
      <c r="N166" s="71">
        <v>0</v>
      </c>
      <c r="O166" s="72">
        <v>7000</v>
      </c>
    </row>
    <row r="167" spans="2:15">
      <c r="B167" s="70" t="s">
        <v>1849</v>
      </c>
      <c r="C167" s="44" t="s">
        <v>1852</v>
      </c>
      <c r="D167" s="45" t="s">
        <v>122</v>
      </c>
      <c r="E167" s="45" t="s">
        <v>123</v>
      </c>
      <c r="F167" s="45" t="s">
        <v>124</v>
      </c>
      <c r="G167" s="71">
        <v>9917.36</v>
      </c>
      <c r="H167" s="71">
        <v>0</v>
      </c>
      <c r="I167" s="49">
        <v>0</v>
      </c>
      <c r="J167" s="49">
        <v>0</v>
      </c>
      <c r="K167" s="49">
        <v>0</v>
      </c>
      <c r="L167" s="49">
        <v>2082.64</v>
      </c>
      <c r="M167" s="49">
        <v>0</v>
      </c>
      <c r="N167" s="71">
        <v>0</v>
      </c>
      <c r="O167" s="72">
        <v>12000</v>
      </c>
    </row>
    <row r="168" spans="2:15">
      <c r="B168" s="70" t="s">
        <v>1849</v>
      </c>
      <c r="C168" s="44" t="s">
        <v>1853</v>
      </c>
      <c r="D168" s="45" t="s">
        <v>122</v>
      </c>
      <c r="E168" s="45" t="s">
        <v>123</v>
      </c>
      <c r="F168" s="45" t="s">
        <v>124</v>
      </c>
      <c r="G168" s="71">
        <v>2702.48</v>
      </c>
      <c r="H168" s="71">
        <v>0</v>
      </c>
      <c r="I168" s="49">
        <v>0</v>
      </c>
      <c r="J168" s="49">
        <v>0</v>
      </c>
      <c r="K168" s="49">
        <v>0</v>
      </c>
      <c r="L168" s="49">
        <v>567.52</v>
      </c>
      <c r="M168" s="49">
        <v>0</v>
      </c>
      <c r="N168" s="71">
        <v>0</v>
      </c>
      <c r="O168" s="72">
        <v>3270</v>
      </c>
    </row>
    <row r="169" spans="2:15">
      <c r="B169" s="70" t="s">
        <v>1849</v>
      </c>
      <c r="C169" s="44" t="s">
        <v>1854</v>
      </c>
      <c r="D169" s="45" t="s">
        <v>122</v>
      </c>
      <c r="E169" s="45" t="s">
        <v>123</v>
      </c>
      <c r="F169" s="45" t="s">
        <v>124</v>
      </c>
      <c r="G169" s="71">
        <v>4297.5200000000004</v>
      </c>
      <c r="H169" s="71">
        <v>0</v>
      </c>
      <c r="I169" s="49">
        <v>0</v>
      </c>
      <c r="J169" s="49">
        <v>0</v>
      </c>
      <c r="K169" s="49">
        <v>0</v>
      </c>
      <c r="L169" s="49">
        <v>902.48</v>
      </c>
      <c r="M169" s="49">
        <v>0</v>
      </c>
      <c r="N169" s="71">
        <v>0</v>
      </c>
      <c r="O169" s="72">
        <v>5200</v>
      </c>
    </row>
    <row r="170" spans="2:15">
      <c r="B170" s="70" t="s">
        <v>1849</v>
      </c>
      <c r="C170" s="44" t="s">
        <v>1855</v>
      </c>
      <c r="D170" s="45" t="s">
        <v>122</v>
      </c>
      <c r="E170" s="45" t="s">
        <v>123</v>
      </c>
      <c r="F170" s="45" t="s">
        <v>124</v>
      </c>
      <c r="G170" s="71">
        <v>11570.25</v>
      </c>
      <c r="H170" s="71">
        <v>0</v>
      </c>
      <c r="I170" s="49">
        <v>0</v>
      </c>
      <c r="J170" s="49">
        <v>0</v>
      </c>
      <c r="K170" s="49">
        <v>0</v>
      </c>
      <c r="L170" s="49">
        <v>2429.75</v>
      </c>
      <c r="M170" s="49">
        <v>0</v>
      </c>
      <c r="N170" s="71">
        <v>0</v>
      </c>
      <c r="O170" s="72">
        <v>14000</v>
      </c>
    </row>
    <row r="171" spans="2:15">
      <c r="B171" s="70" t="s">
        <v>1849</v>
      </c>
      <c r="C171" s="44" t="s">
        <v>1856</v>
      </c>
      <c r="D171" s="45" t="s">
        <v>122</v>
      </c>
      <c r="E171" s="45" t="s">
        <v>123</v>
      </c>
      <c r="F171" s="45" t="s">
        <v>124</v>
      </c>
      <c r="G171" s="71">
        <v>1570.25</v>
      </c>
      <c r="H171" s="71">
        <v>0</v>
      </c>
      <c r="I171" s="49">
        <v>0</v>
      </c>
      <c r="J171" s="49">
        <v>0</v>
      </c>
      <c r="K171" s="49">
        <v>0</v>
      </c>
      <c r="L171" s="49">
        <v>329.75</v>
      </c>
      <c r="M171" s="49">
        <v>0</v>
      </c>
      <c r="N171" s="71">
        <v>0</v>
      </c>
      <c r="O171" s="72">
        <v>1900</v>
      </c>
    </row>
    <row r="172" spans="2:15">
      <c r="B172" s="70" t="s">
        <v>1849</v>
      </c>
      <c r="C172" s="44" t="s">
        <v>1857</v>
      </c>
      <c r="D172" s="45" t="s">
        <v>122</v>
      </c>
      <c r="E172" s="45" t="s">
        <v>123</v>
      </c>
      <c r="F172" s="45" t="s">
        <v>124</v>
      </c>
      <c r="G172" s="71">
        <v>3388.43</v>
      </c>
      <c r="H172" s="71">
        <v>0</v>
      </c>
      <c r="I172" s="49">
        <v>0</v>
      </c>
      <c r="J172" s="49">
        <v>0</v>
      </c>
      <c r="K172" s="49">
        <v>0</v>
      </c>
      <c r="L172" s="49">
        <v>711.57</v>
      </c>
      <c r="M172" s="49">
        <v>0</v>
      </c>
      <c r="N172" s="71">
        <v>0</v>
      </c>
      <c r="O172" s="72">
        <v>4100</v>
      </c>
    </row>
    <row r="173" spans="2:15">
      <c r="B173" s="70" t="s">
        <v>1849</v>
      </c>
      <c r="C173" s="44" t="s">
        <v>1858</v>
      </c>
      <c r="D173" s="45" t="s">
        <v>122</v>
      </c>
      <c r="E173" s="45" t="s">
        <v>123</v>
      </c>
      <c r="F173" s="45" t="s">
        <v>124</v>
      </c>
      <c r="G173" s="71">
        <v>2644.63</v>
      </c>
      <c r="H173" s="71">
        <v>0</v>
      </c>
      <c r="I173" s="49">
        <v>0</v>
      </c>
      <c r="J173" s="49">
        <v>0</v>
      </c>
      <c r="K173" s="49">
        <v>0</v>
      </c>
      <c r="L173" s="49">
        <v>555.37</v>
      </c>
      <c r="M173" s="49">
        <v>0</v>
      </c>
      <c r="N173" s="71">
        <v>0</v>
      </c>
      <c r="O173" s="72">
        <v>3200</v>
      </c>
    </row>
    <row r="174" spans="2:15">
      <c r="B174" s="70" t="s">
        <v>1849</v>
      </c>
      <c r="C174" s="44" t="s">
        <v>1859</v>
      </c>
      <c r="D174" s="45" t="s">
        <v>122</v>
      </c>
      <c r="E174" s="45" t="s">
        <v>123</v>
      </c>
      <c r="F174" s="45" t="s">
        <v>124</v>
      </c>
      <c r="G174" s="71">
        <v>1322.31</v>
      </c>
      <c r="H174" s="71">
        <v>0</v>
      </c>
      <c r="I174" s="49">
        <v>0</v>
      </c>
      <c r="J174" s="49">
        <v>0</v>
      </c>
      <c r="K174" s="49">
        <v>0</v>
      </c>
      <c r="L174" s="49">
        <v>277.69</v>
      </c>
      <c r="M174" s="49">
        <v>0</v>
      </c>
      <c r="N174" s="71">
        <v>0</v>
      </c>
      <c r="O174" s="72">
        <v>1600</v>
      </c>
    </row>
    <row r="175" spans="2:15">
      <c r="B175" s="70" t="s">
        <v>1849</v>
      </c>
      <c r="C175" s="44" t="s">
        <v>1860</v>
      </c>
      <c r="D175" s="45" t="s">
        <v>122</v>
      </c>
      <c r="E175" s="45" t="s">
        <v>123</v>
      </c>
      <c r="F175" s="45" t="s">
        <v>124</v>
      </c>
      <c r="G175" s="71">
        <v>7024.79</v>
      </c>
      <c r="H175" s="71">
        <v>0</v>
      </c>
      <c r="I175" s="49">
        <v>0</v>
      </c>
      <c r="J175" s="49">
        <v>0</v>
      </c>
      <c r="K175" s="49">
        <v>0</v>
      </c>
      <c r="L175" s="49">
        <v>1475.21</v>
      </c>
      <c r="M175" s="49">
        <v>0</v>
      </c>
      <c r="N175" s="71">
        <v>0</v>
      </c>
      <c r="O175" s="72">
        <v>8500</v>
      </c>
    </row>
    <row r="176" spans="2:15">
      <c r="B176" s="70" t="s">
        <v>1849</v>
      </c>
      <c r="C176" s="44" t="s">
        <v>1861</v>
      </c>
      <c r="D176" s="45" t="s">
        <v>122</v>
      </c>
      <c r="E176" s="45" t="s">
        <v>123</v>
      </c>
      <c r="F176" s="45" t="s">
        <v>124</v>
      </c>
      <c r="G176" s="71">
        <v>8925.6200000000008</v>
      </c>
      <c r="H176" s="71">
        <v>0</v>
      </c>
      <c r="I176" s="49">
        <v>0</v>
      </c>
      <c r="J176" s="49">
        <v>0</v>
      </c>
      <c r="K176" s="49">
        <v>0</v>
      </c>
      <c r="L176" s="49">
        <v>1874.38</v>
      </c>
      <c r="M176" s="49">
        <v>0</v>
      </c>
      <c r="N176" s="71">
        <v>0</v>
      </c>
      <c r="O176" s="72">
        <v>10800</v>
      </c>
    </row>
    <row r="177" spans="2:15">
      <c r="B177" s="70" t="s">
        <v>1849</v>
      </c>
      <c r="C177" s="44" t="s">
        <v>1862</v>
      </c>
      <c r="D177" s="45" t="s">
        <v>122</v>
      </c>
      <c r="E177" s="45" t="s">
        <v>123</v>
      </c>
      <c r="F177" s="45" t="s">
        <v>124</v>
      </c>
      <c r="G177" s="71">
        <v>2892.56</v>
      </c>
      <c r="H177" s="71">
        <v>0</v>
      </c>
      <c r="I177" s="49">
        <v>0</v>
      </c>
      <c r="J177" s="49">
        <v>0</v>
      </c>
      <c r="K177" s="49">
        <v>0</v>
      </c>
      <c r="L177" s="49">
        <v>607.44000000000005</v>
      </c>
      <c r="M177" s="49">
        <v>0</v>
      </c>
      <c r="N177" s="71">
        <v>0</v>
      </c>
      <c r="O177" s="72">
        <v>3500</v>
      </c>
    </row>
    <row r="178" spans="2:15">
      <c r="B178" s="70" t="s">
        <v>1849</v>
      </c>
      <c r="C178" s="44" t="s">
        <v>1863</v>
      </c>
      <c r="D178" s="45" t="s">
        <v>122</v>
      </c>
      <c r="E178" s="45" t="s">
        <v>123</v>
      </c>
      <c r="F178" s="45" t="s">
        <v>124</v>
      </c>
      <c r="G178" s="71">
        <v>1983.47</v>
      </c>
      <c r="H178" s="71">
        <v>0</v>
      </c>
      <c r="I178" s="49">
        <v>0</v>
      </c>
      <c r="J178" s="49">
        <v>0</v>
      </c>
      <c r="K178" s="49">
        <v>0</v>
      </c>
      <c r="L178" s="49">
        <v>416.53</v>
      </c>
      <c r="M178" s="49">
        <v>0</v>
      </c>
      <c r="N178" s="71">
        <v>0</v>
      </c>
      <c r="O178" s="72">
        <v>2400</v>
      </c>
    </row>
    <row r="179" spans="2:15">
      <c r="B179" s="70" t="s">
        <v>1849</v>
      </c>
      <c r="C179" s="44" t="s">
        <v>1864</v>
      </c>
      <c r="D179" s="45" t="s">
        <v>122</v>
      </c>
      <c r="E179" s="45" t="s">
        <v>123</v>
      </c>
      <c r="F179" s="45" t="s">
        <v>124</v>
      </c>
      <c r="G179" s="71">
        <v>3553.72</v>
      </c>
      <c r="H179" s="71">
        <v>0</v>
      </c>
      <c r="I179" s="49">
        <v>0</v>
      </c>
      <c r="J179" s="49">
        <v>0</v>
      </c>
      <c r="K179" s="49">
        <v>0</v>
      </c>
      <c r="L179" s="49">
        <v>746.28</v>
      </c>
      <c r="M179" s="49">
        <v>0</v>
      </c>
      <c r="N179" s="71">
        <v>0</v>
      </c>
      <c r="O179" s="72">
        <v>4300</v>
      </c>
    </row>
    <row r="180" spans="2:15">
      <c r="B180" s="70" t="s">
        <v>1883</v>
      </c>
      <c r="C180" s="44" t="s">
        <v>1884</v>
      </c>
      <c r="D180" s="45" t="s">
        <v>122</v>
      </c>
      <c r="E180" s="45" t="s">
        <v>123</v>
      </c>
      <c r="F180" s="45" t="s">
        <v>124</v>
      </c>
      <c r="G180" s="71">
        <v>8925.6200000000008</v>
      </c>
      <c r="H180" s="71">
        <v>0</v>
      </c>
      <c r="I180" s="49">
        <v>0</v>
      </c>
      <c r="J180" s="49">
        <v>0</v>
      </c>
      <c r="K180" s="49">
        <v>0</v>
      </c>
      <c r="L180" s="49">
        <v>1874.38</v>
      </c>
      <c r="M180" s="49">
        <v>0</v>
      </c>
      <c r="N180" s="71">
        <v>0</v>
      </c>
      <c r="O180" s="72">
        <v>10800</v>
      </c>
    </row>
    <row r="181" spans="2:15">
      <c r="B181" s="70" t="s">
        <v>1883</v>
      </c>
      <c r="C181" s="44" t="s">
        <v>1885</v>
      </c>
      <c r="D181" s="45" t="s">
        <v>122</v>
      </c>
      <c r="E181" s="45" t="s">
        <v>123</v>
      </c>
      <c r="F181" s="45" t="s">
        <v>124</v>
      </c>
      <c r="G181" s="71">
        <v>6776.86</v>
      </c>
      <c r="H181" s="71">
        <v>0</v>
      </c>
      <c r="I181" s="49">
        <v>0</v>
      </c>
      <c r="J181" s="49">
        <v>0</v>
      </c>
      <c r="K181" s="49">
        <v>0</v>
      </c>
      <c r="L181" s="49">
        <v>1423.14</v>
      </c>
      <c r="M181" s="49">
        <v>0</v>
      </c>
      <c r="N181" s="71">
        <v>0</v>
      </c>
      <c r="O181" s="72">
        <v>8200</v>
      </c>
    </row>
    <row r="182" spans="2:15">
      <c r="B182" s="70" t="s">
        <v>1883</v>
      </c>
      <c r="C182" s="44" t="s">
        <v>1886</v>
      </c>
      <c r="D182" s="45" t="s">
        <v>122</v>
      </c>
      <c r="E182" s="45" t="s">
        <v>123</v>
      </c>
      <c r="F182" s="45" t="s">
        <v>124</v>
      </c>
      <c r="G182" s="71">
        <v>24793.39</v>
      </c>
      <c r="H182" s="71">
        <v>0</v>
      </c>
      <c r="I182" s="49">
        <v>0</v>
      </c>
      <c r="J182" s="49">
        <v>0</v>
      </c>
      <c r="K182" s="49">
        <v>0</v>
      </c>
      <c r="L182" s="49">
        <v>5206.6099999999997</v>
      </c>
      <c r="M182" s="49">
        <v>0</v>
      </c>
      <c r="N182" s="71">
        <v>0</v>
      </c>
      <c r="O182" s="72">
        <v>30000</v>
      </c>
    </row>
    <row r="183" spans="2:15">
      <c r="B183" s="70" t="s">
        <v>1883</v>
      </c>
      <c r="C183" s="44" t="s">
        <v>1887</v>
      </c>
      <c r="D183" s="45" t="s">
        <v>122</v>
      </c>
      <c r="E183" s="45" t="s">
        <v>123</v>
      </c>
      <c r="F183" s="45" t="s">
        <v>124</v>
      </c>
      <c r="G183" s="71">
        <v>1859.5</v>
      </c>
      <c r="H183" s="71">
        <v>0</v>
      </c>
      <c r="I183" s="49">
        <v>0</v>
      </c>
      <c r="J183" s="49">
        <v>0</v>
      </c>
      <c r="K183" s="49">
        <v>0</v>
      </c>
      <c r="L183" s="49">
        <v>390.5</v>
      </c>
      <c r="M183" s="49">
        <v>0</v>
      </c>
      <c r="N183" s="71">
        <v>0</v>
      </c>
      <c r="O183" s="72">
        <v>2250</v>
      </c>
    </row>
    <row r="184" spans="2:15">
      <c r="B184" s="70" t="s">
        <v>1883</v>
      </c>
      <c r="C184" s="44" t="s">
        <v>1888</v>
      </c>
      <c r="D184" s="45" t="s">
        <v>122</v>
      </c>
      <c r="E184" s="45" t="s">
        <v>123</v>
      </c>
      <c r="F184" s="45" t="s">
        <v>124</v>
      </c>
      <c r="G184" s="71">
        <v>2702.48</v>
      </c>
      <c r="H184" s="71">
        <v>0</v>
      </c>
      <c r="I184" s="49">
        <v>0</v>
      </c>
      <c r="J184" s="49">
        <v>0</v>
      </c>
      <c r="K184" s="49">
        <v>0</v>
      </c>
      <c r="L184" s="49">
        <v>567.52</v>
      </c>
      <c r="M184" s="49">
        <v>0</v>
      </c>
      <c r="N184" s="71">
        <v>0</v>
      </c>
      <c r="O184" s="72">
        <v>3270</v>
      </c>
    </row>
    <row r="185" spans="2:15">
      <c r="B185" s="70" t="s">
        <v>1894</v>
      </c>
      <c r="C185" s="44" t="s">
        <v>1896</v>
      </c>
      <c r="D185" s="45" t="s">
        <v>122</v>
      </c>
      <c r="E185" s="45" t="s">
        <v>123</v>
      </c>
      <c r="F185" s="45" t="s">
        <v>124</v>
      </c>
      <c r="G185" s="71">
        <v>13057.85</v>
      </c>
      <c r="H185" s="71">
        <v>0</v>
      </c>
      <c r="I185" s="49">
        <v>0</v>
      </c>
      <c r="J185" s="49">
        <v>0</v>
      </c>
      <c r="K185" s="49">
        <v>0</v>
      </c>
      <c r="L185" s="49">
        <v>2742.15</v>
      </c>
      <c r="M185" s="49">
        <v>0</v>
      </c>
      <c r="N185" s="71">
        <v>0</v>
      </c>
      <c r="O185" s="72">
        <v>15800</v>
      </c>
    </row>
    <row r="186" spans="2:15">
      <c r="B186" s="70" t="s">
        <v>1894</v>
      </c>
      <c r="C186" s="44" t="s">
        <v>1897</v>
      </c>
      <c r="D186" s="45" t="s">
        <v>122</v>
      </c>
      <c r="E186" s="45" t="s">
        <v>123</v>
      </c>
      <c r="F186" s="45" t="s">
        <v>124</v>
      </c>
      <c r="G186" s="71">
        <v>8264.4600000000009</v>
      </c>
      <c r="H186" s="71">
        <v>0</v>
      </c>
      <c r="I186" s="49">
        <v>0</v>
      </c>
      <c r="J186" s="49">
        <v>0</v>
      </c>
      <c r="K186" s="49">
        <v>0</v>
      </c>
      <c r="L186" s="49">
        <v>1735.54</v>
      </c>
      <c r="M186" s="49">
        <v>0</v>
      </c>
      <c r="N186" s="71">
        <v>0</v>
      </c>
      <c r="O186" s="72">
        <v>10000</v>
      </c>
    </row>
    <row r="187" spans="2:15">
      <c r="B187" s="70" t="s">
        <v>1894</v>
      </c>
      <c r="C187" s="44" t="s">
        <v>1898</v>
      </c>
      <c r="D187" s="45" t="s">
        <v>122</v>
      </c>
      <c r="E187" s="45" t="s">
        <v>123</v>
      </c>
      <c r="F187" s="45" t="s">
        <v>124</v>
      </c>
      <c r="G187" s="71">
        <v>9504.130000000001</v>
      </c>
      <c r="H187" s="71">
        <v>0</v>
      </c>
      <c r="I187" s="49">
        <v>0</v>
      </c>
      <c r="J187" s="49">
        <v>0</v>
      </c>
      <c r="K187" s="49">
        <v>0</v>
      </c>
      <c r="L187" s="49">
        <v>1995.87</v>
      </c>
      <c r="M187" s="49">
        <v>0</v>
      </c>
      <c r="N187" s="71">
        <v>0</v>
      </c>
      <c r="O187" s="72">
        <v>11500</v>
      </c>
    </row>
    <row r="188" spans="2:15">
      <c r="B188" s="70" t="s">
        <v>1894</v>
      </c>
      <c r="C188" s="44" t="s">
        <v>1899</v>
      </c>
      <c r="D188" s="45" t="s">
        <v>122</v>
      </c>
      <c r="E188" s="45" t="s">
        <v>123</v>
      </c>
      <c r="F188" s="45" t="s">
        <v>124</v>
      </c>
      <c r="G188" s="71">
        <v>17355.38</v>
      </c>
      <c r="H188" s="71">
        <v>0</v>
      </c>
      <c r="I188" s="49">
        <v>0</v>
      </c>
      <c r="J188" s="49">
        <v>0</v>
      </c>
      <c r="K188" s="49">
        <v>0</v>
      </c>
      <c r="L188" s="49">
        <v>3644.62</v>
      </c>
      <c r="M188" s="49">
        <v>0</v>
      </c>
      <c r="N188" s="71">
        <v>0</v>
      </c>
      <c r="O188" s="72">
        <v>21000</v>
      </c>
    </row>
    <row r="189" spans="2:15">
      <c r="B189" s="70" t="s">
        <v>1894</v>
      </c>
      <c r="C189" s="44" t="s">
        <v>1900</v>
      </c>
      <c r="D189" s="45" t="s">
        <v>122</v>
      </c>
      <c r="E189" s="45" t="s">
        <v>123</v>
      </c>
      <c r="F189" s="45" t="s">
        <v>124</v>
      </c>
      <c r="G189" s="71">
        <v>8677.69</v>
      </c>
      <c r="H189" s="71">
        <v>0</v>
      </c>
      <c r="I189" s="49">
        <v>0</v>
      </c>
      <c r="J189" s="49">
        <v>0</v>
      </c>
      <c r="K189" s="49">
        <v>0</v>
      </c>
      <c r="L189" s="49">
        <v>1822.31</v>
      </c>
      <c r="M189" s="49">
        <v>0</v>
      </c>
      <c r="N189" s="71">
        <v>0</v>
      </c>
      <c r="O189" s="72">
        <v>10500</v>
      </c>
    </row>
    <row r="190" spans="2:15">
      <c r="B190" s="70" t="s">
        <v>1894</v>
      </c>
      <c r="C190" s="44" t="s">
        <v>1901</v>
      </c>
      <c r="D190" s="45" t="s">
        <v>122</v>
      </c>
      <c r="E190" s="45" t="s">
        <v>123</v>
      </c>
      <c r="F190" s="45" t="s">
        <v>124</v>
      </c>
      <c r="G190" s="71">
        <v>14876.03</v>
      </c>
      <c r="H190" s="71">
        <v>0</v>
      </c>
      <c r="I190" s="49">
        <v>0</v>
      </c>
      <c r="J190" s="49">
        <v>0</v>
      </c>
      <c r="K190" s="49">
        <v>0</v>
      </c>
      <c r="L190" s="49">
        <v>3123.97</v>
      </c>
      <c r="M190" s="49">
        <v>0</v>
      </c>
      <c r="N190" s="71">
        <v>0</v>
      </c>
      <c r="O190" s="72">
        <v>18000</v>
      </c>
    </row>
    <row r="191" spans="2:15">
      <c r="B191" s="70" t="s">
        <v>1894</v>
      </c>
      <c r="C191" s="44" t="s">
        <v>1902</v>
      </c>
      <c r="D191" s="45" t="s">
        <v>122</v>
      </c>
      <c r="E191" s="45" t="s">
        <v>123</v>
      </c>
      <c r="F191" s="45" t="s">
        <v>124</v>
      </c>
      <c r="G191" s="71">
        <v>12892.56</v>
      </c>
      <c r="H191" s="71">
        <v>0</v>
      </c>
      <c r="I191" s="49">
        <v>0</v>
      </c>
      <c r="J191" s="49">
        <v>0</v>
      </c>
      <c r="K191" s="49">
        <v>0</v>
      </c>
      <c r="L191" s="49">
        <v>2707.44</v>
      </c>
      <c r="M191" s="49">
        <v>0</v>
      </c>
      <c r="N191" s="71">
        <v>0</v>
      </c>
      <c r="O191" s="72">
        <v>15600</v>
      </c>
    </row>
    <row r="192" spans="2:15">
      <c r="B192" s="70" t="s">
        <v>1906</v>
      </c>
      <c r="C192" s="44" t="s">
        <v>1907</v>
      </c>
      <c r="D192" s="45" t="s">
        <v>122</v>
      </c>
      <c r="E192" s="45" t="s">
        <v>123</v>
      </c>
      <c r="F192" s="45" t="s">
        <v>124</v>
      </c>
      <c r="G192" s="71">
        <v>4495.87</v>
      </c>
      <c r="H192" s="71">
        <v>0</v>
      </c>
      <c r="I192" s="49">
        <v>0</v>
      </c>
      <c r="J192" s="49">
        <v>0</v>
      </c>
      <c r="K192" s="49">
        <v>0</v>
      </c>
      <c r="L192" s="49">
        <v>944.13</v>
      </c>
      <c r="M192" s="49">
        <v>0</v>
      </c>
      <c r="N192" s="71">
        <v>0</v>
      </c>
      <c r="O192" s="72">
        <v>5440</v>
      </c>
    </row>
    <row r="193" spans="2:15">
      <c r="B193" s="70" t="s">
        <v>1906</v>
      </c>
      <c r="C193" s="44" t="s">
        <v>1908</v>
      </c>
      <c r="D193" s="45" t="s">
        <v>122</v>
      </c>
      <c r="E193" s="45" t="s">
        <v>123</v>
      </c>
      <c r="F193" s="45" t="s">
        <v>124</v>
      </c>
      <c r="G193" s="71">
        <v>6115.7</v>
      </c>
      <c r="H193" s="71">
        <v>0</v>
      </c>
      <c r="I193" s="49">
        <v>0</v>
      </c>
      <c r="J193" s="49">
        <v>0</v>
      </c>
      <c r="K193" s="49">
        <v>0</v>
      </c>
      <c r="L193" s="49">
        <v>1284.3</v>
      </c>
      <c r="M193" s="49">
        <v>0</v>
      </c>
      <c r="N193" s="71">
        <v>0</v>
      </c>
      <c r="O193" s="72">
        <v>7400</v>
      </c>
    </row>
    <row r="194" spans="2:15">
      <c r="B194" s="70" t="s">
        <v>1906</v>
      </c>
      <c r="C194" s="44" t="s">
        <v>1909</v>
      </c>
      <c r="D194" s="45" t="s">
        <v>122</v>
      </c>
      <c r="E194" s="45" t="s">
        <v>123</v>
      </c>
      <c r="F194" s="45" t="s">
        <v>124</v>
      </c>
      <c r="G194" s="71">
        <v>6322.31</v>
      </c>
      <c r="H194" s="71">
        <v>0</v>
      </c>
      <c r="I194" s="49">
        <v>0</v>
      </c>
      <c r="J194" s="49">
        <v>0</v>
      </c>
      <c r="K194" s="49">
        <v>0</v>
      </c>
      <c r="L194" s="49">
        <v>1327.69</v>
      </c>
      <c r="M194" s="49">
        <v>0</v>
      </c>
      <c r="N194" s="71">
        <v>0</v>
      </c>
      <c r="O194" s="72">
        <v>7650</v>
      </c>
    </row>
    <row r="195" spans="2:15">
      <c r="B195" s="70" t="s">
        <v>1906</v>
      </c>
      <c r="C195" s="44" t="s">
        <v>1910</v>
      </c>
      <c r="D195" s="45" t="s">
        <v>122</v>
      </c>
      <c r="E195" s="45" t="s">
        <v>123</v>
      </c>
      <c r="F195" s="45" t="s">
        <v>124</v>
      </c>
      <c r="G195" s="71">
        <v>6776.86</v>
      </c>
      <c r="H195" s="71">
        <v>0</v>
      </c>
      <c r="I195" s="49">
        <v>0</v>
      </c>
      <c r="J195" s="49">
        <v>0</v>
      </c>
      <c r="K195" s="49">
        <v>0</v>
      </c>
      <c r="L195" s="49">
        <v>1423.14</v>
      </c>
      <c r="M195" s="49">
        <v>0</v>
      </c>
      <c r="N195" s="71">
        <v>0</v>
      </c>
      <c r="O195" s="72">
        <v>8200</v>
      </c>
    </row>
    <row r="196" spans="2:15">
      <c r="B196" s="70" t="s">
        <v>1906</v>
      </c>
      <c r="C196" s="44" t="s">
        <v>1911</v>
      </c>
      <c r="D196" s="45" t="s">
        <v>122</v>
      </c>
      <c r="E196" s="45" t="s">
        <v>123</v>
      </c>
      <c r="F196" s="45" t="s">
        <v>124</v>
      </c>
      <c r="G196" s="71">
        <v>2479.34</v>
      </c>
      <c r="H196" s="71">
        <v>0</v>
      </c>
      <c r="I196" s="49">
        <v>0</v>
      </c>
      <c r="J196" s="49">
        <v>0</v>
      </c>
      <c r="K196" s="49">
        <v>0</v>
      </c>
      <c r="L196" s="49">
        <v>520.66</v>
      </c>
      <c r="M196" s="49">
        <v>0</v>
      </c>
      <c r="N196" s="71">
        <v>0</v>
      </c>
      <c r="O196" s="72">
        <v>3000</v>
      </c>
    </row>
    <row r="197" spans="2:15">
      <c r="B197" s="70" t="s">
        <v>1906</v>
      </c>
      <c r="C197" s="44" t="s">
        <v>1912</v>
      </c>
      <c r="D197" s="45" t="s">
        <v>122</v>
      </c>
      <c r="E197" s="45" t="s">
        <v>123</v>
      </c>
      <c r="F197" s="45" t="s">
        <v>124</v>
      </c>
      <c r="G197" s="71">
        <v>6033.06</v>
      </c>
      <c r="H197" s="71">
        <v>0</v>
      </c>
      <c r="I197" s="49">
        <v>0</v>
      </c>
      <c r="J197" s="49">
        <v>0</v>
      </c>
      <c r="K197" s="49">
        <v>0</v>
      </c>
      <c r="L197" s="49">
        <v>1266.94</v>
      </c>
      <c r="M197" s="49">
        <v>0</v>
      </c>
      <c r="N197" s="71">
        <v>0</v>
      </c>
      <c r="O197" s="72">
        <v>7300</v>
      </c>
    </row>
    <row r="198" spans="2:15">
      <c r="B198" s="70" t="s">
        <v>1906</v>
      </c>
      <c r="C198" s="44" t="s">
        <v>1913</v>
      </c>
      <c r="D198" s="45" t="s">
        <v>122</v>
      </c>
      <c r="E198" s="45" t="s">
        <v>123</v>
      </c>
      <c r="F198" s="45" t="s">
        <v>124</v>
      </c>
      <c r="G198" s="71">
        <v>8925.6200000000008</v>
      </c>
      <c r="H198" s="71">
        <v>0</v>
      </c>
      <c r="I198" s="49">
        <v>0</v>
      </c>
      <c r="J198" s="49">
        <v>0</v>
      </c>
      <c r="K198" s="49">
        <v>0</v>
      </c>
      <c r="L198" s="49">
        <v>1874.38</v>
      </c>
      <c r="M198" s="49">
        <v>0</v>
      </c>
      <c r="N198" s="71">
        <v>0</v>
      </c>
      <c r="O198" s="72">
        <v>10800</v>
      </c>
    </row>
    <row r="199" spans="2:15">
      <c r="B199" s="70" t="s">
        <v>1906</v>
      </c>
      <c r="C199" s="44" t="s">
        <v>1914</v>
      </c>
      <c r="D199" s="45" t="s">
        <v>122</v>
      </c>
      <c r="E199" s="45" t="s">
        <v>123</v>
      </c>
      <c r="F199" s="45" t="s">
        <v>124</v>
      </c>
      <c r="G199" s="71">
        <v>4958.68</v>
      </c>
      <c r="H199" s="71">
        <v>0</v>
      </c>
      <c r="I199" s="49">
        <v>0</v>
      </c>
      <c r="J199" s="49">
        <v>0</v>
      </c>
      <c r="K199" s="49">
        <v>0</v>
      </c>
      <c r="L199" s="49">
        <v>1041.32</v>
      </c>
      <c r="M199" s="49">
        <v>0</v>
      </c>
      <c r="N199" s="71">
        <v>0</v>
      </c>
      <c r="O199" s="72">
        <v>6000</v>
      </c>
    </row>
    <row r="200" spans="2:15">
      <c r="B200" s="70" t="s">
        <v>1922</v>
      </c>
      <c r="C200" s="44" t="s">
        <v>1923</v>
      </c>
      <c r="D200" s="45" t="s">
        <v>122</v>
      </c>
      <c r="E200" s="45" t="s">
        <v>123</v>
      </c>
      <c r="F200" s="45" t="s">
        <v>124</v>
      </c>
      <c r="G200" s="71">
        <v>5330.58</v>
      </c>
      <c r="H200" s="71">
        <v>0</v>
      </c>
      <c r="I200" s="49">
        <v>0</v>
      </c>
      <c r="J200" s="49">
        <v>0</v>
      </c>
      <c r="K200" s="49">
        <v>0</v>
      </c>
      <c r="L200" s="49">
        <v>1119.42</v>
      </c>
      <c r="M200" s="49">
        <v>0</v>
      </c>
      <c r="N200" s="71">
        <v>0</v>
      </c>
      <c r="O200" s="72">
        <v>6450</v>
      </c>
    </row>
    <row r="201" spans="2:15">
      <c r="B201" s="70" t="s">
        <v>1922</v>
      </c>
      <c r="C201" s="44" t="s">
        <v>1924</v>
      </c>
      <c r="D201" s="45" t="s">
        <v>122</v>
      </c>
      <c r="E201" s="45" t="s">
        <v>123</v>
      </c>
      <c r="F201" s="45" t="s">
        <v>124</v>
      </c>
      <c r="G201" s="71">
        <v>3305.79</v>
      </c>
      <c r="H201" s="71">
        <v>0</v>
      </c>
      <c r="I201" s="49">
        <v>0</v>
      </c>
      <c r="J201" s="49">
        <v>0</v>
      </c>
      <c r="K201" s="49">
        <v>0</v>
      </c>
      <c r="L201" s="49">
        <v>694.21</v>
      </c>
      <c r="M201" s="49">
        <v>0</v>
      </c>
      <c r="N201" s="71">
        <v>0</v>
      </c>
      <c r="O201" s="72">
        <v>4000</v>
      </c>
    </row>
    <row r="202" spans="2:15">
      <c r="B202" s="70" t="s">
        <v>1922</v>
      </c>
      <c r="C202" s="44" t="s">
        <v>1925</v>
      </c>
      <c r="D202" s="45" t="s">
        <v>122</v>
      </c>
      <c r="E202" s="45" t="s">
        <v>123</v>
      </c>
      <c r="F202" s="45" t="s">
        <v>124</v>
      </c>
      <c r="G202" s="71">
        <v>3719.01</v>
      </c>
      <c r="H202" s="71">
        <v>0</v>
      </c>
      <c r="I202" s="49">
        <v>0</v>
      </c>
      <c r="J202" s="49">
        <v>0</v>
      </c>
      <c r="K202" s="49">
        <v>0</v>
      </c>
      <c r="L202" s="49">
        <v>780.99</v>
      </c>
      <c r="M202" s="49">
        <v>0</v>
      </c>
      <c r="N202" s="71">
        <v>0</v>
      </c>
      <c r="O202" s="72">
        <v>4500</v>
      </c>
    </row>
    <row r="203" spans="2:15">
      <c r="B203" s="70" t="s">
        <v>1922</v>
      </c>
      <c r="C203" s="44" t="s">
        <v>1926</v>
      </c>
      <c r="D203" s="45" t="s">
        <v>122</v>
      </c>
      <c r="E203" s="45" t="s">
        <v>123</v>
      </c>
      <c r="F203" s="45" t="s">
        <v>124</v>
      </c>
      <c r="G203" s="71">
        <v>8677.69</v>
      </c>
      <c r="H203" s="71">
        <v>0</v>
      </c>
      <c r="I203" s="49">
        <v>0</v>
      </c>
      <c r="J203" s="49">
        <v>0</v>
      </c>
      <c r="K203" s="49">
        <v>0</v>
      </c>
      <c r="L203" s="49">
        <v>1822.31</v>
      </c>
      <c r="M203" s="49">
        <v>0</v>
      </c>
      <c r="N203" s="71">
        <v>0</v>
      </c>
      <c r="O203" s="72">
        <v>10500</v>
      </c>
    </row>
    <row r="204" spans="2:15">
      <c r="B204" s="70" t="s">
        <v>1922</v>
      </c>
      <c r="C204" s="44" t="s">
        <v>1927</v>
      </c>
      <c r="D204" s="45" t="s">
        <v>122</v>
      </c>
      <c r="E204" s="45" t="s">
        <v>123</v>
      </c>
      <c r="F204" s="45" t="s">
        <v>124</v>
      </c>
      <c r="G204" s="71">
        <v>1652.89</v>
      </c>
      <c r="H204" s="71">
        <v>0</v>
      </c>
      <c r="I204" s="49">
        <v>0</v>
      </c>
      <c r="J204" s="49">
        <v>0</v>
      </c>
      <c r="K204" s="49">
        <v>0</v>
      </c>
      <c r="L204" s="49">
        <v>347.11</v>
      </c>
      <c r="M204" s="49">
        <v>0</v>
      </c>
      <c r="N204" s="71">
        <v>0</v>
      </c>
      <c r="O204" s="72">
        <v>2000</v>
      </c>
    </row>
    <row r="205" spans="2:15">
      <c r="B205" s="70" t="s">
        <v>1922</v>
      </c>
      <c r="C205" s="44" t="s">
        <v>1928</v>
      </c>
      <c r="D205" s="45" t="s">
        <v>122</v>
      </c>
      <c r="E205" s="45" t="s">
        <v>123</v>
      </c>
      <c r="F205" s="45" t="s">
        <v>124</v>
      </c>
      <c r="G205" s="71">
        <v>2314.0500000000002</v>
      </c>
      <c r="H205" s="71">
        <v>0</v>
      </c>
      <c r="I205" s="49">
        <v>0</v>
      </c>
      <c r="J205" s="49">
        <v>0</v>
      </c>
      <c r="K205" s="49">
        <v>0</v>
      </c>
      <c r="L205" s="49">
        <v>485.95</v>
      </c>
      <c r="M205" s="49">
        <v>0</v>
      </c>
      <c r="N205" s="71">
        <v>0</v>
      </c>
      <c r="O205" s="72">
        <v>2800</v>
      </c>
    </row>
    <row r="206" spans="2:15">
      <c r="B206" s="70" t="s">
        <v>1922</v>
      </c>
      <c r="C206" s="44" t="s">
        <v>1929</v>
      </c>
      <c r="D206" s="45" t="s">
        <v>122</v>
      </c>
      <c r="E206" s="45" t="s">
        <v>123</v>
      </c>
      <c r="F206" s="45" t="s">
        <v>124</v>
      </c>
      <c r="G206" s="71">
        <v>7851.24</v>
      </c>
      <c r="H206" s="71">
        <v>0</v>
      </c>
      <c r="I206" s="49">
        <v>0</v>
      </c>
      <c r="J206" s="49">
        <v>0</v>
      </c>
      <c r="K206" s="49">
        <v>0</v>
      </c>
      <c r="L206" s="49">
        <v>1648.76</v>
      </c>
      <c r="M206" s="49">
        <v>0</v>
      </c>
      <c r="N206" s="71">
        <v>0</v>
      </c>
      <c r="O206" s="72">
        <v>9500</v>
      </c>
    </row>
    <row r="207" spans="2:15">
      <c r="B207" s="70" t="s">
        <v>1932</v>
      </c>
      <c r="C207" s="44" t="s">
        <v>1933</v>
      </c>
      <c r="D207" s="45" t="s">
        <v>122</v>
      </c>
      <c r="E207" s="45" t="s">
        <v>123</v>
      </c>
      <c r="F207" s="45" t="s">
        <v>124</v>
      </c>
      <c r="G207" s="71">
        <v>3140.5</v>
      </c>
      <c r="H207" s="71">
        <v>0</v>
      </c>
      <c r="I207" s="49">
        <v>0</v>
      </c>
      <c r="J207" s="49">
        <v>0</v>
      </c>
      <c r="K207" s="49">
        <v>0</v>
      </c>
      <c r="L207" s="49">
        <v>659.5</v>
      </c>
      <c r="M207" s="49">
        <v>0</v>
      </c>
      <c r="N207" s="71">
        <v>0</v>
      </c>
      <c r="O207" s="72">
        <v>3800</v>
      </c>
    </row>
    <row r="208" spans="2:15">
      <c r="B208" s="70" t="s">
        <v>1932</v>
      </c>
      <c r="C208" s="44" t="s">
        <v>1934</v>
      </c>
      <c r="D208" s="45" t="s">
        <v>122</v>
      </c>
      <c r="E208" s="45" t="s">
        <v>123</v>
      </c>
      <c r="F208" s="45" t="s">
        <v>124</v>
      </c>
      <c r="G208" s="71">
        <v>2314.0500000000002</v>
      </c>
      <c r="H208" s="71">
        <v>0</v>
      </c>
      <c r="I208" s="49">
        <v>0</v>
      </c>
      <c r="J208" s="49">
        <v>0</v>
      </c>
      <c r="K208" s="49">
        <v>0</v>
      </c>
      <c r="L208" s="49">
        <v>485.95</v>
      </c>
      <c r="M208" s="49">
        <v>0</v>
      </c>
      <c r="N208" s="71">
        <v>0</v>
      </c>
      <c r="O208" s="72">
        <v>2800</v>
      </c>
    </row>
    <row r="209" spans="2:15">
      <c r="B209" s="70" t="s">
        <v>1932</v>
      </c>
      <c r="C209" s="44" t="s">
        <v>1935</v>
      </c>
      <c r="D209" s="45" t="s">
        <v>122</v>
      </c>
      <c r="E209" s="45" t="s">
        <v>123</v>
      </c>
      <c r="F209" s="45" t="s">
        <v>124</v>
      </c>
      <c r="G209" s="71">
        <v>2644.63</v>
      </c>
      <c r="H209" s="71">
        <v>0</v>
      </c>
      <c r="I209" s="49">
        <v>0</v>
      </c>
      <c r="J209" s="49">
        <v>0</v>
      </c>
      <c r="K209" s="49">
        <v>0</v>
      </c>
      <c r="L209" s="49">
        <v>555.37</v>
      </c>
      <c r="M209" s="49">
        <v>0</v>
      </c>
      <c r="N209" s="71">
        <v>0</v>
      </c>
      <c r="O209" s="72">
        <v>3200</v>
      </c>
    </row>
    <row r="210" spans="2:15">
      <c r="B210" s="70" t="s">
        <v>1932</v>
      </c>
      <c r="C210" s="44" t="s">
        <v>1936</v>
      </c>
      <c r="D210" s="45" t="s">
        <v>122</v>
      </c>
      <c r="E210" s="45" t="s">
        <v>123</v>
      </c>
      <c r="F210" s="45" t="s">
        <v>124</v>
      </c>
      <c r="G210" s="71">
        <v>6776.86</v>
      </c>
      <c r="H210" s="71">
        <v>0</v>
      </c>
      <c r="I210" s="49">
        <v>0</v>
      </c>
      <c r="J210" s="49">
        <v>0</v>
      </c>
      <c r="K210" s="49">
        <v>0</v>
      </c>
      <c r="L210" s="49">
        <v>1423.14</v>
      </c>
      <c r="M210" s="49">
        <v>0</v>
      </c>
      <c r="N210" s="71">
        <v>0</v>
      </c>
      <c r="O210" s="72">
        <v>8200</v>
      </c>
    </row>
    <row r="211" spans="2:15">
      <c r="B211" s="70" t="s">
        <v>1932</v>
      </c>
      <c r="C211" s="44" t="s">
        <v>1937</v>
      </c>
      <c r="D211" s="45" t="s">
        <v>122</v>
      </c>
      <c r="E211" s="45" t="s">
        <v>123</v>
      </c>
      <c r="F211" s="45" t="s">
        <v>124</v>
      </c>
      <c r="G211" s="71">
        <v>6033.06</v>
      </c>
      <c r="H211" s="71">
        <v>0</v>
      </c>
      <c r="I211" s="49">
        <v>0</v>
      </c>
      <c r="J211" s="49">
        <v>0</v>
      </c>
      <c r="K211" s="49">
        <v>0</v>
      </c>
      <c r="L211" s="49">
        <v>1266.94</v>
      </c>
      <c r="M211" s="49">
        <v>0</v>
      </c>
      <c r="N211" s="71">
        <v>0</v>
      </c>
      <c r="O211" s="72">
        <v>7300</v>
      </c>
    </row>
    <row r="212" spans="2:15">
      <c r="B212" s="70" t="s">
        <v>1932</v>
      </c>
      <c r="C212" s="44" t="s">
        <v>1938</v>
      </c>
      <c r="D212" s="45" t="s">
        <v>122</v>
      </c>
      <c r="E212" s="45" t="s">
        <v>123</v>
      </c>
      <c r="F212" s="45" t="s">
        <v>124</v>
      </c>
      <c r="G212" s="71">
        <v>3719.01</v>
      </c>
      <c r="H212" s="71">
        <v>0</v>
      </c>
      <c r="I212" s="49">
        <v>0</v>
      </c>
      <c r="J212" s="49">
        <v>0</v>
      </c>
      <c r="K212" s="49">
        <v>0</v>
      </c>
      <c r="L212" s="49">
        <v>780.99</v>
      </c>
      <c r="M212" s="49">
        <v>0</v>
      </c>
      <c r="N212" s="71">
        <v>0</v>
      </c>
      <c r="O212" s="72">
        <v>4500</v>
      </c>
    </row>
    <row r="213" spans="2:15">
      <c r="B213" s="70" t="s">
        <v>1932</v>
      </c>
      <c r="C213" s="44" t="s">
        <v>1939</v>
      </c>
      <c r="D213" s="45" t="s">
        <v>1940</v>
      </c>
      <c r="E213" s="45" t="s">
        <v>123</v>
      </c>
      <c r="F213" s="45">
        <v>8574134</v>
      </c>
      <c r="G213" s="71">
        <v>10247.94</v>
      </c>
      <c r="H213" s="71">
        <v>0</v>
      </c>
      <c r="I213" s="49">
        <v>0</v>
      </c>
      <c r="J213" s="49">
        <v>0</v>
      </c>
      <c r="K213" s="49">
        <v>0</v>
      </c>
      <c r="L213" s="49">
        <v>2152.06</v>
      </c>
      <c r="M213" s="49">
        <v>0</v>
      </c>
      <c r="N213" s="71">
        <v>0</v>
      </c>
      <c r="O213" s="72">
        <v>12400</v>
      </c>
    </row>
    <row r="214" spans="2:15">
      <c r="B214" s="70" t="s">
        <v>1932</v>
      </c>
      <c r="C214" s="44" t="s">
        <v>1941</v>
      </c>
      <c r="D214" s="45" t="s">
        <v>122</v>
      </c>
      <c r="E214" s="45" t="s">
        <v>123</v>
      </c>
      <c r="F214" s="45" t="s">
        <v>124</v>
      </c>
      <c r="G214" s="71">
        <v>5289.26</v>
      </c>
      <c r="H214" s="71">
        <v>0</v>
      </c>
      <c r="I214" s="49">
        <v>0</v>
      </c>
      <c r="J214" s="49">
        <v>0</v>
      </c>
      <c r="K214" s="49">
        <v>0</v>
      </c>
      <c r="L214" s="49">
        <v>1110.74</v>
      </c>
      <c r="M214" s="49">
        <v>0</v>
      </c>
      <c r="N214" s="71">
        <v>0</v>
      </c>
      <c r="O214" s="72">
        <v>6400</v>
      </c>
    </row>
    <row r="215" spans="2:15">
      <c r="B215" s="70" t="s">
        <v>1953</v>
      </c>
      <c r="C215" s="44" t="s">
        <v>1955</v>
      </c>
      <c r="D215" s="45" t="s">
        <v>122</v>
      </c>
      <c r="E215" s="45" t="s">
        <v>123</v>
      </c>
      <c r="F215" s="45" t="s">
        <v>124</v>
      </c>
      <c r="G215" s="71">
        <v>6033.06</v>
      </c>
      <c r="H215" s="71">
        <v>0</v>
      </c>
      <c r="I215" s="49">
        <v>0</v>
      </c>
      <c r="J215" s="49">
        <v>0</v>
      </c>
      <c r="K215" s="49">
        <v>0</v>
      </c>
      <c r="L215" s="49">
        <v>1266.94</v>
      </c>
      <c r="M215" s="49">
        <v>0</v>
      </c>
      <c r="N215" s="71">
        <v>0</v>
      </c>
      <c r="O215" s="72">
        <v>7300</v>
      </c>
    </row>
    <row r="216" spans="2:15">
      <c r="B216" s="70" t="s">
        <v>1953</v>
      </c>
      <c r="C216" s="44" t="s">
        <v>1956</v>
      </c>
      <c r="D216" s="45" t="s">
        <v>122</v>
      </c>
      <c r="E216" s="45" t="s">
        <v>123</v>
      </c>
      <c r="F216" s="45" t="s">
        <v>124</v>
      </c>
      <c r="G216" s="71">
        <v>5371.9</v>
      </c>
      <c r="H216" s="71">
        <v>0</v>
      </c>
      <c r="I216" s="49">
        <v>0</v>
      </c>
      <c r="J216" s="49">
        <v>0</v>
      </c>
      <c r="K216" s="49">
        <v>0</v>
      </c>
      <c r="L216" s="49">
        <v>1128.1000000000001</v>
      </c>
      <c r="M216" s="49">
        <v>0</v>
      </c>
      <c r="N216" s="71">
        <v>0</v>
      </c>
      <c r="O216" s="72">
        <v>6500</v>
      </c>
    </row>
    <row r="217" spans="2:15">
      <c r="B217" s="70" t="s">
        <v>1953</v>
      </c>
      <c r="C217" s="44" t="s">
        <v>1957</v>
      </c>
      <c r="D217" s="45" t="s">
        <v>122</v>
      </c>
      <c r="E217" s="45" t="s">
        <v>123</v>
      </c>
      <c r="F217" s="45" t="s">
        <v>124</v>
      </c>
      <c r="G217" s="71">
        <v>6198.35</v>
      </c>
      <c r="H217" s="71">
        <v>0</v>
      </c>
      <c r="I217" s="49">
        <v>0</v>
      </c>
      <c r="J217" s="49">
        <v>0</v>
      </c>
      <c r="K217" s="49">
        <v>0</v>
      </c>
      <c r="L217" s="49">
        <v>1301.6500000000001</v>
      </c>
      <c r="M217" s="49">
        <v>0</v>
      </c>
      <c r="N217" s="71">
        <v>0</v>
      </c>
      <c r="O217" s="72">
        <v>7500</v>
      </c>
    </row>
    <row r="218" spans="2:15">
      <c r="B218" s="70" t="s">
        <v>1953</v>
      </c>
      <c r="C218" s="44" t="s">
        <v>1958</v>
      </c>
      <c r="D218" s="45" t="s">
        <v>122</v>
      </c>
      <c r="E218" s="45" t="s">
        <v>123</v>
      </c>
      <c r="F218" s="45" t="s">
        <v>124</v>
      </c>
      <c r="G218" s="71">
        <v>7024.79</v>
      </c>
      <c r="H218" s="71">
        <v>0</v>
      </c>
      <c r="I218" s="49">
        <v>0</v>
      </c>
      <c r="J218" s="49">
        <v>0</v>
      </c>
      <c r="K218" s="49">
        <v>0</v>
      </c>
      <c r="L218" s="49">
        <v>1475.21</v>
      </c>
      <c r="M218" s="49">
        <v>0</v>
      </c>
      <c r="N218" s="71">
        <v>0</v>
      </c>
      <c r="O218" s="72">
        <v>8500</v>
      </c>
    </row>
    <row r="219" spans="2:15">
      <c r="B219" s="70" t="s">
        <v>1953</v>
      </c>
      <c r="C219" s="44" t="s">
        <v>1959</v>
      </c>
      <c r="D219" s="45" t="s">
        <v>122</v>
      </c>
      <c r="E219" s="45" t="s">
        <v>123</v>
      </c>
      <c r="F219" s="45" t="s">
        <v>124</v>
      </c>
      <c r="G219" s="71">
        <v>2479.34</v>
      </c>
      <c r="H219" s="71">
        <v>0</v>
      </c>
      <c r="I219" s="49">
        <v>0</v>
      </c>
      <c r="J219" s="49">
        <v>0</v>
      </c>
      <c r="K219" s="49">
        <v>0</v>
      </c>
      <c r="L219" s="49">
        <v>520.66</v>
      </c>
      <c r="M219" s="49">
        <v>0</v>
      </c>
      <c r="N219" s="71">
        <v>0</v>
      </c>
      <c r="O219" s="72">
        <v>3000</v>
      </c>
    </row>
    <row r="220" spans="2:15">
      <c r="B220" s="70" t="s">
        <v>1953</v>
      </c>
      <c r="C220" s="44" t="s">
        <v>1960</v>
      </c>
      <c r="D220" s="45" t="s">
        <v>122</v>
      </c>
      <c r="E220" s="45" t="s">
        <v>123</v>
      </c>
      <c r="F220" s="45" t="s">
        <v>124</v>
      </c>
      <c r="G220" s="71">
        <v>4380.17</v>
      </c>
      <c r="H220" s="71">
        <v>0</v>
      </c>
      <c r="I220" s="49">
        <v>0</v>
      </c>
      <c r="J220" s="49">
        <v>0</v>
      </c>
      <c r="K220" s="49">
        <v>0</v>
      </c>
      <c r="L220" s="49">
        <v>919.83</v>
      </c>
      <c r="M220" s="49">
        <v>0</v>
      </c>
      <c r="N220" s="71">
        <v>0</v>
      </c>
      <c r="O220" s="72">
        <v>5300</v>
      </c>
    </row>
    <row r="221" spans="2:15">
      <c r="B221" s="70" t="s">
        <v>1953</v>
      </c>
      <c r="C221" s="44" t="s">
        <v>1961</v>
      </c>
      <c r="D221" s="45" t="s">
        <v>122</v>
      </c>
      <c r="E221" s="45" t="s">
        <v>123</v>
      </c>
      <c r="F221" s="45" t="s">
        <v>124</v>
      </c>
      <c r="G221" s="71">
        <v>2702.48</v>
      </c>
      <c r="H221" s="71">
        <v>0</v>
      </c>
      <c r="I221" s="49">
        <v>0</v>
      </c>
      <c r="J221" s="49">
        <v>0</v>
      </c>
      <c r="K221" s="49">
        <v>0</v>
      </c>
      <c r="L221" s="49">
        <v>567.52</v>
      </c>
      <c r="M221" s="49">
        <v>0</v>
      </c>
      <c r="N221" s="71">
        <v>0</v>
      </c>
      <c r="O221" s="72">
        <v>3270</v>
      </c>
    </row>
    <row r="222" spans="2:15">
      <c r="B222" s="70" t="s">
        <v>1953</v>
      </c>
      <c r="C222" s="44" t="s">
        <v>1962</v>
      </c>
      <c r="D222" s="45" t="s">
        <v>122</v>
      </c>
      <c r="E222" s="45" t="s">
        <v>123</v>
      </c>
      <c r="F222" s="45" t="s">
        <v>124</v>
      </c>
      <c r="G222" s="71">
        <v>30000</v>
      </c>
      <c r="H222" s="71">
        <v>0</v>
      </c>
      <c r="I222" s="49">
        <v>0</v>
      </c>
      <c r="J222" s="49">
        <v>0</v>
      </c>
      <c r="K222" s="49">
        <v>0</v>
      </c>
      <c r="L222" s="49">
        <v>6300</v>
      </c>
      <c r="M222" s="49">
        <v>0</v>
      </c>
      <c r="N222" s="71">
        <v>0</v>
      </c>
      <c r="O222" s="72">
        <v>36300</v>
      </c>
    </row>
    <row r="223" spans="2:15">
      <c r="B223" s="70" t="s">
        <v>1953</v>
      </c>
      <c r="C223" s="44" t="s">
        <v>1963</v>
      </c>
      <c r="D223" s="45" t="s">
        <v>122</v>
      </c>
      <c r="E223" s="45" t="s">
        <v>123</v>
      </c>
      <c r="F223" s="45" t="s">
        <v>124</v>
      </c>
      <c r="G223" s="71">
        <v>3388.43</v>
      </c>
      <c r="H223" s="71">
        <v>0</v>
      </c>
      <c r="I223" s="49">
        <v>0</v>
      </c>
      <c r="J223" s="49">
        <v>0</v>
      </c>
      <c r="K223" s="49">
        <v>0</v>
      </c>
      <c r="L223" s="49">
        <v>711.57</v>
      </c>
      <c r="M223" s="49">
        <v>0</v>
      </c>
      <c r="N223" s="71">
        <v>0</v>
      </c>
      <c r="O223" s="72">
        <v>4100</v>
      </c>
    </row>
    <row r="224" spans="2:15">
      <c r="B224" s="70" t="s">
        <v>1953</v>
      </c>
      <c r="C224" s="44" t="s">
        <v>1964</v>
      </c>
      <c r="D224" s="45" t="s">
        <v>122</v>
      </c>
      <c r="E224" s="45" t="s">
        <v>123</v>
      </c>
      <c r="F224" s="45" t="s">
        <v>124</v>
      </c>
      <c r="G224" s="71">
        <v>6611.57</v>
      </c>
      <c r="H224" s="71">
        <v>0</v>
      </c>
      <c r="I224" s="49">
        <v>0</v>
      </c>
      <c r="J224" s="49">
        <v>0</v>
      </c>
      <c r="K224" s="49">
        <v>0</v>
      </c>
      <c r="L224" s="49">
        <v>1388.43</v>
      </c>
      <c r="M224" s="49">
        <v>0</v>
      </c>
      <c r="N224" s="71">
        <v>0</v>
      </c>
      <c r="O224" s="72">
        <v>8000</v>
      </c>
    </row>
    <row r="225" spans="2:15">
      <c r="B225" s="70" t="s">
        <v>1953</v>
      </c>
      <c r="C225" s="44" t="s">
        <v>1965</v>
      </c>
      <c r="D225" s="45" t="s">
        <v>122</v>
      </c>
      <c r="E225" s="45" t="s">
        <v>123</v>
      </c>
      <c r="F225" s="45" t="s">
        <v>124</v>
      </c>
      <c r="G225" s="71">
        <v>2644.63</v>
      </c>
      <c r="H225" s="71">
        <v>0</v>
      </c>
      <c r="I225" s="49">
        <v>0</v>
      </c>
      <c r="J225" s="49">
        <v>0</v>
      </c>
      <c r="K225" s="49">
        <v>0</v>
      </c>
      <c r="L225" s="49">
        <v>555.37</v>
      </c>
      <c r="M225" s="49">
        <v>0</v>
      </c>
      <c r="N225" s="71">
        <v>0</v>
      </c>
      <c r="O225" s="72">
        <v>3200</v>
      </c>
    </row>
    <row r="226" spans="2:15">
      <c r="B226" s="70" t="s">
        <v>1953</v>
      </c>
      <c r="C226" s="44" t="s">
        <v>1966</v>
      </c>
      <c r="D226" s="45" t="s">
        <v>122</v>
      </c>
      <c r="E226" s="45" t="s">
        <v>123</v>
      </c>
      <c r="F226" s="45" t="s">
        <v>124</v>
      </c>
      <c r="G226" s="71">
        <v>6033.06</v>
      </c>
      <c r="H226" s="71">
        <v>0</v>
      </c>
      <c r="I226" s="49">
        <v>0</v>
      </c>
      <c r="J226" s="49">
        <v>0</v>
      </c>
      <c r="K226" s="49">
        <v>0</v>
      </c>
      <c r="L226" s="49">
        <v>1266.94</v>
      </c>
      <c r="M226" s="49">
        <v>0</v>
      </c>
      <c r="N226" s="71">
        <v>0</v>
      </c>
      <c r="O226" s="72">
        <v>7300</v>
      </c>
    </row>
    <row r="227" spans="2:15">
      <c r="B227" s="70" t="s">
        <v>1953</v>
      </c>
      <c r="C227" s="44" t="s">
        <v>1967</v>
      </c>
      <c r="D227" s="45" t="s">
        <v>122</v>
      </c>
      <c r="E227" s="45" t="s">
        <v>123</v>
      </c>
      <c r="F227" s="45" t="s">
        <v>124</v>
      </c>
      <c r="G227" s="71">
        <v>10991.74</v>
      </c>
      <c r="H227" s="71">
        <v>0</v>
      </c>
      <c r="I227" s="49">
        <v>0</v>
      </c>
      <c r="J227" s="49">
        <v>0</v>
      </c>
      <c r="K227" s="49">
        <v>0</v>
      </c>
      <c r="L227" s="49">
        <v>2308.2600000000002</v>
      </c>
      <c r="M227" s="49">
        <v>0</v>
      </c>
      <c r="N227" s="71">
        <v>0</v>
      </c>
      <c r="O227" s="72">
        <v>13300</v>
      </c>
    </row>
    <row r="228" spans="2:15">
      <c r="B228" s="70" t="s">
        <v>1953</v>
      </c>
      <c r="C228" s="44" t="s">
        <v>1968</v>
      </c>
      <c r="D228" s="45" t="s">
        <v>122</v>
      </c>
      <c r="E228" s="45" t="s">
        <v>123</v>
      </c>
      <c r="F228" s="45" t="s">
        <v>124</v>
      </c>
      <c r="G228" s="71">
        <v>3719.01</v>
      </c>
      <c r="H228" s="71">
        <v>0</v>
      </c>
      <c r="I228" s="49">
        <v>0</v>
      </c>
      <c r="J228" s="49">
        <v>0</v>
      </c>
      <c r="K228" s="49">
        <v>0</v>
      </c>
      <c r="L228" s="49">
        <v>780.99</v>
      </c>
      <c r="M228" s="49">
        <v>0</v>
      </c>
      <c r="N228" s="71">
        <v>0</v>
      </c>
      <c r="O228" s="72">
        <v>4500</v>
      </c>
    </row>
    <row r="229" spans="2:15">
      <c r="B229" s="70" t="s">
        <v>1981</v>
      </c>
      <c r="C229" s="44" t="s">
        <v>1982</v>
      </c>
      <c r="D229" s="45" t="s">
        <v>122</v>
      </c>
      <c r="E229" s="45" t="s">
        <v>123</v>
      </c>
      <c r="F229" s="45" t="s">
        <v>124</v>
      </c>
      <c r="G229" s="71">
        <v>12066.12</v>
      </c>
      <c r="H229" s="71">
        <v>0</v>
      </c>
      <c r="I229" s="49">
        <v>0</v>
      </c>
      <c r="J229" s="49">
        <v>0</v>
      </c>
      <c r="K229" s="49">
        <v>0</v>
      </c>
      <c r="L229" s="49">
        <v>2533.88</v>
      </c>
      <c r="M229" s="49">
        <v>0</v>
      </c>
      <c r="N229" s="71">
        <v>0</v>
      </c>
      <c r="O229" s="72">
        <v>14600</v>
      </c>
    </row>
    <row r="230" spans="2:15">
      <c r="B230" s="70" t="s">
        <v>1981</v>
      </c>
      <c r="C230" s="44" t="s">
        <v>1983</v>
      </c>
      <c r="D230" s="45" t="s">
        <v>1984</v>
      </c>
      <c r="E230" s="45" t="s">
        <v>123</v>
      </c>
      <c r="F230" s="45">
        <v>3639871</v>
      </c>
      <c r="G230" s="71">
        <v>8595.0400000000009</v>
      </c>
      <c r="H230" s="71">
        <v>0</v>
      </c>
      <c r="I230" s="49">
        <v>0</v>
      </c>
      <c r="J230" s="49">
        <v>0</v>
      </c>
      <c r="K230" s="49">
        <v>0</v>
      </c>
      <c r="L230" s="49">
        <v>1804.96</v>
      </c>
      <c r="M230" s="49">
        <v>0</v>
      </c>
      <c r="N230" s="71">
        <v>0</v>
      </c>
      <c r="O230" s="72">
        <v>10400</v>
      </c>
    </row>
    <row r="231" spans="2:15">
      <c r="B231" s="70" t="s">
        <v>1981</v>
      </c>
      <c r="C231" s="44" t="s">
        <v>1985</v>
      </c>
      <c r="D231" s="45" t="s">
        <v>122</v>
      </c>
      <c r="E231" s="45" t="s">
        <v>123</v>
      </c>
      <c r="F231" s="45" t="s">
        <v>124</v>
      </c>
      <c r="G231" s="71">
        <v>5454.55</v>
      </c>
      <c r="H231" s="71">
        <v>0</v>
      </c>
      <c r="I231" s="49">
        <v>0</v>
      </c>
      <c r="J231" s="49">
        <v>0</v>
      </c>
      <c r="K231" s="49">
        <v>0</v>
      </c>
      <c r="L231" s="49">
        <v>1145.45</v>
      </c>
      <c r="M231" s="49">
        <v>0</v>
      </c>
      <c r="N231" s="71">
        <v>0</v>
      </c>
      <c r="O231" s="72">
        <v>6600</v>
      </c>
    </row>
    <row r="232" spans="2:15">
      <c r="B232" s="70" t="s">
        <v>1981</v>
      </c>
      <c r="C232" s="44" t="s">
        <v>1986</v>
      </c>
      <c r="D232" s="45" t="s">
        <v>122</v>
      </c>
      <c r="E232" s="45" t="s">
        <v>123</v>
      </c>
      <c r="F232" s="45" t="s">
        <v>124</v>
      </c>
      <c r="G232" s="71">
        <v>3099.17</v>
      </c>
      <c r="H232" s="71">
        <v>0</v>
      </c>
      <c r="I232" s="49">
        <v>0</v>
      </c>
      <c r="J232" s="49">
        <v>0</v>
      </c>
      <c r="K232" s="49">
        <v>0</v>
      </c>
      <c r="L232" s="49">
        <v>650.83000000000004</v>
      </c>
      <c r="M232" s="49">
        <v>0</v>
      </c>
      <c r="N232" s="71">
        <v>0</v>
      </c>
      <c r="O232" s="72">
        <v>3750</v>
      </c>
    </row>
    <row r="233" spans="2:15">
      <c r="B233" s="70" t="s">
        <v>1981</v>
      </c>
      <c r="C233" s="44" t="s">
        <v>1987</v>
      </c>
      <c r="D233" s="45" t="s">
        <v>122</v>
      </c>
      <c r="E233" s="45" t="s">
        <v>123</v>
      </c>
      <c r="F233" s="45" t="s">
        <v>124</v>
      </c>
      <c r="G233" s="71">
        <v>32231.4</v>
      </c>
      <c r="H233" s="71">
        <v>0</v>
      </c>
      <c r="I233" s="49">
        <v>0</v>
      </c>
      <c r="J233" s="49">
        <v>0</v>
      </c>
      <c r="K233" s="49">
        <v>0</v>
      </c>
      <c r="L233" s="49">
        <v>6768.6</v>
      </c>
      <c r="M233" s="49">
        <v>0</v>
      </c>
      <c r="N233" s="71">
        <v>0</v>
      </c>
      <c r="O233" s="72">
        <v>39000</v>
      </c>
    </row>
    <row r="234" spans="2:15">
      <c r="B234" s="70" t="s">
        <v>1981</v>
      </c>
      <c r="C234" s="44" t="s">
        <v>1988</v>
      </c>
      <c r="D234" s="45" t="s">
        <v>122</v>
      </c>
      <c r="E234" s="45" t="s">
        <v>123</v>
      </c>
      <c r="F234" s="45" t="s">
        <v>124</v>
      </c>
      <c r="G234" s="71">
        <v>7438.02</v>
      </c>
      <c r="H234" s="71">
        <v>0</v>
      </c>
      <c r="I234" s="49">
        <v>0</v>
      </c>
      <c r="J234" s="49">
        <v>0</v>
      </c>
      <c r="K234" s="49">
        <v>0</v>
      </c>
      <c r="L234" s="49">
        <v>1561.98</v>
      </c>
      <c r="M234" s="49">
        <v>0</v>
      </c>
      <c r="N234" s="71">
        <v>0</v>
      </c>
      <c r="O234" s="72">
        <v>9000</v>
      </c>
    </row>
    <row r="235" spans="2:15">
      <c r="B235" s="70" t="s">
        <v>1981</v>
      </c>
      <c r="C235" s="44" t="s">
        <v>1989</v>
      </c>
      <c r="D235" s="45" t="s">
        <v>122</v>
      </c>
      <c r="E235" s="45" t="s">
        <v>123</v>
      </c>
      <c r="F235" s="45" t="s">
        <v>124</v>
      </c>
      <c r="G235" s="71">
        <v>6033.06</v>
      </c>
      <c r="H235" s="71">
        <v>0</v>
      </c>
      <c r="I235" s="49">
        <v>0</v>
      </c>
      <c r="J235" s="49">
        <v>0</v>
      </c>
      <c r="K235" s="49">
        <v>0</v>
      </c>
      <c r="L235" s="49">
        <v>1266.94</v>
      </c>
      <c r="M235" s="49">
        <v>0</v>
      </c>
      <c r="N235" s="71">
        <v>0</v>
      </c>
      <c r="O235" s="72">
        <v>7300</v>
      </c>
    </row>
    <row r="236" spans="2:15">
      <c r="B236" s="70" t="s">
        <v>1981</v>
      </c>
      <c r="C236" s="44" t="s">
        <v>1990</v>
      </c>
      <c r="D236" s="45" t="s">
        <v>122</v>
      </c>
      <c r="E236" s="45" t="s">
        <v>123</v>
      </c>
      <c r="F236" s="45" t="s">
        <v>124</v>
      </c>
      <c r="G236" s="71">
        <v>5289.26</v>
      </c>
      <c r="H236" s="71">
        <v>0</v>
      </c>
      <c r="I236" s="49">
        <v>0</v>
      </c>
      <c r="J236" s="49">
        <v>0</v>
      </c>
      <c r="K236" s="49">
        <v>0</v>
      </c>
      <c r="L236" s="49">
        <v>1110.74</v>
      </c>
      <c r="M236" s="49">
        <v>0</v>
      </c>
      <c r="N236" s="71">
        <v>0</v>
      </c>
      <c r="O236" s="72">
        <v>6400</v>
      </c>
    </row>
    <row r="237" spans="2:15">
      <c r="B237" s="70" t="s">
        <v>1981</v>
      </c>
      <c r="C237" s="44" t="s">
        <v>1991</v>
      </c>
      <c r="D237" s="45" t="s">
        <v>122</v>
      </c>
      <c r="E237" s="45" t="s">
        <v>123</v>
      </c>
      <c r="F237" s="45" t="s">
        <v>124</v>
      </c>
      <c r="G237" s="71">
        <v>6776.86</v>
      </c>
      <c r="H237" s="71">
        <v>0</v>
      </c>
      <c r="I237" s="49">
        <v>0</v>
      </c>
      <c r="J237" s="49">
        <v>0</v>
      </c>
      <c r="K237" s="49">
        <v>0</v>
      </c>
      <c r="L237" s="49">
        <v>1423.14</v>
      </c>
      <c r="M237" s="49">
        <v>0</v>
      </c>
      <c r="N237" s="71">
        <v>0</v>
      </c>
      <c r="O237" s="72">
        <v>8200</v>
      </c>
    </row>
    <row r="238" spans="2:15">
      <c r="B238" s="70" t="s">
        <v>1981</v>
      </c>
      <c r="C238" s="44" t="s">
        <v>1992</v>
      </c>
      <c r="D238" s="45" t="s">
        <v>122</v>
      </c>
      <c r="E238" s="45" t="s">
        <v>123</v>
      </c>
      <c r="F238" s="45" t="s">
        <v>124</v>
      </c>
      <c r="G238" s="71">
        <v>4958.68</v>
      </c>
      <c r="H238" s="71">
        <v>0</v>
      </c>
      <c r="I238" s="49">
        <v>0</v>
      </c>
      <c r="J238" s="49">
        <v>0</v>
      </c>
      <c r="K238" s="49">
        <v>0</v>
      </c>
      <c r="L238" s="49">
        <v>1041.32</v>
      </c>
      <c r="M238" s="49">
        <v>0</v>
      </c>
      <c r="N238" s="71">
        <v>0</v>
      </c>
      <c r="O238" s="72">
        <v>6000</v>
      </c>
    </row>
    <row r="239" spans="2:15">
      <c r="B239" s="70" t="s">
        <v>1981</v>
      </c>
      <c r="C239" s="44" t="s">
        <v>1993</v>
      </c>
      <c r="D239" s="45" t="s">
        <v>122</v>
      </c>
      <c r="E239" s="45" t="s">
        <v>123</v>
      </c>
      <c r="F239" s="45" t="s">
        <v>124</v>
      </c>
      <c r="G239" s="71">
        <v>2272.73</v>
      </c>
      <c r="H239" s="71">
        <v>0</v>
      </c>
      <c r="I239" s="49">
        <v>0</v>
      </c>
      <c r="J239" s="49">
        <v>0</v>
      </c>
      <c r="K239" s="49">
        <v>0</v>
      </c>
      <c r="L239" s="49">
        <v>477.27</v>
      </c>
      <c r="M239" s="49">
        <v>0</v>
      </c>
      <c r="N239" s="71">
        <v>0</v>
      </c>
      <c r="O239" s="72">
        <v>2750</v>
      </c>
    </row>
    <row r="240" spans="2:15">
      <c r="B240" s="70" t="s">
        <v>1981</v>
      </c>
      <c r="C240" s="44" t="s">
        <v>1994</v>
      </c>
      <c r="D240" s="45" t="s">
        <v>122</v>
      </c>
      <c r="E240" s="45" t="s">
        <v>123</v>
      </c>
      <c r="F240" s="45" t="s">
        <v>124</v>
      </c>
      <c r="G240" s="71">
        <v>11570.25</v>
      </c>
      <c r="H240" s="71">
        <v>0</v>
      </c>
      <c r="I240" s="49">
        <v>0</v>
      </c>
      <c r="J240" s="49">
        <v>0</v>
      </c>
      <c r="K240" s="49">
        <v>0</v>
      </c>
      <c r="L240" s="49">
        <v>2429.75</v>
      </c>
      <c r="M240" s="49">
        <v>0</v>
      </c>
      <c r="N240" s="71">
        <v>0</v>
      </c>
      <c r="O240" s="72">
        <v>14000</v>
      </c>
    </row>
    <row r="241" spans="2:15">
      <c r="B241" s="70" t="s">
        <v>1981</v>
      </c>
      <c r="C241" s="44" t="s">
        <v>1995</v>
      </c>
      <c r="D241" s="45" t="s">
        <v>122</v>
      </c>
      <c r="E241" s="45" t="s">
        <v>123</v>
      </c>
      <c r="F241" s="45" t="s">
        <v>124</v>
      </c>
      <c r="G241" s="71">
        <v>3388.43</v>
      </c>
      <c r="H241" s="71">
        <v>0</v>
      </c>
      <c r="I241" s="49">
        <v>0</v>
      </c>
      <c r="J241" s="49">
        <v>0</v>
      </c>
      <c r="K241" s="49">
        <v>0</v>
      </c>
      <c r="L241" s="49">
        <v>711.57</v>
      </c>
      <c r="M241" s="49">
        <v>0</v>
      </c>
      <c r="N241" s="71">
        <v>0</v>
      </c>
      <c r="O241" s="72">
        <v>4100</v>
      </c>
    </row>
    <row r="242" spans="2:15">
      <c r="B242" s="70" t="s">
        <v>1981</v>
      </c>
      <c r="C242" s="44" t="s">
        <v>1996</v>
      </c>
      <c r="D242" s="45" t="s">
        <v>122</v>
      </c>
      <c r="E242" s="45" t="s">
        <v>123</v>
      </c>
      <c r="F242" s="45" t="s">
        <v>124</v>
      </c>
      <c r="G242" s="71">
        <v>3057.85</v>
      </c>
      <c r="H242" s="71">
        <v>0</v>
      </c>
      <c r="I242" s="49">
        <v>0</v>
      </c>
      <c r="J242" s="49">
        <v>0</v>
      </c>
      <c r="K242" s="49">
        <v>0</v>
      </c>
      <c r="L242" s="49">
        <v>642.15</v>
      </c>
      <c r="M242" s="49">
        <v>0</v>
      </c>
      <c r="N242" s="71">
        <v>0</v>
      </c>
      <c r="O242" s="72">
        <v>3700</v>
      </c>
    </row>
    <row r="243" spans="2:15">
      <c r="B243" s="70" t="s">
        <v>2002</v>
      </c>
      <c r="C243" s="44" t="s">
        <v>2003</v>
      </c>
      <c r="D243" s="45" t="s">
        <v>122</v>
      </c>
      <c r="E243" s="45" t="s">
        <v>123</v>
      </c>
      <c r="F243" s="45" t="s">
        <v>124</v>
      </c>
      <c r="G243" s="71">
        <v>8958.68</v>
      </c>
      <c r="H243" s="71">
        <v>0</v>
      </c>
      <c r="I243" s="49">
        <v>0</v>
      </c>
      <c r="J243" s="49">
        <v>0</v>
      </c>
      <c r="K243" s="49">
        <v>0</v>
      </c>
      <c r="L243" s="49">
        <v>1881.32</v>
      </c>
      <c r="M243" s="49">
        <v>0</v>
      </c>
      <c r="N243" s="71">
        <v>0</v>
      </c>
      <c r="O243" s="72">
        <v>10840</v>
      </c>
    </row>
    <row r="244" spans="2:15">
      <c r="B244" s="70" t="s">
        <v>2002</v>
      </c>
      <c r="C244" s="44" t="s">
        <v>2004</v>
      </c>
      <c r="D244" s="45" t="s">
        <v>122</v>
      </c>
      <c r="E244" s="45" t="s">
        <v>123</v>
      </c>
      <c r="F244" s="45" t="s">
        <v>124</v>
      </c>
      <c r="G244" s="71">
        <v>6776.86</v>
      </c>
      <c r="H244" s="71">
        <v>0</v>
      </c>
      <c r="I244" s="49">
        <v>0</v>
      </c>
      <c r="J244" s="49">
        <v>0</v>
      </c>
      <c r="K244" s="49">
        <v>0</v>
      </c>
      <c r="L244" s="49">
        <v>1423.14</v>
      </c>
      <c r="M244" s="49">
        <v>0</v>
      </c>
      <c r="N244" s="71">
        <v>0</v>
      </c>
      <c r="O244" s="72">
        <v>8200</v>
      </c>
    </row>
    <row r="245" spans="2:15">
      <c r="B245" s="70" t="s">
        <v>2002</v>
      </c>
      <c r="C245" s="44" t="s">
        <v>2005</v>
      </c>
      <c r="D245" s="45" t="s">
        <v>122</v>
      </c>
      <c r="E245" s="45" t="s">
        <v>123</v>
      </c>
      <c r="F245" s="45" t="s">
        <v>124</v>
      </c>
      <c r="G245" s="71">
        <v>2892.56</v>
      </c>
      <c r="H245" s="71">
        <v>0</v>
      </c>
      <c r="I245" s="49">
        <v>0</v>
      </c>
      <c r="J245" s="49">
        <v>0</v>
      </c>
      <c r="K245" s="49">
        <v>0</v>
      </c>
      <c r="L245" s="49">
        <v>607.44000000000005</v>
      </c>
      <c r="M245" s="49">
        <v>0</v>
      </c>
      <c r="N245" s="71">
        <v>0</v>
      </c>
      <c r="O245" s="72">
        <v>3500</v>
      </c>
    </row>
    <row r="246" spans="2:15">
      <c r="B246" s="70" t="s">
        <v>2002</v>
      </c>
      <c r="C246" s="44" t="s">
        <v>2006</v>
      </c>
      <c r="D246" s="45" t="s">
        <v>122</v>
      </c>
      <c r="E246" s="45" t="s">
        <v>123</v>
      </c>
      <c r="F246" s="45" t="s">
        <v>124</v>
      </c>
      <c r="G246" s="71">
        <v>8099.17</v>
      </c>
      <c r="H246" s="71">
        <v>0</v>
      </c>
      <c r="I246" s="49">
        <v>0</v>
      </c>
      <c r="J246" s="49">
        <v>0</v>
      </c>
      <c r="K246" s="49">
        <v>0</v>
      </c>
      <c r="L246" s="49">
        <v>1700.83</v>
      </c>
      <c r="M246" s="49">
        <v>0</v>
      </c>
      <c r="N246" s="71">
        <v>0</v>
      </c>
      <c r="O246" s="72">
        <v>9800</v>
      </c>
    </row>
    <row r="247" spans="2:15">
      <c r="B247" s="70" t="s">
        <v>2002</v>
      </c>
      <c r="C247" s="44" t="s">
        <v>2007</v>
      </c>
      <c r="D247" s="45" t="s">
        <v>122</v>
      </c>
      <c r="E247" s="45" t="s">
        <v>123</v>
      </c>
      <c r="F247" s="45" t="s">
        <v>124</v>
      </c>
      <c r="G247" s="71">
        <v>3388.43</v>
      </c>
      <c r="H247" s="71">
        <v>0</v>
      </c>
      <c r="I247" s="49">
        <v>0</v>
      </c>
      <c r="J247" s="49">
        <v>0</v>
      </c>
      <c r="K247" s="49">
        <v>0</v>
      </c>
      <c r="L247" s="49">
        <v>711.57</v>
      </c>
      <c r="M247" s="49">
        <v>0</v>
      </c>
      <c r="N247" s="71">
        <v>0</v>
      </c>
      <c r="O247" s="72">
        <v>4100</v>
      </c>
    </row>
    <row r="248" spans="2:15">
      <c r="B248" s="70" t="s">
        <v>2002</v>
      </c>
      <c r="C248" s="44" t="s">
        <v>2008</v>
      </c>
      <c r="D248" s="45" t="s">
        <v>122</v>
      </c>
      <c r="E248" s="45" t="s">
        <v>123</v>
      </c>
      <c r="F248" s="45" t="s">
        <v>124</v>
      </c>
      <c r="G248" s="71">
        <v>3966.94</v>
      </c>
      <c r="H248" s="71">
        <v>0</v>
      </c>
      <c r="I248" s="49">
        <v>0</v>
      </c>
      <c r="J248" s="49">
        <v>0</v>
      </c>
      <c r="K248" s="49">
        <v>0</v>
      </c>
      <c r="L248" s="49">
        <v>833.06</v>
      </c>
      <c r="M248" s="49">
        <v>0</v>
      </c>
      <c r="N248" s="71">
        <v>0</v>
      </c>
      <c r="O248" s="72">
        <v>4800</v>
      </c>
    </row>
    <row r="249" spans="2:15">
      <c r="B249" s="70" t="s">
        <v>2002</v>
      </c>
      <c r="C249" s="44" t="s">
        <v>2009</v>
      </c>
      <c r="D249" s="45" t="s">
        <v>122</v>
      </c>
      <c r="E249" s="45" t="s">
        <v>123</v>
      </c>
      <c r="F249" s="45" t="s">
        <v>124</v>
      </c>
      <c r="G249" s="71">
        <v>2231.4</v>
      </c>
      <c r="H249" s="71">
        <v>0</v>
      </c>
      <c r="I249" s="49">
        <v>0</v>
      </c>
      <c r="J249" s="49">
        <v>0</v>
      </c>
      <c r="K249" s="49">
        <v>0</v>
      </c>
      <c r="L249" s="49">
        <v>468.6</v>
      </c>
      <c r="M249" s="49">
        <v>0</v>
      </c>
      <c r="N249" s="71">
        <v>0</v>
      </c>
      <c r="O249" s="72">
        <v>2700</v>
      </c>
    </row>
    <row r="250" spans="2:15">
      <c r="B250" s="70" t="s">
        <v>2002</v>
      </c>
      <c r="C250" s="44" t="s">
        <v>2010</v>
      </c>
      <c r="D250" s="45" t="s">
        <v>122</v>
      </c>
      <c r="E250" s="45" t="s">
        <v>123</v>
      </c>
      <c r="F250" s="45" t="s">
        <v>124</v>
      </c>
      <c r="G250" s="71">
        <v>17355.38</v>
      </c>
      <c r="H250" s="71">
        <v>0</v>
      </c>
      <c r="I250" s="49">
        <v>0</v>
      </c>
      <c r="J250" s="49">
        <v>0</v>
      </c>
      <c r="K250" s="49">
        <v>0</v>
      </c>
      <c r="L250" s="49">
        <v>3644.62</v>
      </c>
      <c r="M250" s="49">
        <v>0</v>
      </c>
      <c r="N250" s="71">
        <v>0</v>
      </c>
      <c r="O250" s="72">
        <v>21000</v>
      </c>
    </row>
    <row r="251" spans="2:15">
      <c r="B251" s="70" t="s">
        <v>2012</v>
      </c>
      <c r="C251" s="44" t="s">
        <v>2013</v>
      </c>
      <c r="D251" s="45" t="s">
        <v>122</v>
      </c>
      <c r="E251" s="45" t="s">
        <v>123</v>
      </c>
      <c r="F251" s="45" t="s">
        <v>124</v>
      </c>
      <c r="G251" s="71">
        <v>8016.53</v>
      </c>
      <c r="H251" s="71">
        <v>0</v>
      </c>
      <c r="I251" s="49">
        <v>0</v>
      </c>
      <c r="J251" s="49">
        <v>0</v>
      </c>
      <c r="K251" s="49">
        <v>0</v>
      </c>
      <c r="L251" s="49">
        <v>1683.47</v>
      </c>
      <c r="M251" s="49">
        <v>0</v>
      </c>
      <c r="N251" s="71">
        <v>0</v>
      </c>
      <c r="O251" s="72">
        <v>9700</v>
      </c>
    </row>
    <row r="252" spans="2:15">
      <c r="B252" s="70" t="s">
        <v>2012</v>
      </c>
      <c r="C252" s="44" t="s">
        <v>2014</v>
      </c>
      <c r="D252" s="45" t="s">
        <v>122</v>
      </c>
      <c r="E252" s="45" t="s">
        <v>123</v>
      </c>
      <c r="F252" s="45" t="s">
        <v>124</v>
      </c>
      <c r="G252" s="71">
        <v>12066.12</v>
      </c>
      <c r="H252" s="71">
        <v>0</v>
      </c>
      <c r="I252" s="49">
        <v>0</v>
      </c>
      <c r="J252" s="49">
        <v>0</v>
      </c>
      <c r="K252" s="49">
        <v>0</v>
      </c>
      <c r="L252" s="49">
        <v>2533.88</v>
      </c>
      <c r="M252" s="49">
        <v>0</v>
      </c>
      <c r="N252" s="71">
        <v>0</v>
      </c>
      <c r="O252" s="72">
        <v>14600</v>
      </c>
    </row>
    <row r="253" spans="2:15">
      <c r="B253" s="70" t="s">
        <v>2012</v>
      </c>
      <c r="C253" s="44" t="s">
        <v>2015</v>
      </c>
      <c r="D253" s="45" t="s">
        <v>122</v>
      </c>
      <c r="E253" s="45" t="s">
        <v>123</v>
      </c>
      <c r="F253" s="45" t="s">
        <v>124</v>
      </c>
      <c r="G253" s="71">
        <v>7438.02</v>
      </c>
      <c r="H253" s="71">
        <v>0</v>
      </c>
      <c r="I253" s="49">
        <v>0</v>
      </c>
      <c r="J253" s="49">
        <v>0</v>
      </c>
      <c r="K253" s="49">
        <v>0</v>
      </c>
      <c r="L253" s="49">
        <v>1561.98</v>
      </c>
      <c r="M253" s="49">
        <v>0</v>
      </c>
      <c r="N253" s="71">
        <v>0</v>
      </c>
      <c r="O253" s="72">
        <v>9000</v>
      </c>
    </row>
    <row r="254" spans="2:15">
      <c r="B254" s="70" t="s">
        <v>2012</v>
      </c>
      <c r="C254" s="44" t="s">
        <v>2016</v>
      </c>
      <c r="D254" s="45" t="s">
        <v>122</v>
      </c>
      <c r="E254" s="45" t="s">
        <v>123</v>
      </c>
      <c r="F254" s="45" t="s">
        <v>124</v>
      </c>
      <c r="G254" s="71">
        <v>10743.8</v>
      </c>
      <c r="H254" s="71">
        <v>0</v>
      </c>
      <c r="I254" s="49">
        <v>0</v>
      </c>
      <c r="J254" s="49">
        <v>0</v>
      </c>
      <c r="K254" s="49">
        <v>0</v>
      </c>
      <c r="L254" s="49">
        <v>2256.2000000000003</v>
      </c>
      <c r="M254" s="49">
        <v>0</v>
      </c>
      <c r="N254" s="71">
        <v>0</v>
      </c>
      <c r="O254" s="72">
        <v>13000</v>
      </c>
    </row>
    <row r="255" spans="2:15">
      <c r="B255" s="70" t="s">
        <v>2012</v>
      </c>
      <c r="C255" s="44" t="s">
        <v>2017</v>
      </c>
      <c r="D255" s="45" t="s">
        <v>122</v>
      </c>
      <c r="E255" s="45" t="s">
        <v>123</v>
      </c>
      <c r="F255" s="45" t="s">
        <v>124</v>
      </c>
      <c r="G255" s="71">
        <v>2479.34</v>
      </c>
      <c r="H255" s="71">
        <v>0</v>
      </c>
      <c r="I255" s="49">
        <v>0</v>
      </c>
      <c r="J255" s="49">
        <v>0</v>
      </c>
      <c r="K255" s="49">
        <v>0</v>
      </c>
      <c r="L255" s="49">
        <v>520.66</v>
      </c>
      <c r="M255" s="49">
        <v>0</v>
      </c>
      <c r="N255" s="71">
        <v>0</v>
      </c>
      <c r="O255" s="72">
        <v>3000</v>
      </c>
    </row>
    <row r="256" spans="2:15">
      <c r="B256" s="70" t="s">
        <v>2012</v>
      </c>
      <c r="C256" s="44" t="s">
        <v>2018</v>
      </c>
      <c r="D256" s="45" t="s">
        <v>122</v>
      </c>
      <c r="E256" s="45" t="s">
        <v>123</v>
      </c>
      <c r="F256" s="45" t="s">
        <v>124</v>
      </c>
      <c r="G256" s="71">
        <v>6776.86</v>
      </c>
      <c r="H256" s="71">
        <v>0</v>
      </c>
      <c r="I256" s="49">
        <v>0</v>
      </c>
      <c r="J256" s="49">
        <v>0</v>
      </c>
      <c r="K256" s="49">
        <v>0</v>
      </c>
      <c r="L256" s="49">
        <v>1423.14</v>
      </c>
      <c r="M256" s="49">
        <v>0</v>
      </c>
      <c r="N256" s="71">
        <v>0</v>
      </c>
      <c r="O256" s="72">
        <v>8200</v>
      </c>
    </row>
    <row r="257" spans="2:15">
      <c r="B257" s="70" t="s">
        <v>2012</v>
      </c>
      <c r="C257" s="44" t="s">
        <v>2019</v>
      </c>
      <c r="D257" s="45" t="s">
        <v>122</v>
      </c>
      <c r="E257" s="45" t="s">
        <v>123</v>
      </c>
      <c r="F257" s="45" t="s">
        <v>124</v>
      </c>
      <c r="G257" s="71">
        <v>8264.4600000000009</v>
      </c>
      <c r="H257" s="71">
        <v>0</v>
      </c>
      <c r="I257" s="49">
        <v>0</v>
      </c>
      <c r="J257" s="49">
        <v>0</v>
      </c>
      <c r="K257" s="49">
        <v>0</v>
      </c>
      <c r="L257" s="49">
        <v>1735.54</v>
      </c>
      <c r="M257" s="49">
        <v>0</v>
      </c>
      <c r="N257" s="71">
        <v>0</v>
      </c>
      <c r="O257" s="72">
        <v>10000</v>
      </c>
    </row>
    <row r="258" spans="2:15">
      <c r="B258" s="70" t="s">
        <v>2012</v>
      </c>
      <c r="C258" s="44" t="s">
        <v>2020</v>
      </c>
      <c r="D258" s="45" t="s">
        <v>122</v>
      </c>
      <c r="E258" s="45" t="s">
        <v>123</v>
      </c>
      <c r="F258" s="45" t="s">
        <v>124</v>
      </c>
      <c r="G258" s="71">
        <v>3388.43</v>
      </c>
      <c r="H258" s="71">
        <v>0</v>
      </c>
      <c r="I258" s="49">
        <v>0</v>
      </c>
      <c r="J258" s="49">
        <v>0</v>
      </c>
      <c r="K258" s="49">
        <v>0</v>
      </c>
      <c r="L258" s="49">
        <v>711.57</v>
      </c>
      <c r="M258" s="49">
        <v>0</v>
      </c>
      <c r="N258" s="71">
        <v>0</v>
      </c>
      <c r="O258" s="72">
        <v>4100</v>
      </c>
    </row>
    <row r="259" spans="2:15">
      <c r="B259" s="70" t="s">
        <v>1642</v>
      </c>
      <c r="C259" s="44" t="s">
        <v>1662</v>
      </c>
      <c r="D259" s="45" t="s">
        <v>856</v>
      </c>
      <c r="E259" s="45" t="s">
        <v>123</v>
      </c>
      <c r="F259" s="45">
        <v>36622635</v>
      </c>
      <c r="G259" s="71">
        <v>6446.28</v>
      </c>
      <c r="H259" s="71">
        <v>0</v>
      </c>
      <c r="I259" s="49">
        <v>0</v>
      </c>
      <c r="J259" s="49">
        <v>0</v>
      </c>
      <c r="K259" s="49">
        <v>0</v>
      </c>
      <c r="L259" s="49">
        <v>1353.72</v>
      </c>
      <c r="M259" s="49">
        <v>0</v>
      </c>
      <c r="N259" s="71">
        <v>0</v>
      </c>
      <c r="O259" s="72">
        <v>7800</v>
      </c>
    </row>
    <row r="260" spans="2:15">
      <c r="B260" s="70" t="s">
        <v>1642</v>
      </c>
      <c r="C260" s="44" t="s">
        <v>1663</v>
      </c>
      <c r="D260" s="45" t="s">
        <v>856</v>
      </c>
      <c r="E260" s="45" t="s">
        <v>123</v>
      </c>
      <c r="F260" s="45">
        <v>36622635</v>
      </c>
      <c r="G260" s="71">
        <v>4049.59</v>
      </c>
      <c r="H260" s="71">
        <v>0</v>
      </c>
      <c r="I260" s="49">
        <v>0</v>
      </c>
      <c r="J260" s="49">
        <v>0</v>
      </c>
      <c r="K260" s="49">
        <v>0</v>
      </c>
      <c r="L260" s="49">
        <v>850.41</v>
      </c>
      <c r="M260" s="49">
        <v>0</v>
      </c>
      <c r="N260" s="71">
        <v>0</v>
      </c>
      <c r="O260" s="72">
        <v>4900</v>
      </c>
    </row>
    <row r="261" spans="2:15">
      <c r="B261" s="70" t="s">
        <v>1642</v>
      </c>
      <c r="C261" s="44" t="s">
        <v>1664</v>
      </c>
      <c r="D261" s="45" t="s">
        <v>399</v>
      </c>
      <c r="E261" s="45" t="s">
        <v>123</v>
      </c>
      <c r="F261" s="45" t="s">
        <v>124</v>
      </c>
      <c r="G261" s="71">
        <v>8677.68</v>
      </c>
      <c r="H261" s="71">
        <v>0</v>
      </c>
      <c r="I261" s="49">
        <v>0</v>
      </c>
      <c r="J261" s="49">
        <v>0</v>
      </c>
      <c r="K261" s="49">
        <v>0</v>
      </c>
      <c r="L261" s="49">
        <v>1822.32</v>
      </c>
      <c r="M261" s="49">
        <v>0</v>
      </c>
      <c r="N261" s="71">
        <v>0</v>
      </c>
      <c r="O261" s="72">
        <v>10500</v>
      </c>
    </row>
    <row r="262" spans="2:15">
      <c r="B262" s="70" t="s">
        <v>1642</v>
      </c>
      <c r="C262" s="44" t="s">
        <v>1665</v>
      </c>
      <c r="D262" s="45" t="s">
        <v>1666</v>
      </c>
      <c r="E262" s="45" t="s">
        <v>123</v>
      </c>
      <c r="F262" s="45">
        <v>16124424</v>
      </c>
      <c r="G262" s="71">
        <v>14297.53</v>
      </c>
      <c r="H262" s="71">
        <v>0</v>
      </c>
      <c r="I262" s="49">
        <v>0</v>
      </c>
      <c r="J262" s="49">
        <v>0</v>
      </c>
      <c r="K262" s="49">
        <v>0</v>
      </c>
      <c r="L262" s="49">
        <v>3002.47</v>
      </c>
      <c r="M262" s="49">
        <v>0</v>
      </c>
      <c r="N262" s="71">
        <v>0</v>
      </c>
      <c r="O262" s="72">
        <v>17300</v>
      </c>
    </row>
    <row r="263" spans="2:15">
      <c r="B263" s="70" t="s">
        <v>1642</v>
      </c>
      <c r="C263" s="44" t="s">
        <v>1667</v>
      </c>
      <c r="D263" s="45" t="s">
        <v>1668</v>
      </c>
      <c r="E263" s="45" t="s">
        <v>123</v>
      </c>
      <c r="F263" s="45">
        <v>13092055</v>
      </c>
      <c r="G263" s="71">
        <v>17355.37</v>
      </c>
      <c r="H263" s="71">
        <v>0</v>
      </c>
      <c r="I263" s="49">
        <v>0</v>
      </c>
      <c r="J263" s="49">
        <v>0</v>
      </c>
      <c r="K263" s="49">
        <v>0</v>
      </c>
      <c r="L263" s="49">
        <v>3644.63</v>
      </c>
      <c r="M263" s="49">
        <v>0</v>
      </c>
      <c r="N263" s="71">
        <v>0</v>
      </c>
      <c r="O263" s="72">
        <v>21000</v>
      </c>
    </row>
    <row r="264" spans="2:15">
      <c r="B264" s="70" t="s">
        <v>1642</v>
      </c>
      <c r="C264" s="44" t="s">
        <v>1669</v>
      </c>
      <c r="D264" s="45" t="s">
        <v>1670</v>
      </c>
      <c r="E264" s="45" t="s">
        <v>123</v>
      </c>
      <c r="F264" s="45">
        <v>32594734</v>
      </c>
      <c r="G264" s="71">
        <v>10991.73</v>
      </c>
      <c r="H264" s="71">
        <v>0</v>
      </c>
      <c r="I264" s="49">
        <v>0</v>
      </c>
      <c r="J264" s="49">
        <v>0</v>
      </c>
      <c r="K264" s="49">
        <v>0</v>
      </c>
      <c r="L264" s="49">
        <v>2308.27</v>
      </c>
      <c r="M264" s="49">
        <v>0</v>
      </c>
      <c r="N264" s="71">
        <v>0</v>
      </c>
      <c r="O264" s="72">
        <v>13300</v>
      </c>
    </row>
    <row r="265" spans="2:15">
      <c r="B265" s="70" t="s">
        <v>1671</v>
      </c>
      <c r="C265" s="44" t="s">
        <v>1691</v>
      </c>
      <c r="D265" s="45" t="s">
        <v>354</v>
      </c>
      <c r="E265" s="45" t="s">
        <v>123</v>
      </c>
      <c r="F265" s="45">
        <v>382591</v>
      </c>
      <c r="G265" s="71">
        <v>5619.84</v>
      </c>
      <c r="H265" s="71">
        <v>0</v>
      </c>
      <c r="I265" s="49">
        <v>0</v>
      </c>
      <c r="J265" s="49">
        <v>0</v>
      </c>
      <c r="K265" s="49">
        <v>0</v>
      </c>
      <c r="L265" s="49">
        <v>1180.1600000000001</v>
      </c>
      <c r="M265" s="49">
        <v>0</v>
      </c>
      <c r="N265" s="71">
        <v>0</v>
      </c>
      <c r="O265" s="72">
        <v>6800</v>
      </c>
    </row>
    <row r="266" spans="2:15">
      <c r="B266" s="70" t="s">
        <v>1671</v>
      </c>
      <c r="C266" s="44" t="s">
        <v>1692</v>
      </c>
      <c r="D266" s="45" t="s">
        <v>362</v>
      </c>
      <c r="E266" s="45" t="s">
        <v>123</v>
      </c>
      <c r="F266" s="45">
        <v>3192296</v>
      </c>
      <c r="G266" s="71">
        <v>3719.01</v>
      </c>
      <c r="H266" s="71">
        <v>0</v>
      </c>
      <c r="I266" s="49">
        <v>0</v>
      </c>
      <c r="J266" s="49">
        <v>0</v>
      </c>
      <c r="K266" s="49">
        <v>0</v>
      </c>
      <c r="L266" s="49">
        <v>780.99</v>
      </c>
      <c r="M266" s="49">
        <v>0</v>
      </c>
      <c r="N266" s="71">
        <v>0</v>
      </c>
      <c r="O266" s="72">
        <v>4500</v>
      </c>
    </row>
    <row r="267" spans="2:15">
      <c r="B267" s="70" t="s">
        <v>1671</v>
      </c>
      <c r="C267" s="44" t="s">
        <v>1693</v>
      </c>
      <c r="D267" s="45" t="s">
        <v>364</v>
      </c>
      <c r="E267" s="45" t="s">
        <v>123</v>
      </c>
      <c r="F267" s="45">
        <v>13211322</v>
      </c>
      <c r="G267" s="71">
        <v>3719.01</v>
      </c>
      <c r="H267" s="71">
        <v>0</v>
      </c>
      <c r="I267" s="49">
        <v>0</v>
      </c>
      <c r="J267" s="49">
        <v>0</v>
      </c>
      <c r="K267" s="49">
        <v>0</v>
      </c>
      <c r="L267" s="49">
        <v>780.99</v>
      </c>
      <c r="M267" s="49">
        <v>0</v>
      </c>
      <c r="N267" s="71">
        <v>0</v>
      </c>
      <c r="O267" s="72">
        <v>4500</v>
      </c>
    </row>
    <row r="268" spans="2:15">
      <c r="B268" s="70" t="s">
        <v>1671</v>
      </c>
      <c r="C268" s="44" t="s">
        <v>1694</v>
      </c>
      <c r="D268" s="45" t="s">
        <v>331</v>
      </c>
      <c r="E268" s="45" t="s">
        <v>276</v>
      </c>
      <c r="F268" s="45">
        <v>30685228501</v>
      </c>
      <c r="G268" s="71">
        <v>15702.48</v>
      </c>
      <c r="H268" s="71">
        <v>0</v>
      </c>
      <c r="I268" s="49">
        <v>0</v>
      </c>
      <c r="J268" s="49">
        <v>0</v>
      </c>
      <c r="K268" s="49">
        <v>0</v>
      </c>
      <c r="L268" s="49">
        <v>3297.52</v>
      </c>
      <c r="M268" s="49">
        <v>0</v>
      </c>
      <c r="N268" s="71">
        <v>0</v>
      </c>
      <c r="O268" s="72">
        <v>19000</v>
      </c>
    </row>
    <row r="269" spans="2:15">
      <c r="B269" s="70" t="s">
        <v>1695</v>
      </c>
      <c r="C269" s="44" t="s">
        <v>1708</v>
      </c>
      <c r="D269" s="45" t="s">
        <v>350</v>
      </c>
      <c r="E269" s="45" t="s">
        <v>123</v>
      </c>
      <c r="F269" s="45">
        <v>21645724</v>
      </c>
      <c r="G269" s="71">
        <v>8677.68</v>
      </c>
      <c r="H269" s="71">
        <v>0</v>
      </c>
      <c r="I269" s="49">
        <v>0</v>
      </c>
      <c r="J269" s="49">
        <v>0</v>
      </c>
      <c r="K269" s="49">
        <v>0</v>
      </c>
      <c r="L269" s="49">
        <v>1822.32</v>
      </c>
      <c r="M269" s="49">
        <v>0</v>
      </c>
      <c r="N269" s="71">
        <v>0</v>
      </c>
      <c r="O269" s="72">
        <v>10500</v>
      </c>
    </row>
    <row r="270" spans="2:15">
      <c r="B270" s="70" t="s">
        <v>1695</v>
      </c>
      <c r="C270" s="44" t="s">
        <v>1709</v>
      </c>
      <c r="D270" s="45" t="s">
        <v>314</v>
      </c>
      <c r="E270" s="45" t="s">
        <v>276</v>
      </c>
      <c r="F270" s="45">
        <v>30658137642</v>
      </c>
      <c r="G270" s="71">
        <v>52746.31</v>
      </c>
      <c r="H270" s="71">
        <v>0</v>
      </c>
      <c r="I270" s="49">
        <v>0</v>
      </c>
      <c r="J270" s="49">
        <v>0</v>
      </c>
      <c r="K270" s="49">
        <v>0</v>
      </c>
      <c r="L270" s="49">
        <v>11076.72</v>
      </c>
      <c r="M270" s="49">
        <v>0</v>
      </c>
      <c r="N270" s="71">
        <v>0</v>
      </c>
      <c r="O270" s="72">
        <v>63823.03</v>
      </c>
    </row>
    <row r="271" spans="2:15">
      <c r="B271" s="70" t="s">
        <v>1695</v>
      </c>
      <c r="C271" s="44" t="s">
        <v>1710</v>
      </c>
      <c r="D271" s="45" t="s">
        <v>314</v>
      </c>
      <c r="E271" s="45" t="s">
        <v>276</v>
      </c>
      <c r="F271" s="45">
        <v>30658137642</v>
      </c>
      <c r="G271" s="71">
        <v>17255.37</v>
      </c>
      <c r="H271" s="71">
        <v>0</v>
      </c>
      <c r="I271" s="49">
        <v>0</v>
      </c>
      <c r="J271" s="49">
        <v>0</v>
      </c>
      <c r="K271" s="49">
        <v>0</v>
      </c>
      <c r="L271" s="49">
        <v>3623.63</v>
      </c>
      <c r="M271" s="49">
        <v>0</v>
      </c>
      <c r="N271" s="71">
        <v>0</v>
      </c>
      <c r="O271" s="72">
        <v>20879</v>
      </c>
    </row>
    <row r="272" spans="2:15">
      <c r="B272" s="70" t="s">
        <v>1695</v>
      </c>
      <c r="C272" s="44" t="s">
        <v>1711</v>
      </c>
      <c r="D272" s="45" t="s">
        <v>1605</v>
      </c>
      <c r="E272" s="45" t="s">
        <v>123</v>
      </c>
      <c r="F272" s="45">
        <v>12394145</v>
      </c>
      <c r="G272" s="71">
        <v>7793.39</v>
      </c>
      <c r="H272" s="71">
        <v>0</v>
      </c>
      <c r="I272" s="49">
        <v>0</v>
      </c>
      <c r="J272" s="49">
        <v>0</v>
      </c>
      <c r="K272" s="49">
        <v>0</v>
      </c>
      <c r="L272" s="49">
        <v>1636.61</v>
      </c>
      <c r="M272" s="49">
        <v>0</v>
      </c>
      <c r="N272" s="71">
        <v>0</v>
      </c>
      <c r="O272" s="72">
        <v>9430</v>
      </c>
    </row>
    <row r="273" spans="2:15">
      <c r="B273" s="70" t="s">
        <v>1695</v>
      </c>
      <c r="C273" s="44" t="s">
        <v>1712</v>
      </c>
      <c r="D273" s="45" t="s">
        <v>1547</v>
      </c>
      <c r="E273" s="45" t="s">
        <v>123</v>
      </c>
      <c r="F273" s="45">
        <v>14547747</v>
      </c>
      <c r="G273" s="71">
        <v>6611.57</v>
      </c>
      <c r="H273" s="71">
        <v>0</v>
      </c>
      <c r="I273" s="49">
        <v>0</v>
      </c>
      <c r="J273" s="49">
        <v>0</v>
      </c>
      <c r="K273" s="49">
        <v>0</v>
      </c>
      <c r="L273" s="49">
        <v>1388.43</v>
      </c>
      <c r="M273" s="49">
        <v>0</v>
      </c>
      <c r="N273" s="71">
        <v>0</v>
      </c>
      <c r="O273" s="72">
        <v>8000</v>
      </c>
    </row>
    <row r="274" spans="2:15">
      <c r="B274" s="70" t="s">
        <v>1695</v>
      </c>
      <c r="C274" s="44" t="s">
        <v>1713</v>
      </c>
      <c r="D274" s="45" t="s">
        <v>298</v>
      </c>
      <c r="E274" s="45" t="s">
        <v>123</v>
      </c>
      <c r="F274" s="45">
        <v>24448662</v>
      </c>
      <c r="G274" s="71">
        <v>6611.57</v>
      </c>
      <c r="H274" s="71">
        <v>0</v>
      </c>
      <c r="I274" s="49">
        <v>0</v>
      </c>
      <c r="J274" s="49">
        <v>0</v>
      </c>
      <c r="K274" s="49">
        <v>0</v>
      </c>
      <c r="L274" s="49">
        <v>1388.43</v>
      </c>
      <c r="M274" s="49">
        <v>0</v>
      </c>
      <c r="N274" s="71">
        <v>0</v>
      </c>
      <c r="O274" s="72">
        <v>8000</v>
      </c>
    </row>
    <row r="275" spans="2:15">
      <c r="B275" s="70" t="s">
        <v>1714</v>
      </c>
      <c r="C275" s="44" t="s">
        <v>1731</v>
      </c>
      <c r="D275" s="45" t="s">
        <v>307</v>
      </c>
      <c r="E275" s="45" t="s">
        <v>276</v>
      </c>
      <c r="F275" s="45">
        <v>30571766287</v>
      </c>
      <c r="G275" s="71">
        <v>22490.080000000002</v>
      </c>
      <c r="H275" s="71">
        <v>0</v>
      </c>
      <c r="I275" s="49">
        <v>0</v>
      </c>
      <c r="J275" s="49">
        <v>0</v>
      </c>
      <c r="K275" s="49">
        <v>0</v>
      </c>
      <c r="L275" s="49">
        <v>4722.92</v>
      </c>
      <c r="M275" s="49">
        <v>0</v>
      </c>
      <c r="N275" s="71">
        <v>0</v>
      </c>
      <c r="O275" s="72">
        <v>27213</v>
      </c>
    </row>
    <row r="276" spans="2:15">
      <c r="B276" s="70" t="s">
        <v>1732</v>
      </c>
      <c r="C276" s="44" t="s">
        <v>1746</v>
      </c>
      <c r="D276" s="45" t="s">
        <v>1747</v>
      </c>
      <c r="E276" s="45" t="s">
        <v>123</v>
      </c>
      <c r="F276" s="45">
        <v>5274861</v>
      </c>
      <c r="G276" s="71">
        <v>17768.600000000002</v>
      </c>
      <c r="H276" s="71">
        <v>0</v>
      </c>
      <c r="I276" s="49">
        <v>0</v>
      </c>
      <c r="J276" s="49">
        <v>0</v>
      </c>
      <c r="K276" s="49">
        <v>0</v>
      </c>
      <c r="L276" s="49">
        <v>3731.4</v>
      </c>
      <c r="M276" s="49">
        <v>0</v>
      </c>
      <c r="N276" s="71">
        <v>0</v>
      </c>
      <c r="O276" s="72">
        <v>21500</v>
      </c>
    </row>
    <row r="277" spans="2:15">
      <c r="B277" s="70" t="s">
        <v>1732</v>
      </c>
      <c r="C277" s="44" t="s">
        <v>1748</v>
      </c>
      <c r="D277" s="45" t="s">
        <v>275</v>
      </c>
      <c r="E277" s="45" t="s">
        <v>276</v>
      </c>
      <c r="F277" s="45">
        <v>30590354798</v>
      </c>
      <c r="G277" s="71">
        <v>347410.8</v>
      </c>
      <c r="H277" s="71">
        <v>0</v>
      </c>
      <c r="I277" s="49">
        <v>0</v>
      </c>
      <c r="J277" s="49">
        <v>0</v>
      </c>
      <c r="K277" s="49">
        <v>0</v>
      </c>
      <c r="L277" s="49">
        <v>72956.27</v>
      </c>
      <c r="M277" s="49">
        <v>0</v>
      </c>
      <c r="N277" s="71">
        <v>0</v>
      </c>
      <c r="O277" s="72">
        <v>420367.07</v>
      </c>
    </row>
    <row r="278" spans="2:15">
      <c r="B278" s="70" t="s">
        <v>1749</v>
      </c>
      <c r="C278" s="44" t="s">
        <v>1766</v>
      </c>
      <c r="D278" s="45" t="s">
        <v>1767</v>
      </c>
      <c r="E278" s="45" t="s">
        <v>123</v>
      </c>
      <c r="F278" s="45" t="s">
        <v>124</v>
      </c>
      <c r="G278" s="71">
        <v>18677.689999999999</v>
      </c>
      <c r="H278" s="71">
        <v>0</v>
      </c>
      <c r="I278" s="49">
        <v>0</v>
      </c>
      <c r="J278" s="49">
        <v>0</v>
      </c>
      <c r="K278" s="49">
        <v>0</v>
      </c>
      <c r="L278" s="49">
        <v>3922.31</v>
      </c>
      <c r="M278" s="49">
        <v>0</v>
      </c>
      <c r="N278" s="71">
        <v>0</v>
      </c>
      <c r="O278" s="72">
        <v>22600</v>
      </c>
    </row>
    <row r="279" spans="2:15">
      <c r="B279" s="70" t="s">
        <v>1749</v>
      </c>
      <c r="C279" s="44" t="s">
        <v>1768</v>
      </c>
      <c r="D279" s="45" t="s">
        <v>769</v>
      </c>
      <c r="E279" s="45" t="s">
        <v>123</v>
      </c>
      <c r="F279" s="45">
        <v>21363216</v>
      </c>
      <c r="G279" s="71">
        <v>5785.12</v>
      </c>
      <c r="H279" s="71">
        <v>0</v>
      </c>
      <c r="I279" s="49">
        <v>0</v>
      </c>
      <c r="J279" s="49">
        <v>0</v>
      </c>
      <c r="K279" s="49">
        <v>0</v>
      </c>
      <c r="L279" s="49">
        <v>1214.8800000000001</v>
      </c>
      <c r="M279" s="49">
        <v>0</v>
      </c>
      <c r="N279" s="71">
        <v>0</v>
      </c>
      <c r="O279" s="72">
        <v>7000</v>
      </c>
    </row>
    <row r="280" spans="2:15">
      <c r="B280" s="70" t="s">
        <v>1749</v>
      </c>
      <c r="C280" s="44" t="s">
        <v>1769</v>
      </c>
      <c r="D280" s="45" t="s">
        <v>775</v>
      </c>
      <c r="E280" s="45" t="s">
        <v>123</v>
      </c>
      <c r="F280" s="45">
        <v>20404430</v>
      </c>
      <c r="G280" s="71">
        <v>7438.02</v>
      </c>
      <c r="H280" s="71">
        <v>0</v>
      </c>
      <c r="I280" s="49">
        <v>0</v>
      </c>
      <c r="J280" s="49">
        <v>0</v>
      </c>
      <c r="K280" s="49">
        <v>0</v>
      </c>
      <c r="L280" s="49">
        <v>1561.98</v>
      </c>
      <c r="M280" s="49">
        <v>0</v>
      </c>
      <c r="N280" s="71">
        <v>0</v>
      </c>
      <c r="O280" s="72">
        <v>9000</v>
      </c>
    </row>
    <row r="281" spans="2:15">
      <c r="B281" s="70" t="s">
        <v>1749</v>
      </c>
      <c r="C281" s="44" t="s">
        <v>1770</v>
      </c>
      <c r="D281" s="45" t="s">
        <v>344</v>
      </c>
      <c r="E281" s="45" t="s">
        <v>123</v>
      </c>
      <c r="F281" s="45">
        <v>4186965</v>
      </c>
      <c r="G281" s="71">
        <v>23966.95</v>
      </c>
      <c r="H281" s="71">
        <v>0</v>
      </c>
      <c r="I281" s="49">
        <v>0</v>
      </c>
      <c r="J281" s="49">
        <v>0</v>
      </c>
      <c r="K281" s="49">
        <v>0</v>
      </c>
      <c r="L281" s="49">
        <v>5033.05</v>
      </c>
      <c r="M281" s="49">
        <v>0</v>
      </c>
      <c r="N281" s="71">
        <v>0</v>
      </c>
      <c r="O281" s="72">
        <v>29000</v>
      </c>
    </row>
    <row r="282" spans="2:15">
      <c r="B282" s="70" t="s">
        <v>1749</v>
      </c>
      <c r="C282" s="44" t="s">
        <v>1771</v>
      </c>
      <c r="D282" s="45" t="s">
        <v>1772</v>
      </c>
      <c r="E282" s="45" t="s">
        <v>123</v>
      </c>
      <c r="F282" s="45">
        <v>92859461</v>
      </c>
      <c r="G282" s="71">
        <v>16528.920000000002</v>
      </c>
      <c r="H282" s="71">
        <v>0</v>
      </c>
      <c r="I282" s="49">
        <v>0</v>
      </c>
      <c r="J282" s="49">
        <v>0</v>
      </c>
      <c r="K282" s="49">
        <v>0</v>
      </c>
      <c r="L282" s="49">
        <v>3471.08</v>
      </c>
      <c r="M282" s="49">
        <v>0</v>
      </c>
      <c r="N282" s="71">
        <v>0</v>
      </c>
      <c r="O282" s="72">
        <v>20000</v>
      </c>
    </row>
    <row r="283" spans="2:15">
      <c r="B283" s="70" t="s">
        <v>1749</v>
      </c>
      <c r="C283" s="44" t="s">
        <v>1773</v>
      </c>
      <c r="D283" s="45" t="s">
        <v>275</v>
      </c>
      <c r="E283" s="45" t="s">
        <v>276</v>
      </c>
      <c r="F283" s="45">
        <v>30590354798</v>
      </c>
      <c r="G283" s="71">
        <v>120661.16</v>
      </c>
      <c r="H283" s="71">
        <v>0</v>
      </c>
      <c r="I283" s="49">
        <v>0</v>
      </c>
      <c r="J283" s="49">
        <v>0</v>
      </c>
      <c r="K283" s="49">
        <v>0</v>
      </c>
      <c r="L283" s="49">
        <v>25338.84</v>
      </c>
      <c r="M283" s="49">
        <v>0</v>
      </c>
      <c r="N283" s="71">
        <v>0</v>
      </c>
      <c r="O283" s="72">
        <v>146000</v>
      </c>
    </row>
    <row r="284" spans="2:15">
      <c r="B284" s="70" t="s">
        <v>1774</v>
      </c>
      <c r="C284" s="44" t="s">
        <v>1792</v>
      </c>
      <c r="D284" s="45" t="s">
        <v>328</v>
      </c>
      <c r="E284" s="45" t="s">
        <v>123</v>
      </c>
      <c r="F284" s="45">
        <v>1446419</v>
      </c>
      <c r="G284" s="71">
        <v>20661.16</v>
      </c>
      <c r="H284" s="71">
        <v>0</v>
      </c>
      <c r="I284" s="49">
        <v>0</v>
      </c>
      <c r="J284" s="49">
        <v>0</v>
      </c>
      <c r="K284" s="49">
        <v>0</v>
      </c>
      <c r="L284" s="49">
        <v>4338.84</v>
      </c>
      <c r="M284" s="49">
        <v>0</v>
      </c>
      <c r="N284" s="71">
        <v>0</v>
      </c>
      <c r="O284" s="72">
        <v>25000</v>
      </c>
    </row>
    <row r="285" spans="2:15">
      <c r="B285" s="70" t="s">
        <v>1774</v>
      </c>
      <c r="C285" s="44" t="s">
        <v>1793</v>
      </c>
      <c r="D285" s="45" t="s">
        <v>304</v>
      </c>
      <c r="E285" s="45" t="s">
        <v>123</v>
      </c>
      <c r="F285" s="45">
        <v>93354584</v>
      </c>
      <c r="G285" s="71">
        <v>5785.12</v>
      </c>
      <c r="H285" s="71">
        <v>0</v>
      </c>
      <c r="I285" s="49">
        <v>0</v>
      </c>
      <c r="J285" s="49">
        <v>0</v>
      </c>
      <c r="K285" s="49">
        <v>0</v>
      </c>
      <c r="L285" s="49">
        <v>1214.8800000000001</v>
      </c>
      <c r="M285" s="49">
        <v>0</v>
      </c>
      <c r="N285" s="71">
        <v>0</v>
      </c>
      <c r="O285" s="72">
        <v>7000</v>
      </c>
    </row>
    <row r="286" spans="2:15">
      <c r="B286" s="70" t="s">
        <v>1774</v>
      </c>
      <c r="C286" s="44" t="s">
        <v>1794</v>
      </c>
      <c r="D286" s="45" t="s">
        <v>1795</v>
      </c>
      <c r="E286" s="45" t="s">
        <v>123</v>
      </c>
      <c r="F286" s="45">
        <v>42470342</v>
      </c>
      <c r="G286" s="71">
        <v>4214.88</v>
      </c>
      <c r="H286" s="71">
        <v>0</v>
      </c>
      <c r="I286" s="49">
        <v>0</v>
      </c>
      <c r="J286" s="49">
        <v>0</v>
      </c>
      <c r="K286" s="49">
        <v>0</v>
      </c>
      <c r="L286" s="49">
        <v>885.12</v>
      </c>
      <c r="M286" s="49">
        <v>0</v>
      </c>
      <c r="N286" s="71">
        <v>0</v>
      </c>
      <c r="O286" s="72">
        <v>5100</v>
      </c>
    </row>
    <row r="287" spans="2:15">
      <c r="B287" s="70" t="s">
        <v>1774</v>
      </c>
      <c r="C287" s="44" t="s">
        <v>1796</v>
      </c>
      <c r="D287" s="45" t="s">
        <v>358</v>
      </c>
      <c r="E287" s="45" t="s">
        <v>123</v>
      </c>
      <c r="F287" s="45">
        <v>93195134</v>
      </c>
      <c r="G287" s="71">
        <v>3471.07</v>
      </c>
      <c r="H287" s="71">
        <v>0</v>
      </c>
      <c r="I287" s="49">
        <v>0</v>
      </c>
      <c r="J287" s="49">
        <v>0</v>
      </c>
      <c r="K287" s="49">
        <v>0</v>
      </c>
      <c r="L287" s="49">
        <v>728.93</v>
      </c>
      <c r="M287" s="49">
        <v>0</v>
      </c>
      <c r="N287" s="71">
        <v>0</v>
      </c>
      <c r="O287" s="72">
        <v>4200</v>
      </c>
    </row>
    <row r="288" spans="2:15">
      <c r="B288" s="70" t="s">
        <v>1774</v>
      </c>
      <c r="C288" s="44" t="s">
        <v>1797</v>
      </c>
      <c r="D288" s="45" t="s">
        <v>765</v>
      </c>
      <c r="E288" s="45" t="s">
        <v>123</v>
      </c>
      <c r="F288" s="45">
        <v>56980</v>
      </c>
      <c r="G288" s="71">
        <v>4132.2300000000005</v>
      </c>
      <c r="H288" s="71">
        <v>0</v>
      </c>
      <c r="I288" s="49">
        <v>0</v>
      </c>
      <c r="J288" s="49">
        <v>0</v>
      </c>
      <c r="K288" s="49">
        <v>0</v>
      </c>
      <c r="L288" s="49">
        <v>867.77</v>
      </c>
      <c r="M288" s="49">
        <v>0</v>
      </c>
      <c r="N288" s="71">
        <v>0</v>
      </c>
      <c r="O288" s="72">
        <v>5000</v>
      </c>
    </row>
    <row r="289" spans="2:15">
      <c r="B289" s="70" t="s">
        <v>1774</v>
      </c>
      <c r="C289" s="44" t="s">
        <v>1798</v>
      </c>
      <c r="D289" s="45" t="s">
        <v>406</v>
      </c>
      <c r="E289" s="45" t="s">
        <v>123</v>
      </c>
      <c r="F289" s="45">
        <v>12791306</v>
      </c>
      <c r="G289" s="71">
        <v>7438.02</v>
      </c>
      <c r="H289" s="71">
        <v>0</v>
      </c>
      <c r="I289" s="49">
        <v>0</v>
      </c>
      <c r="J289" s="49">
        <v>0</v>
      </c>
      <c r="K289" s="49">
        <v>0</v>
      </c>
      <c r="L289" s="49">
        <v>1561.98</v>
      </c>
      <c r="M289" s="49">
        <v>0</v>
      </c>
      <c r="N289" s="71">
        <v>0</v>
      </c>
      <c r="O289" s="72">
        <v>9000</v>
      </c>
    </row>
    <row r="290" spans="2:15">
      <c r="B290" s="70" t="s">
        <v>1774</v>
      </c>
      <c r="C290" s="44" t="s">
        <v>1799</v>
      </c>
      <c r="D290" s="45" t="s">
        <v>369</v>
      </c>
      <c r="E290" s="45" t="s">
        <v>123</v>
      </c>
      <c r="F290" s="45">
        <v>92316435</v>
      </c>
      <c r="G290" s="71">
        <v>6611.57</v>
      </c>
      <c r="H290" s="71">
        <v>0</v>
      </c>
      <c r="I290" s="49">
        <v>0</v>
      </c>
      <c r="J290" s="49">
        <v>0</v>
      </c>
      <c r="K290" s="49">
        <v>0</v>
      </c>
      <c r="L290" s="49">
        <v>1388.43</v>
      </c>
      <c r="M290" s="49">
        <v>0</v>
      </c>
      <c r="N290" s="71">
        <v>0</v>
      </c>
      <c r="O290" s="72">
        <v>8000</v>
      </c>
    </row>
    <row r="291" spans="2:15">
      <c r="B291" s="70" t="s">
        <v>1800</v>
      </c>
      <c r="C291" s="44" t="s">
        <v>1813</v>
      </c>
      <c r="D291" s="45" t="s">
        <v>323</v>
      </c>
      <c r="E291" s="45" t="s">
        <v>123</v>
      </c>
      <c r="F291" s="45">
        <v>94061699</v>
      </c>
      <c r="G291" s="71">
        <v>6776.86</v>
      </c>
      <c r="H291" s="71">
        <v>0</v>
      </c>
      <c r="I291" s="49">
        <v>0</v>
      </c>
      <c r="J291" s="49">
        <v>0</v>
      </c>
      <c r="K291" s="49">
        <v>0</v>
      </c>
      <c r="L291" s="49">
        <v>1423.14</v>
      </c>
      <c r="M291" s="49">
        <v>0</v>
      </c>
      <c r="N291" s="71">
        <v>0</v>
      </c>
      <c r="O291" s="72">
        <v>8200</v>
      </c>
    </row>
    <row r="292" spans="2:15">
      <c r="B292" s="70" t="s">
        <v>1800</v>
      </c>
      <c r="C292" s="44" t="s">
        <v>1814</v>
      </c>
      <c r="D292" s="45" t="s">
        <v>802</v>
      </c>
      <c r="E292" s="45" t="s">
        <v>123</v>
      </c>
      <c r="F292" s="45">
        <v>37904748</v>
      </c>
      <c r="G292" s="71">
        <v>7851.24</v>
      </c>
      <c r="H292" s="71">
        <v>0</v>
      </c>
      <c r="I292" s="49">
        <v>0</v>
      </c>
      <c r="J292" s="49">
        <v>0</v>
      </c>
      <c r="K292" s="49">
        <v>0</v>
      </c>
      <c r="L292" s="49">
        <v>1648.76</v>
      </c>
      <c r="M292" s="49">
        <v>0</v>
      </c>
      <c r="N292" s="71">
        <v>0</v>
      </c>
      <c r="O292" s="72">
        <v>9500</v>
      </c>
    </row>
    <row r="293" spans="2:15">
      <c r="B293" s="70" t="s">
        <v>1800</v>
      </c>
      <c r="C293" s="44" t="s">
        <v>1815</v>
      </c>
      <c r="D293" s="45" t="s">
        <v>1816</v>
      </c>
      <c r="E293" s="45" t="s">
        <v>123</v>
      </c>
      <c r="F293" s="45">
        <v>36702598</v>
      </c>
      <c r="G293" s="71">
        <v>50809.919999999998</v>
      </c>
      <c r="H293" s="71">
        <v>0</v>
      </c>
      <c r="I293" s="49">
        <v>0</v>
      </c>
      <c r="J293" s="49">
        <v>0</v>
      </c>
      <c r="K293" s="49">
        <v>0</v>
      </c>
      <c r="L293" s="49">
        <v>10670.08</v>
      </c>
      <c r="M293" s="49">
        <v>0</v>
      </c>
      <c r="N293" s="71">
        <v>0</v>
      </c>
      <c r="O293" s="72">
        <v>61480</v>
      </c>
    </row>
    <row r="294" spans="2:15">
      <c r="B294" s="70" t="s">
        <v>1800</v>
      </c>
      <c r="C294" s="44" t="s">
        <v>1817</v>
      </c>
      <c r="D294" s="45" t="s">
        <v>281</v>
      </c>
      <c r="E294" s="45" t="s">
        <v>123</v>
      </c>
      <c r="F294" s="45">
        <v>16246667</v>
      </c>
      <c r="G294" s="71">
        <v>11107.44</v>
      </c>
      <c r="H294" s="71">
        <v>0</v>
      </c>
      <c r="I294" s="49">
        <v>0</v>
      </c>
      <c r="J294" s="49">
        <v>0</v>
      </c>
      <c r="K294" s="49">
        <v>0</v>
      </c>
      <c r="L294" s="49">
        <v>2332.56</v>
      </c>
      <c r="M294" s="49">
        <v>0</v>
      </c>
      <c r="N294" s="71">
        <v>0</v>
      </c>
      <c r="O294" s="72">
        <v>13440</v>
      </c>
    </row>
    <row r="295" spans="2:15">
      <c r="B295" s="70" t="s">
        <v>1818</v>
      </c>
      <c r="C295" s="44" t="s">
        <v>1829</v>
      </c>
      <c r="D295" s="45" t="s">
        <v>286</v>
      </c>
      <c r="E295" s="45" t="s">
        <v>123</v>
      </c>
      <c r="F295" s="45">
        <v>10138957</v>
      </c>
      <c r="G295" s="71">
        <v>4132.2300000000005</v>
      </c>
      <c r="H295" s="71">
        <v>0</v>
      </c>
      <c r="I295" s="49">
        <v>0</v>
      </c>
      <c r="J295" s="49">
        <v>0</v>
      </c>
      <c r="K295" s="49">
        <v>0</v>
      </c>
      <c r="L295" s="49">
        <v>867.77</v>
      </c>
      <c r="M295" s="49">
        <v>0</v>
      </c>
      <c r="N295" s="71">
        <v>0</v>
      </c>
      <c r="O295" s="72">
        <v>5000</v>
      </c>
    </row>
    <row r="296" spans="2:15">
      <c r="B296" s="70" t="s">
        <v>1818</v>
      </c>
      <c r="C296" s="44" t="s">
        <v>1830</v>
      </c>
      <c r="D296" s="45" t="s">
        <v>335</v>
      </c>
      <c r="E296" s="45" t="s">
        <v>123</v>
      </c>
      <c r="F296" s="45">
        <v>902191</v>
      </c>
      <c r="G296" s="71">
        <v>4958.68</v>
      </c>
      <c r="H296" s="71">
        <v>0</v>
      </c>
      <c r="I296" s="49">
        <v>0</v>
      </c>
      <c r="J296" s="49">
        <v>0</v>
      </c>
      <c r="K296" s="49">
        <v>0</v>
      </c>
      <c r="L296" s="49">
        <v>1041.32</v>
      </c>
      <c r="M296" s="49">
        <v>0</v>
      </c>
      <c r="N296" s="71">
        <v>0</v>
      </c>
      <c r="O296" s="72">
        <v>6000</v>
      </c>
    </row>
    <row r="297" spans="2:15">
      <c r="B297" s="70" t="s">
        <v>1831</v>
      </c>
      <c r="C297" s="44" t="s">
        <v>1845</v>
      </c>
      <c r="D297" s="45" t="s">
        <v>424</v>
      </c>
      <c r="E297" s="45" t="s">
        <v>123</v>
      </c>
      <c r="F297" s="45">
        <v>29654556</v>
      </c>
      <c r="G297" s="71">
        <v>14876.04</v>
      </c>
      <c r="H297" s="71">
        <v>0</v>
      </c>
      <c r="I297" s="49">
        <v>0</v>
      </c>
      <c r="J297" s="49">
        <v>0</v>
      </c>
      <c r="K297" s="49">
        <v>0</v>
      </c>
      <c r="L297" s="49">
        <v>3123.96</v>
      </c>
      <c r="M297" s="49">
        <v>0</v>
      </c>
      <c r="N297" s="71">
        <v>0</v>
      </c>
      <c r="O297" s="72">
        <v>18000</v>
      </c>
    </row>
    <row r="298" spans="2:15">
      <c r="B298" s="70" t="s">
        <v>1831</v>
      </c>
      <c r="C298" s="44" t="s">
        <v>1846</v>
      </c>
      <c r="D298" s="45" t="s">
        <v>391</v>
      </c>
      <c r="E298" s="45" t="s">
        <v>123</v>
      </c>
      <c r="F298" s="45">
        <v>4702938</v>
      </c>
      <c r="G298" s="71">
        <v>12148.75</v>
      </c>
      <c r="H298" s="71">
        <v>0</v>
      </c>
      <c r="I298" s="49">
        <v>0</v>
      </c>
      <c r="J298" s="49">
        <v>0</v>
      </c>
      <c r="K298" s="49">
        <v>0</v>
      </c>
      <c r="L298" s="49">
        <v>2551.25</v>
      </c>
      <c r="M298" s="49">
        <v>0</v>
      </c>
      <c r="N298" s="71">
        <v>0</v>
      </c>
      <c r="O298" s="72">
        <v>14700</v>
      </c>
    </row>
    <row r="299" spans="2:15">
      <c r="B299" s="70" t="s">
        <v>1831</v>
      </c>
      <c r="C299" s="44" t="s">
        <v>1847</v>
      </c>
      <c r="D299" s="45" t="s">
        <v>980</v>
      </c>
      <c r="E299" s="45" t="s">
        <v>123</v>
      </c>
      <c r="F299" s="45">
        <v>13214933</v>
      </c>
      <c r="G299" s="71">
        <v>6280.99</v>
      </c>
      <c r="H299" s="71">
        <v>0</v>
      </c>
      <c r="I299" s="49">
        <v>0</v>
      </c>
      <c r="J299" s="49">
        <v>0</v>
      </c>
      <c r="K299" s="49">
        <v>0</v>
      </c>
      <c r="L299" s="49">
        <v>1319.01</v>
      </c>
      <c r="M299" s="49">
        <v>0</v>
      </c>
      <c r="N299" s="71">
        <v>0</v>
      </c>
      <c r="O299" s="72">
        <v>7600</v>
      </c>
    </row>
    <row r="300" spans="2:15">
      <c r="B300" s="70" t="s">
        <v>1831</v>
      </c>
      <c r="C300" s="44" t="s">
        <v>1848</v>
      </c>
      <c r="D300" s="45" t="s">
        <v>752</v>
      </c>
      <c r="E300" s="45" t="s">
        <v>123</v>
      </c>
      <c r="F300" s="45">
        <v>16481086</v>
      </c>
      <c r="G300" s="71">
        <v>5702.48</v>
      </c>
      <c r="H300" s="71">
        <v>0</v>
      </c>
      <c r="I300" s="49">
        <v>0</v>
      </c>
      <c r="J300" s="49">
        <v>0</v>
      </c>
      <c r="K300" s="49">
        <v>0</v>
      </c>
      <c r="L300" s="49">
        <v>1197.52</v>
      </c>
      <c r="M300" s="49">
        <v>0</v>
      </c>
      <c r="N300" s="71">
        <v>0</v>
      </c>
      <c r="O300" s="72">
        <v>6900</v>
      </c>
    </row>
    <row r="301" spans="2:15">
      <c r="B301" s="70" t="s">
        <v>1849</v>
      </c>
      <c r="C301" s="44" t="s">
        <v>1875</v>
      </c>
      <c r="D301" s="45" t="s">
        <v>767</v>
      </c>
      <c r="E301" s="45" t="s">
        <v>123</v>
      </c>
      <c r="F301" s="45">
        <v>8208160</v>
      </c>
      <c r="G301" s="71">
        <v>7438.02</v>
      </c>
      <c r="H301" s="71">
        <v>0</v>
      </c>
      <c r="I301" s="49">
        <v>0</v>
      </c>
      <c r="J301" s="49">
        <v>0</v>
      </c>
      <c r="K301" s="49">
        <v>0</v>
      </c>
      <c r="L301" s="49">
        <v>1561.98</v>
      </c>
      <c r="M301" s="49">
        <v>0</v>
      </c>
      <c r="N301" s="71">
        <v>0</v>
      </c>
      <c r="O301" s="72">
        <v>9000</v>
      </c>
    </row>
    <row r="302" spans="2:15">
      <c r="B302" s="70" t="s">
        <v>1849</v>
      </c>
      <c r="C302" s="44" t="s">
        <v>1876</v>
      </c>
      <c r="D302" s="45" t="s">
        <v>428</v>
      </c>
      <c r="E302" s="45" t="s">
        <v>123</v>
      </c>
      <c r="F302" s="45">
        <v>30206585</v>
      </c>
      <c r="G302" s="71">
        <v>3966.95</v>
      </c>
      <c r="H302" s="71">
        <v>0</v>
      </c>
      <c r="I302" s="49">
        <v>0</v>
      </c>
      <c r="J302" s="49">
        <v>0</v>
      </c>
      <c r="K302" s="49">
        <v>0</v>
      </c>
      <c r="L302" s="49">
        <v>833.05</v>
      </c>
      <c r="M302" s="49">
        <v>0</v>
      </c>
      <c r="N302" s="71">
        <v>0</v>
      </c>
      <c r="O302" s="72">
        <v>4800</v>
      </c>
    </row>
    <row r="303" spans="2:15">
      <c r="B303" s="70" t="s">
        <v>1849</v>
      </c>
      <c r="C303" s="44" t="s">
        <v>1877</v>
      </c>
      <c r="D303" s="45" t="s">
        <v>426</v>
      </c>
      <c r="E303" s="45" t="s">
        <v>123</v>
      </c>
      <c r="F303" s="45">
        <v>28692323</v>
      </c>
      <c r="G303" s="71">
        <v>21157.02</v>
      </c>
      <c r="H303" s="71">
        <v>0</v>
      </c>
      <c r="I303" s="49">
        <v>0</v>
      </c>
      <c r="J303" s="49">
        <v>0</v>
      </c>
      <c r="K303" s="49">
        <v>0</v>
      </c>
      <c r="L303" s="49">
        <v>4442.9800000000005</v>
      </c>
      <c r="M303" s="49">
        <v>0</v>
      </c>
      <c r="N303" s="71">
        <v>0</v>
      </c>
      <c r="O303" s="72">
        <v>25600</v>
      </c>
    </row>
    <row r="304" spans="2:15">
      <c r="B304" s="70" t="s">
        <v>1849</v>
      </c>
      <c r="C304" s="44" t="s">
        <v>1878</v>
      </c>
      <c r="D304" s="45" t="s">
        <v>778</v>
      </c>
      <c r="E304" s="45" t="s">
        <v>123</v>
      </c>
      <c r="F304" s="45">
        <v>22001100</v>
      </c>
      <c r="G304" s="71">
        <v>12396.69</v>
      </c>
      <c r="H304" s="71">
        <v>0</v>
      </c>
      <c r="I304" s="49">
        <v>0</v>
      </c>
      <c r="J304" s="49">
        <v>0</v>
      </c>
      <c r="K304" s="49">
        <v>0</v>
      </c>
      <c r="L304" s="49">
        <v>2603.31</v>
      </c>
      <c r="M304" s="49">
        <v>0</v>
      </c>
      <c r="N304" s="71">
        <v>0</v>
      </c>
      <c r="O304" s="72">
        <v>15000</v>
      </c>
    </row>
    <row r="305" spans="2:15">
      <c r="B305" s="70" t="s">
        <v>1849</v>
      </c>
      <c r="C305" s="44" t="s">
        <v>1879</v>
      </c>
      <c r="D305" s="45" t="s">
        <v>1125</v>
      </c>
      <c r="E305" s="45" t="s">
        <v>123</v>
      </c>
      <c r="F305" s="45">
        <v>8607637</v>
      </c>
      <c r="G305" s="71">
        <v>11834.7</v>
      </c>
      <c r="H305" s="71">
        <v>0</v>
      </c>
      <c r="I305" s="49">
        <v>0</v>
      </c>
      <c r="J305" s="49">
        <v>0</v>
      </c>
      <c r="K305" s="49">
        <v>0</v>
      </c>
      <c r="L305" s="49">
        <v>2485.3000000000002</v>
      </c>
      <c r="M305" s="49">
        <v>0</v>
      </c>
      <c r="N305" s="71">
        <v>0</v>
      </c>
      <c r="O305" s="72">
        <v>14320</v>
      </c>
    </row>
    <row r="306" spans="2:15">
      <c r="B306" s="70" t="s">
        <v>1849</v>
      </c>
      <c r="C306" s="44" t="s">
        <v>1880</v>
      </c>
      <c r="D306" s="45" t="s">
        <v>1058</v>
      </c>
      <c r="E306" s="45" t="s">
        <v>123</v>
      </c>
      <c r="F306" s="45">
        <v>94466696</v>
      </c>
      <c r="G306" s="71">
        <v>6942.15</v>
      </c>
      <c r="H306" s="71">
        <v>0</v>
      </c>
      <c r="I306" s="49">
        <v>0</v>
      </c>
      <c r="J306" s="49">
        <v>0</v>
      </c>
      <c r="K306" s="49">
        <v>0</v>
      </c>
      <c r="L306" s="49">
        <v>1457.85</v>
      </c>
      <c r="M306" s="49">
        <v>0</v>
      </c>
      <c r="N306" s="71">
        <v>0</v>
      </c>
      <c r="O306" s="72">
        <v>8400</v>
      </c>
    </row>
    <row r="307" spans="2:15">
      <c r="B307" s="70" t="s">
        <v>1849</v>
      </c>
      <c r="C307" s="44" t="s">
        <v>1881</v>
      </c>
      <c r="D307" s="45" t="s">
        <v>1882</v>
      </c>
      <c r="E307" s="45" t="s">
        <v>123</v>
      </c>
      <c r="F307" s="45">
        <v>25864351</v>
      </c>
      <c r="G307" s="71">
        <v>7024.79</v>
      </c>
      <c r="H307" s="71">
        <v>0</v>
      </c>
      <c r="I307" s="49">
        <v>0</v>
      </c>
      <c r="J307" s="49">
        <v>0</v>
      </c>
      <c r="K307" s="49">
        <v>0</v>
      </c>
      <c r="L307" s="49">
        <v>1475.21</v>
      </c>
      <c r="M307" s="49">
        <v>0</v>
      </c>
      <c r="N307" s="71">
        <v>0</v>
      </c>
      <c r="O307" s="72">
        <v>8500</v>
      </c>
    </row>
    <row r="308" spans="2:15">
      <c r="B308" s="70" t="s">
        <v>1883</v>
      </c>
      <c r="C308" s="44" t="s">
        <v>1889</v>
      </c>
      <c r="D308" s="45" t="s">
        <v>411</v>
      </c>
      <c r="E308" s="45" t="s">
        <v>123</v>
      </c>
      <c r="F308" s="45">
        <v>13699449</v>
      </c>
      <c r="G308" s="71">
        <v>16528.93</v>
      </c>
      <c r="H308" s="71">
        <v>0</v>
      </c>
      <c r="I308" s="49">
        <v>0</v>
      </c>
      <c r="J308" s="49">
        <v>0</v>
      </c>
      <c r="K308" s="49">
        <v>0</v>
      </c>
      <c r="L308" s="49">
        <v>3471.07</v>
      </c>
      <c r="M308" s="49">
        <v>0</v>
      </c>
      <c r="N308" s="71">
        <v>0</v>
      </c>
      <c r="O308" s="72">
        <v>20000</v>
      </c>
    </row>
    <row r="309" spans="2:15">
      <c r="B309" s="70" t="s">
        <v>1883</v>
      </c>
      <c r="C309" s="44" t="s">
        <v>1890</v>
      </c>
      <c r="D309" s="45" t="s">
        <v>1891</v>
      </c>
      <c r="E309" s="45" t="s">
        <v>123</v>
      </c>
      <c r="F309" s="45">
        <v>10796962</v>
      </c>
      <c r="G309" s="71">
        <v>4958.68</v>
      </c>
      <c r="H309" s="71">
        <v>0</v>
      </c>
      <c r="I309" s="49">
        <v>0</v>
      </c>
      <c r="J309" s="49">
        <v>0</v>
      </c>
      <c r="K309" s="49">
        <v>0</v>
      </c>
      <c r="L309" s="49">
        <v>1041.32</v>
      </c>
      <c r="M309" s="49">
        <v>0</v>
      </c>
      <c r="N309" s="71">
        <v>0</v>
      </c>
      <c r="O309" s="72">
        <v>6000</v>
      </c>
    </row>
    <row r="310" spans="2:15">
      <c r="B310" s="70" t="s">
        <v>1883</v>
      </c>
      <c r="C310" s="44" t="s">
        <v>1892</v>
      </c>
      <c r="D310" s="45" t="s">
        <v>1893</v>
      </c>
      <c r="E310" s="45" t="s">
        <v>123</v>
      </c>
      <c r="F310" s="45">
        <v>35880522</v>
      </c>
      <c r="G310" s="71">
        <v>3057.85</v>
      </c>
      <c r="H310" s="71">
        <v>0</v>
      </c>
      <c r="I310" s="49">
        <v>0</v>
      </c>
      <c r="J310" s="49">
        <v>0</v>
      </c>
      <c r="K310" s="49">
        <v>0</v>
      </c>
      <c r="L310" s="49">
        <v>642.15</v>
      </c>
      <c r="M310" s="49">
        <v>0</v>
      </c>
      <c r="N310" s="71">
        <v>0</v>
      </c>
      <c r="O310" s="72">
        <v>3700</v>
      </c>
    </row>
    <row r="311" spans="2:15">
      <c r="B311" s="70" t="s">
        <v>1894</v>
      </c>
      <c r="C311" s="44" t="s">
        <v>1903</v>
      </c>
      <c r="D311" s="45" t="s">
        <v>379</v>
      </c>
      <c r="E311" s="45" t="s">
        <v>123</v>
      </c>
      <c r="F311" s="45">
        <v>14123802</v>
      </c>
      <c r="G311" s="71">
        <v>4958.68</v>
      </c>
      <c r="H311" s="71">
        <v>0</v>
      </c>
      <c r="I311" s="49">
        <v>0</v>
      </c>
      <c r="J311" s="49">
        <v>0</v>
      </c>
      <c r="K311" s="49">
        <v>0</v>
      </c>
      <c r="L311" s="49">
        <v>1041.32</v>
      </c>
      <c r="M311" s="49">
        <v>0</v>
      </c>
      <c r="N311" s="71">
        <v>0</v>
      </c>
      <c r="O311" s="72">
        <v>6000</v>
      </c>
    </row>
    <row r="312" spans="2:15">
      <c r="B312" s="70" t="s">
        <v>1894</v>
      </c>
      <c r="C312" s="44" t="s">
        <v>1904</v>
      </c>
      <c r="D312" s="45" t="s">
        <v>379</v>
      </c>
      <c r="E312" s="45" t="s">
        <v>123</v>
      </c>
      <c r="F312" s="45">
        <v>14123802</v>
      </c>
      <c r="G312" s="71">
        <v>9338.85</v>
      </c>
      <c r="H312" s="71">
        <v>0</v>
      </c>
      <c r="I312" s="49">
        <v>0</v>
      </c>
      <c r="J312" s="49">
        <v>0</v>
      </c>
      <c r="K312" s="49">
        <v>0</v>
      </c>
      <c r="L312" s="49">
        <v>1961.15</v>
      </c>
      <c r="M312" s="49">
        <v>0</v>
      </c>
      <c r="N312" s="71">
        <v>0</v>
      </c>
      <c r="O312" s="72">
        <v>11300</v>
      </c>
    </row>
    <row r="313" spans="2:15">
      <c r="B313" s="70" t="s">
        <v>1894</v>
      </c>
      <c r="C313" s="44" t="s">
        <v>1905</v>
      </c>
      <c r="D313" s="45" t="s">
        <v>1540</v>
      </c>
      <c r="E313" s="45" t="s">
        <v>123</v>
      </c>
      <c r="F313" s="45">
        <v>11362236</v>
      </c>
      <c r="G313" s="71">
        <v>6198.34</v>
      </c>
      <c r="H313" s="71">
        <v>0</v>
      </c>
      <c r="I313" s="49">
        <v>0</v>
      </c>
      <c r="J313" s="49">
        <v>0</v>
      </c>
      <c r="K313" s="49">
        <v>0</v>
      </c>
      <c r="L313" s="49">
        <v>1301.6600000000001</v>
      </c>
      <c r="M313" s="49">
        <v>0</v>
      </c>
      <c r="N313" s="71">
        <v>0</v>
      </c>
      <c r="O313" s="72">
        <v>7500</v>
      </c>
    </row>
    <row r="314" spans="2:15">
      <c r="B314" s="70" t="s">
        <v>1906</v>
      </c>
      <c r="C314" s="44" t="s">
        <v>1916</v>
      </c>
      <c r="D314" s="45" t="s">
        <v>399</v>
      </c>
      <c r="E314" s="45" t="s">
        <v>123</v>
      </c>
      <c r="F314" s="45" t="s">
        <v>124</v>
      </c>
      <c r="G314" s="71">
        <v>8677.69</v>
      </c>
      <c r="H314" s="71">
        <v>0</v>
      </c>
      <c r="I314" s="49">
        <v>0</v>
      </c>
      <c r="J314" s="49">
        <v>0</v>
      </c>
      <c r="K314" s="49">
        <v>0</v>
      </c>
      <c r="L314" s="49">
        <v>1822.31</v>
      </c>
      <c r="M314" s="49">
        <v>0</v>
      </c>
      <c r="N314" s="71">
        <v>0</v>
      </c>
      <c r="O314" s="72">
        <v>10500</v>
      </c>
    </row>
    <row r="315" spans="2:15">
      <c r="B315" s="70" t="s">
        <v>1906</v>
      </c>
      <c r="C315" s="44" t="s">
        <v>1917</v>
      </c>
      <c r="D315" s="45" t="s">
        <v>1540</v>
      </c>
      <c r="E315" s="45" t="s">
        <v>123</v>
      </c>
      <c r="F315" s="45">
        <v>11362236</v>
      </c>
      <c r="G315" s="71">
        <v>4958.68</v>
      </c>
      <c r="H315" s="71">
        <v>0</v>
      </c>
      <c r="I315" s="49">
        <v>0</v>
      </c>
      <c r="J315" s="49">
        <v>0</v>
      </c>
      <c r="K315" s="49">
        <v>0</v>
      </c>
      <c r="L315" s="49">
        <v>1041.32</v>
      </c>
      <c r="M315" s="49">
        <v>0</v>
      </c>
      <c r="N315" s="71">
        <v>0</v>
      </c>
      <c r="O315" s="72">
        <v>6000</v>
      </c>
    </row>
    <row r="316" spans="2:15">
      <c r="B316" s="70" t="s">
        <v>1906</v>
      </c>
      <c r="C316" s="44" t="s">
        <v>1918</v>
      </c>
      <c r="D316" s="45" t="s">
        <v>381</v>
      </c>
      <c r="E316" s="45" t="s">
        <v>123</v>
      </c>
      <c r="F316" s="45" t="s">
        <v>124</v>
      </c>
      <c r="G316" s="71">
        <v>6611.57</v>
      </c>
      <c r="H316" s="71">
        <v>0</v>
      </c>
      <c r="I316" s="49">
        <v>0</v>
      </c>
      <c r="J316" s="49">
        <v>0</v>
      </c>
      <c r="K316" s="49">
        <v>0</v>
      </c>
      <c r="L316" s="49">
        <v>1388.43</v>
      </c>
      <c r="M316" s="49">
        <v>0</v>
      </c>
      <c r="N316" s="71">
        <v>0</v>
      </c>
      <c r="O316" s="72">
        <v>8000</v>
      </c>
    </row>
    <row r="317" spans="2:15">
      <c r="B317" s="70" t="s">
        <v>1906</v>
      </c>
      <c r="C317" s="44" t="s">
        <v>1919</v>
      </c>
      <c r="D317" s="45" t="s">
        <v>1570</v>
      </c>
      <c r="E317" s="45" t="s">
        <v>123</v>
      </c>
      <c r="F317" s="45">
        <v>4481390</v>
      </c>
      <c r="G317" s="71">
        <v>21074.38</v>
      </c>
      <c r="H317" s="71">
        <v>0</v>
      </c>
      <c r="I317" s="49">
        <v>0</v>
      </c>
      <c r="J317" s="49">
        <v>0</v>
      </c>
      <c r="K317" s="49">
        <v>0</v>
      </c>
      <c r="L317" s="49">
        <v>4425.62</v>
      </c>
      <c r="M317" s="49">
        <v>0</v>
      </c>
      <c r="N317" s="71">
        <v>0</v>
      </c>
      <c r="O317" s="72">
        <v>25500</v>
      </c>
    </row>
    <row r="318" spans="2:15">
      <c r="B318" s="70" t="s">
        <v>1906</v>
      </c>
      <c r="C318" s="44" t="s">
        <v>1920</v>
      </c>
      <c r="D318" s="45" t="s">
        <v>289</v>
      </c>
      <c r="E318" s="45" t="s">
        <v>123</v>
      </c>
      <c r="F318" s="45">
        <v>5289939</v>
      </c>
      <c r="G318" s="71">
        <v>3305.79</v>
      </c>
      <c r="H318" s="71">
        <v>0</v>
      </c>
      <c r="I318" s="49">
        <v>0</v>
      </c>
      <c r="J318" s="49">
        <v>0</v>
      </c>
      <c r="K318" s="49">
        <v>0</v>
      </c>
      <c r="L318" s="49">
        <v>694.21</v>
      </c>
      <c r="M318" s="49">
        <v>0</v>
      </c>
      <c r="N318" s="71">
        <v>0</v>
      </c>
      <c r="O318" s="72">
        <v>4000</v>
      </c>
    </row>
    <row r="319" spans="2:15">
      <c r="B319" s="70" t="s">
        <v>1906</v>
      </c>
      <c r="C319" s="44" t="s">
        <v>1921</v>
      </c>
      <c r="D319" s="45" t="s">
        <v>289</v>
      </c>
      <c r="E319" s="45" t="s">
        <v>123</v>
      </c>
      <c r="F319" s="45">
        <v>5289939</v>
      </c>
      <c r="G319" s="71">
        <v>4958.67</v>
      </c>
      <c r="H319" s="71">
        <v>0</v>
      </c>
      <c r="I319" s="49">
        <v>0</v>
      </c>
      <c r="J319" s="49">
        <v>0</v>
      </c>
      <c r="K319" s="49">
        <v>0</v>
      </c>
      <c r="L319" s="49">
        <v>1041.33</v>
      </c>
      <c r="M319" s="49">
        <v>0</v>
      </c>
      <c r="N319" s="71">
        <v>0</v>
      </c>
      <c r="O319" s="72">
        <v>6000</v>
      </c>
    </row>
    <row r="320" spans="2:15">
      <c r="B320" s="70" t="s">
        <v>1922</v>
      </c>
      <c r="C320" s="44" t="s">
        <v>1930</v>
      </c>
      <c r="D320" s="45" t="s">
        <v>1931</v>
      </c>
      <c r="E320" s="45" t="s">
        <v>123</v>
      </c>
      <c r="F320" s="45">
        <v>17256930</v>
      </c>
      <c r="G320" s="71">
        <v>20661.16</v>
      </c>
      <c r="H320" s="71">
        <v>0</v>
      </c>
      <c r="I320" s="49">
        <v>0</v>
      </c>
      <c r="J320" s="49">
        <v>0</v>
      </c>
      <c r="K320" s="49">
        <v>0</v>
      </c>
      <c r="L320" s="49">
        <v>4338.84</v>
      </c>
      <c r="M320" s="49">
        <v>0</v>
      </c>
      <c r="N320" s="71">
        <v>0</v>
      </c>
      <c r="O320" s="72">
        <v>25000</v>
      </c>
    </row>
    <row r="321" spans="2:15">
      <c r="B321" s="70" t="s">
        <v>1932</v>
      </c>
      <c r="C321" s="44" t="s">
        <v>1945</v>
      </c>
      <c r="D321" s="45" t="s">
        <v>1164</v>
      </c>
      <c r="E321" s="45" t="s">
        <v>123</v>
      </c>
      <c r="F321" s="45">
        <v>29767433</v>
      </c>
      <c r="G321" s="71">
        <v>10330.58</v>
      </c>
      <c r="H321" s="71">
        <v>0</v>
      </c>
      <c r="I321" s="49">
        <v>0</v>
      </c>
      <c r="J321" s="49">
        <v>0</v>
      </c>
      <c r="K321" s="49">
        <v>0</v>
      </c>
      <c r="L321" s="49">
        <v>2169.42</v>
      </c>
      <c r="M321" s="49">
        <v>0</v>
      </c>
      <c r="N321" s="71">
        <v>0</v>
      </c>
      <c r="O321" s="72">
        <v>12500</v>
      </c>
    </row>
    <row r="322" spans="2:15">
      <c r="B322" s="70" t="s">
        <v>1932</v>
      </c>
      <c r="C322" s="44" t="s">
        <v>1946</v>
      </c>
      <c r="D322" s="45" t="s">
        <v>1058</v>
      </c>
      <c r="E322" s="45" t="s">
        <v>123</v>
      </c>
      <c r="F322" s="45">
        <v>94466696</v>
      </c>
      <c r="G322" s="71">
        <v>6942.15</v>
      </c>
      <c r="H322" s="71">
        <v>0</v>
      </c>
      <c r="I322" s="49">
        <v>0</v>
      </c>
      <c r="J322" s="49">
        <v>0</v>
      </c>
      <c r="K322" s="49">
        <v>0</v>
      </c>
      <c r="L322" s="49">
        <v>1457.85</v>
      </c>
      <c r="M322" s="49">
        <v>0</v>
      </c>
      <c r="N322" s="71">
        <v>0</v>
      </c>
      <c r="O322" s="72">
        <v>8400</v>
      </c>
    </row>
    <row r="323" spans="2:15">
      <c r="B323" s="70" t="s">
        <v>1932</v>
      </c>
      <c r="C323" s="44" t="s">
        <v>1947</v>
      </c>
      <c r="D323" s="45" t="s">
        <v>854</v>
      </c>
      <c r="E323" s="45" t="s">
        <v>123</v>
      </c>
      <c r="F323" s="45">
        <v>24699538</v>
      </c>
      <c r="G323" s="71">
        <v>7024.79</v>
      </c>
      <c r="H323" s="71">
        <v>0</v>
      </c>
      <c r="I323" s="49">
        <v>0</v>
      </c>
      <c r="J323" s="49">
        <v>0</v>
      </c>
      <c r="K323" s="49">
        <v>0</v>
      </c>
      <c r="L323" s="49">
        <v>1475.21</v>
      </c>
      <c r="M323" s="49">
        <v>0</v>
      </c>
      <c r="N323" s="71">
        <v>0</v>
      </c>
      <c r="O323" s="72">
        <v>8500</v>
      </c>
    </row>
    <row r="324" spans="2:15">
      <c r="B324" s="70" t="s">
        <v>1932</v>
      </c>
      <c r="C324" s="44" t="s">
        <v>1948</v>
      </c>
      <c r="D324" s="45" t="s">
        <v>375</v>
      </c>
      <c r="E324" s="45" t="s">
        <v>123</v>
      </c>
      <c r="F324" s="45">
        <v>22990821</v>
      </c>
      <c r="G324" s="71">
        <v>6611.57</v>
      </c>
      <c r="H324" s="71">
        <v>0</v>
      </c>
      <c r="I324" s="49">
        <v>0</v>
      </c>
      <c r="J324" s="49">
        <v>0</v>
      </c>
      <c r="K324" s="49">
        <v>0</v>
      </c>
      <c r="L324" s="49">
        <v>1388.43</v>
      </c>
      <c r="M324" s="49">
        <v>0</v>
      </c>
      <c r="N324" s="71">
        <v>0</v>
      </c>
      <c r="O324" s="72">
        <v>8000</v>
      </c>
    </row>
    <row r="325" spans="2:15">
      <c r="B325" s="70" t="s">
        <v>1932</v>
      </c>
      <c r="C325" s="44" t="s">
        <v>1949</v>
      </c>
      <c r="D325" s="45" t="s">
        <v>1125</v>
      </c>
      <c r="E325" s="45" t="s">
        <v>123</v>
      </c>
      <c r="F325" s="45">
        <v>8607637</v>
      </c>
      <c r="G325" s="71">
        <v>11834.71</v>
      </c>
      <c r="H325" s="71">
        <v>0</v>
      </c>
      <c r="I325" s="49">
        <v>0</v>
      </c>
      <c r="J325" s="49">
        <v>0</v>
      </c>
      <c r="K325" s="49">
        <v>0</v>
      </c>
      <c r="L325" s="49">
        <v>2485.29</v>
      </c>
      <c r="M325" s="49">
        <v>0</v>
      </c>
      <c r="N325" s="71">
        <v>0</v>
      </c>
      <c r="O325" s="72">
        <v>14320</v>
      </c>
    </row>
    <row r="326" spans="2:15">
      <c r="B326" s="70" t="s">
        <v>1932</v>
      </c>
      <c r="C326" s="44" t="s">
        <v>1950</v>
      </c>
      <c r="D326" s="45" t="s">
        <v>415</v>
      </c>
      <c r="E326" s="45" t="s">
        <v>123</v>
      </c>
      <c r="F326" s="45">
        <v>10093884</v>
      </c>
      <c r="G326" s="71">
        <v>4214.88</v>
      </c>
      <c r="H326" s="71">
        <v>0</v>
      </c>
      <c r="I326" s="49">
        <v>0</v>
      </c>
      <c r="J326" s="49">
        <v>0</v>
      </c>
      <c r="K326" s="49">
        <v>0</v>
      </c>
      <c r="L326" s="49">
        <v>885.12</v>
      </c>
      <c r="M326" s="49">
        <v>0</v>
      </c>
      <c r="N326" s="71">
        <v>0</v>
      </c>
      <c r="O326" s="72">
        <v>5100</v>
      </c>
    </row>
    <row r="327" spans="2:15">
      <c r="B327" s="70" t="s">
        <v>1932</v>
      </c>
      <c r="C327" s="44" t="s">
        <v>1951</v>
      </c>
      <c r="D327" s="45" t="s">
        <v>1952</v>
      </c>
      <c r="E327" s="45" t="s">
        <v>123</v>
      </c>
      <c r="F327" s="45">
        <v>14316826</v>
      </c>
      <c r="G327" s="71">
        <v>12066.12</v>
      </c>
      <c r="H327" s="71">
        <v>0</v>
      </c>
      <c r="I327" s="49">
        <v>0</v>
      </c>
      <c r="J327" s="49">
        <v>0</v>
      </c>
      <c r="K327" s="49">
        <v>0</v>
      </c>
      <c r="L327" s="49">
        <v>2533.88</v>
      </c>
      <c r="M327" s="49">
        <v>0</v>
      </c>
      <c r="N327" s="71">
        <v>0</v>
      </c>
      <c r="O327" s="72">
        <v>14600</v>
      </c>
    </row>
    <row r="328" spans="2:15">
      <c r="B328" s="70" t="s">
        <v>1953</v>
      </c>
      <c r="C328" s="44" t="s">
        <v>1972</v>
      </c>
      <c r="D328" s="45" t="s">
        <v>1973</v>
      </c>
      <c r="E328" s="45" t="s">
        <v>123</v>
      </c>
      <c r="F328" s="45">
        <v>3865973</v>
      </c>
      <c r="G328" s="71">
        <v>4933.88</v>
      </c>
      <c r="H328" s="71">
        <v>0</v>
      </c>
      <c r="I328" s="49">
        <v>0</v>
      </c>
      <c r="J328" s="49">
        <v>0</v>
      </c>
      <c r="K328" s="49">
        <v>0</v>
      </c>
      <c r="L328" s="49">
        <v>1036.1200000000001</v>
      </c>
      <c r="M328" s="49">
        <v>0</v>
      </c>
      <c r="N328" s="71">
        <v>0</v>
      </c>
      <c r="O328" s="72">
        <v>5970</v>
      </c>
    </row>
    <row r="329" spans="2:15">
      <c r="B329" s="70" t="s">
        <v>1953</v>
      </c>
      <c r="C329" s="44" t="s">
        <v>1974</v>
      </c>
      <c r="D329" s="45" t="s">
        <v>428</v>
      </c>
      <c r="E329" s="45" t="s">
        <v>123</v>
      </c>
      <c r="F329" s="45">
        <v>30206585</v>
      </c>
      <c r="G329" s="71">
        <v>3966.94</v>
      </c>
      <c r="H329" s="71">
        <v>0</v>
      </c>
      <c r="I329" s="49">
        <v>0</v>
      </c>
      <c r="J329" s="49">
        <v>0</v>
      </c>
      <c r="K329" s="49">
        <v>0</v>
      </c>
      <c r="L329" s="49">
        <v>833.06</v>
      </c>
      <c r="M329" s="49">
        <v>0</v>
      </c>
      <c r="N329" s="71">
        <v>0</v>
      </c>
      <c r="O329" s="72">
        <v>4800</v>
      </c>
    </row>
    <row r="330" spans="2:15">
      <c r="B330" s="70" t="s">
        <v>1953</v>
      </c>
      <c r="C330" s="44" t="s">
        <v>1975</v>
      </c>
      <c r="D330" s="45" t="s">
        <v>1976</v>
      </c>
      <c r="E330" s="45" t="s">
        <v>123</v>
      </c>
      <c r="F330" s="45">
        <v>93366620</v>
      </c>
      <c r="G330" s="71">
        <v>4132.24</v>
      </c>
      <c r="H330" s="71">
        <v>0</v>
      </c>
      <c r="I330" s="49">
        <v>0</v>
      </c>
      <c r="J330" s="49">
        <v>0</v>
      </c>
      <c r="K330" s="49">
        <v>0</v>
      </c>
      <c r="L330" s="49">
        <v>867.76</v>
      </c>
      <c r="M330" s="49">
        <v>0</v>
      </c>
      <c r="N330" s="71">
        <v>0</v>
      </c>
      <c r="O330" s="72">
        <v>5000</v>
      </c>
    </row>
    <row r="331" spans="2:15">
      <c r="B331" s="70" t="s">
        <v>1953</v>
      </c>
      <c r="C331" s="44" t="s">
        <v>1977</v>
      </c>
      <c r="D331" s="45" t="s">
        <v>752</v>
      </c>
      <c r="E331" s="45" t="s">
        <v>123</v>
      </c>
      <c r="F331" s="45">
        <v>16481086</v>
      </c>
      <c r="G331" s="71">
        <v>5702.48</v>
      </c>
      <c r="H331" s="71">
        <v>0</v>
      </c>
      <c r="I331" s="49">
        <v>0</v>
      </c>
      <c r="J331" s="49">
        <v>0</v>
      </c>
      <c r="K331" s="49">
        <v>0</v>
      </c>
      <c r="L331" s="49">
        <v>1197.52</v>
      </c>
      <c r="M331" s="49">
        <v>0</v>
      </c>
      <c r="N331" s="71">
        <v>0</v>
      </c>
      <c r="O331" s="72">
        <v>6900</v>
      </c>
    </row>
    <row r="332" spans="2:15">
      <c r="B332" s="70" t="s">
        <v>1953</v>
      </c>
      <c r="C332" s="44" t="s">
        <v>1978</v>
      </c>
      <c r="D332" s="45" t="s">
        <v>1979</v>
      </c>
      <c r="E332" s="45" t="s">
        <v>123</v>
      </c>
      <c r="F332" s="45">
        <v>6412590</v>
      </c>
      <c r="G332" s="71">
        <v>855.37</v>
      </c>
      <c r="H332" s="71">
        <v>0</v>
      </c>
      <c r="I332" s="49">
        <v>0</v>
      </c>
      <c r="J332" s="49">
        <v>0</v>
      </c>
      <c r="K332" s="49">
        <v>0</v>
      </c>
      <c r="L332" s="49">
        <v>179.63</v>
      </c>
      <c r="M332" s="49">
        <v>0</v>
      </c>
      <c r="N332" s="71">
        <v>0</v>
      </c>
      <c r="O332" s="72">
        <v>1035</v>
      </c>
    </row>
    <row r="333" spans="2:15">
      <c r="B333" s="70" t="s">
        <v>1953</v>
      </c>
      <c r="C333" s="44" t="s">
        <v>1980</v>
      </c>
      <c r="D333" s="45" t="s">
        <v>281</v>
      </c>
      <c r="E333" s="45" t="s">
        <v>123</v>
      </c>
      <c r="F333" s="45">
        <v>16246667</v>
      </c>
      <c r="G333" s="71">
        <v>11107.44</v>
      </c>
      <c r="H333" s="71">
        <v>0</v>
      </c>
      <c r="I333" s="49">
        <v>0</v>
      </c>
      <c r="J333" s="49">
        <v>0</v>
      </c>
      <c r="K333" s="49">
        <v>0</v>
      </c>
      <c r="L333" s="49">
        <v>2332.56</v>
      </c>
      <c r="M333" s="49">
        <v>0</v>
      </c>
      <c r="N333" s="71">
        <v>0</v>
      </c>
      <c r="O333" s="72">
        <v>13440</v>
      </c>
    </row>
    <row r="334" spans="2:15">
      <c r="B334" s="70" t="s">
        <v>1981</v>
      </c>
      <c r="C334" s="44" t="s">
        <v>1999</v>
      </c>
      <c r="D334" s="45" t="s">
        <v>298</v>
      </c>
      <c r="E334" s="45" t="s">
        <v>123</v>
      </c>
      <c r="F334" s="45">
        <v>24448662</v>
      </c>
      <c r="G334" s="71">
        <v>6611.57</v>
      </c>
      <c r="H334" s="71">
        <v>0</v>
      </c>
      <c r="I334" s="49">
        <v>0</v>
      </c>
      <c r="J334" s="49">
        <v>0</v>
      </c>
      <c r="K334" s="49">
        <v>0</v>
      </c>
      <c r="L334" s="49">
        <v>1388.43</v>
      </c>
      <c r="M334" s="49">
        <v>0</v>
      </c>
      <c r="N334" s="71">
        <v>0</v>
      </c>
      <c r="O334" s="72">
        <v>8000</v>
      </c>
    </row>
    <row r="335" spans="2:15">
      <c r="B335" s="70" t="s">
        <v>1981</v>
      </c>
      <c r="C335" s="44" t="s">
        <v>2000</v>
      </c>
      <c r="D335" s="45" t="s">
        <v>2001</v>
      </c>
      <c r="E335" s="45" t="s">
        <v>123</v>
      </c>
      <c r="F335" s="45">
        <v>3619698</v>
      </c>
      <c r="G335" s="71">
        <v>49834.71</v>
      </c>
      <c r="H335" s="71">
        <v>0</v>
      </c>
      <c r="I335" s="49">
        <v>0</v>
      </c>
      <c r="J335" s="49">
        <v>0</v>
      </c>
      <c r="K335" s="49">
        <v>0</v>
      </c>
      <c r="L335" s="49">
        <v>10465.290000000001</v>
      </c>
      <c r="M335" s="49">
        <v>0</v>
      </c>
      <c r="N335" s="71">
        <v>0</v>
      </c>
      <c r="O335" s="72">
        <v>60300</v>
      </c>
    </row>
    <row r="336" spans="2:15">
      <c r="B336" s="70" t="s">
        <v>2002</v>
      </c>
      <c r="C336" s="44" t="s">
        <v>2011</v>
      </c>
      <c r="D336" s="45" t="s">
        <v>1588</v>
      </c>
      <c r="E336" s="45" t="s">
        <v>123</v>
      </c>
      <c r="F336" s="45">
        <v>18375246</v>
      </c>
      <c r="G336" s="71">
        <v>19834.71</v>
      </c>
      <c r="H336" s="71">
        <v>0</v>
      </c>
      <c r="I336" s="49">
        <v>0</v>
      </c>
      <c r="J336" s="49">
        <v>0</v>
      </c>
      <c r="K336" s="49">
        <v>0</v>
      </c>
      <c r="L336" s="49">
        <v>4165.29</v>
      </c>
      <c r="M336" s="49">
        <v>0</v>
      </c>
      <c r="N336" s="71">
        <v>0</v>
      </c>
      <c r="O336" s="72">
        <v>24000</v>
      </c>
    </row>
    <row r="337" spans="2:15">
      <c r="B337" s="70" t="s">
        <v>2012</v>
      </c>
      <c r="C337" s="44" t="s">
        <v>2021</v>
      </c>
      <c r="D337" s="45" t="s">
        <v>335</v>
      </c>
      <c r="E337" s="45" t="s">
        <v>123</v>
      </c>
      <c r="F337" s="45">
        <v>902191</v>
      </c>
      <c r="G337" s="71">
        <v>4049.58</v>
      </c>
      <c r="H337" s="71">
        <v>0</v>
      </c>
      <c r="I337" s="49">
        <v>0</v>
      </c>
      <c r="J337" s="49">
        <v>0</v>
      </c>
      <c r="K337" s="49">
        <v>0</v>
      </c>
      <c r="L337" s="49">
        <v>850.42</v>
      </c>
      <c r="M337" s="49">
        <v>0</v>
      </c>
      <c r="N337" s="71">
        <v>0</v>
      </c>
      <c r="O337" s="72">
        <v>4900</v>
      </c>
    </row>
    <row r="338" spans="2:15">
      <c r="B338" s="70" t="s">
        <v>1749</v>
      </c>
      <c r="C338" s="44" t="s">
        <v>1750</v>
      </c>
      <c r="D338" s="45" t="s">
        <v>122</v>
      </c>
      <c r="E338" s="45" t="s">
        <v>123</v>
      </c>
      <c r="F338" s="45" t="s">
        <v>124</v>
      </c>
      <c r="G338" s="71">
        <v>-2727.27</v>
      </c>
      <c r="H338" s="71">
        <v>0</v>
      </c>
      <c r="I338" s="49">
        <v>0</v>
      </c>
      <c r="J338" s="49">
        <v>0</v>
      </c>
      <c r="K338" s="49">
        <v>0</v>
      </c>
      <c r="L338" s="49">
        <v>-572.73</v>
      </c>
      <c r="M338" s="49">
        <v>0</v>
      </c>
      <c r="N338" s="71">
        <v>0</v>
      </c>
      <c r="O338" s="72">
        <v>-3300</v>
      </c>
    </row>
    <row r="339" spans="2:15">
      <c r="B339" s="70" t="s">
        <v>1894</v>
      </c>
      <c r="C339" s="44" t="s">
        <v>1895</v>
      </c>
      <c r="D339" s="45" t="s">
        <v>122</v>
      </c>
      <c r="E339" s="45" t="s">
        <v>123</v>
      </c>
      <c r="F339" s="45" t="s">
        <v>124</v>
      </c>
      <c r="G339" s="71">
        <v>-5289.26</v>
      </c>
      <c r="H339" s="71">
        <v>0</v>
      </c>
      <c r="I339" s="49">
        <v>0</v>
      </c>
      <c r="J339" s="49">
        <v>0</v>
      </c>
      <c r="K339" s="49">
        <v>0</v>
      </c>
      <c r="L339" s="49">
        <v>-1110.74</v>
      </c>
      <c r="M339" s="49">
        <v>0</v>
      </c>
      <c r="N339" s="71">
        <v>0</v>
      </c>
      <c r="O339" s="72">
        <v>-6400</v>
      </c>
    </row>
    <row r="340" spans="2:15">
      <c r="B340" s="70" t="s">
        <v>1953</v>
      </c>
      <c r="C340" s="44" t="s">
        <v>1954</v>
      </c>
      <c r="D340" s="45" t="s">
        <v>122</v>
      </c>
      <c r="E340" s="45" t="s">
        <v>123</v>
      </c>
      <c r="F340" s="45" t="s">
        <v>124</v>
      </c>
      <c r="G340" s="71">
        <v>-3140.5</v>
      </c>
      <c r="H340" s="71">
        <v>0</v>
      </c>
      <c r="I340" s="49">
        <v>0</v>
      </c>
      <c r="J340" s="49">
        <v>0</v>
      </c>
      <c r="K340" s="49">
        <v>0</v>
      </c>
      <c r="L340" s="49">
        <v>-659.5</v>
      </c>
      <c r="M340" s="49">
        <v>0</v>
      </c>
      <c r="N340" s="71">
        <v>0</v>
      </c>
      <c r="O340" s="72">
        <v>-3800</v>
      </c>
    </row>
    <row r="341" spans="2:15">
      <c r="B341" s="70" t="s">
        <v>1906</v>
      </c>
      <c r="C341" s="44" t="s">
        <v>1915</v>
      </c>
      <c r="D341" s="45" t="s">
        <v>314</v>
      </c>
      <c r="E341" s="45" t="s">
        <v>276</v>
      </c>
      <c r="F341" s="45">
        <v>30658137642</v>
      </c>
      <c r="G341" s="71">
        <v>-13884.3</v>
      </c>
      <c r="H341" s="71">
        <v>0</v>
      </c>
      <c r="I341" s="49">
        <v>0</v>
      </c>
      <c r="J341" s="49">
        <v>0</v>
      </c>
      <c r="K341" s="49">
        <v>0</v>
      </c>
      <c r="L341" s="49">
        <v>-2915.7</v>
      </c>
      <c r="M341" s="49">
        <v>0</v>
      </c>
      <c r="N341" s="71">
        <v>0</v>
      </c>
      <c r="O341" s="72">
        <v>-16800</v>
      </c>
    </row>
    <row r="342" spans="2:15">
      <c r="B342" s="73"/>
      <c r="C342" s="74"/>
      <c r="D342" s="75"/>
      <c r="E342" s="75"/>
      <c r="F342" s="75"/>
      <c r="G342" s="76">
        <f>SUM(G58:G341)</f>
        <v>2615551.4200000023</v>
      </c>
      <c r="H342" s="76">
        <f t="shared" ref="H342:O342" si="1">SUM(H58:H341)</f>
        <v>0</v>
      </c>
      <c r="I342" s="76">
        <f t="shared" si="1"/>
        <v>0</v>
      </c>
      <c r="J342" s="76">
        <f t="shared" si="1"/>
        <v>0</v>
      </c>
      <c r="K342" s="76">
        <f t="shared" si="1"/>
        <v>0</v>
      </c>
      <c r="L342" s="76">
        <f t="shared" si="1"/>
        <v>549265.68000000052</v>
      </c>
      <c r="M342" s="76">
        <f t="shared" si="1"/>
        <v>0</v>
      </c>
      <c r="N342" s="76">
        <f t="shared" si="1"/>
        <v>0</v>
      </c>
      <c r="O342" s="76">
        <f t="shared" si="1"/>
        <v>3164817.1</v>
      </c>
    </row>
    <row r="344" spans="2:15">
      <c r="G344" s="78">
        <f>G56+G342</f>
        <v>51401724.009999983</v>
      </c>
      <c r="L344" s="78">
        <f>L56+L342</f>
        <v>10794361.91</v>
      </c>
      <c r="O344" s="78">
        <f>O56+O342</f>
        <v>62196085.919999994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95"/>
  <sheetViews>
    <sheetView workbookViewId="0">
      <selection activeCell="E14" sqref="E14:I15"/>
    </sheetView>
  </sheetViews>
  <sheetFormatPr baseColWidth="10" defaultRowHeight="15"/>
  <cols>
    <col min="3" max="3" width="16.85546875" customWidth="1"/>
    <col min="4" max="4" width="5.140625" customWidth="1"/>
    <col min="5" max="5" width="6.28515625" customWidth="1"/>
    <col min="6" max="6" width="21.140625" customWidth="1"/>
    <col min="8" max="8" width="19.42578125" customWidth="1"/>
    <col min="9" max="9" width="15.85546875" customWidth="1"/>
    <col min="10" max="10" width="16.7109375" bestFit="1" customWidth="1"/>
    <col min="11" max="11" width="15.5703125" bestFit="1" customWidth="1"/>
    <col min="12" max="12" width="16.7109375" bestFit="1" customWidth="1"/>
  </cols>
  <sheetData>
    <row r="2" spans="2:12">
      <c r="B2" s="82" t="s">
        <v>2023</v>
      </c>
    </row>
    <row r="3" spans="2:12">
      <c r="B3" s="81" t="s">
        <v>0</v>
      </c>
      <c r="C3" s="81" t="s">
        <v>2024</v>
      </c>
      <c r="D3" s="81" t="s">
        <v>2025</v>
      </c>
      <c r="E3" s="81" t="s">
        <v>2026</v>
      </c>
      <c r="F3" s="81" t="s">
        <v>2027</v>
      </c>
      <c r="G3" s="81" t="s">
        <v>2028</v>
      </c>
      <c r="H3" s="81" t="s">
        <v>2029</v>
      </c>
      <c r="I3" s="81" t="s">
        <v>2030</v>
      </c>
      <c r="J3" s="81" t="s">
        <v>2031</v>
      </c>
      <c r="K3" s="81" t="s">
        <v>2032</v>
      </c>
      <c r="L3" s="81" t="s">
        <v>2033</v>
      </c>
    </row>
    <row r="4" spans="2:12">
      <c r="B4" t="s">
        <v>2034</v>
      </c>
      <c r="C4" s="84" t="s">
        <v>2041</v>
      </c>
      <c r="D4" s="79">
        <v>7</v>
      </c>
      <c r="E4" s="79">
        <v>1499</v>
      </c>
      <c r="F4" s="79">
        <v>73278274906105</v>
      </c>
      <c r="G4" t="s">
        <v>2036</v>
      </c>
      <c r="H4" s="79">
        <v>30710538014</v>
      </c>
      <c r="I4" t="s">
        <v>2042</v>
      </c>
      <c r="J4" s="83">
        <v>18800</v>
      </c>
      <c r="K4" s="83">
        <v>3948</v>
      </c>
      <c r="L4" s="83">
        <v>22748</v>
      </c>
    </row>
    <row r="5" spans="2:12">
      <c r="B5" t="s">
        <v>2034</v>
      </c>
      <c r="C5" t="s">
        <v>2041</v>
      </c>
      <c r="D5" s="79">
        <v>7</v>
      </c>
      <c r="E5" s="79">
        <v>1500</v>
      </c>
      <c r="F5" s="79">
        <v>73278277007114</v>
      </c>
      <c r="G5" t="s">
        <v>2036</v>
      </c>
      <c r="H5" s="79">
        <v>30715186655</v>
      </c>
      <c r="I5" t="s">
        <v>2043</v>
      </c>
      <c r="J5" s="83">
        <v>73448.759999999995</v>
      </c>
      <c r="K5" s="83">
        <v>15424.24</v>
      </c>
      <c r="L5" s="83">
        <v>88873</v>
      </c>
    </row>
    <row r="6" spans="2:12">
      <c r="B6" t="s">
        <v>2034</v>
      </c>
      <c r="C6" t="s">
        <v>2041</v>
      </c>
      <c r="D6" s="79">
        <v>7</v>
      </c>
      <c r="E6" s="79">
        <v>1501</v>
      </c>
      <c r="F6" s="79">
        <v>73278278267476</v>
      </c>
      <c r="G6" t="s">
        <v>2036</v>
      </c>
      <c r="H6" s="79">
        <v>30710961790</v>
      </c>
      <c r="I6" t="s">
        <v>2044</v>
      </c>
      <c r="J6" s="83">
        <v>43133.88</v>
      </c>
      <c r="K6" s="83">
        <v>9058.11</v>
      </c>
      <c r="L6" s="83">
        <v>52191.99</v>
      </c>
    </row>
    <row r="7" spans="2:12">
      <c r="B7" t="s">
        <v>2034</v>
      </c>
      <c r="C7" t="s">
        <v>2041</v>
      </c>
      <c r="D7" s="79">
        <v>7</v>
      </c>
      <c r="E7" s="79">
        <v>1502</v>
      </c>
      <c r="F7" s="79">
        <v>73278280082530</v>
      </c>
      <c r="G7" t="s">
        <v>2036</v>
      </c>
      <c r="H7" s="79">
        <v>30711244383</v>
      </c>
      <c r="I7" t="s">
        <v>2045</v>
      </c>
      <c r="J7" s="83">
        <v>6375.37</v>
      </c>
      <c r="K7" s="83">
        <v>1338.83</v>
      </c>
      <c r="L7" s="83">
        <v>7714.2</v>
      </c>
    </row>
    <row r="8" spans="2:12">
      <c r="B8" t="s">
        <v>2034</v>
      </c>
      <c r="C8" t="s">
        <v>2041</v>
      </c>
      <c r="D8" s="79">
        <v>7</v>
      </c>
      <c r="E8" s="79">
        <v>1503</v>
      </c>
      <c r="F8" s="79">
        <v>73278281364368</v>
      </c>
      <c r="G8" t="s">
        <v>2036</v>
      </c>
      <c r="H8" s="79">
        <v>30645337979</v>
      </c>
      <c r="I8" t="s">
        <v>2040</v>
      </c>
      <c r="J8" s="83">
        <v>12167.57</v>
      </c>
      <c r="K8" s="83">
        <v>2555.19</v>
      </c>
      <c r="L8" s="83">
        <v>14722.76</v>
      </c>
    </row>
    <row r="9" spans="2:12">
      <c r="B9" t="s">
        <v>2034</v>
      </c>
      <c r="C9" t="s">
        <v>2041</v>
      </c>
      <c r="D9" s="79">
        <v>7</v>
      </c>
      <c r="E9" s="79">
        <v>1504</v>
      </c>
      <c r="F9" s="79">
        <v>73278281631671</v>
      </c>
      <c r="G9" t="s">
        <v>2036</v>
      </c>
      <c r="H9" s="79">
        <v>30645337979</v>
      </c>
      <c r="I9" t="s">
        <v>2040</v>
      </c>
      <c r="J9" s="83">
        <v>12167.57</v>
      </c>
      <c r="K9" s="83">
        <v>2555.19</v>
      </c>
      <c r="L9" s="83">
        <v>14722.76</v>
      </c>
    </row>
    <row r="10" spans="2:12">
      <c r="B10" t="s">
        <v>2034</v>
      </c>
      <c r="C10" t="s">
        <v>2041</v>
      </c>
      <c r="D10" s="79">
        <v>7</v>
      </c>
      <c r="E10" s="79">
        <v>1505</v>
      </c>
      <c r="F10" s="79">
        <v>73278283242810</v>
      </c>
      <c r="G10" t="s">
        <v>2036</v>
      </c>
      <c r="H10" s="79">
        <v>30546771314</v>
      </c>
      <c r="I10" t="s">
        <v>2046</v>
      </c>
      <c r="J10" s="83">
        <v>10880.99</v>
      </c>
      <c r="K10" s="83">
        <v>2285.0100000000002</v>
      </c>
      <c r="L10" s="83">
        <v>13166</v>
      </c>
    </row>
    <row r="11" spans="2:12">
      <c r="B11" t="s">
        <v>2034</v>
      </c>
      <c r="C11" t="s">
        <v>2041</v>
      </c>
      <c r="D11" s="79">
        <v>7</v>
      </c>
      <c r="E11" s="79">
        <v>1506</v>
      </c>
      <c r="F11" s="79">
        <v>73278284365998</v>
      </c>
      <c r="G11" t="s">
        <v>2036</v>
      </c>
      <c r="H11" s="79">
        <v>30713669004</v>
      </c>
      <c r="I11" t="s">
        <v>2047</v>
      </c>
      <c r="J11" s="83">
        <v>9404.9599999999991</v>
      </c>
      <c r="K11" s="83">
        <v>1975.04</v>
      </c>
      <c r="L11" s="83">
        <v>11380</v>
      </c>
    </row>
    <row r="12" spans="2:12">
      <c r="B12" t="s">
        <v>2034</v>
      </c>
      <c r="C12" t="s">
        <v>2041</v>
      </c>
      <c r="D12" s="79">
        <v>7</v>
      </c>
      <c r="E12" s="79">
        <v>1507</v>
      </c>
      <c r="F12" s="79">
        <v>73278287644369</v>
      </c>
      <c r="G12" t="s">
        <v>2036</v>
      </c>
      <c r="H12" s="79">
        <v>30707612971</v>
      </c>
      <c r="I12" t="s">
        <v>2048</v>
      </c>
      <c r="J12" s="83">
        <v>15487.6</v>
      </c>
      <c r="K12" s="83">
        <v>3252.4</v>
      </c>
      <c r="L12" s="83">
        <v>18740</v>
      </c>
    </row>
    <row r="13" spans="2:12">
      <c r="B13" t="s">
        <v>2034</v>
      </c>
      <c r="C13" t="s">
        <v>2041</v>
      </c>
      <c r="D13" s="79">
        <v>7</v>
      </c>
      <c r="E13" s="79">
        <v>1508</v>
      </c>
      <c r="F13" s="79">
        <v>73278291358712</v>
      </c>
      <c r="G13" t="s">
        <v>2036</v>
      </c>
      <c r="H13" s="79">
        <v>30657418877</v>
      </c>
      <c r="I13" t="s">
        <v>2049</v>
      </c>
      <c r="J13" s="83">
        <v>3325.53</v>
      </c>
      <c r="K13" s="83">
        <v>698.36</v>
      </c>
      <c r="L13" s="83">
        <v>4023.89</v>
      </c>
    </row>
    <row r="14" spans="2:12">
      <c r="B14" t="s">
        <v>2034</v>
      </c>
      <c r="C14" t="s">
        <v>2041</v>
      </c>
      <c r="D14" s="79">
        <v>7</v>
      </c>
      <c r="E14" s="79">
        <v>1509</v>
      </c>
      <c r="F14" s="79">
        <v>73278297768785</v>
      </c>
      <c r="G14" t="s">
        <v>2036</v>
      </c>
      <c r="H14" s="79">
        <v>30707118454</v>
      </c>
      <c r="I14" t="s">
        <v>2050</v>
      </c>
      <c r="J14" s="83">
        <v>4643.8</v>
      </c>
      <c r="K14" s="83">
        <v>975.19</v>
      </c>
      <c r="L14" s="83">
        <v>5618.99</v>
      </c>
    </row>
    <row r="15" spans="2:12">
      <c r="B15" t="s">
        <v>2051</v>
      </c>
      <c r="C15" t="s">
        <v>2041</v>
      </c>
      <c r="D15" s="79">
        <v>7</v>
      </c>
      <c r="E15" s="79">
        <v>1510</v>
      </c>
      <c r="F15" s="79">
        <v>73278417329640</v>
      </c>
      <c r="G15" t="s">
        <v>2036</v>
      </c>
      <c r="H15" s="79">
        <v>30608716390</v>
      </c>
      <c r="I15" t="s">
        <v>2053</v>
      </c>
      <c r="J15" s="83">
        <v>14545.46</v>
      </c>
      <c r="K15" s="83">
        <v>3054.55</v>
      </c>
      <c r="L15" s="83">
        <v>17600.009999999998</v>
      </c>
    </row>
    <row r="16" spans="2:12">
      <c r="B16" t="s">
        <v>2051</v>
      </c>
      <c r="C16" t="s">
        <v>2041</v>
      </c>
      <c r="D16" s="79">
        <v>7</v>
      </c>
      <c r="E16" s="79">
        <v>1511</v>
      </c>
      <c r="F16" s="79">
        <v>73278420903130</v>
      </c>
      <c r="G16" t="s">
        <v>2036</v>
      </c>
      <c r="H16" s="79">
        <v>30608716390</v>
      </c>
      <c r="I16" t="s">
        <v>2053</v>
      </c>
      <c r="J16" s="83">
        <v>16727.259999999998</v>
      </c>
      <c r="K16" s="83">
        <v>3512.72</v>
      </c>
      <c r="L16" s="83">
        <v>20239.98</v>
      </c>
    </row>
    <row r="17" spans="2:12">
      <c r="B17" t="s">
        <v>2051</v>
      </c>
      <c r="C17" t="s">
        <v>2041</v>
      </c>
      <c r="D17" s="79">
        <v>7</v>
      </c>
      <c r="E17" s="79">
        <v>1512</v>
      </c>
      <c r="F17" s="79">
        <v>73278430567286</v>
      </c>
      <c r="G17" t="s">
        <v>2036</v>
      </c>
      <c r="H17" s="79">
        <v>30709016012</v>
      </c>
      <c r="I17" t="s">
        <v>2054</v>
      </c>
      <c r="J17" s="83">
        <v>68619.8</v>
      </c>
      <c r="K17" s="83">
        <v>14410.15</v>
      </c>
      <c r="L17" s="83">
        <v>83029.95</v>
      </c>
    </row>
    <row r="18" spans="2:12">
      <c r="B18" t="s">
        <v>2051</v>
      </c>
      <c r="C18" t="s">
        <v>2041</v>
      </c>
      <c r="D18" s="79">
        <v>7</v>
      </c>
      <c r="E18" s="79">
        <v>1513</v>
      </c>
      <c r="F18" s="79">
        <v>73278472154645</v>
      </c>
      <c r="G18" t="s">
        <v>2036</v>
      </c>
      <c r="H18" s="79">
        <v>30709016012</v>
      </c>
      <c r="I18" t="s">
        <v>2054</v>
      </c>
      <c r="J18" s="83">
        <v>10041.32</v>
      </c>
      <c r="K18" s="83">
        <v>2108.6799999999998</v>
      </c>
      <c r="L18" s="83">
        <v>12150</v>
      </c>
    </row>
    <row r="19" spans="2:12">
      <c r="B19" t="s">
        <v>2055</v>
      </c>
      <c r="C19" t="s">
        <v>2041</v>
      </c>
      <c r="D19" s="79">
        <v>7</v>
      </c>
      <c r="E19" s="79">
        <v>1514</v>
      </c>
      <c r="F19" s="79">
        <v>73278536818717</v>
      </c>
      <c r="G19" t="s">
        <v>2036</v>
      </c>
      <c r="H19" s="79">
        <v>30522428163</v>
      </c>
      <c r="I19" t="s">
        <v>120</v>
      </c>
      <c r="J19" s="83">
        <v>242682</v>
      </c>
      <c r="K19" s="83">
        <v>50963.22</v>
      </c>
      <c r="L19" s="83">
        <v>293645.21999999997</v>
      </c>
    </row>
    <row r="20" spans="2:12">
      <c r="B20" t="s">
        <v>2055</v>
      </c>
      <c r="C20" t="s">
        <v>2041</v>
      </c>
      <c r="D20" s="79">
        <v>7</v>
      </c>
      <c r="E20" s="79">
        <v>1515</v>
      </c>
      <c r="F20" s="79">
        <v>73278538649090</v>
      </c>
      <c r="G20" t="s">
        <v>2036</v>
      </c>
      <c r="H20" s="79">
        <v>30522428163</v>
      </c>
      <c r="I20" t="s">
        <v>120</v>
      </c>
      <c r="J20" s="83">
        <v>20089.03</v>
      </c>
      <c r="K20" s="83">
        <v>4218.7</v>
      </c>
      <c r="L20" s="83">
        <v>24307.73</v>
      </c>
    </row>
    <row r="21" spans="2:12">
      <c r="B21" t="s">
        <v>2055</v>
      </c>
      <c r="C21" t="s">
        <v>2041</v>
      </c>
      <c r="D21" s="79">
        <v>7</v>
      </c>
      <c r="E21" s="79">
        <v>1516</v>
      </c>
      <c r="F21" s="79">
        <v>73278538954625</v>
      </c>
      <c r="G21" t="s">
        <v>2036</v>
      </c>
      <c r="H21" s="79">
        <v>30522428163</v>
      </c>
      <c r="I21" t="s">
        <v>120</v>
      </c>
      <c r="J21" s="83">
        <v>366991.4</v>
      </c>
      <c r="K21" s="83">
        <v>77068.19</v>
      </c>
      <c r="L21" s="83">
        <v>444059.59</v>
      </c>
    </row>
    <row r="22" spans="2:12">
      <c r="B22" t="s">
        <v>2055</v>
      </c>
      <c r="C22" t="s">
        <v>2041</v>
      </c>
      <c r="D22" s="79">
        <v>7</v>
      </c>
      <c r="E22" s="79">
        <v>1517</v>
      </c>
      <c r="F22" s="79">
        <v>73278548020941</v>
      </c>
      <c r="G22" t="s">
        <v>2036</v>
      </c>
      <c r="H22" s="79">
        <v>30522428163</v>
      </c>
      <c r="I22" t="s">
        <v>120</v>
      </c>
      <c r="J22" s="83">
        <v>237629.19</v>
      </c>
      <c r="K22" s="83">
        <v>49902.13</v>
      </c>
      <c r="L22" s="83">
        <v>287531.32</v>
      </c>
    </row>
    <row r="23" spans="2:12">
      <c r="B23" t="s">
        <v>2055</v>
      </c>
      <c r="C23" t="s">
        <v>2041</v>
      </c>
      <c r="D23" s="79">
        <v>7</v>
      </c>
      <c r="E23" s="79">
        <v>1518</v>
      </c>
      <c r="F23" s="79">
        <v>73278578554643</v>
      </c>
      <c r="G23" t="s">
        <v>2036</v>
      </c>
      <c r="H23" s="79">
        <v>30522428163</v>
      </c>
      <c r="I23" t="s">
        <v>120</v>
      </c>
      <c r="J23" s="83">
        <v>172466.7</v>
      </c>
      <c r="K23" s="83">
        <v>36218.01</v>
      </c>
      <c r="L23" s="83">
        <v>208684.71</v>
      </c>
    </row>
    <row r="24" spans="2:12">
      <c r="B24" t="s">
        <v>2059</v>
      </c>
      <c r="C24" t="s">
        <v>2041</v>
      </c>
      <c r="D24" s="79">
        <v>7</v>
      </c>
      <c r="E24" s="79">
        <v>1519</v>
      </c>
      <c r="F24" s="79">
        <v>73278702533787</v>
      </c>
      <c r="G24" t="s">
        <v>2036</v>
      </c>
      <c r="H24" s="79">
        <v>30522428163</v>
      </c>
      <c r="I24" t="s">
        <v>120</v>
      </c>
      <c r="J24" s="83">
        <v>237212.36</v>
      </c>
      <c r="K24" s="83">
        <v>49814.6</v>
      </c>
      <c r="L24" s="83">
        <v>287026.96000000002</v>
      </c>
    </row>
    <row r="25" spans="2:12">
      <c r="B25" t="s">
        <v>2061</v>
      </c>
      <c r="C25" t="s">
        <v>2041</v>
      </c>
      <c r="D25" s="79">
        <v>7</v>
      </c>
      <c r="E25" s="79">
        <v>1520</v>
      </c>
      <c r="F25" s="79">
        <v>73288064909721</v>
      </c>
      <c r="G25" t="s">
        <v>2036</v>
      </c>
      <c r="H25" s="79">
        <v>30683032227</v>
      </c>
      <c r="I25" t="s">
        <v>2062</v>
      </c>
      <c r="J25" s="83">
        <v>15454.54</v>
      </c>
      <c r="K25" s="83">
        <v>3245.46</v>
      </c>
      <c r="L25" s="83">
        <v>18700</v>
      </c>
    </row>
    <row r="26" spans="2:12">
      <c r="B26" t="s">
        <v>2061</v>
      </c>
      <c r="C26" t="s">
        <v>2041</v>
      </c>
      <c r="D26" s="79">
        <v>7</v>
      </c>
      <c r="E26" s="79">
        <v>1521</v>
      </c>
      <c r="F26" s="79">
        <v>73288084981992</v>
      </c>
      <c r="G26" t="s">
        <v>2036</v>
      </c>
      <c r="H26" s="79">
        <v>20224251387</v>
      </c>
      <c r="I26" t="s">
        <v>2063</v>
      </c>
      <c r="J26" s="83">
        <v>6776.86</v>
      </c>
      <c r="K26" s="83">
        <v>1423.14</v>
      </c>
      <c r="L26" s="83">
        <v>8200</v>
      </c>
    </row>
    <row r="27" spans="2:12">
      <c r="B27" t="s">
        <v>2061</v>
      </c>
      <c r="C27" t="s">
        <v>2041</v>
      </c>
      <c r="D27" s="79">
        <v>7</v>
      </c>
      <c r="E27" s="79">
        <v>1522</v>
      </c>
      <c r="F27" s="79">
        <v>73288099227365</v>
      </c>
      <c r="G27" t="s">
        <v>2036</v>
      </c>
      <c r="H27" s="79">
        <v>30683032227</v>
      </c>
      <c r="I27" t="s">
        <v>2062</v>
      </c>
      <c r="J27" s="83">
        <v>309584.55</v>
      </c>
      <c r="K27" s="83">
        <v>65012.76</v>
      </c>
      <c r="L27" s="83">
        <v>374597.31</v>
      </c>
    </row>
    <row r="28" spans="2:12">
      <c r="B28" t="s">
        <v>2061</v>
      </c>
      <c r="C28" t="s">
        <v>2041</v>
      </c>
      <c r="D28" s="79">
        <v>7</v>
      </c>
      <c r="E28" s="79">
        <v>1523</v>
      </c>
      <c r="F28" s="79">
        <v>73288099755155</v>
      </c>
      <c r="G28" t="s">
        <v>2036</v>
      </c>
      <c r="H28" s="79">
        <v>30683032227</v>
      </c>
      <c r="I28" t="s">
        <v>2062</v>
      </c>
      <c r="J28" s="83">
        <v>46186.47</v>
      </c>
      <c r="K28" s="83">
        <v>9699.16</v>
      </c>
      <c r="L28" s="83">
        <v>55885.63</v>
      </c>
    </row>
    <row r="29" spans="2:12">
      <c r="B29" t="s">
        <v>2064</v>
      </c>
      <c r="C29" t="s">
        <v>2041</v>
      </c>
      <c r="D29" s="79">
        <v>7</v>
      </c>
      <c r="E29" s="79">
        <v>1524</v>
      </c>
      <c r="F29" s="79">
        <v>73288170876939</v>
      </c>
      <c r="G29" t="s">
        <v>2036</v>
      </c>
      <c r="H29" s="79">
        <v>30608716390</v>
      </c>
      <c r="I29" t="s">
        <v>2053</v>
      </c>
      <c r="J29" s="83">
        <v>1818.18</v>
      </c>
      <c r="K29" s="83">
        <v>381.82</v>
      </c>
      <c r="L29" s="83">
        <v>2200</v>
      </c>
    </row>
    <row r="30" spans="2:12">
      <c r="B30" t="s">
        <v>2064</v>
      </c>
      <c r="C30" t="s">
        <v>2041</v>
      </c>
      <c r="D30" s="79">
        <v>7</v>
      </c>
      <c r="E30" s="79">
        <v>1525</v>
      </c>
      <c r="F30" s="79">
        <v>73288180347198</v>
      </c>
      <c r="G30" t="s">
        <v>2036</v>
      </c>
      <c r="H30" s="79">
        <v>30522428163</v>
      </c>
      <c r="I30" t="s">
        <v>120</v>
      </c>
      <c r="J30" s="83">
        <v>21638.12</v>
      </c>
      <c r="K30" s="83">
        <v>4544.01</v>
      </c>
      <c r="L30" s="83">
        <v>26182.13</v>
      </c>
    </row>
    <row r="31" spans="2:12">
      <c r="B31" t="s">
        <v>2064</v>
      </c>
      <c r="C31" t="s">
        <v>2041</v>
      </c>
      <c r="D31" s="79">
        <v>7</v>
      </c>
      <c r="E31" s="79">
        <v>1526</v>
      </c>
      <c r="F31" s="79">
        <v>73288215457532</v>
      </c>
      <c r="G31" t="s">
        <v>2036</v>
      </c>
      <c r="H31" s="79">
        <v>30522428163</v>
      </c>
      <c r="I31" t="s">
        <v>120</v>
      </c>
      <c r="J31" s="83">
        <v>178881.6</v>
      </c>
      <c r="K31" s="83">
        <v>37565.14</v>
      </c>
      <c r="L31" s="83">
        <v>216446.74</v>
      </c>
    </row>
    <row r="32" spans="2:12">
      <c r="B32" t="s">
        <v>2065</v>
      </c>
      <c r="C32" t="s">
        <v>2041</v>
      </c>
      <c r="D32" s="79">
        <v>7</v>
      </c>
      <c r="E32" s="79">
        <v>1527</v>
      </c>
      <c r="F32" s="79">
        <v>73288316043472</v>
      </c>
      <c r="G32" t="s">
        <v>2036</v>
      </c>
      <c r="H32" s="79">
        <v>30522428163</v>
      </c>
      <c r="I32" t="s">
        <v>120</v>
      </c>
      <c r="J32" s="83">
        <v>197620.2</v>
      </c>
      <c r="K32" s="83">
        <v>41500.239999999998</v>
      </c>
      <c r="L32" s="83">
        <v>239120.44</v>
      </c>
    </row>
    <row r="33" spans="2:12">
      <c r="B33" t="s">
        <v>2065</v>
      </c>
      <c r="C33" t="s">
        <v>2041</v>
      </c>
      <c r="D33" s="79">
        <v>7</v>
      </c>
      <c r="E33" s="79">
        <v>1528</v>
      </c>
      <c r="F33" s="79">
        <v>73288327447611</v>
      </c>
      <c r="G33" t="s">
        <v>2036</v>
      </c>
      <c r="H33" s="79">
        <v>30608716390</v>
      </c>
      <c r="I33" t="s">
        <v>2053</v>
      </c>
      <c r="J33" s="83">
        <v>986.37</v>
      </c>
      <c r="K33" s="83">
        <v>207.14</v>
      </c>
      <c r="L33" s="83">
        <v>1193.51</v>
      </c>
    </row>
    <row r="34" spans="2:12">
      <c r="B34" t="s">
        <v>2065</v>
      </c>
      <c r="C34" t="s">
        <v>2041</v>
      </c>
      <c r="D34" s="79">
        <v>7</v>
      </c>
      <c r="E34" s="79">
        <v>1529</v>
      </c>
      <c r="F34" s="79">
        <v>73288329572088</v>
      </c>
      <c r="G34" t="s">
        <v>2036</v>
      </c>
      <c r="H34" s="79">
        <v>30608716390</v>
      </c>
      <c r="I34" t="s">
        <v>2053</v>
      </c>
      <c r="J34" s="83">
        <v>1818.18</v>
      </c>
      <c r="K34" s="83">
        <v>381.82</v>
      </c>
      <c r="L34" s="83">
        <v>2200</v>
      </c>
    </row>
    <row r="35" spans="2:12">
      <c r="B35" t="s">
        <v>2066</v>
      </c>
      <c r="C35" t="s">
        <v>2041</v>
      </c>
      <c r="D35" s="79">
        <v>7</v>
      </c>
      <c r="E35" s="79">
        <v>1530</v>
      </c>
      <c r="F35" s="79">
        <v>73288418643349</v>
      </c>
      <c r="G35" t="s">
        <v>2036</v>
      </c>
      <c r="H35" s="79">
        <v>30606274161</v>
      </c>
      <c r="I35" t="s">
        <v>2069</v>
      </c>
      <c r="J35" s="83">
        <v>27888.1</v>
      </c>
      <c r="K35" s="83">
        <v>5856.5</v>
      </c>
      <c r="L35" s="83">
        <v>33744.6</v>
      </c>
    </row>
    <row r="36" spans="2:12">
      <c r="B36" t="s">
        <v>2070</v>
      </c>
      <c r="C36" t="s">
        <v>2041</v>
      </c>
      <c r="D36" s="79">
        <v>7</v>
      </c>
      <c r="E36" s="79">
        <v>1531</v>
      </c>
      <c r="F36" s="79">
        <v>73288536378970</v>
      </c>
      <c r="G36" t="s">
        <v>2036</v>
      </c>
      <c r="H36" s="79">
        <v>30522428163</v>
      </c>
      <c r="I36" t="s">
        <v>120</v>
      </c>
      <c r="J36" s="83">
        <v>35785.120000000003</v>
      </c>
      <c r="K36" s="83">
        <v>7514.88</v>
      </c>
      <c r="L36" s="83">
        <v>43300</v>
      </c>
    </row>
    <row r="37" spans="2:12">
      <c r="B37" t="s">
        <v>2070</v>
      </c>
      <c r="C37" t="s">
        <v>2041</v>
      </c>
      <c r="D37" s="79">
        <v>7</v>
      </c>
      <c r="E37" s="79">
        <v>1532</v>
      </c>
      <c r="F37" s="79">
        <v>73288541774542</v>
      </c>
      <c r="G37" t="s">
        <v>2036</v>
      </c>
      <c r="H37" s="79">
        <v>30522428163</v>
      </c>
      <c r="I37" t="s">
        <v>120</v>
      </c>
      <c r="J37" s="83">
        <v>32396.69</v>
      </c>
      <c r="K37" s="83">
        <v>6803.3</v>
      </c>
      <c r="L37" s="83">
        <v>39199.99</v>
      </c>
    </row>
    <row r="38" spans="2:12">
      <c r="B38" t="s">
        <v>2071</v>
      </c>
      <c r="C38" t="s">
        <v>2041</v>
      </c>
      <c r="D38" s="79">
        <v>7</v>
      </c>
      <c r="E38" s="79">
        <v>1533</v>
      </c>
      <c r="F38" s="79">
        <v>73298765867471</v>
      </c>
      <c r="G38" t="s">
        <v>2036</v>
      </c>
      <c r="H38" s="79">
        <v>30608716390</v>
      </c>
      <c r="I38" t="s">
        <v>2053</v>
      </c>
      <c r="J38" s="83">
        <v>797.94</v>
      </c>
      <c r="K38" s="83">
        <v>167.57</v>
      </c>
      <c r="L38" s="83">
        <v>965.51</v>
      </c>
    </row>
    <row r="39" spans="2:12">
      <c r="B39" t="s">
        <v>2071</v>
      </c>
      <c r="C39" t="s">
        <v>2041</v>
      </c>
      <c r="D39" s="79">
        <v>7</v>
      </c>
      <c r="E39" s="79">
        <v>1534</v>
      </c>
      <c r="F39" s="79">
        <v>73298823837128</v>
      </c>
      <c r="G39" t="s">
        <v>2036</v>
      </c>
      <c r="H39" s="79">
        <v>30715186655</v>
      </c>
      <c r="I39" t="s">
        <v>2043</v>
      </c>
      <c r="J39" s="83">
        <v>8133.55</v>
      </c>
      <c r="K39" s="83">
        <v>1708.05</v>
      </c>
      <c r="L39" s="83">
        <v>9841.6</v>
      </c>
    </row>
    <row r="40" spans="2:12">
      <c r="B40" t="s">
        <v>2072</v>
      </c>
      <c r="C40" t="s">
        <v>2041</v>
      </c>
      <c r="D40" s="79">
        <v>7</v>
      </c>
      <c r="E40" s="79">
        <v>1535</v>
      </c>
      <c r="F40" s="79">
        <v>73298913265363</v>
      </c>
      <c r="G40" t="s">
        <v>2036</v>
      </c>
      <c r="H40" s="79">
        <v>30608716390</v>
      </c>
      <c r="I40" t="s">
        <v>2053</v>
      </c>
      <c r="J40" s="83">
        <v>385.67</v>
      </c>
      <c r="K40" s="83">
        <v>80.989999999999995</v>
      </c>
      <c r="L40" s="83">
        <v>466.66</v>
      </c>
    </row>
    <row r="41" spans="2:12">
      <c r="B41" t="s">
        <v>2072</v>
      </c>
      <c r="C41" t="s">
        <v>2041</v>
      </c>
      <c r="D41" s="79">
        <v>7</v>
      </c>
      <c r="E41" s="79">
        <v>1536</v>
      </c>
      <c r="F41" s="79">
        <v>73298925779367</v>
      </c>
      <c r="G41" t="s">
        <v>2036</v>
      </c>
      <c r="H41" s="79">
        <v>30608716390</v>
      </c>
      <c r="I41" t="s">
        <v>2053</v>
      </c>
      <c r="J41" s="83">
        <v>30526.42</v>
      </c>
      <c r="K41" s="83">
        <v>6410.53</v>
      </c>
      <c r="L41" s="83">
        <v>36936.949999999997</v>
      </c>
    </row>
    <row r="42" spans="2:12">
      <c r="B42" t="s">
        <v>2074</v>
      </c>
      <c r="C42" t="s">
        <v>2041</v>
      </c>
      <c r="D42" s="79">
        <v>7</v>
      </c>
      <c r="E42" s="79">
        <v>1537</v>
      </c>
      <c r="F42" s="79">
        <v>73298132745628</v>
      </c>
      <c r="G42" t="s">
        <v>2036</v>
      </c>
      <c r="H42" s="79">
        <v>30608716390</v>
      </c>
      <c r="I42" t="s">
        <v>2053</v>
      </c>
      <c r="J42" s="83">
        <v>2600</v>
      </c>
      <c r="K42" s="83">
        <v>546</v>
      </c>
      <c r="L42" s="83">
        <v>3146</v>
      </c>
    </row>
    <row r="43" spans="2:12">
      <c r="B43" t="s">
        <v>2075</v>
      </c>
      <c r="C43" t="s">
        <v>2041</v>
      </c>
      <c r="D43" s="79">
        <v>7</v>
      </c>
      <c r="E43" s="79">
        <v>1538</v>
      </c>
      <c r="F43" s="79">
        <v>73298238282355</v>
      </c>
      <c r="G43" t="s">
        <v>2036</v>
      </c>
      <c r="H43" s="79">
        <v>30608716390</v>
      </c>
      <c r="I43" t="s">
        <v>2053</v>
      </c>
      <c r="J43" s="83">
        <v>1690.09</v>
      </c>
      <c r="K43" s="83">
        <v>354.92</v>
      </c>
      <c r="L43" s="83">
        <v>2045.01</v>
      </c>
    </row>
    <row r="44" spans="2:12">
      <c r="B44" t="s">
        <v>2076</v>
      </c>
      <c r="C44" t="s">
        <v>2041</v>
      </c>
      <c r="D44" s="79">
        <v>7</v>
      </c>
      <c r="E44" s="79">
        <v>1539</v>
      </c>
      <c r="F44" s="79">
        <v>73308508281283</v>
      </c>
      <c r="G44" t="s">
        <v>2036</v>
      </c>
      <c r="H44" s="79">
        <v>30500053522</v>
      </c>
      <c r="I44" t="s">
        <v>2077</v>
      </c>
      <c r="J44" s="83">
        <v>5407.44</v>
      </c>
      <c r="K44" s="83">
        <v>1135.56</v>
      </c>
      <c r="L44" s="83">
        <v>6543</v>
      </c>
    </row>
    <row r="45" spans="2:12">
      <c r="B45" t="s">
        <v>2076</v>
      </c>
      <c r="C45" t="s">
        <v>2041</v>
      </c>
      <c r="D45" s="79">
        <v>7</v>
      </c>
      <c r="E45" s="79">
        <v>1540</v>
      </c>
      <c r="F45" s="79">
        <v>73308508552867</v>
      </c>
      <c r="G45" t="s">
        <v>2036</v>
      </c>
      <c r="H45" s="79">
        <v>30500053522</v>
      </c>
      <c r="I45" t="s">
        <v>2077</v>
      </c>
      <c r="J45" s="83">
        <v>7933.89</v>
      </c>
      <c r="K45" s="83">
        <v>1666.12</v>
      </c>
      <c r="L45" s="83">
        <v>9600.01</v>
      </c>
    </row>
    <row r="46" spans="2:12">
      <c r="B46" t="s">
        <v>2076</v>
      </c>
      <c r="C46" t="s">
        <v>2041</v>
      </c>
      <c r="D46" s="79">
        <v>7</v>
      </c>
      <c r="E46" s="79">
        <v>1541</v>
      </c>
      <c r="F46" s="79">
        <v>73308556304211</v>
      </c>
      <c r="G46" t="s">
        <v>2036</v>
      </c>
      <c r="H46" s="79">
        <v>30608716390</v>
      </c>
      <c r="I46" t="s">
        <v>2053</v>
      </c>
      <c r="J46" s="83">
        <v>3380.17</v>
      </c>
      <c r="K46" s="83">
        <v>709.84</v>
      </c>
      <c r="L46" s="83">
        <v>4090.01</v>
      </c>
    </row>
    <row r="47" spans="2:12">
      <c r="B47" t="s">
        <v>2076</v>
      </c>
      <c r="C47" t="s">
        <v>2041</v>
      </c>
      <c r="D47" s="79">
        <v>7</v>
      </c>
      <c r="E47" s="79">
        <v>1542</v>
      </c>
      <c r="F47" s="79">
        <v>73308558010203</v>
      </c>
      <c r="G47" t="s">
        <v>2036</v>
      </c>
      <c r="H47" s="79">
        <v>30608716390</v>
      </c>
      <c r="I47" t="s">
        <v>2053</v>
      </c>
      <c r="J47" s="83">
        <v>7890.08</v>
      </c>
      <c r="K47" s="83">
        <v>1656.92</v>
      </c>
      <c r="L47" s="83">
        <v>9547</v>
      </c>
    </row>
    <row r="48" spans="2:12">
      <c r="B48" t="s">
        <v>2078</v>
      </c>
      <c r="C48" t="s">
        <v>2041</v>
      </c>
      <c r="D48" s="79">
        <v>7</v>
      </c>
      <c r="E48" s="79">
        <v>1543</v>
      </c>
      <c r="F48" s="79">
        <v>73308627807772</v>
      </c>
      <c r="G48" t="s">
        <v>2036</v>
      </c>
      <c r="H48" s="79">
        <v>30608716390</v>
      </c>
      <c r="I48" t="s">
        <v>2053</v>
      </c>
      <c r="J48" s="83">
        <v>7325.63</v>
      </c>
      <c r="K48" s="83">
        <v>1538.38</v>
      </c>
      <c r="L48" s="83">
        <v>8864.01</v>
      </c>
    </row>
    <row r="49" spans="2:12">
      <c r="B49" t="s">
        <v>2078</v>
      </c>
      <c r="C49" t="s">
        <v>2041</v>
      </c>
      <c r="D49" s="79">
        <v>7</v>
      </c>
      <c r="E49" s="79">
        <v>1544</v>
      </c>
      <c r="F49" s="79">
        <v>73308647349080</v>
      </c>
      <c r="G49" t="s">
        <v>2036</v>
      </c>
      <c r="H49" s="79">
        <v>27182477368</v>
      </c>
      <c r="I49" t="s">
        <v>2079</v>
      </c>
      <c r="J49" s="83">
        <v>42148.77</v>
      </c>
      <c r="K49" s="83">
        <v>8851.24</v>
      </c>
      <c r="L49" s="83">
        <v>51000.01</v>
      </c>
    </row>
    <row r="50" spans="2:12">
      <c r="B50" t="s">
        <v>2083</v>
      </c>
      <c r="C50" t="s">
        <v>2041</v>
      </c>
      <c r="D50" s="79">
        <v>7</v>
      </c>
      <c r="E50" s="79">
        <v>1545</v>
      </c>
      <c r="F50" s="79">
        <v>73308967340863</v>
      </c>
      <c r="G50" t="s">
        <v>2036</v>
      </c>
      <c r="H50" s="79">
        <v>27253147992</v>
      </c>
      <c r="I50" t="s">
        <v>2084</v>
      </c>
      <c r="J50" s="83">
        <v>9917.36</v>
      </c>
      <c r="K50" s="83">
        <v>2082.64</v>
      </c>
      <c r="L50" s="83">
        <v>12000</v>
      </c>
    </row>
    <row r="51" spans="2:12">
      <c r="B51" t="s">
        <v>2034</v>
      </c>
      <c r="C51" t="s">
        <v>2038</v>
      </c>
      <c r="D51" s="79">
        <v>6</v>
      </c>
      <c r="E51" s="79">
        <v>363</v>
      </c>
      <c r="F51" s="79">
        <v>73278354040940</v>
      </c>
      <c r="G51" t="s">
        <v>2036</v>
      </c>
      <c r="H51" s="79">
        <v>30522428163</v>
      </c>
      <c r="I51" t="s">
        <v>120</v>
      </c>
      <c r="J51" s="83">
        <v>4682644.62</v>
      </c>
      <c r="K51" s="83">
        <v>983355.36</v>
      </c>
      <c r="L51" s="83">
        <v>5665999.9800000004</v>
      </c>
    </row>
    <row r="52" spans="2:12">
      <c r="B52" t="s">
        <v>2051</v>
      </c>
      <c r="C52" t="s">
        <v>2038</v>
      </c>
      <c r="D52" s="79">
        <v>6</v>
      </c>
      <c r="E52" s="79">
        <v>364</v>
      </c>
      <c r="F52" s="79">
        <v>73278414263581</v>
      </c>
      <c r="G52" t="s">
        <v>2036</v>
      </c>
      <c r="H52" s="79">
        <v>30522428163</v>
      </c>
      <c r="I52" t="s">
        <v>120</v>
      </c>
      <c r="J52" s="83">
        <v>19008264.460000001</v>
      </c>
      <c r="K52" s="83">
        <v>3991735.54</v>
      </c>
      <c r="L52" s="83">
        <v>23000000</v>
      </c>
    </row>
    <row r="53" spans="2:12">
      <c r="B53" t="s">
        <v>2051</v>
      </c>
      <c r="C53" t="s">
        <v>2038</v>
      </c>
      <c r="D53" s="79">
        <v>6</v>
      </c>
      <c r="E53" s="79">
        <v>365</v>
      </c>
      <c r="F53" s="79">
        <v>73278478091892</v>
      </c>
      <c r="G53" t="s">
        <v>2036</v>
      </c>
      <c r="H53" s="79">
        <v>30522428163</v>
      </c>
      <c r="I53" t="s">
        <v>120</v>
      </c>
      <c r="J53" s="83">
        <v>5227520.66</v>
      </c>
      <c r="K53" s="83">
        <v>1097779.32</v>
      </c>
      <c r="L53" s="83">
        <v>6325299.9800000004</v>
      </c>
    </row>
    <row r="54" spans="2:12">
      <c r="B54" t="s">
        <v>2055</v>
      </c>
      <c r="C54" t="s">
        <v>2038</v>
      </c>
      <c r="D54" s="79">
        <v>6</v>
      </c>
      <c r="E54" s="79">
        <v>366</v>
      </c>
      <c r="F54" s="79">
        <v>73278543967383</v>
      </c>
      <c r="G54" t="s">
        <v>2036</v>
      </c>
      <c r="H54" s="79">
        <v>30522428163</v>
      </c>
      <c r="I54" t="s">
        <v>120</v>
      </c>
      <c r="J54" s="83">
        <v>2549182.59</v>
      </c>
      <c r="K54" s="83">
        <v>535328.34</v>
      </c>
      <c r="L54" s="83">
        <v>3084510.93</v>
      </c>
    </row>
    <row r="55" spans="2:12">
      <c r="B55" t="s">
        <v>2060</v>
      </c>
      <c r="C55" t="s">
        <v>2038</v>
      </c>
      <c r="D55" s="79">
        <v>6</v>
      </c>
      <c r="E55" s="79">
        <v>367</v>
      </c>
      <c r="F55" s="79">
        <v>73278842837980</v>
      </c>
      <c r="G55" t="s">
        <v>2036</v>
      </c>
      <c r="H55" s="79">
        <v>30522428163</v>
      </c>
      <c r="I55" t="s">
        <v>120</v>
      </c>
      <c r="J55" s="83">
        <v>4272727.28</v>
      </c>
      <c r="K55" s="83">
        <v>897272.73</v>
      </c>
      <c r="L55" s="83">
        <v>5170000.01</v>
      </c>
    </row>
    <row r="56" spans="2:12">
      <c r="B56" t="s">
        <v>2061</v>
      </c>
      <c r="C56" t="s">
        <v>2038</v>
      </c>
      <c r="D56" s="79">
        <v>6</v>
      </c>
      <c r="E56" s="79">
        <v>368</v>
      </c>
      <c r="F56" s="79">
        <v>73288104662738</v>
      </c>
      <c r="G56" t="s">
        <v>2036</v>
      </c>
      <c r="H56" s="79">
        <v>30522428163</v>
      </c>
      <c r="I56" t="s">
        <v>120</v>
      </c>
      <c r="J56" s="83">
        <v>4964710.74</v>
      </c>
      <c r="K56" s="83">
        <v>1042589.26</v>
      </c>
      <c r="L56" s="83">
        <v>6007300</v>
      </c>
    </row>
    <row r="57" spans="2:12">
      <c r="B57" t="s">
        <v>2070</v>
      </c>
      <c r="C57" t="s">
        <v>2038</v>
      </c>
      <c r="D57" s="79">
        <v>6</v>
      </c>
      <c r="E57" s="79">
        <v>369</v>
      </c>
      <c r="F57" s="79">
        <v>73288548254501</v>
      </c>
      <c r="G57" t="s">
        <v>2036</v>
      </c>
      <c r="H57" s="79">
        <v>30522428163</v>
      </c>
      <c r="I57" t="s">
        <v>120</v>
      </c>
      <c r="J57" s="83">
        <v>4223140.5</v>
      </c>
      <c r="K57" s="83">
        <v>886859.51</v>
      </c>
      <c r="L57" s="83">
        <v>5110000.01</v>
      </c>
    </row>
    <row r="58" spans="2:12">
      <c r="B58" t="s">
        <v>2070</v>
      </c>
      <c r="C58" t="s">
        <v>2038</v>
      </c>
      <c r="D58" s="79">
        <v>6</v>
      </c>
      <c r="E58" s="79">
        <v>370</v>
      </c>
      <c r="F58" s="79">
        <v>73288560244505</v>
      </c>
      <c r="G58" t="s">
        <v>2036</v>
      </c>
      <c r="H58" s="79">
        <v>30522428163</v>
      </c>
      <c r="I58" t="s">
        <v>120</v>
      </c>
      <c r="J58" s="83">
        <v>5424793.3899999997</v>
      </c>
      <c r="K58" s="83">
        <v>1139206.6100000001</v>
      </c>
      <c r="L58" s="83">
        <v>6564000</v>
      </c>
    </row>
    <row r="59" spans="2:12">
      <c r="B59" t="s">
        <v>2076</v>
      </c>
      <c r="C59" t="s">
        <v>2038</v>
      </c>
      <c r="D59" s="79">
        <v>6</v>
      </c>
      <c r="E59" s="79">
        <v>371</v>
      </c>
      <c r="F59" s="79">
        <v>73308547264357</v>
      </c>
      <c r="G59" t="s">
        <v>2036</v>
      </c>
      <c r="H59" s="79">
        <v>30522428163</v>
      </c>
      <c r="I59" t="s">
        <v>120</v>
      </c>
      <c r="J59" s="83">
        <v>1758553.73</v>
      </c>
      <c r="K59" s="83">
        <v>369296.29</v>
      </c>
      <c r="L59" s="83">
        <v>2127850.02</v>
      </c>
    </row>
    <row r="60" spans="2:12">
      <c r="B60" t="s">
        <v>2055</v>
      </c>
      <c r="C60" t="s">
        <v>2057</v>
      </c>
      <c r="D60" s="79">
        <v>6</v>
      </c>
      <c r="E60" s="79">
        <v>40</v>
      </c>
      <c r="F60" s="79">
        <v>73278541218236</v>
      </c>
      <c r="G60" t="s">
        <v>2036</v>
      </c>
      <c r="H60" s="79">
        <v>30522428163</v>
      </c>
      <c r="I60" t="s">
        <v>120</v>
      </c>
      <c r="J60" s="83">
        <v>-358677.69</v>
      </c>
      <c r="K60" s="83">
        <v>-75322.31</v>
      </c>
      <c r="L60" s="83">
        <v>434000</v>
      </c>
    </row>
    <row r="61" spans="2:12">
      <c r="B61" t="s">
        <v>2059</v>
      </c>
      <c r="C61" t="s">
        <v>2057</v>
      </c>
      <c r="D61" s="79">
        <v>6</v>
      </c>
      <c r="E61" s="79">
        <v>41</v>
      </c>
      <c r="F61" s="79">
        <v>73278694912354</v>
      </c>
      <c r="G61" t="s">
        <v>2036</v>
      </c>
      <c r="H61" s="79">
        <v>30522428163</v>
      </c>
      <c r="I61" t="s">
        <v>120</v>
      </c>
      <c r="J61" s="83">
        <v>-523262.6</v>
      </c>
      <c r="K61" s="83">
        <v>-109885.15</v>
      </c>
      <c r="L61" s="83">
        <v>633147.75</v>
      </c>
    </row>
    <row r="62" spans="2:12">
      <c r="B62" t="s">
        <v>2034</v>
      </c>
      <c r="C62" t="s">
        <v>2039</v>
      </c>
      <c r="D62" s="79">
        <v>7</v>
      </c>
      <c r="E62" s="79">
        <v>95</v>
      </c>
      <c r="F62" s="79">
        <v>73278281492825</v>
      </c>
      <c r="G62" t="s">
        <v>2036</v>
      </c>
      <c r="H62" s="79">
        <v>30645337979</v>
      </c>
      <c r="I62" t="s">
        <v>2040</v>
      </c>
      <c r="J62" s="83">
        <v>-12167.57</v>
      </c>
      <c r="K62" s="83">
        <v>-2555.19</v>
      </c>
      <c r="L62" s="83">
        <v>14722.76</v>
      </c>
    </row>
    <row r="63" spans="2:12">
      <c r="B63" t="s">
        <v>2051</v>
      </c>
      <c r="C63" t="s">
        <v>2039</v>
      </c>
      <c r="D63" s="79">
        <v>7</v>
      </c>
      <c r="E63" s="79">
        <v>96</v>
      </c>
      <c r="F63" s="79">
        <v>73278452699485</v>
      </c>
      <c r="G63" t="s">
        <v>2036</v>
      </c>
      <c r="H63" s="79">
        <v>30522428163</v>
      </c>
      <c r="I63" t="s">
        <v>120</v>
      </c>
      <c r="J63" s="83">
        <v>-4682644.62</v>
      </c>
      <c r="K63" s="83">
        <v>-983355.36</v>
      </c>
      <c r="L63" s="83">
        <v>5665999.9800000004</v>
      </c>
    </row>
    <row r="64" spans="2:12">
      <c r="B64" t="s">
        <v>2055</v>
      </c>
      <c r="C64" t="s">
        <v>2039</v>
      </c>
      <c r="D64" s="79">
        <v>7</v>
      </c>
      <c r="E64" s="79">
        <v>97</v>
      </c>
      <c r="F64" s="79">
        <v>73278543322431</v>
      </c>
      <c r="G64" t="s">
        <v>2036</v>
      </c>
      <c r="H64" s="79">
        <v>30522428163</v>
      </c>
      <c r="I64" t="s">
        <v>120</v>
      </c>
      <c r="J64" s="83">
        <v>-153930.99</v>
      </c>
      <c r="K64" s="83">
        <v>-32325.51</v>
      </c>
      <c r="L64" s="83">
        <v>186256.5</v>
      </c>
    </row>
    <row r="65" spans="2:12">
      <c r="B65" t="s">
        <v>2070</v>
      </c>
      <c r="C65" t="s">
        <v>2039</v>
      </c>
      <c r="D65" s="79">
        <v>7</v>
      </c>
      <c r="E65" s="79">
        <v>98</v>
      </c>
      <c r="F65" s="79">
        <v>73288541628670</v>
      </c>
      <c r="G65" t="s">
        <v>2036</v>
      </c>
      <c r="H65" s="79">
        <v>30522428163</v>
      </c>
      <c r="I65" t="s">
        <v>120</v>
      </c>
      <c r="J65" s="83">
        <v>-35785.120000000003</v>
      </c>
      <c r="K65" s="83">
        <v>-7514.88</v>
      </c>
      <c r="L65" s="83">
        <v>43300</v>
      </c>
    </row>
    <row r="66" spans="2:12">
      <c r="D66" s="79"/>
      <c r="E66" s="79"/>
      <c r="F66" s="79"/>
      <c r="H66" s="79"/>
      <c r="J66" s="86">
        <f>SUM(J4:J65)</f>
        <v>48946881.920000009</v>
      </c>
      <c r="K66" s="86">
        <f t="shared" ref="K66:L66" si="0">SUM(K4:K65)</f>
        <v>10278845.199999997</v>
      </c>
      <c r="L66" s="86">
        <f t="shared" si="0"/>
        <v>73180581.100000009</v>
      </c>
    </row>
    <row r="67" spans="2:12">
      <c r="D67" s="79"/>
      <c r="E67" s="79"/>
      <c r="F67" s="79"/>
      <c r="H67" s="79"/>
      <c r="J67" s="80"/>
      <c r="K67" s="80"/>
      <c r="L67" s="80"/>
    </row>
    <row r="68" spans="2:12">
      <c r="D68" s="79"/>
      <c r="E68" s="79"/>
      <c r="F68" s="79"/>
      <c r="H68" s="79"/>
      <c r="J68" s="80"/>
      <c r="K68" s="80"/>
      <c r="L68" s="80"/>
    </row>
    <row r="69" spans="2:12">
      <c r="D69" s="79"/>
      <c r="E69" s="79"/>
      <c r="F69" s="79"/>
      <c r="H69" s="79"/>
      <c r="J69" s="80"/>
      <c r="K69" s="80"/>
      <c r="L69" s="80"/>
    </row>
    <row r="70" spans="2:12">
      <c r="B70" s="82" t="s">
        <v>2022</v>
      </c>
      <c r="D70" s="79"/>
      <c r="E70" s="79"/>
      <c r="F70" s="79"/>
      <c r="H70" s="79"/>
      <c r="J70" s="80"/>
      <c r="K70" s="80"/>
      <c r="L70" s="80"/>
    </row>
    <row r="71" spans="2:12">
      <c r="B71" s="81" t="s">
        <v>0</v>
      </c>
      <c r="C71" s="81" t="s">
        <v>2024</v>
      </c>
      <c r="D71" s="81" t="s">
        <v>2025</v>
      </c>
      <c r="E71" s="81" t="s">
        <v>2026</v>
      </c>
      <c r="F71" s="81" t="s">
        <v>2027</v>
      </c>
      <c r="G71" s="81" t="s">
        <v>2028</v>
      </c>
      <c r="H71" s="81" t="s">
        <v>2029</v>
      </c>
      <c r="I71" s="81" t="s">
        <v>2030</v>
      </c>
      <c r="J71" s="81" t="s">
        <v>2031</v>
      </c>
      <c r="K71" s="81" t="s">
        <v>2032</v>
      </c>
      <c r="L71" s="81" t="s">
        <v>2033</v>
      </c>
    </row>
    <row r="72" spans="2:12">
      <c r="B72" t="s">
        <v>2034</v>
      </c>
      <c r="C72" t="s">
        <v>2035</v>
      </c>
      <c r="D72" s="79">
        <v>5</v>
      </c>
      <c r="E72" s="79">
        <v>8258</v>
      </c>
      <c r="F72" s="79">
        <v>73278276179919</v>
      </c>
      <c r="G72" s="79">
        <v>99</v>
      </c>
      <c r="H72" s="79">
        <v>0</v>
      </c>
      <c r="J72" s="83">
        <v>12066.12</v>
      </c>
      <c r="K72" s="83">
        <v>2533.88</v>
      </c>
      <c r="L72" s="83">
        <v>14600</v>
      </c>
    </row>
    <row r="73" spans="2:12">
      <c r="B73" t="s">
        <v>2034</v>
      </c>
      <c r="C73" t="s">
        <v>2035</v>
      </c>
      <c r="D73" s="79">
        <v>5</v>
      </c>
      <c r="E73" s="79">
        <v>8259</v>
      </c>
      <c r="F73" s="79">
        <v>73278277608248</v>
      </c>
      <c r="G73" s="79">
        <v>99</v>
      </c>
      <c r="H73" s="79">
        <v>0</v>
      </c>
      <c r="J73" s="83">
        <v>6776.86</v>
      </c>
      <c r="K73" s="83">
        <v>1423.14</v>
      </c>
      <c r="L73" s="83">
        <v>8200</v>
      </c>
    </row>
    <row r="74" spans="2:12">
      <c r="B74" t="s">
        <v>2034</v>
      </c>
      <c r="C74" t="s">
        <v>2035</v>
      </c>
      <c r="D74" s="79">
        <v>5</v>
      </c>
      <c r="E74" s="79">
        <v>8260</v>
      </c>
      <c r="F74" s="79">
        <v>73278279332030</v>
      </c>
      <c r="G74" s="79">
        <v>99</v>
      </c>
      <c r="H74" s="79">
        <v>0</v>
      </c>
      <c r="J74" s="83">
        <v>13388.43</v>
      </c>
      <c r="K74" s="83">
        <v>2811.57</v>
      </c>
      <c r="L74" s="83">
        <v>16200</v>
      </c>
    </row>
    <row r="75" spans="2:12">
      <c r="B75" t="s">
        <v>2034</v>
      </c>
      <c r="C75" t="s">
        <v>2035</v>
      </c>
      <c r="D75" s="79">
        <v>5</v>
      </c>
      <c r="E75" s="79">
        <v>8261</v>
      </c>
      <c r="F75" s="79">
        <v>73278285804178</v>
      </c>
      <c r="G75" s="79">
        <v>99</v>
      </c>
      <c r="H75" s="79">
        <v>0</v>
      </c>
      <c r="J75" s="83">
        <v>3966.94</v>
      </c>
      <c r="K75" s="83">
        <v>833.06</v>
      </c>
      <c r="L75" s="83">
        <v>4800</v>
      </c>
    </row>
    <row r="76" spans="2:12">
      <c r="B76" t="s">
        <v>2034</v>
      </c>
      <c r="C76" t="s">
        <v>2035</v>
      </c>
      <c r="D76" s="79">
        <v>5</v>
      </c>
      <c r="E76" s="79">
        <v>8262</v>
      </c>
      <c r="F76" s="79">
        <v>73278290711419</v>
      </c>
      <c r="G76" s="79">
        <v>99</v>
      </c>
      <c r="H76" s="79">
        <v>0</v>
      </c>
      <c r="J76" s="83">
        <v>7024.79</v>
      </c>
      <c r="K76" s="83">
        <v>1475.21</v>
      </c>
      <c r="L76" s="83">
        <v>8500</v>
      </c>
    </row>
    <row r="77" spans="2:12">
      <c r="B77" t="s">
        <v>2034</v>
      </c>
      <c r="C77" t="s">
        <v>2035</v>
      </c>
      <c r="D77" s="79">
        <v>5</v>
      </c>
      <c r="E77" s="79">
        <v>8263</v>
      </c>
      <c r="F77" s="79">
        <v>73278299641494</v>
      </c>
      <c r="G77" s="79">
        <v>99</v>
      </c>
      <c r="H77" s="79">
        <v>0</v>
      </c>
      <c r="J77" s="83">
        <v>2727.27</v>
      </c>
      <c r="K77" s="83">
        <v>572.73</v>
      </c>
      <c r="L77" s="83">
        <v>3300</v>
      </c>
    </row>
    <row r="78" spans="2:12">
      <c r="B78" t="s">
        <v>2034</v>
      </c>
      <c r="C78" t="s">
        <v>2035</v>
      </c>
      <c r="D78" s="79">
        <v>5</v>
      </c>
      <c r="E78" s="79">
        <v>8264</v>
      </c>
      <c r="F78" s="79">
        <v>73278311452775</v>
      </c>
      <c r="G78" s="79">
        <v>99</v>
      </c>
      <c r="H78" s="79">
        <v>0</v>
      </c>
      <c r="J78" s="83">
        <v>7024.79</v>
      </c>
      <c r="K78" s="83">
        <v>1475.21</v>
      </c>
      <c r="L78" s="83">
        <v>8500</v>
      </c>
    </row>
    <row r="79" spans="2:12">
      <c r="B79" t="s">
        <v>2034</v>
      </c>
      <c r="C79" t="s">
        <v>2035</v>
      </c>
      <c r="D79" s="79">
        <v>5</v>
      </c>
      <c r="E79" s="79">
        <v>8265</v>
      </c>
      <c r="F79" s="79">
        <v>73278318529900</v>
      </c>
      <c r="G79" s="79">
        <v>99</v>
      </c>
      <c r="H79" s="79">
        <v>0</v>
      </c>
      <c r="J79" s="83">
        <v>4462.8100000000004</v>
      </c>
      <c r="K79" s="83">
        <v>937.19</v>
      </c>
      <c r="L79" s="83">
        <v>5400</v>
      </c>
    </row>
    <row r="80" spans="2:12">
      <c r="B80" t="s">
        <v>2034</v>
      </c>
      <c r="C80" t="s">
        <v>2035</v>
      </c>
      <c r="D80" s="79">
        <v>5</v>
      </c>
      <c r="E80" s="79">
        <v>8266</v>
      </c>
      <c r="F80" s="79">
        <v>73278329529163</v>
      </c>
      <c r="G80" s="79">
        <v>99</v>
      </c>
      <c r="H80" s="79">
        <v>0</v>
      </c>
      <c r="J80" s="83">
        <v>3347.11</v>
      </c>
      <c r="K80" s="83">
        <v>702.89</v>
      </c>
      <c r="L80" s="83">
        <v>4050</v>
      </c>
    </row>
    <row r="81" spans="2:12">
      <c r="B81" t="s">
        <v>2051</v>
      </c>
      <c r="C81" t="s">
        <v>2035</v>
      </c>
      <c r="D81" s="79">
        <v>5</v>
      </c>
      <c r="E81" s="79">
        <v>8267</v>
      </c>
      <c r="F81" s="79">
        <v>73278410316472</v>
      </c>
      <c r="G81" s="79">
        <v>99</v>
      </c>
      <c r="H81" s="79">
        <v>0</v>
      </c>
      <c r="J81" s="83">
        <v>3636.36</v>
      </c>
      <c r="K81" s="83">
        <v>763.64</v>
      </c>
      <c r="L81" s="83">
        <v>4400</v>
      </c>
    </row>
    <row r="82" spans="2:12">
      <c r="B82" t="s">
        <v>2051</v>
      </c>
      <c r="C82" t="s">
        <v>2035</v>
      </c>
      <c r="D82" s="79">
        <v>5</v>
      </c>
      <c r="E82" s="79">
        <v>8268</v>
      </c>
      <c r="F82" s="79">
        <v>73278412039867</v>
      </c>
      <c r="G82" s="79">
        <v>99</v>
      </c>
      <c r="H82" s="79">
        <v>0</v>
      </c>
      <c r="J82" s="83">
        <v>3305.79</v>
      </c>
      <c r="K82" s="83">
        <v>694.21</v>
      </c>
      <c r="L82" s="83">
        <v>4000</v>
      </c>
    </row>
    <row r="83" spans="2:12">
      <c r="B83" t="s">
        <v>2051</v>
      </c>
      <c r="C83" t="s">
        <v>2035</v>
      </c>
      <c r="D83" s="79">
        <v>5</v>
      </c>
      <c r="E83" s="79">
        <v>8269</v>
      </c>
      <c r="F83" s="79">
        <v>73278433260715</v>
      </c>
      <c r="G83" s="79">
        <v>99</v>
      </c>
      <c r="H83" s="79">
        <v>0</v>
      </c>
      <c r="J83" s="83">
        <v>3388.43</v>
      </c>
      <c r="K83" s="83">
        <v>711.57</v>
      </c>
      <c r="L83" s="83">
        <v>4100</v>
      </c>
    </row>
    <row r="84" spans="2:12">
      <c r="B84" t="s">
        <v>2051</v>
      </c>
      <c r="C84" t="s">
        <v>2035</v>
      </c>
      <c r="D84" s="79">
        <v>5</v>
      </c>
      <c r="E84" s="79">
        <v>8270</v>
      </c>
      <c r="F84" s="79">
        <v>73278437347246</v>
      </c>
      <c r="G84" s="79">
        <v>99</v>
      </c>
      <c r="H84" s="79">
        <v>0</v>
      </c>
      <c r="J84" s="83">
        <v>12066.12</v>
      </c>
      <c r="K84" s="83">
        <v>2533.88</v>
      </c>
      <c r="L84" s="83">
        <v>14600</v>
      </c>
    </row>
    <row r="85" spans="2:12">
      <c r="B85" t="s">
        <v>2051</v>
      </c>
      <c r="C85" t="s">
        <v>2035</v>
      </c>
      <c r="D85" s="79">
        <v>5</v>
      </c>
      <c r="E85" s="79">
        <v>8271</v>
      </c>
      <c r="F85" s="79">
        <v>73278439785940</v>
      </c>
      <c r="G85" s="79">
        <v>99</v>
      </c>
      <c r="H85" s="79">
        <v>0</v>
      </c>
      <c r="J85" s="83">
        <v>2644.63</v>
      </c>
      <c r="K85" s="83">
        <v>555.37</v>
      </c>
      <c r="L85" s="83">
        <v>3200</v>
      </c>
    </row>
    <row r="86" spans="2:12">
      <c r="B86" t="s">
        <v>2051</v>
      </c>
      <c r="C86" t="s">
        <v>2035</v>
      </c>
      <c r="D86" s="79">
        <v>5</v>
      </c>
      <c r="E86" s="79">
        <v>8272</v>
      </c>
      <c r="F86" s="79">
        <v>73278458118363</v>
      </c>
      <c r="G86" s="79">
        <v>99</v>
      </c>
      <c r="H86" s="79">
        <v>0</v>
      </c>
      <c r="J86" s="83">
        <v>11570.25</v>
      </c>
      <c r="K86" s="83">
        <v>2429.75</v>
      </c>
      <c r="L86" s="83">
        <v>14000</v>
      </c>
    </row>
    <row r="87" spans="2:12">
      <c r="B87" t="s">
        <v>2051</v>
      </c>
      <c r="C87" t="s">
        <v>2035</v>
      </c>
      <c r="D87" s="79">
        <v>5</v>
      </c>
      <c r="E87" s="79">
        <v>8273</v>
      </c>
      <c r="F87" s="79">
        <v>73278462198028</v>
      </c>
      <c r="G87" s="79">
        <v>99</v>
      </c>
      <c r="H87" s="79">
        <v>0</v>
      </c>
      <c r="J87" s="83">
        <v>5785.12</v>
      </c>
      <c r="K87" s="83">
        <v>1214.8800000000001</v>
      </c>
      <c r="L87" s="83">
        <v>7000</v>
      </c>
    </row>
    <row r="88" spans="2:12">
      <c r="B88" t="s">
        <v>2051</v>
      </c>
      <c r="C88" t="s">
        <v>2035</v>
      </c>
      <c r="D88" s="79">
        <v>5</v>
      </c>
      <c r="E88" s="79">
        <v>8274</v>
      </c>
      <c r="F88" s="79">
        <v>73278464153476</v>
      </c>
      <c r="G88" s="79">
        <v>99</v>
      </c>
      <c r="H88" s="79">
        <v>0</v>
      </c>
      <c r="J88" s="83">
        <v>2809.92</v>
      </c>
      <c r="K88" s="83">
        <v>590.08000000000004</v>
      </c>
      <c r="L88" s="83">
        <v>3400</v>
      </c>
    </row>
    <row r="89" spans="2:12">
      <c r="B89" t="s">
        <v>2051</v>
      </c>
      <c r="C89" t="s">
        <v>2035</v>
      </c>
      <c r="D89" s="79">
        <v>5</v>
      </c>
      <c r="E89" s="79">
        <v>8275</v>
      </c>
      <c r="F89" s="79">
        <v>73278468596795</v>
      </c>
      <c r="G89" s="79">
        <v>99</v>
      </c>
      <c r="H89" s="79">
        <v>0</v>
      </c>
      <c r="J89" s="83">
        <v>9090.91</v>
      </c>
      <c r="K89" s="83">
        <v>1909.09</v>
      </c>
      <c r="L89" s="83">
        <v>11000</v>
      </c>
    </row>
    <row r="90" spans="2:12">
      <c r="B90" t="s">
        <v>2051</v>
      </c>
      <c r="C90" t="s">
        <v>2035</v>
      </c>
      <c r="D90" s="79">
        <v>5</v>
      </c>
      <c r="E90" s="79">
        <v>8276</v>
      </c>
      <c r="F90" s="79">
        <v>73278476486544</v>
      </c>
      <c r="G90" s="79">
        <v>99</v>
      </c>
      <c r="H90" s="79">
        <v>0</v>
      </c>
      <c r="J90" s="83">
        <v>2727.27</v>
      </c>
      <c r="K90" s="83">
        <v>572.73</v>
      </c>
      <c r="L90" s="83">
        <v>3300</v>
      </c>
    </row>
    <row r="91" spans="2:12">
      <c r="B91" t="s">
        <v>2055</v>
      </c>
      <c r="C91" t="s">
        <v>2035</v>
      </c>
      <c r="D91" s="79">
        <v>5</v>
      </c>
      <c r="E91" s="79">
        <v>8277</v>
      </c>
      <c r="F91" s="79">
        <v>73278532757893</v>
      </c>
      <c r="G91" s="79">
        <v>99</v>
      </c>
      <c r="H91" s="79">
        <v>0</v>
      </c>
      <c r="J91" s="83">
        <v>13429.75</v>
      </c>
      <c r="K91" s="83">
        <v>2820.25</v>
      </c>
      <c r="L91" s="83">
        <v>16250</v>
      </c>
    </row>
    <row r="92" spans="2:12">
      <c r="B92" t="s">
        <v>2055</v>
      </c>
      <c r="C92" t="s">
        <v>2035</v>
      </c>
      <c r="D92" s="79">
        <v>5</v>
      </c>
      <c r="E92" s="79">
        <v>8278</v>
      </c>
      <c r="F92" s="79">
        <v>73278548289484</v>
      </c>
      <c r="G92" s="79">
        <v>99</v>
      </c>
      <c r="H92" s="79">
        <v>0</v>
      </c>
      <c r="J92" s="83">
        <v>13553.72</v>
      </c>
      <c r="K92" s="83">
        <v>2846.28</v>
      </c>
      <c r="L92" s="83">
        <v>16400</v>
      </c>
    </row>
    <row r="93" spans="2:12">
      <c r="B93" t="s">
        <v>2055</v>
      </c>
      <c r="C93" t="s">
        <v>2035</v>
      </c>
      <c r="D93" s="79">
        <v>5</v>
      </c>
      <c r="E93" s="79">
        <v>8279</v>
      </c>
      <c r="F93" s="79">
        <v>73278557817165</v>
      </c>
      <c r="G93" s="79">
        <v>99</v>
      </c>
      <c r="H93" s="79">
        <v>0</v>
      </c>
      <c r="J93" s="83">
        <v>11363.64</v>
      </c>
      <c r="K93" s="83">
        <v>2386.36</v>
      </c>
      <c r="L93" s="83">
        <v>13750</v>
      </c>
    </row>
    <row r="94" spans="2:12">
      <c r="B94" t="s">
        <v>2055</v>
      </c>
      <c r="C94" t="s">
        <v>2035</v>
      </c>
      <c r="D94" s="79">
        <v>5</v>
      </c>
      <c r="E94" s="79">
        <v>8280</v>
      </c>
      <c r="F94" s="79">
        <v>73278561935076</v>
      </c>
      <c r="G94" s="79">
        <v>99</v>
      </c>
      <c r="H94" s="79">
        <v>0</v>
      </c>
      <c r="J94" s="83">
        <v>3388.43</v>
      </c>
      <c r="K94" s="83">
        <v>711.57</v>
      </c>
      <c r="L94" s="83">
        <v>4100</v>
      </c>
    </row>
    <row r="95" spans="2:12">
      <c r="B95" t="s">
        <v>2055</v>
      </c>
      <c r="C95" t="s">
        <v>2035</v>
      </c>
      <c r="D95" s="79">
        <v>5</v>
      </c>
      <c r="E95" s="79">
        <v>8281</v>
      </c>
      <c r="F95" s="79">
        <v>73278562847897</v>
      </c>
      <c r="G95" t="s">
        <v>2052</v>
      </c>
      <c r="H95" s="79">
        <v>33111382</v>
      </c>
      <c r="J95" s="83">
        <v>6776.86</v>
      </c>
      <c r="K95" s="83">
        <v>1423.14</v>
      </c>
      <c r="L95" s="83">
        <v>8200</v>
      </c>
    </row>
    <row r="96" spans="2:12">
      <c r="B96" t="s">
        <v>2055</v>
      </c>
      <c r="C96" t="s">
        <v>2035</v>
      </c>
      <c r="D96" s="79">
        <v>5</v>
      </c>
      <c r="E96" s="79">
        <v>8282</v>
      </c>
      <c r="F96" s="79">
        <v>73278566923958</v>
      </c>
      <c r="G96" s="79">
        <v>99</v>
      </c>
      <c r="H96" s="79">
        <v>0</v>
      </c>
      <c r="J96" s="83">
        <v>8677.69</v>
      </c>
      <c r="K96" s="83">
        <v>1822.31</v>
      </c>
      <c r="L96" s="83">
        <v>10500</v>
      </c>
    </row>
    <row r="97" spans="2:12">
      <c r="B97" t="s">
        <v>2055</v>
      </c>
      <c r="C97" t="s">
        <v>2035</v>
      </c>
      <c r="D97" s="79">
        <v>5</v>
      </c>
      <c r="E97" s="79">
        <v>8283</v>
      </c>
      <c r="F97" s="79">
        <v>73278569878247</v>
      </c>
      <c r="G97" s="79">
        <v>99</v>
      </c>
      <c r="H97" s="79">
        <v>0</v>
      </c>
      <c r="J97" s="83">
        <v>3140.5</v>
      </c>
      <c r="K97" s="83">
        <v>659.5</v>
      </c>
      <c r="L97" s="83">
        <v>3800</v>
      </c>
    </row>
    <row r="98" spans="2:12">
      <c r="B98" t="s">
        <v>2055</v>
      </c>
      <c r="C98" t="s">
        <v>2035</v>
      </c>
      <c r="D98" s="79">
        <v>5</v>
      </c>
      <c r="E98" s="79">
        <v>8284</v>
      </c>
      <c r="F98" s="79">
        <v>73278572749119</v>
      </c>
      <c r="G98" s="79">
        <v>99</v>
      </c>
      <c r="H98" s="79">
        <v>0</v>
      </c>
      <c r="J98" s="83">
        <v>2892.56</v>
      </c>
      <c r="K98" s="83">
        <v>607.44000000000005</v>
      </c>
      <c r="L98" s="83">
        <v>3500</v>
      </c>
    </row>
    <row r="99" spans="2:12">
      <c r="B99" t="s">
        <v>2055</v>
      </c>
      <c r="C99" t="s">
        <v>2035</v>
      </c>
      <c r="D99" s="79">
        <v>5</v>
      </c>
      <c r="E99" s="79">
        <v>8285</v>
      </c>
      <c r="F99" s="79">
        <v>73278574096313</v>
      </c>
      <c r="G99" s="79">
        <v>99</v>
      </c>
      <c r="H99" s="79">
        <v>0</v>
      </c>
      <c r="J99" s="83">
        <v>19297.52</v>
      </c>
      <c r="K99" s="83">
        <v>4052.48</v>
      </c>
      <c r="L99" s="83">
        <v>23350</v>
      </c>
    </row>
    <row r="100" spans="2:12">
      <c r="B100" t="s">
        <v>2055</v>
      </c>
      <c r="C100" t="s">
        <v>2035</v>
      </c>
      <c r="D100" s="79">
        <v>5</v>
      </c>
      <c r="E100" s="79">
        <v>8286</v>
      </c>
      <c r="F100" s="79">
        <v>73278579434120</v>
      </c>
      <c r="G100" s="79">
        <v>99</v>
      </c>
      <c r="H100" s="79">
        <v>0</v>
      </c>
      <c r="J100" s="83">
        <v>6033.06</v>
      </c>
      <c r="K100" s="83">
        <v>1266.94</v>
      </c>
      <c r="L100" s="83">
        <v>7300</v>
      </c>
    </row>
    <row r="101" spans="2:12">
      <c r="B101" t="s">
        <v>2055</v>
      </c>
      <c r="C101" t="s">
        <v>2035</v>
      </c>
      <c r="D101" s="79">
        <v>5</v>
      </c>
      <c r="E101" s="79">
        <v>8287</v>
      </c>
      <c r="F101" s="79">
        <v>73278586826310</v>
      </c>
      <c r="G101" t="s">
        <v>2052</v>
      </c>
      <c r="H101" s="79">
        <v>46274672</v>
      </c>
      <c r="J101" s="83">
        <v>12066.12</v>
      </c>
      <c r="K101" s="83">
        <v>2533.88</v>
      </c>
      <c r="L101" s="83">
        <v>14600</v>
      </c>
    </row>
    <row r="102" spans="2:12">
      <c r="B102" t="s">
        <v>2055</v>
      </c>
      <c r="C102" t="s">
        <v>2035</v>
      </c>
      <c r="D102" s="79">
        <v>5</v>
      </c>
      <c r="E102" s="79">
        <v>8288</v>
      </c>
      <c r="F102" s="79">
        <v>73278601243328</v>
      </c>
      <c r="G102" s="79">
        <v>99</v>
      </c>
      <c r="H102" s="79">
        <v>0</v>
      </c>
      <c r="J102" s="83">
        <v>35041.32</v>
      </c>
      <c r="K102" s="83">
        <v>7358.68</v>
      </c>
      <c r="L102" s="83">
        <v>42400</v>
      </c>
    </row>
    <row r="103" spans="2:12">
      <c r="B103" t="s">
        <v>2059</v>
      </c>
      <c r="C103" t="s">
        <v>2035</v>
      </c>
      <c r="D103" s="79">
        <v>5</v>
      </c>
      <c r="E103" s="79">
        <v>8289</v>
      </c>
      <c r="F103" s="79">
        <v>73278655390821</v>
      </c>
      <c r="G103" s="79">
        <v>99</v>
      </c>
      <c r="H103" s="79">
        <v>0</v>
      </c>
      <c r="J103" s="83">
        <v>2727.27</v>
      </c>
      <c r="K103" s="83">
        <v>572.73</v>
      </c>
      <c r="L103" s="83">
        <v>3300</v>
      </c>
    </row>
    <row r="104" spans="2:12">
      <c r="B104" t="s">
        <v>2059</v>
      </c>
      <c r="C104" t="s">
        <v>2035</v>
      </c>
      <c r="D104" s="79">
        <v>5</v>
      </c>
      <c r="E104" s="79">
        <v>8290</v>
      </c>
      <c r="F104" s="79">
        <v>73278658528883</v>
      </c>
      <c r="G104" t="s">
        <v>2052</v>
      </c>
      <c r="H104" s="79">
        <v>8573316</v>
      </c>
      <c r="J104" s="83">
        <v>4545.45</v>
      </c>
      <c r="K104" s="83">
        <v>954.55</v>
      </c>
      <c r="L104" s="83">
        <v>5500</v>
      </c>
    </row>
    <row r="105" spans="2:12">
      <c r="B105" t="s">
        <v>2059</v>
      </c>
      <c r="C105" t="s">
        <v>2035</v>
      </c>
      <c r="D105" s="79">
        <v>5</v>
      </c>
      <c r="E105" s="79">
        <v>8291</v>
      </c>
      <c r="F105" s="79">
        <v>73278669579089</v>
      </c>
      <c r="G105" s="79">
        <v>99</v>
      </c>
      <c r="H105" s="79">
        <v>0</v>
      </c>
      <c r="J105" s="83">
        <v>7851.24</v>
      </c>
      <c r="K105" s="83">
        <v>1648.76</v>
      </c>
      <c r="L105" s="83">
        <v>9500</v>
      </c>
    </row>
    <row r="106" spans="2:12">
      <c r="B106" t="s">
        <v>2059</v>
      </c>
      <c r="C106" t="s">
        <v>2035</v>
      </c>
      <c r="D106" s="79">
        <v>5</v>
      </c>
      <c r="E106" s="79">
        <v>8292</v>
      </c>
      <c r="F106" s="79">
        <v>73278673240039</v>
      </c>
      <c r="G106" s="79">
        <v>99</v>
      </c>
      <c r="H106" s="79">
        <v>0</v>
      </c>
      <c r="J106" s="83">
        <v>7892.56</v>
      </c>
      <c r="K106" s="83">
        <v>1657.44</v>
      </c>
      <c r="L106" s="83">
        <v>9550</v>
      </c>
    </row>
    <row r="107" spans="2:12">
      <c r="B107" t="s">
        <v>2059</v>
      </c>
      <c r="C107" t="s">
        <v>2035</v>
      </c>
      <c r="D107" s="79">
        <v>5</v>
      </c>
      <c r="E107" s="79">
        <v>8293</v>
      </c>
      <c r="F107" s="79">
        <v>73278683855568</v>
      </c>
      <c r="G107" s="79">
        <v>99</v>
      </c>
      <c r="H107" s="79">
        <v>0</v>
      </c>
      <c r="J107" s="83">
        <v>4132.2299999999996</v>
      </c>
      <c r="K107" s="83">
        <v>867.77</v>
      </c>
      <c r="L107" s="83">
        <v>5000</v>
      </c>
    </row>
    <row r="108" spans="2:12">
      <c r="B108" t="s">
        <v>2059</v>
      </c>
      <c r="C108" t="s">
        <v>2035</v>
      </c>
      <c r="D108" s="79">
        <v>5</v>
      </c>
      <c r="E108" s="79">
        <v>8294</v>
      </c>
      <c r="F108" s="79">
        <v>73278687787956</v>
      </c>
      <c r="G108" s="79">
        <v>99</v>
      </c>
      <c r="H108" s="79">
        <v>0</v>
      </c>
      <c r="J108" s="83">
        <v>12618.18</v>
      </c>
      <c r="K108" s="83">
        <v>2649.82</v>
      </c>
      <c r="L108" s="83">
        <v>15268</v>
      </c>
    </row>
    <row r="109" spans="2:12">
      <c r="B109" t="s">
        <v>2059</v>
      </c>
      <c r="C109" t="s">
        <v>2035</v>
      </c>
      <c r="D109" s="79">
        <v>5</v>
      </c>
      <c r="E109" s="79">
        <v>8295</v>
      </c>
      <c r="F109" s="79">
        <v>73278688313598</v>
      </c>
      <c r="G109" s="79">
        <v>99</v>
      </c>
      <c r="H109" s="79">
        <v>0</v>
      </c>
      <c r="J109" s="83">
        <v>6776.86</v>
      </c>
      <c r="K109" s="83">
        <v>1423.14</v>
      </c>
      <c r="L109" s="83">
        <v>8200</v>
      </c>
    </row>
    <row r="110" spans="2:12">
      <c r="B110" t="s">
        <v>2059</v>
      </c>
      <c r="C110" t="s">
        <v>2035</v>
      </c>
      <c r="D110" s="79">
        <v>5</v>
      </c>
      <c r="E110" s="79">
        <v>8296</v>
      </c>
      <c r="F110" s="79">
        <v>73278689175087</v>
      </c>
      <c r="G110" s="79">
        <v>99</v>
      </c>
      <c r="H110" s="79">
        <v>0</v>
      </c>
      <c r="J110" s="83">
        <v>4545.45</v>
      </c>
      <c r="K110" s="83">
        <v>954.55</v>
      </c>
      <c r="L110" s="83">
        <v>5500</v>
      </c>
    </row>
    <row r="111" spans="2:12">
      <c r="B111" t="s">
        <v>2059</v>
      </c>
      <c r="C111" t="s">
        <v>2035</v>
      </c>
      <c r="D111" s="79">
        <v>5</v>
      </c>
      <c r="E111" s="79">
        <v>8297</v>
      </c>
      <c r="F111" s="79">
        <v>73278695405981</v>
      </c>
      <c r="G111" s="79">
        <v>99</v>
      </c>
      <c r="H111" s="79">
        <v>0</v>
      </c>
      <c r="J111" s="83">
        <v>9504.1299999999992</v>
      </c>
      <c r="K111" s="83">
        <v>1995.87</v>
      </c>
      <c r="L111" s="83">
        <v>11500</v>
      </c>
    </row>
    <row r="112" spans="2:12">
      <c r="B112" t="s">
        <v>2059</v>
      </c>
      <c r="C112" t="s">
        <v>2035</v>
      </c>
      <c r="D112" s="79">
        <v>5</v>
      </c>
      <c r="E112" s="79">
        <v>8298</v>
      </c>
      <c r="F112" s="79">
        <v>73278699583853</v>
      </c>
      <c r="G112" s="79">
        <v>99</v>
      </c>
      <c r="H112" s="79">
        <v>0</v>
      </c>
      <c r="J112" s="83">
        <v>4958.68</v>
      </c>
      <c r="K112" s="83">
        <v>1041.32</v>
      </c>
      <c r="L112" s="83">
        <v>6000</v>
      </c>
    </row>
    <row r="113" spans="2:12">
      <c r="B113" t="s">
        <v>2059</v>
      </c>
      <c r="C113" t="s">
        <v>2035</v>
      </c>
      <c r="D113" s="79">
        <v>5</v>
      </c>
      <c r="E113" s="79">
        <v>8299</v>
      </c>
      <c r="F113" s="79">
        <v>73278700583201</v>
      </c>
      <c r="G113" s="79">
        <v>99</v>
      </c>
      <c r="H113" s="79">
        <v>0</v>
      </c>
      <c r="J113" s="83">
        <v>10578.51</v>
      </c>
      <c r="K113" s="83">
        <v>2221.4899999999998</v>
      </c>
      <c r="L113" s="83">
        <v>12800</v>
      </c>
    </row>
    <row r="114" spans="2:12">
      <c r="B114" t="s">
        <v>2059</v>
      </c>
      <c r="C114" t="s">
        <v>2035</v>
      </c>
      <c r="D114" s="79">
        <v>5</v>
      </c>
      <c r="E114" s="79">
        <v>8300</v>
      </c>
      <c r="F114" s="79">
        <v>73278702013362</v>
      </c>
      <c r="G114" s="79">
        <v>99</v>
      </c>
      <c r="H114" s="79">
        <v>0</v>
      </c>
      <c r="J114" s="83">
        <v>4958.68</v>
      </c>
      <c r="K114" s="83">
        <v>1041.32</v>
      </c>
      <c r="L114" s="83">
        <v>6000</v>
      </c>
    </row>
    <row r="115" spans="2:12">
      <c r="B115" t="s">
        <v>2059</v>
      </c>
      <c r="C115" t="s">
        <v>2035</v>
      </c>
      <c r="D115" s="79">
        <v>5</v>
      </c>
      <c r="E115" s="79">
        <v>8301</v>
      </c>
      <c r="F115" s="79">
        <v>73278716448106</v>
      </c>
      <c r="G115" s="79">
        <v>99</v>
      </c>
      <c r="H115" s="79">
        <v>0</v>
      </c>
      <c r="J115" s="83">
        <v>4545.45</v>
      </c>
      <c r="K115" s="83">
        <v>954.55</v>
      </c>
      <c r="L115" s="83">
        <v>5500</v>
      </c>
    </row>
    <row r="116" spans="2:12">
      <c r="B116" t="s">
        <v>2060</v>
      </c>
      <c r="C116" t="s">
        <v>2035</v>
      </c>
      <c r="D116" s="79">
        <v>5</v>
      </c>
      <c r="E116" s="79">
        <v>8302</v>
      </c>
      <c r="F116" s="79">
        <v>73278780812807</v>
      </c>
      <c r="G116" s="79">
        <v>99</v>
      </c>
      <c r="H116" s="79">
        <v>0</v>
      </c>
      <c r="J116" s="83">
        <v>5537.19</v>
      </c>
      <c r="K116" s="83">
        <v>1162.81</v>
      </c>
      <c r="L116" s="83">
        <v>6700</v>
      </c>
    </row>
    <row r="117" spans="2:12">
      <c r="B117" t="s">
        <v>2060</v>
      </c>
      <c r="C117" t="s">
        <v>2035</v>
      </c>
      <c r="D117" s="79">
        <v>5</v>
      </c>
      <c r="E117" s="79">
        <v>8303</v>
      </c>
      <c r="F117" s="79">
        <v>73278780904188</v>
      </c>
      <c r="G117" s="79">
        <v>99</v>
      </c>
      <c r="H117" s="79">
        <v>0</v>
      </c>
      <c r="J117" s="83">
        <v>9504.1299999999992</v>
      </c>
      <c r="K117" s="83">
        <v>1995.87</v>
      </c>
      <c r="L117" s="83">
        <v>11500</v>
      </c>
    </row>
    <row r="118" spans="2:12">
      <c r="B118" t="s">
        <v>2060</v>
      </c>
      <c r="C118" t="s">
        <v>2035</v>
      </c>
      <c r="D118" s="79">
        <v>5</v>
      </c>
      <c r="E118" s="79">
        <v>8304</v>
      </c>
      <c r="F118" s="79">
        <v>73278782764480</v>
      </c>
      <c r="G118" s="79">
        <v>99</v>
      </c>
      <c r="H118" s="79">
        <v>0</v>
      </c>
      <c r="J118" s="83">
        <v>6776.86</v>
      </c>
      <c r="K118" s="83">
        <v>1423.14</v>
      </c>
      <c r="L118" s="83">
        <v>8200</v>
      </c>
    </row>
    <row r="119" spans="2:12">
      <c r="B119" t="s">
        <v>2060</v>
      </c>
      <c r="C119" t="s">
        <v>2035</v>
      </c>
      <c r="D119" s="79">
        <v>5</v>
      </c>
      <c r="E119" s="79">
        <v>8305</v>
      </c>
      <c r="F119" s="79">
        <v>73278796524289</v>
      </c>
      <c r="G119" s="79">
        <v>99</v>
      </c>
      <c r="H119" s="79">
        <v>0</v>
      </c>
      <c r="J119" s="83">
        <v>1818.18</v>
      </c>
      <c r="K119" s="83">
        <v>381.82</v>
      </c>
      <c r="L119" s="83">
        <v>2200</v>
      </c>
    </row>
    <row r="120" spans="2:12">
      <c r="B120" t="s">
        <v>2060</v>
      </c>
      <c r="C120" t="s">
        <v>2035</v>
      </c>
      <c r="D120" s="79">
        <v>5</v>
      </c>
      <c r="E120" s="79">
        <v>8306</v>
      </c>
      <c r="F120" s="79">
        <v>73278800363629</v>
      </c>
      <c r="G120" s="79">
        <v>99</v>
      </c>
      <c r="H120" s="79">
        <v>0</v>
      </c>
      <c r="J120" s="83">
        <v>2809.92</v>
      </c>
      <c r="K120" s="83">
        <v>590.08000000000004</v>
      </c>
      <c r="L120" s="83">
        <v>3400</v>
      </c>
    </row>
    <row r="121" spans="2:12">
      <c r="B121" t="s">
        <v>2060</v>
      </c>
      <c r="C121" t="s">
        <v>2035</v>
      </c>
      <c r="D121" s="79">
        <v>5</v>
      </c>
      <c r="E121" s="79">
        <v>8307</v>
      </c>
      <c r="F121" s="79">
        <v>73278811901368</v>
      </c>
      <c r="G121" s="79">
        <v>99</v>
      </c>
      <c r="H121" s="79">
        <v>0</v>
      </c>
      <c r="J121" s="83">
        <v>10000</v>
      </c>
      <c r="K121" s="83">
        <v>2100</v>
      </c>
      <c r="L121" s="83">
        <v>12100</v>
      </c>
    </row>
    <row r="122" spans="2:12">
      <c r="B122" t="s">
        <v>2060</v>
      </c>
      <c r="C122" t="s">
        <v>2035</v>
      </c>
      <c r="D122" s="79">
        <v>5</v>
      </c>
      <c r="E122" s="79">
        <v>8308</v>
      </c>
      <c r="F122" s="79">
        <v>73278815608004</v>
      </c>
      <c r="G122" s="79">
        <v>99</v>
      </c>
      <c r="H122" s="79">
        <v>0</v>
      </c>
      <c r="J122" s="83">
        <v>5785.12</v>
      </c>
      <c r="K122" s="83">
        <v>1214.8800000000001</v>
      </c>
      <c r="L122" s="83">
        <v>7000</v>
      </c>
    </row>
    <row r="123" spans="2:12">
      <c r="B123" t="s">
        <v>2060</v>
      </c>
      <c r="C123" t="s">
        <v>2035</v>
      </c>
      <c r="D123" s="79">
        <v>5</v>
      </c>
      <c r="E123" s="79">
        <v>8309</v>
      </c>
      <c r="F123" s="79">
        <v>73278828144275</v>
      </c>
      <c r="G123" s="79">
        <v>99</v>
      </c>
      <c r="H123" s="79">
        <v>0</v>
      </c>
      <c r="J123" s="83">
        <v>2727.27</v>
      </c>
      <c r="K123" s="83">
        <v>572.73</v>
      </c>
      <c r="L123" s="83">
        <v>3300</v>
      </c>
    </row>
    <row r="124" spans="2:12">
      <c r="B124" t="s">
        <v>2060</v>
      </c>
      <c r="C124" t="s">
        <v>2035</v>
      </c>
      <c r="D124" s="79">
        <v>5</v>
      </c>
      <c r="E124" s="79">
        <v>8310</v>
      </c>
      <c r="F124" s="79">
        <v>73278831047305</v>
      </c>
      <c r="G124" s="79">
        <v>99</v>
      </c>
      <c r="H124" s="79">
        <v>0</v>
      </c>
      <c r="J124" s="83">
        <v>7851.24</v>
      </c>
      <c r="K124" s="83">
        <v>1648.76</v>
      </c>
      <c r="L124" s="83">
        <v>9500</v>
      </c>
    </row>
    <row r="125" spans="2:12">
      <c r="B125" t="s">
        <v>2061</v>
      </c>
      <c r="C125" t="s">
        <v>2035</v>
      </c>
      <c r="D125" s="79">
        <v>5</v>
      </c>
      <c r="E125" s="79">
        <v>8311</v>
      </c>
      <c r="F125" s="79">
        <v>73288066071362</v>
      </c>
      <c r="G125" s="79">
        <v>99</v>
      </c>
      <c r="H125" s="79">
        <v>0</v>
      </c>
      <c r="J125" s="83">
        <v>1404.96</v>
      </c>
      <c r="K125" s="83">
        <v>295.04000000000002</v>
      </c>
      <c r="L125" s="83">
        <v>1700</v>
      </c>
    </row>
    <row r="126" spans="2:12">
      <c r="B126" t="s">
        <v>2061</v>
      </c>
      <c r="C126" t="s">
        <v>2035</v>
      </c>
      <c r="D126" s="79">
        <v>5</v>
      </c>
      <c r="E126" s="79">
        <v>8312</v>
      </c>
      <c r="F126" s="79">
        <v>73288095065134</v>
      </c>
      <c r="G126" s="79">
        <v>99</v>
      </c>
      <c r="H126" s="79">
        <v>0</v>
      </c>
      <c r="J126" s="83">
        <v>7975.21</v>
      </c>
      <c r="K126" s="83">
        <v>1674.79</v>
      </c>
      <c r="L126" s="83">
        <v>9650</v>
      </c>
    </row>
    <row r="127" spans="2:12">
      <c r="B127" t="s">
        <v>2061</v>
      </c>
      <c r="C127" t="s">
        <v>2035</v>
      </c>
      <c r="D127" s="79">
        <v>5</v>
      </c>
      <c r="E127" s="79">
        <v>8313</v>
      </c>
      <c r="F127" s="79">
        <v>73288096403714</v>
      </c>
      <c r="G127" s="79">
        <v>99</v>
      </c>
      <c r="H127" s="79">
        <v>0</v>
      </c>
      <c r="J127" s="83">
        <v>2727.27</v>
      </c>
      <c r="K127" s="83">
        <v>572.73</v>
      </c>
      <c r="L127" s="83">
        <v>3300</v>
      </c>
    </row>
    <row r="128" spans="2:12">
      <c r="B128" t="s">
        <v>2061</v>
      </c>
      <c r="C128" t="s">
        <v>2035</v>
      </c>
      <c r="D128" s="79">
        <v>5</v>
      </c>
      <c r="E128" s="79">
        <v>8314</v>
      </c>
      <c r="F128" s="79">
        <v>73288097034995</v>
      </c>
      <c r="G128" s="79">
        <v>99</v>
      </c>
      <c r="H128" s="79">
        <v>0</v>
      </c>
      <c r="J128" s="83">
        <v>10743.8</v>
      </c>
      <c r="K128" s="83">
        <v>2256.1999999999998</v>
      </c>
      <c r="L128" s="83">
        <v>13000</v>
      </c>
    </row>
    <row r="129" spans="2:12">
      <c r="B129" t="s">
        <v>2061</v>
      </c>
      <c r="C129" t="s">
        <v>2035</v>
      </c>
      <c r="D129" s="79">
        <v>5</v>
      </c>
      <c r="E129" s="79">
        <v>8315</v>
      </c>
      <c r="F129" s="79">
        <v>73288110515146</v>
      </c>
      <c r="G129" s="79">
        <v>99</v>
      </c>
      <c r="H129" s="79">
        <v>0</v>
      </c>
      <c r="J129" s="83">
        <v>8760.33</v>
      </c>
      <c r="K129" s="83">
        <v>1839.67</v>
      </c>
      <c r="L129" s="83">
        <v>10600</v>
      </c>
    </row>
    <row r="130" spans="2:12">
      <c r="B130" t="s">
        <v>2061</v>
      </c>
      <c r="C130" t="s">
        <v>2035</v>
      </c>
      <c r="D130" s="79">
        <v>5</v>
      </c>
      <c r="E130" s="79">
        <v>8316</v>
      </c>
      <c r="F130" s="79">
        <v>73288112911595</v>
      </c>
      <c r="G130" s="79">
        <v>99</v>
      </c>
      <c r="H130" s="79">
        <v>0</v>
      </c>
      <c r="J130" s="83">
        <v>9917.36</v>
      </c>
      <c r="K130" s="83">
        <v>2082.64</v>
      </c>
      <c r="L130" s="83">
        <v>12000</v>
      </c>
    </row>
    <row r="131" spans="2:12">
      <c r="B131" t="s">
        <v>2064</v>
      </c>
      <c r="C131" t="s">
        <v>2035</v>
      </c>
      <c r="D131" s="79">
        <v>5</v>
      </c>
      <c r="E131" s="79">
        <v>8317</v>
      </c>
      <c r="F131" s="79">
        <v>73288170535582</v>
      </c>
      <c r="G131" s="79">
        <v>99</v>
      </c>
      <c r="H131" s="79">
        <v>0</v>
      </c>
      <c r="J131" s="83">
        <v>3471.07</v>
      </c>
      <c r="K131" s="83">
        <v>728.93</v>
      </c>
      <c r="L131" s="83">
        <v>4200</v>
      </c>
    </row>
    <row r="132" spans="2:12">
      <c r="B132" t="s">
        <v>2064</v>
      </c>
      <c r="C132" t="s">
        <v>2035</v>
      </c>
      <c r="D132" s="79">
        <v>5</v>
      </c>
      <c r="E132" s="79">
        <v>8318</v>
      </c>
      <c r="F132" s="79">
        <v>73288171307626</v>
      </c>
      <c r="G132" s="79">
        <v>99</v>
      </c>
      <c r="H132" s="79">
        <v>0</v>
      </c>
      <c r="J132" s="83">
        <v>2066.12</v>
      </c>
      <c r="K132" s="83">
        <v>433.88</v>
      </c>
      <c r="L132" s="83">
        <v>2500</v>
      </c>
    </row>
    <row r="133" spans="2:12">
      <c r="B133" t="s">
        <v>2064</v>
      </c>
      <c r="C133" t="s">
        <v>2035</v>
      </c>
      <c r="D133" s="79">
        <v>5</v>
      </c>
      <c r="E133" s="79">
        <v>8319</v>
      </c>
      <c r="F133" s="79">
        <v>73288180294761</v>
      </c>
      <c r="G133" s="79">
        <v>99</v>
      </c>
      <c r="H133" s="79">
        <v>0</v>
      </c>
      <c r="J133" s="83">
        <v>6033.06</v>
      </c>
      <c r="K133" s="83">
        <v>1266.94</v>
      </c>
      <c r="L133" s="83">
        <v>7300</v>
      </c>
    </row>
    <row r="134" spans="2:12">
      <c r="B134" t="s">
        <v>2064</v>
      </c>
      <c r="C134" t="s">
        <v>2035</v>
      </c>
      <c r="D134" s="79">
        <v>5</v>
      </c>
      <c r="E134" s="79">
        <v>8320</v>
      </c>
      <c r="F134" s="79">
        <v>73288180677766</v>
      </c>
      <c r="G134" s="79">
        <v>99</v>
      </c>
      <c r="H134" s="79">
        <v>0</v>
      </c>
      <c r="J134" s="83">
        <v>3388.43</v>
      </c>
      <c r="K134" s="83">
        <v>711.57</v>
      </c>
      <c r="L134" s="83">
        <v>4100</v>
      </c>
    </row>
    <row r="135" spans="2:12">
      <c r="B135" t="s">
        <v>2064</v>
      </c>
      <c r="C135" t="s">
        <v>2035</v>
      </c>
      <c r="D135" s="79">
        <v>5</v>
      </c>
      <c r="E135" s="79">
        <v>8321</v>
      </c>
      <c r="F135" s="79">
        <v>73288183472472</v>
      </c>
      <c r="G135" s="79">
        <v>99</v>
      </c>
      <c r="H135" s="79">
        <v>0</v>
      </c>
      <c r="J135" s="83">
        <v>2892.56</v>
      </c>
      <c r="K135" s="83">
        <v>607.44000000000005</v>
      </c>
      <c r="L135" s="83">
        <v>3500</v>
      </c>
    </row>
    <row r="136" spans="2:12">
      <c r="B136" t="s">
        <v>2064</v>
      </c>
      <c r="C136" t="s">
        <v>2035</v>
      </c>
      <c r="D136" s="79">
        <v>5</v>
      </c>
      <c r="E136" s="79">
        <v>8322</v>
      </c>
      <c r="F136" s="79">
        <v>73288189832505</v>
      </c>
      <c r="G136" s="79">
        <v>99</v>
      </c>
      <c r="H136" s="79">
        <v>0</v>
      </c>
      <c r="J136" s="83">
        <v>18181.82</v>
      </c>
      <c r="K136" s="83">
        <v>3818.18</v>
      </c>
      <c r="L136" s="83">
        <v>22000</v>
      </c>
    </row>
    <row r="137" spans="2:12">
      <c r="B137" t="s">
        <v>2064</v>
      </c>
      <c r="C137" t="s">
        <v>2035</v>
      </c>
      <c r="D137" s="79">
        <v>5</v>
      </c>
      <c r="E137" s="79">
        <v>8323</v>
      </c>
      <c r="F137" s="79">
        <v>73288190340387</v>
      </c>
      <c r="G137" s="79">
        <v>99</v>
      </c>
      <c r="H137" s="79">
        <v>0</v>
      </c>
      <c r="J137" s="83">
        <v>6776.86</v>
      </c>
      <c r="K137" s="83">
        <v>1423.14</v>
      </c>
      <c r="L137" s="83">
        <v>8200</v>
      </c>
    </row>
    <row r="138" spans="2:12">
      <c r="B138" t="s">
        <v>2064</v>
      </c>
      <c r="C138" t="s">
        <v>2035</v>
      </c>
      <c r="D138" s="79">
        <v>5</v>
      </c>
      <c r="E138" s="79">
        <v>8324</v>
      </c>
      <c r="F138" s="79">
        <v>73288190870179</v>
      </c>
      <c r="G138" s="79">
        <v>99</v>
      </c>
      <c r="H138" s="79">
        <v>0</v>
      </c>
      <c r="J138" s="83">
        <v>2644.63</v>
      </c>
      <c r="K138" s="83">
        <v>555.37</v>
      </c>
      <c r="L138" s="83">
        <v>3200</v>
      </c>
    </row>
    <row r="139" spans="2:12">
      <c r="B139" t="s">
        <v>2064</v>
      </c>
      <c r="C139" t="s">
        <v>2035</v>
      </c>
      <c r="D139" s="79">
        <v>5</v>
      </c>
      <c r="E139" s="79">
        <v>8325</v>
      </c>
      <c r="F139" s="79">
        <v>73288194132467</v>
      </c>
      <c r="G139" s="79">
        <v>99</v>
      </c>
      <c r="H139" s="79">
        <v>0</v>
      </c>
      <c r="J139" s="83">
        <v>2851.24</v>
      </c>
      <c r="K139" s="83">
        <v>598.76</v>
      </c>
      <c r="L139" s="83">
        <v>3450</v>
      </c>
    </row>
    <row r="140" spans="2:12">
      <c r="B140" t="s">
        <v>2064</v>
      </c>
      <c r="C140" t="s">
        <v>2035</v>
      </c>
      <c r="D140" s="79">
        <v>5</v>
      </c>
      <c r="E140" s="79">
        <v>8326</v>
      </c>
      <c r="F140" s="79">
        <v>73288199101433</v>
      </c>
      <c r="G140" s="79">
        <v>99</v>
      </c>
      <c r="H140" s="79">
        <v>0</v>
      </c>
      <c r="J140" s="83">
        <v>2851.24</v>
      </c>
      <c r="K140" s="83">
        <v>598.76</v>
      </c>
      <c r="L140" s="83">
        <v>3450</v>
      </c>
    </row>
    <row r="141" spans="2:12">
      <c r="B141" t="s">
        <v>2064</v>
      </c>
      <c r="C141" t="s">
        <v>2035</v>
      </c>
      <c r="D141" s="79">
        <v>5</v>
      </c>
      <c r="E141" s="79">
        <v>8327</v>
      </c>
      <c r="F141" s="79">
        <v>73288200695251</v>
      </c>
      <c r="G141" s="79">
        <v>99</v>
      </c>
      <c r="H141" s="79">
        <v>0</v>
      </c>
      <c r="J141" s="83">
        <v>7851.24</v>
      </c>
      <c r="K141" s="83">
        <v>1648.76</v>
      </c>
      <c r="L141" s="83">
        <v>9500</v>
      </c>
    </row>
    <row r="142" spans="2:12">
      <c r="B142" t="s">
        <v>2064</v>
      </c>
      <c r="C142" t="s">
        <v>2035</v>
      </c>
      <c r="D142" s="79">
        <v>5</v>
      </c>
      <c r="E142" s="79">
        <v>8328</v>
      </c>
      <c r="F142" s="79">
        <v>73288202515529</v>
      </c>
      <c r="G142" s="79">
        <v>99</v>
      </c>
      <c r="H142" s="79">
        <v>0</v>
      </c>
      <c r="J142" s="83">
        <v>18595.04</v>
      </c>
      <c r="K142" s="83">
        <v>3904.96</v>
      </c>
      <c r="L142" s="83">
        <v>22500</v>
      </c>
    </row>
    <row r="143" spans="2:12">
      <c r="B143" t="s">
        <v>2064</v>
      </c>
      <c r="C143" t="s">
        <v>2035</v>
      </c>
      <c r="D143" s="79">
        <v>5</v>
      </c>
      <c r="E143" s="79">
        <v>8329</v>
      </c>
      <c r="F143" s="79">
        <v>73288213916927</v>
      </c>
      <c r="G143" s="79">
        <v>99</v>
      </c>
      <c r="H143" s="79">
        <v>0</v>
      </c>
      <c r="J143" s="83">
        <v>3801.65</v>
      </c>
      <c r="K143" s="83">
        <v>798.35</v>
      </c>
      <c r="L143" s="83">
        <v>4600</v>
      </c>
    </row>
    <row r="144" spans="2:12">
      <c r="B144" t="s">
        <v>2064</v>
      </c>
      <c r="C144" t="s">
        <v>2035</v>
      </c>
      <c r="D144" s="79">
        <v>5</v>
      </c>
      <c r="E144" s="79">
        <v>8330</v>
      </c>
      <c r="F144" s="79">
        <v>73288227804903</v>
      </c>
      <c r="G144" s="79">
        <v>99</v>
      </c>
      <c r="H144" s="79">
        <v>0</v>
      </c>
      <c r="J144" s="83">
        <v>7851.24</v>
      </c>
      <c r="K144" s="83">
        <v>1648.76</v>
      </c>
      <c r="L144" s="83">
        <v>9500</v>
      </c>
    </row>
    <row r="145" spans="2:12">
      <c r="B145" t="s">
        <v>2064</v>
      </c>
      <c r="C145" t="s">
        <v>2035</v>
      </c>
      <c r="D145" s="79">
        <v>5</v>
      </c>
      <c r="E145" s="79">
        <v>8331</v>
      </c>
      <c r="F145" s="79">
        <v>73288229111147</v>
      </c>
      <c r="G145" s="79">
        <v>99</v>
      </c>
      <c r="H145" s="79">
        <v>0</v>
      </c>
      <c r="J145" s="83">
        <v>2231.4</v>
      </c>
      <c r="K145" s="83">
        <v>468.6</v>
      </c>
      <c r="L145" s="83">
        <v>2700</v>
      </c>
    </row>
    <row r="146" spans="2:12">
      <c r="B146" t="s">
        <v>2064</v>
      </c>
      <c r="C146" t="s">
        <v>2035</v>
      </c>
      <c r="D146" s="79">
        <v>5</v>
      </c>
      <c r="E146" s="79">
        <v>8332</v>
      </c>
      <c r="F146" s="79">
        <v>73288232195240</v>
      </c>
      <c r="G146" s="79">
        <v>99</v>
      </c>
      <c r="H146" s="79">
        <v>0</v>
      </c>
      <c r="J146" s="83">
        <v>12066.12</v>
      </c>
      <c r="K146" s="83">
        <v>2533.88</v>
      </c>
      <c r="L146" s="83">
        <v>14600</v>
      </c>
    </row>
    <row r="147" spans="2:12">
      <c r="B147" t="s">
        <v>2064</v>
      </c>
      <c r="C147" t="s">
        <v>2035</v>
      </c>
      <c r="D147" s="79">
        <v>5</v>
      </c>
      <c r="E147" s="79">
        <v>8333</v>
      </c>
      <c r="F147" s="79">
        <v>73288232919982</v>
      </c>
      <c r="G147" s="79">
        <v>99</v>
      </c>
      <c r="H147" s="79">
        <v>0</v>
      </c>
      <c r="J147" s="83">
        <v>12066.12</v>
      </c>
      <c r="K147" s="83">
        <v>2533.88</v>
      </c>
      <c r="L147" s="83">
        <v>14600</v>
      </c>
    </row>
    <row r="148" spans="2:12">
      <c r="B148" t="s">
        <v>2065</v>
      </c>
      <c r="C148" t="s">
        <v>2035</v>
      </c>
      <c r="D148" s="79">
        <v>5</v>
      </c>
      <c r="E148" s="79">
        <v>8334</v>
      </c>
      <c r="F148" s="79">
        <v>73288306842341</v>
      </c>
      <c r="G148" s="79">
        <v>99</v>
      </c>
      <c r="H148" s="79">
        <v>0</v>
      </c>
      <c r="J148" s="83">
        <v>7851.24</v>
      </c>
      <c r="K148" s="83">
        <v>1648.76</v>
      </c>
      <c r="L148" s="83">
        <v>9500</v>
      </c>
    </row>
    <row r="149" spans="2:12">
      <c r="B149" t="s">
        <v>2065</v>
      </c>
      <c r="C149" t="s">
        <v>2035</v>
      </c>
      <c r="D149" s="79">
        <v>5</v>
      </c>
      <c r="E149" s="79">
        <v>8335</v>
      </c>
      <c r="F149" s="79">
        <v>73288310842248</v>
      </c>
      <c r="G149" s="79">
        <v>99</v>
      </c>
      <c r="H149" s="79">
        <v>0</v>
      </c>
      <c r="J149" s="83">
        <v>5950.41</v>
      </c>
      <c r="K149" s="83">
        <v>1249.5899999999999</v>
      </c>
      <c r="L149" s="83">
        <v>7200</v>
      </c>
    </row>
    <row r="150" spans="2:12">
      <c r="B150" t="s">
        <v>2065</v>
      </c>
      <c r="C150" t="s">
        <v>2035</v>
      </c>
      <c r="D150" s="79">
        <v>5</v>
      </c>
      <c r="E150" s="79">
        <v>8336</v>
      </c>
      <c r="F150" s="79">
        <v>73288313191319</v>
      </c>
      <c r="G150" s="79">
        <v>99</v>
      </c>
      <c r="H150" s="79">
        <v>0</v>
      </c>
      <c r="J150" s="83">
        <v>3305.79</v>
      </c>
      <c r="K150" s="83">
        <v>694.21</v>
      </c>
      <c r="L150" s="83">
        <v>4000</v>
      </c>
    </row>
    <row r="151" spans="2:12">
      <c r="B151" t="s">
        <v>2065</v>
      </c>
      <c r="C151" t="s">
        <v>2035</v>
      </c>
      <c r="D151" s="79">
        <v>5</v>
      </c>
      <c r="E151" s="79">
        <v>8337</v>
      </c>
      <c r="F151" s="79">
        <v>73288317771571</v>
      </c>
      <c r="G151" s="79">
        <v>99</v>
      </c>
      <c r="H151" s="79">
        <v>0</v>
      </c>
      <c r="J151" s="83">
        <v>9504.1299999999992</v>
      </c>
      <c r="K151" s="83">
        <v>1995.87</v>
      </c>
      <c r="L151" s="83">
        <v>11500</v>
      </c>
    </row>
    <row r="152" spans="2:12">
      <c r="B152" t="s">
        <v>2065</v>
      </c>
      <c r="C152" t="s">
        <v>2035</v>
      </c>
      <c r="D152" s="79">
        <v>5</v>
      </c>
      <c r="E152" s="79">
        <v>8338</v>
      </c>
      <c r="F152" s="79">
        <v>73288320027542</v>
      </c>
      <c r="G152" s="79">
        <v>99</v>
      </c>
      <c r="H152" s="79">
        <v>0</v>
      </c>
      <c r="J152" s="83">
        <v>6776.86</v>
      </c>
      <c r="K152" s="83">
        <v>1423.14</v>
      </c>
      <c r="L152" s="83">
        <v>8200</v>
      </c>
    </row>
    <row r="153" spans="2:12">
      <c r="B153" t="s">
        <v>2065</v>
      </c>
      <c r="C153" t="s">
        <v>2035</v>
      </c>
      <c r="D153" s="79">
        <v>5</v>
      </c>
      <c r="E153" s="79">
        <v>8339</v>
      </c>
      <c r="F153" s="79">
        <v>73288320755721</v>
      </c>
      <c r="G153" s="79">
        <v>99</v>
      </c>
      <c r="H153" s="79">
        <v>0</v>
      </c>
      <c r="J153" s="83">
        <v>3966.94</v>
      </c>
      <c r="K153" s="83">
        <v>833.06</v>
      </c>
      <c r="L153" s="83">
        <v>4800</v>
      </c>
    </row>
    <row r="154" spans="2:12">
      <c r="B154" t="s">
        <v>2065</v>
      </c>
      <c r="C154" t="s">
        <v>2035</v>
      </c>
      <c r="D154" s="79">
        <v>5</v>
      </c>
      <c r="E154" s="79">
        <v>8340</v>
      </c>
      <c r="F154" s="79">
        <v>73288322023011</v>
      </c>
      <c r="G154" s="79">
        <v>99</v>
      </c>
      <c r="H154" s="79">
        <v>0</v>
      </c>
      <c r="J154" s="83">
        <v>3057.85</v>
      </c>
      <c r="K154" s="83">
        <v>642.15</v>
      </c>
      <c r="L154" s="83">
        <v>3700</v>
      </c>
    </row>
    <row r="155" spans="2:12">
      <c r="B155" t="s">
        <v>2065</v>
      </c>
      <c r="C155" t="s">
        <v>2035</v>
      </c>
      <c r="D155" s="79">
        <v>5</v>
      </c>
      <c r="E155" s="79">
        <v>8341</v>
      </c>
      <c r="F155" s="79">
        <v>73288330720989</v>
      </c>
      <c r="G155" s="79">
        <v>99</v>
      </c>
      <c r="H155" s="79">
        <v>0</v>
      </c>
      <c r="J155" s="83">
        <v>6611.57</v>
      </c>
      <c r="K155" s="83">
        <v>1388.43</v>
      </c>
      <c r="L155" s="83">
        <v>8000</v>
      </c>
    </row>
    <row r="156" spans="2:12">
      <c r="B156" t="s">
        <v>2066</v>
      </c>
      <c r="C156" t="s">
        <v>2035</v>
      </c>
      <c r="D156" s="79">
        <v>5</v>
      </c>
      <c r="E156" s="79">
        <v>8342</v>
      </c>
      <c r="F156" s="79">
        <v>73288378293672</v>
      </c>
      <c r="G156" s="79">
        <v>99</v>
      </c>
      <c r="H156" s="79">
        <v>0</v>
      </c>
      <c r="J156" s="83">
        <v>3388.43</v>
      </c>
      <c r="K156" s="83">
        <v>711.57</v>
      </c>
      <c r="L156" s="83">
        <v>4100</v>
      </c>
    </row>
    <row r="157" spans="2:12">
      <c r="B157" t="s">
        <v>2066</v>
      </c>
      <c r="C157" t="s">
        <v>2035</v>
      </c>
      <c r="D157" s="79">
        <v>5</v>
      </c>
      <c r="E157" s="79">
        <v>8343</v>
      </c>
      <c r="F157" s="79">
        <v>73288384271206</v>
      </c>
      <c r="G157" s="79">
        <v>99</v>
      </c>
      <c r="H157" s="79">
        <v>0</v>
      </c>
      <c r="J157" s="83">
        <v>2892.56</v>
      </c>
      <c r="K157" s="83">
        <v>607.44000000000005</v>
      </c>
      <c r="L157" s="83">
        <v>3500</v>
      </c>
    </row>
    <row r="158" spans="2:12">
      <c r="B158" t="s">
        <v>2066</v>
      </c>
      <c r="C158" t="s">
        <v>2035</v>
      </c>
      <c r="D158" s="79">
        <v>5</v>
      </c>
      <c r="E158" s="79">
        <v>8344</v>
      </c>
      <c r="F158" s="79">
        <v>73288391807205</v>
      </c>
      <c r="G158" s="79">
        <v>99</v>
      </c>
      <c r="H158" s="79">
        <v>0</v>
      </c>
      <c r="J158" s="83">
        <v>2479.34</v>
      </c>
      <c r="K158" s="83">
        <v>520.66</v>
      </c>
      <c r="L158" s="83">
        <v>3000</v>
      </c>
    </row>
    <row r="159" spans="2:12">
      <c r="B159" t="s">
        <v>2066</v>
      </c>
      <c r="C159" t="s">
        <v>2035</v>
      </c>
      <c r="D159" s="79">
        <v>5</v>
      </c>
      <c r="E159" s="79">
        <v>8345</v>
      </c>
      <c r="F159" s="79">
        <v>73288407101454</v>
      </c>
      <c r="G159" s="79">
        <v>99</v>
      </c>
      <c r="H159" s="79">
        <v>0</v>
      </c>
      <c r="J159" s="83">
        <v>8677.69</v>
      </c>
      <c r="K159" s="83">
        <v>1822.31</v>
      </c>
      <c r="L159" s="83">
        <v>10500</v>
      </c>
    </row>
    <row r="160" spans="2:12">
      <c r="B160" t="s">
        <v>2066</v>
      </c>
      <c r="C160" t="s">
        <v>2035</v>
      </c>
      <c r="D160" s="79">
        <v>5</v>
      </c>
      <c r="E160" s="79">
        <v>8346</v>
      </c>
      <c r="F160" s="79">
        <v>73288418460500</v>
      </c>
      <c r="G160" s="79">
        <v>99</v>
      </c>
      <c r="H160" s="79">
        <v>0</v>
      </c>
      <c r="J160" s="83">
        <v>6322.31</v>
      </c>
      <c r="K160" s="83">
        <v>1327.69</v>
      </c>
      <c r="L160" s="83">
        <v>7650</v>
      </c>
    </row>
    <row r="161" spans="2:12">
      <c r="B161" t="s">
        <v>2066</v>
      </c>
      <c r="C161" t="s">
        <v>2035</v>
      </c>
      <c r="D161" s="79">
        <v>5</v>
      </c>
      <c r="E161" s="79">
        <v>8347</v>
      </c>
      <c r="F161" s="79">
        <v>73288420208998</v>
      </c>
      <c r="G161" s="79">
        <v>99</v>
      </c>
      <c r="H161" s="79">
        <v>0</v>
      </c>
      <c r="J161" s="83">
        <v>3140.5</v>
      </c>
      <c r="K161" s="83">
        <v>659.5</v>
      </c>
      <c r="L161" s="83">
        <v>3800</v>
      </c>
    </row>
    <row r="162" spans="2:12">
      <c r="B162" t="s">
        <v>2070</v>
      </c>
      <c r="C162" t="s">
        <v>2035</v>
      </c>
      <c r="D162" s="79">
        <v>5</v>
      </c>
      <c r="E162" s="79">
        <v>8348</v>
      </c>
      <c r="F162" s="79">
        <v>73288500461840</v>
      </c>
      <c r="G162" s="79">
        <v>99</v>
      </c>
      <c r="H162" s="79">
        <v>0</v>
      </c>
      <c r="J162" s="83">
        <v>10743.8</v>
      </c>
      <c r="K162" s="83">
        <v>2256.1999999999998</v>
      </c>
      <c r="L162" s="83">
        <v>13000</v>
      </c>
    </row>
    <row r="163" spans="2:12">
      <c r="B163" t="s">
        <v>2070</v>
      </c>
      <c r="C163" t="s">
        <v>2035</v>
      </c>
      <c r="D163" s="79">
        <v>5</v>
      </c>
      <c r="E163" s="79">
        <v>8349</v>
      </c>
      <c r="F163" s="79">
        <v>73288507614145</v>
      </c>
      <c r="G163" s="79">
        <v>99</v>
      </c>
      <c r="H163" s="79">
        <v>0</v>
      </c>
      <c r="J163" s="83">
        <v>8677.69</v>
      </c>
      <c r="K163" s="83">
        <v>1822.31</v>
      </c>
      <c r="L163" s="83">
        <v>10500</v>
      </c>
    </row>
    <row r="164" spans="2:12">
      <c r="B164" t="s">
        <v>2070</v>
      </c>
      <c r="C164" t="s">
        <v>2035</v>
      </c>
      <c r="D164" s="79">
        <v>5</v>
      </c>
      <c r="E164" s="79">
        <v>8350</v>
      </c>
      <c r="F164" s="79">
        <v>73288516114694</v>
      </c>
      <c r="G164" s="79">
        <v>99</v>
      </c>
      <c r="H164" s="79">
        <v>0</v>
      </c>
      <c r="J164" s="83">
        <v>3719.01</v>
      </c>
      <c r="K164" s="83">
        <v>780.99</v>
      </c>
      <c r="L164" s="83">
        <v>4500</v>
      </c>
    </row>
    <row r="165" spans="2:12">
      <c r="B165" t="s">
        <v>2070</v>
      </c>
      <c r="C165" t="s">
        <v>2035</v>
      </c>
      <c r="D165" s="79">
        <v>5</v>
      </c>
      <c r="E165" s="79">
        <v>8351</v>
      </c>
      <c r="F165" s="79">
        <v>73288532494522</v>
      </c>
      <c r="G165" s="79">
        <v>99</v>
      </c>
      <c r="H165" s="79">
        <v>0</v>
      </c>
      <c r="J165" s="83">
        <v>26446.28</v>
      </c>
      <c r="K165" s="83">
        <v>5553.72</v>
      </c>
      <c r="L165" s="83">
        <v>32000</v>
      </c>
    </row>
    <row r="166" spans="2:12">
      <c r="B166" t="s">
        <v>2070</v>
      </c>
      <c r="C166" t="s">
        <v>2035</v>
      </c>
      <c r="D166" s="79">
        <v>5</v>
      </c>
      <c r="E166" s="79">
        <v>8352</v>
      </c>
      <c r="F166" s="79">
        <v>73288537754461</v>
      </c>
      <c r="G166" s="79">
        <v>99</v>
      </c>
      <c r="H166" s="79">
        <v>0</v>
      </c>
      <c r="J166" s="83">
        <v>2892.56</v>
      </c>
      <c r="K166" s="83">
        <v>607.44000000000005</v>
      </c>
      <c r="L166" s="83">
        <v>3500</v>
      </c>
    </row>
    <row r="167" spans="2:12">
      <c r="B167" t="s">
        <v>2070</v>
      </c>
      <c r="C167" t="s">
        <v>2035</v>
      </c>
      <c r="D167" s="79">
        <v>5</v>
      </c>
      <c r="E167" s="79">
        <v>8353</v>
      </c>
      <c r="F167" s="79">
        <v>73288551029501</v>
      </c>
      <c r="G167" s="79">
        <v>99</v>
      </c>
      <c r="H167" s="79">
        <v>0</v>
      </c>
      <c r="J167" s="83">
        <v>3305.79</v>
      </c>
      <c r="K167" s="83">
        <v>694.21</v>
      </c>
      <c r="L167" s="83">
        <v>4000</v>
      </c>
    </row>
    <row r="168" spans="2:12">
      <c r="B168" t="s">
        <v>2070</v>
      </c>
      <c r="C168" t="s">
        <v>2035</v>
      </c>
      <c r="D168" s="79">
        <v>5</v>
      </c>
      <c r="E168" s="79">
        <v>8354</v>
      </c>
      <c r="F168" s="79">
        <v>73288552254568</v>
      </c>
      <c r="G168" s="79">
        <v>99</v>
      </c>
      <c r="H168" s="79">
        <v>0</v>
      </c>
      <c r="J168" s="83">
        <v>3925.62</v>
      </c>
      <c r="K168" s="83">
        <v>824.38</v>
      </c>
      <c r="L168" s="83">
        <v>4750</v>
      </c>
    </row>
    <row r="169" spans="2:12">
      <c r="B169" t="s">
        <v>2070</v>
      </c>
      <c r="C169" t="s">
        <v>2035</v>
      </c>
      <c r="D169" s="79">
        <v>5</v>
      </c>
      <c r="E169" s="79">
        <v>8355</v>
      </c>
      <c r="F169" s="79">
        <v>73288558811105</v>
      </c>
      <c r="G169" s="79">
        <v>99</v>
      </c>
      <c r="H169" s="79">
        <v>0</v>
      </c>
      <c r="J169" s="83">
        <v>6611.57</v>
      </c>
      <c r="K169" s="83">
        <v>1388.43</v>
      </c>
      <c r="L169" s="83">
        <v>8000</v>
      </c>
    </row>
    <row r="170" spans="2:12">
      <c r="B170" t="s">
        <v>2071</v>
      </c>
      <c r="C170" t="s">
        <v>2035</v>
      </c>
      <c r="D170" s="79">
        <v>5</v>
      </c>
      <c r="E170" s="79">
        <v>8356</v>
      </c>
      <c r="F170" s="79">
        <v>73298766992740</v>
      </c>
      <c r="G170" s="79">
        <v>99</v>
      </c>
      <c r="H170" s="79">
        <v>0</v>
      </c>
      <c r="J170" s="83">
        <v>4958.68</v>
      </c>
      <c r="K170" s="83">
        <v>1041.32</v>
      </c>
      <c r="L170" s="83">
        <v>6000</v>
      </c>
    </row>
    <row r="171" spans="2:12">
      <c r="B171" t="s">
        <v>2071</v>
      </c>
      <c r="C171" t="s">
        <v>2035</v>
      </c>
      <c r="D171" s="79">
        <v>5</v>
      </c>
      <c r="E171" s="79">
        <v>8357</v>
      </c>
      <c r="F171" s="79">
        <v>73298772280828</v>
      </c>
      <c r="G171" s="79">
        <v>99</v>
      </c>
      <c r="H171" s="79">
        <v>0</v>
      </c>
      <c r="J171" s="83">
        <v>13388.43</v>
      </c>
      <c r="K171" s="83">
        <v>2811.57</v>
      </c>
      <c r="L171" s="83">
        <v>16200</v>
      </c>
    </row>
    <row r="172" spans="2:12">
      <c r="B172" t="s">
        <v>2071</v>
      </c>
      <c r="C172" t="s">
        <v>2035</v>
      </c>
      <c r="D172" s="79">
        <v>5</v>
      </c>
      <c r="E172" s="79">
        <v>8358</v>
      </c>
      <c r="F172" s="79">
        <v>73298780521516</v>
      </c>
      <c r="G172" s="79">
        <v>99</v>
      </c>
      <c r="H172" s="79">
        <v>0</v>
      </c>
      <c r="J172" s="83">
        <v>6033.06</v>
      </c>
      <c r="K172" s="83">
        <v>1266.94</v>
      </c>
      <c r="L172" s="83">
        <v>7300</v>
      </c>
    </row>
    <row r="173" spans="2:12">
      <c r="B173" t="s">
        <v>2071</v>
      </c>
      <c r="C173" t="s">
        <v>2035</v>
      </c>
      <c r="D173" s="79">
        <v>5</v>
      </c>
      <c r="E173" s="79">
        <v>8359</v>
      </c>
      <c r="F173" s="79">
        <v>73298781857424</v>
      </c>
      <c r="G173" s="79">
        <v>99</v>
      </c>
      <c r="H173" s="79">
        <v>0</v>
      </c>
      <c r="J173" s="83">
        <v>6198.35</v>
      </c>
      <c r="K173" s="83">
        <v>1301.6500000000001</v>
      </c>
      <c r="L173" s="83">
        <v>7500</v>
      </c>
    </row>
    <row r="174" spans="2:12">
      <c r="B174" t="s">
        <v>2071</v>
      </c>
      <c r="C174" t="s">
        <v>2035</v>
      </c>
      <c r="D174" s="79">
        <v>5</v>
      </c>
      <c r="E174" s="79">
        <v>8360</v>
      </c>
      <c r="F174" s="79">
        <v>73298784147307</v>
      </c>
      <c r="G174" s="79">
        <v>99</v>
      </c>
      <c r="H174" s="79">
        <v>0</v>
      </c>
      <c r="J174" s="83">
        <v>8925.6200000000008</v>
      </c>
      <c r="K174" s="83">
        <v>1874.38</v>
      </c>
      <c r="L174" s="83">
        <v>10800</v>
      </c>
    </row>
    <row r="175" spans="2:12">
      <c r="B175" t="s">
        <v>2071</v>
      </c>
      <c r="C175" t="s">
        <v>2035</v>
      </c>
      <c r="D175" s="79">
        <v>5</v>
      </c>
      <c r="E175" s="79">
        <v>8361</v>
      </c>
      <c r="F175" s="79">
        <v>73298784319529</v>
      </c>
      <c r="G175" s="79">
        <v>99</v>
      </c>
      <c r="H175" s="79">
        <v>0</v>
      </c>
      <c r="J175" s="83">
        <v>17355.37</v>
      </c>
      <c r="K175" s="83">
        <v>3644.63</v>
      </c>
      <c r="L175" s="83">
        <v>21000</v>
      </c>
    </row>
    <row r="176" spans="2:12">
      <c r="B176" t="s">
        <v>2071</v>
      </c>
      <c r="C176" t="s">
        <v>2035</v>
      </c>
      <c r="D176" s="79">
        <v>5</v>
      </c>
      <c r="E176" s="79">
        <v>8362</v>
      </c>
      <c r="F176" s="79">
        <v>73298793850908</v>
      </c>
      <c r="G176" s="79">
        <v>99</v>
      </c>
      <c r="H176" s="79">
        <v>0</v>
      </c>
      <c r="J176" s="83">
        <v>3966.94</v>
      </c>
      <c r="K176" s="83">
        <v>833.06</v>
      </c>
      <c r="L176" s="83">
        <v>4800</v>
      </c>
    </row>
    <row r="177" spans="2:12">
      <c r="B177" t="s">
        <v>2071</v>
      </c>
      <c r="C177" t="s">
        <v>2035</v>
      </c>
      <c r="D177" s="79">
        <v>5</v>
      </c>
      <c r="E177" s="79">
        <v>8363</v>
      </c>
      <c r="F177" s="79">
        <v>73298795485634</v>
      </c>
      <c r="G177" s="79">
        <v>99</v>
      </c>
      <c r="H177" s="79">
        <v>0</v>
      </c>
      <c r="J177" s="83">
        <v>2892.56</v>
      </c>
      <c r="K177" s="83">
        <v>607.44000000000005</v>
      </c>
      <c r="L177" s="83">
        <v>3500</v>
      </c>
    </row>
    <row r="178" spans="2:12">
      <c r="B178" t="s">
        <v>2071</v>
      </c>
      <c r="C178" t="s">
        <v>2035</v>
      </c>
      <c r="D178" s="79">
        <v>5</v>
      </c>
      <c r="E178" s="79">
        <v>8364</v>
      </c>
      <c r="F178" s="79">
        <v>73298798146054</v>
      </c>
      <c r="G178" s="79">
        <v>99</v>
      </c>
      <c r="H178" s="79">
        <v>0</v>
      </c>
      <c r="J178" s="83">
        <v>8677.69</v>
      </c>
      <c r="K178" s="83">
        <v>1822.31</v>
      </c>
      <c r="L178" s="83">
        <v>10500</v>
      </c>
    </row>
    <row r="179" spans="2:12">
      <c r="B179" t="s">
        <v>2071</v>
      </c>
      <c r="C179" t="s">
        <v>2035</v>
      </c>
      <c r="D179" s="79">
        <v>5</v>
      </c>
      <c r="E179" s="79">
        <v>8365</v>
      </c>
      <c r="F179" s="79">
        <v>73298810565359</v>
      </c>
      <c r="G179" s="79">
        <v>99</v>
      </c>
      <c r="H179" s="79">
        <v>0</v>
      </c>
      <c r="J179" s="83">
        <v>4132.2299999999996</v>
      </c>
      <c r="K179" s="83">
        <v>867.77</v>
      </c>
      <c r="L179" s="83">
        <v>5000</v>
      </c>
    </row>
    <row r="180" spans="2:12">
      <c r="B180" t="s">
        <v>2071</v>
      </c>
      <c r="C180" t="s">
        <v>2035</v>
      </c>
      <c r="D180" s="79">
        <v>5</v>
      </c>
      <c r="E180" s="79">
        <v>8366</v>
      </c>
      <c r="F180" s="79">
        <v>73298812785880</v>
      </c>
      <c r="G180" s="79">
        <v>99</v>
      </c>
      <c r="H180" s="79">
        <v>0</v>
      </c>
      <c r="J180" s="83">
        <v>2066.12</v>
      </c>
      <c r="K180" s="83">
        <v>433.88</v>
      </c>
      <c r="L180" s="83">
        <v>2500</v>
      </c>
    </row>
    <row r="181" spans="2:12">
      <c r="B181" t="s">
        <v>2071</v>
      </c>
      <c r="C181" t="s">
        <v>2035</v>
      </c>
      <c r="D181" s="79">
        <v>5</v>
      </c>
      <c r="E181" s="79">
        <v>8367</v>
      </c>
      <c r="F181" s="79">
        <v>73298814747324</v>
      </c>
      <c r="G181" s="79">
        <v>99</v>
      </c>
      <c r="H181" s="79">
        <v>0</v>
      </c>
      <c r="J181" s="83">
        <v>6528.93</v>
      </c>
      <c r="K181" s="83">
        <v>1371.07</v>
      </c>
      <c r="L181" s="83">
        <v>7900</v>
      </c>
    </row>
    <row r="182" spans="2:12">
      <c r="B182" t="s">
        <v>2071</v>
      </c>
      <c r="C182" t="s">
        <v>2035</v>
      </c>
      <c r="D182" s="79">
        <v>5</v>
      </c>
      <c r="E182" s="79">
        <v>8368</v>
      </c>
      <c r="F182" s="79">
        <v>73298815571528</v>
      </c>
      <c r="G182" s="79">
        <v>99</v>
      </c>
      <c r="H182" s="79">
        <v>0</v>
      </c>
      <c r="J182" s="83">
        <v>413.22</v>
      </c>
      <c r="K182" s="83">
        <v>86.78</v>
      </c>
      <c r="L182" s="83">
        <v>500</v>
      </c>
    </row>
    <row r="183" spans="2:12">
      <c r="B183" t="s">
        <v>2071</v>
      </c>
      <c r="C183" t="s">
        <v>2035</v>
      </c>
      <c r="D183" s="79">
        <v>5</v>
      </c>
      <c r="E183" s="79">
        <v>8369</v>
      </c>
      <c r="F183" s="79">
        <v>73298821134200</v>
      </c>
      <c r="G183" s="79">
        <v>99</v>
      </c>
      <c r="H183" s="79">
        <v>0</v>
      </c>
      <c r="J183" s="83">
        <v>7024.79</v>
      </c>
      <c r="K183" s="83">
        <v>1475.21</v>
      </c>
      <c r="L183" s="83">
        <v>8500</v>
      </c>
    </row>
    <row r="184" spans="2:12">
      <c r="B184" t="s">
        <v>2072</v>
      </c>
      <c r="C184" t="s">
        <v>2035</v>
      </c>
      <c r="D184" s="79">
        <v>5</v>
      </c>
      <c r="E184" s="79">
        <v>8370</v>
      </c>
      <c r="F184" s="79">
        <v>73298873577297</v>
      </c>
      <c r="G184" s="79">
        <v>99</v>
      </c>
      <c r="H184" s="79">
        <v>0</v>
      </c>
      <c r="J184" s="83">
        <v>13553.72</v>
      </c>
      <c r="K184" s="83">
        <v>2846.28</v>
      </c>
      <c r="L184" s="83">
        <v>16400</v>
      </c>
    </row>
    <row r="185" spans="2:12">
      <c r="B185" t="s">
        <v>2072</v>
      </c>
      <c r="C185" t="s">
        <v>2035</v>
      </c>
      <c r="D185" s="79">
        <v>5</v>
      </c>
      <c r="E185" s="79">
        <v>8371</v>
      </c>
      <c r="F185" s="79">
        <v>73298878872866</v>
      </c>
      <c r="G185" s="79">
        <v>99</v>
      </c>
      <c r="H185" s="79">
        <v>0</v>
      </c>
      <c r="J185" s="83">
        <v>3471.07</v>
      </c>
      <c r="K185" s="83">
        <v>728.93</v>
      </c>
      <c r="L185" s="83">
        <v>4200</v>
      </c>
    </row>
    <row r="186" spans="2:12">
      <c r="B186" t="s">
        <v>2072</v>
      </c>
      <c r="C186" t="s">
        <v>2035</v>
      </c>
      <c r="D186" s="79">
        <v>5</v>
      </c>
      <c r="E186" s="79">
        <v>8372</v>
      </c>
      <c r="F186" s="79">
        <v>73298881773287</v>
      </c>
      <c r="G186" s="79">
        <v>99</v>
      </c>
      <c r="H186" s="79">
        <v>0</v>
      </c>
      <c r="J186" s="83">
        <v>1818.18</v>
      </c>
      <c r="K186" s="83">
        <v>381.82</v>
      </c>
      <c r="L186" s="83">
        <v>2200</v>
      </c>
    </row>
    <row r="187" spans="2:12">
      <c r="B187" t="s">
        <v>2072</v>
      </c>
      <c r="C187" t="s">
        <v>2035</v>
      </c>
      <c r="D187" s="79">
        <v>5</v>
      </c>
      <c r="E187" s="79">
        <v>8373</v>
      </c>
      <c r="F187" s="79">
        <v>73298886881235</v>
      </c>
      <c r="G187" s="79">
        <v>99</v>
      </c>
      <c r="H187" s="79">
        <v>0</v>
      </c>
      <c r="J187" s="83">
        <v>35123.97</v>
      </c>
      <c r="K187" s="83">
        <v>7376.03</v>
      </c>
      <c r="L187" s="83">
        <v>42500</v>
      </c>
    </row>
    <row r="188" spans="2:12">
      <c r="B188" t="s">
        <v>2072</v>
      </c>
      <c r="C188" t="s">
        <v>2035</v>
      </c>
      <c r="D188" s="79">
        <v>5</v>
      </c>
      <c r="E188" s="79">
        <v>8374</v>
      </c>
      <c r="F188" s="79">
        <v>73298891801469</v>
      </c>
      <c r="G188" s="79">
        <v>99</v>
      </c>
      <c r="H188" s="79">
        <v>0</v>
      </c>
      <c r="J188" s="83">
        <v>4132.2299999999996</v>
      </c>
      <c r="K188" s="83">
        <v>867.77</v>
      </c>
      <c r="L188" s="83">
        <v>5000</v>
      </c>
    </row>
    <row r="189" spans="2:12">
      <c r="B189" t="s">
        <v>2072</v>
      </c>
      <c r="C189" t="s">
        <v>2035</v>
      </c>
      <c r="D189" s="79">
        <v>5</v>
      </c>
      <c r="E189" s="79">
        <v>8375</v>
      </c>
      <c r="F189" s="79">
        <v>73298892790736</v>
      </c>
      <c r="G189" s="79">
        <v>99</v>
      </c>
      <c r="H189" s="79">
        <v>0</v>
      </c>
      <c r="J189" s="83">
        <v>11570.25</v>
      </c>
      <c r="K189" s="83">
        <v>2429.75</v>
      </c>
      <c r="L189" s="83">
        <v>14000</v>
      </c>
    </row>
    <row r="190" spans="2:12">
      <c r="B190" t="s">
        <v>2072</v>
      </c>
      <c r="C190" t="s">
        <v>2035</v>
      </c>
      <c r="D190" s="79">
        <v>5</v>
      </c>
      <c r="E190" s="79">
        <v>8376</v>
      </c>
      <c r="F190" s="79">
        <v>73298894561451</v>
      </c>
      <c r="G190" s="79">
        <v>99</v>
      </c>
      <c r="H190" s="79">
        <v>0</v>
      </c>
      <c r="J190" s="83">
        <v>14586.78</v>
      </c>
      <c r="K190" s="83">
        <v>3063.22</v>
      </c>
      <c r="L190" s="83">
        <v>17650</v>
      </c>
    </row>
    <row r="191" spans="2:12">
      <c r="B191" t="s">
        <v>2072</v>
      </c>
      <c r="C191" t="s">
        <v>2035</v>
      </c>
      <c r="D191" s="79">
        <v>5</v>
      </c>
      <c r="E191" s="79">
        <v>8377</v>
      </c>
      <c r="F191" s="79">
        <v>73298903219095</v>
      </c>
      <c r="G191" s="79">
        <v>99</v>
      </c>
      <c r="H191" s="79">
        <v>0</v>
      </c>
      <c r="J191" s="83">
        <v>8264.4599999999991</v>
      </c>
      <c r="K191" s="83">
        <v>1735.54</v>
      </c>
      <c r="L191" s="83">
        <v>10000</v>
      </c>
    </row>
    <row r="192" spans="2:12">
      <c r="B192" t="s">
        <v>2072</v>
      </c>
      <c r="C192" t="s">
        <v>2035</v>
      </c>
      <c r="D192" s="79">
        <v>5</v>
      </c>
      <c r="E192" s="79">
        <v>8378</v>
      </c>
      <c r="F192" s="79">
        <v>73298904998077</v>
      </c>
      <c r="G192" s="79">
        <v>99</v>
      </c>
      <c r="H192" s="79">
        <v>0</v>
      </c>
      <c r="J192" s="83">
        <v>3388.43</v>
      </c>
      <c r="K192" s="83">
        <v>711.57</v>
      </c>
      <c r="L192" s="83">
        <v>4100</v>
      </c>
    </row>
    <row r="193" spans="2:12">
      <c r="B193" t="s">
        <v>2072</v>
      </c>
      <c r="C193" t="s">
        <v>2035</v>
      </c>
      <c r="D193" s="79">
        <v>5</v>
      </c>
      <c r="E193" s="79">
        <v>8379</v>
      </c>
      <c r="F193" s="79">
        <v>73298914147355</v>
      </c>
      <c r="G193" s="79">
        <v>99</v>
      </c>
      <c r="H193" s="79">
        <v>0</v>
      </c>
      <c r="J193" s="83">
        <v>7438.02</v>
      </c>
      <c r="K193" s="83">
        <v>1561.98</v>
      </c>
      <c r="L193" s="83">
        <v>9000</v>
      </c>
    </row>
    <row r="194" spans="2:12">
      <c r="B194" t="s">
        <v>2072</v>
      </c>
      <c r="C194" t="s">
        <v>2035</v>
      </c>
      <c r="D194" s="79">
        <v>5</v>
      </c>
      <c r="E194" s="79">
        <v>8380</v>
      </c>
      <c r="F194" s="79">
        <v>73298920171663</v>
      </c>
      <c r="G194" s="79">
        <v>99</v>
      </c>
      <c r="H194" s="79">
        <v>0</v>
      </c>
      <c r="J194" s="83">
        <v>3388.43</v>
      </c>
      <c r="K194" s="83">
        <v>711.57</v>
      </c>
      <c r="L194" s="83">
        <v>4100</v>
      </c>
    </row>
    <row r="195" spans="2:12">
      <c r="B195" t="s">
        <v>2072</v>
      </c>
      <c r="C195" t="s">
        <v>2035</v>
      </c>
      <c r="D195" s="79">
        <v>5</v>
      </c>
      <c r="E195" s="79">
        <v>8381</v>
      </c>
      <c r="F195" s="79">
        <v>73298921572197</v>
      </c>
      <c r="G195" s="79">
        <v>99</v>
      </c>
      <c r="H195" s="79">
        <v>0</v>
      </c>
      <c r="J195" s="83">
        <v>7024.8</v>
      </c>
      <c r="K195" s="83">
        <v>1475.2</v>
      </c>
      <c r="L195" s="83">
        <v>8500</v>
      </c>
    </row>
    <row r="196" spans="2:12">
      <c r="B196" t="s">
        <v>2073</v>
      </c>
      <c r="C196" t="s">
        <v>2035</v>
      </c>
      <c r="D196" s="79">
        <v>5</v>
      </c>
      <c r="E196" s="79">
        <v>8382</v>
      </c>
      <c r="F196" s="79">
        <v>73298989790342</v>
      </c>
      <c r="G196" s="79">
        <v>99</v>
      </c>
      <c r="H196" s="79">
        <v>0</v>
      </c>
      <c r="J196" s="83">
        <v>6694.21</v>
      </c>
      <c r="K196" s="83">
        <v>1405.79</v>
      </c>
      <c r="L196" s="83">
        <v>8100</v>
      </c>
    </row>
    <row r="197" spans="2:12">
      <c r="B197" t="s">
        <v>2073</v>
      </c>
      <c r="C197" t="s">
        <v>2035</v>
      </c>
      <c r="D197" s="79">
        <v>5</v>
      </c>
      <c r="E197" s="79">
        <v>8383</v>
      </c>
      <c r="F197" s="79">
        <v>73298003340915</v>
      </c>
      <c r="G197" s="79">
        <v>99</v>
      </c>
      <c r="H197" s="79">
        <v>0</v>
      </c>
      <c r="J197" s="83">
        <v>17355.37</v>
      </c>
      <c r="K197" s="83">
        <v>3644.63</v>
      </c>
      <c r="L197" s="83">
        <v>21000</v>
      </c>
    </row>
    <row r="198" spans="2:12">
      <c r="B198" t="s">
        <v>2073</v>
      </c>
      <c r="C198" t="s">
        <v>2035</v>
      </c>
      <c r="D198" s="79">
        <v>5</v>
      </c>
      <c r="E198" s="79">
        <v>8384</v>
      </c>
      <c r="F198" s="79">
        <v>73298010455616</v>
      </c>
      <c r="G198" s="79">
        <v>99</v>
      </c>
      <c r="H198" s="79">
        <v>0</v>
      </c>
      <c r="J198" s="83">
        <v>1404.96</v>
      </c>
      <c r="K198" s="83">
        <v>295.04000000000002</v>
      </c>
      <c r="L198" s="83">
        <v>1700</v>
      </c>
    </row>
    <row r="199" spans="2:12">
      <c r="B199" t="s">
        <v>2073</v>
      </c>
      <c r="C199" t="s">
        <v>2035</v>
      </c>
      <c r="D199" s="79">
        <v>5</v>
      </c>
      <c r="E199" s="79">
        <v>8385</v>
      </c>
      <c r="F199" s="79">
        <v>73298013726390</v>
      </c>
      <c r="G199" s="79">
        <v>99</v>
      </c>
      <c r="H199" s="79">
        <v>0</v>
      </c>
      <c r="J199" s="83">
        <v>11570.25</v>
      </c>
      <c r="K199" s="83">
        <v>2429.75</v>
      </c>
      <c r="L199" s="83">
        <v>14000</v>
      </c>
    </row>
    <row r="200" spans="2:12">
      <c r="B200" t="s">
        <v>2073</v>
      </c>
      <c r="C200" t="s">
        <v>2035</v>
      </c>
      <c r="D200" s="79">
        <v>5</v>
      </c>
      <c r="E200" s="79">
        <v>8386</v>
      </c>
      <c r="F200" s="79">
        <v>73298015811058</v>
      </c>
      <c r="G200" s="79">
        <v>99</v>
      </c>
      <c r="H200" s="79">
        <v>0</v>
      </c>
      <c r="J200" s="83">
        <v>18677.689999999999</v>
      </c>
      <c r="K200" s="83">
        <v>3922.31</v>
      </c>
      <c r="L200" s="83">
        <v>22600</v>
      </c>
    </row>
    <row r="201" spans="2:12">
      <c r="B201" t="s">
        <v>2073</v>
      </c>
      <c r="C201" t="s">
        <v>2035</v>
      </c>
      <c r="D201" s="79">
        <v>5</v>
      </c>
      <c r="E201" s="79">
        <v>8387</v>
      </c>
      <c r="F201" s="79">
        <v>73298019416708</v>
      </c>
      <c r="G201" s="79">
        <v>99</v>
      </c>
      <c r="H201" s="79">
        <v>0</v>
      </c>
      <c r="J201" s="83">
        <v>3966.94</v>
      </c>
      <c r="K201" s="83">
        <v>833.06</v>
      </c>
      <c r="L201" s="83">
        <v>4800</v>
      </c>
    </row>
    <row r="202" spans="2:12">
      <c r="B202" t="s">
        <v>2073</v>
      </c>
      <c r="C202" t="s">
        <v>2035</v>
      </c>
      <c r="D202" s="79">
        <v>5</v>
      </c>
      <c r="E202" s="79">
        <v>8388</v>
      </c>
      <c r="F202" s="79">
        <v>73298024973614</v>
      </c>
      <c r="G202" s="79">
        <v>99</v>
      </c>
      <c r="H202" s="79">
        <v>0</v>
      </c>
      <c r="J202" s="83">
        <v>3719.01</v>
      </c>
      <c r="K202" s="83">
        <v>780.99</v>
      </c>
      <c r="L202" s="83">
        <v>4500</v>
      </c>
    </row>
    <row r="203" spans="2:12">
      <c r="B203" t="s">
        <v>2073</v>
      </c>
      <c r="C203" t="s">
        <v>2035</v>
      </c>
      <c r="D203" s="79">
        <v>5</v>
      </c>
      <c r="E203" s="79">
        <v>8389</v>
      </c>
      <c r="F203" s="79">
        <v>73298028632347</v>
      </c>
      <c r="G203" s="79">
        <v>99</v>
      </c>
      <c r="H203" s="79">
        <v>0</v>
      </c>
      <c r="J203" s="83">
        <v>3388.43</v>
      </c>
      <c r="K203" s="83">
        <v>711.57</v>
      </c>
      <c r="L203" s="83">
        <v>4100</v>
      </c>
    </row>
    <row r="204" spans="2:12">
      <c r="B204" t="s">
        <v>2073</v>
      </c>
      <c r="C204" t="s">
        <v>2035</v>
      </c>
      <c r="D204" s="79">
        <v>5</v>
      </c>
      <c r="E204" s="79">
        <v>8390</v>
      </c>
      <c r="F204" s="79">
        <v>73298029314068</v>
      </c>
      <c r="G204" s="79">
        <v>99</v>
      </c>
      <c r="H204" s="79">
        <v>0</v>
      </c>
      <c r="J204" s="83">
        <v>7851.24</v>
      </c>
      <c r="K204" s="83">
        <v>1648.76</v>
      </c>
      <c r="L204" s="83">
        <v>9500</v>
      </c>
    </row>
    <row r="205" spans="2:12">
      <c r="B205" t="s">
        <v>2074</v>
      </c>
      <c r="C205" t="s">
        <v>2035</v>
      </c>
      <c r="D205" s="79">
        <v>5</v>
      </c>
      <c r="E205" s="79">
        <v>8391</v>
      </c>
      <c r="F205" s="79">
        <v>73298104976580</v>
      </c>
      <c r="G205" s="79">
        <v>99</v>
      </c>
      <c r="H205" s="79">
        <v>0</v>
      </c>
      <c r="J205" s="83">
        <v>4049.59</v>
      </c>
      <c r="K205" s="83">
        <v>850.41</v>
      </c>
      <c r="L205" s="83">
        <v>4900</v>
      </c>
    </row>
    <row r="206" spans="2:12">
      <c r="B206" t="s">
        <v>2074</v>
      </c>
      <c r="C206" t="s">
        <v>2035</v>
      </c>
      <c r="D206" s="79">
        <v>5</v>
      </c>
      <c r="E206" s="79">
        <v>8392</v>
      </c>
      <c r="F206" s="79">
        <v>73298105791863</v>
      </c>
      <c r="G206" s="79">
        <v>99</v>
      </c>
      <c r="H206" s="79">
        <v>0</v>
      </c>
      <c r="J206" s="83">
        <v>7438.02</v>
      </c>
      <c r="K206" s="83">
        <v>1561.98</v>
      </c>
      <c r="L206" s="83">
        <v>9000</v>
      </c>
    </row>
    <row r="207" spans="2:12">
      <c r="B207" t="s">
        <v>2074</v>
      </c>
      <c r="C207" t="s">
        <v>2035</v>
      </c>
      <c r="D207" s="79">
        <v>5</v>
      </c>
      <c r="E207" s="79">
        <v>8393</v>
      </c>
      <c r="F207" s="79">
        <v>73298123771894</v>
      </c>
      <c r="G207" s="79">
        <v>99</v>
      </c>
      <c r="H207" s="79">
        <v>0</v>
      </c>
      <c r="J207" s="83">
        <v>8925.6200000000008</v>
      </c>
      <c r="K207" s="83">
        <v>1874.38</v>
      </c>
      <c r="L207" s="83">
        <v>10800</v>
      </c>
    </row>
    <row r="208" spans="2:12">
      <c r="B208" t="s">
        <v>2074</v>
      </c>
      <c r="C208" t="s">
        <v>2035</v>
      </c>
      <c r="D208" s="79">
        <v>5</v>
      </c>
      <c r="E208" s="79">
        <v>8394</v>
      </c>
      <c r="F208" s="79">
        <v>73298125259880</v>
      </c>
      <c r="G208" s="79">
        <v>99</v>
      </c>
      <c r="H208" s="79">
        <v>0</v>
      </c>
      <c r="J208" s="83">
        <v>12066.12</v>
      </c>
      <c r="K208" s="83">
        <v>2533.88</v>
      </c>
      <c r="L208" s="83">
        <v>14600</v>
      </c>
    </row>
    <row r="209" spans="2:12">
      <c r="B209" t="s">
        <v>2074</v>
      </c>
      <c r="C209" t="s">
        <v>2035</v>
      </c>
      <c r="D209" s="79">
        <v>5</v>
      </c>
      <c r="E209" s="79">
        <v>8395</v>
      </c>
      <c r="F209" s="79">
        <v>73298126993776</v>
      </c>
      <c r="G209" s="79">
        <v>99</v>
      </c>
      <c r="H209" s="79">
        <v>0</v>
      </c>
      <c r="J209" s="83">
        <v>3305.79</v>
      </c>
      <c r="K209" s="83">
        <v>694.21</v>
      </c>
      <c r="L209" s="83">
        <v>4000</v>
      </c>
    </row>
    <row r="210" spans="2:12">
      <c r="B210" t="s">
        <v>2074</v>
      </c>
      <c r="C210" t="s">
        <v>2035</v>
      </c>
      <c r="D210" s="79">
        <v>5</v>
      </c>
      <c r="E210" s="79">
        <v>8396</v>
      </c>
      <c r="F210" s="79">
        <v>73298127838921</v>
      </c>
      <c r="G210" s="79">
        <v>99</v>
      </c>
      <c r="H210" s="79">
        <v>0</v>
      </c>
      <c r="J210" s="83">
        <v>5454.55</v>
      </c>
      <c r="K210" s="83">
        <v>1145.45</v>
      </c>
      <c r="L210" s="83">
        <v>6600</v>
      </c>
    </row>
    <row r="211" spans="2:12">
      <c r="B211" t="s">
        <v>2074</v>
      </c>
      <c r="C211" t="s">
        <v>2035</v>
      </c>
      <c r="D211" s="79">
        <v>5</v>
      </c>
      <c r="E211" s="79">
        <v>8397</v>
      </c>
      <c r="F211" s="79">
        <v>73298128516486</v>
      </c>
      <c r="G211" s="79">
        <v>99</v>
      </c>
      <c r="H211" s="79">
        <v>0</v>
      </c>
      <c r="J211" s="83">
        <v>3388.43</v>
      </c>
      <c r="K211" s="83">
        <v>711.57</v>
      </c>
      <c r="L211" s="83">
        <v>4100</v>
      </c>
    </row>
    <row r="212" spans="2:12">
      <c r="B212" t="s">
        <v>2074</v>
      </c>
      <c r="C212" t="s">
        <v>2035</v>
      </c>
      <c r="D212" s="79">
        <v>5</v>
      </c>
      <c r="E212" s="79">
        <v>8398</v>
      </c>
      <c r="F212" s="79">
        <v>73298134962892</v>
      </c>
      <c r="G212" s="79">
        <v>99</v>
      </c>
      <c r="H212" s="79">
        <v>0</v>
      </c>
      <c r="J212" s="83">
        <v>2809.92</v>
      </c>
      <c r="K212" s="83">
        <v>590.08000000000004</v>
      </c>
      <c r="L212" s="83">
        <v>3400</v>
      </c>
    </row>
    <row r="213" spans="2:12">
      <c r="B213" t="s">
        <v>2074</v>
      </c>
      <c r="C213" t="s">
        <v>2035</v>
      </c>
      <c r="D213" s="79">
        <v>5</v>
      </c>
      <c r="E213" s="79">
        <v>8399</v>
      </c>
      <c r="F213" s="79">
        <v>73298145778893</v>
      </c>
      <c r="G213" s="79">
        <v>99</v>
      </c>
      <c r="H213" s="79">
        <v>0</v>
      </c>
      <c r="J213" s="83">
        <v>6611.57</v>
      </c>
      <c r="K213" s="83">
        <v>1388.43</v>
      </c>
      <c r="L213" s="83">
        <v>8000</v>
      </c>
    </row>
    <row r="214" spans="2:12">
      <c r="B214" t="s">
        <v>2074</v>
      </c>
      <c r="C214" t="s">
        <v>2035</v>
      </c>
      <c r="D214" s="79">
        <v>5</v>
      </c>
      <c r="E214" s="79">
        <v>8400</v>
      </c>
      <c r="F214" s="79">
        <v>73298152013343</v>
      </c>
      <c r="G214" s="79">
        <v>99</v>
      </c>
      <c r="H214" s="79">
        <v>0</v>
      </c>
      <c r="J214" s="83">
        <v>6033.06</v>
      </c>
      <c r="K214" s="83">
        <v>1266.94</v>
      </c>
      <c r="L214" s="83">
        <v>7300</v>
      </c>
    </row>
    <row r="215" spans="2:12">
      <c r="B215" t="s">
        <v>2074</v>
      </c>
      <c r="C215" t="s">
        <v>2035</v>
      </c>
      <c r="D215" s="79">
        <v>5</v>
      </c>
      <c r="E215" s="79">
        <v>8401</v>
      </c>
      <c r="F215" s="79">
        <v>73298152207636</v>
      </c>
      <c r="G215" s="79">
        <v>99</v>
      </c>
      <c r="H215" s="79">
        <v>0</v>
      </c>
      <c r="J215" s="83">
        <v>2066.12</v>
      </c>
      <c r="K215" s="83">
        <v>433.88</v>
      </c>
      <c r="L215" s="83">
        <v>2500</v>
      </c>
    </row>
    <row r="216" spans="2:12">
      <c r="B216" t="s">
        <v>2074</v>
      </c>
      <c r="C216" t="s">
        <v>2035</v>
      </c>
      <c r="D216" s="79">
        <v>5</v>
      </c>
      <c r="E216" s="79">
        <v>8402</v>
      </c>
      <c r="F216" s="79">
        <v>73298154773119</v>
      </c>
      <c r="G216" s="79">
        <v>99</v>
      </c>
      <c r="H216" s="79">
        <v>0</v>
      </c>
      <c r="J216" s="83">
        <v>16528.93</v>
      </c>
      <c r="K216" s="83">
        <v>3471.07</v>
      </c>
      <c r="L216" s="83">
        <v>20000</v>
      </c>
    </row>
    <row r="217" spans="2:12">
      <c r="B217" t="s">
        <v>2074</v>
      </c>
      <c r="C217" t="s">
        <v>2035</v>
      </c>
      <c r="D217" s="79">
        <v>5</v>
      </c>
      <c r="E217" s="79">
        <v>8403</v>
      </c>
      <c r="F217" s="79">
        <v>73298154842608</v>
      </c>
      <c r="G217" s="79">
        <v>99</v>
      </c>
      <c r="H217" s="79">
        <v>0</v>
      </c>
      <c r="J217" s="83">
        <v>16528.93</v>
      </c>
      <c r="K217" s="83">
        <v>3471.07</v>
      </c>
      <c r="L217" s="83">
        <v>20000</v>
      </c>
    </row>
    <row r="218" spans="2:12">
      <c r="B218" t="s">
        <v>2075</v>
      </c>
      <c r="C218" t="s">
        <v>2035</v>
      </c>
      <c r="D218" s="79">
        <v>5</v>
      </c>
      <c r="E218" s="79">
        <v>8404</v>
      </c>
      <c r="F218" s="79">
        <v>73298221075362</v>
      </c>
      <c r="G218" s="79">
        <v>99</v>
      </c>
      <c r="H218" s="79">
        <v>0</v>
      </c>
      <c r="J218" s="83">
        <v>5289.26</v>
      </c>
      <c r="K218" s="83">
        <v>1110.74</v>
      </c>
      <c r="L218" s="83">
        <v>6400</v>
      </c>
    </row>
    <row r="219" spans="2:12">
      <c r="B219" t="s">
        <v>2075</v>
      </c>
      <c r="C219" t="s">
        <v>2035</v>
      </c>
      <c r="D219" s="79">
        <v>5</v>
      </c>
      <c r="E219" s="79">
        <v>8405</v>
      </c>
      <c r="F219" s="79">
        <v>73298221932519</v>
      </c>
      <c r="G219" s="79">
        <v>99</v>
      </c>
      <c r="H219" s="79">
        <v>0</v>
      </c>
      <c r="J219" s="83">
        <v>6776.86</v>
      </c>
      <c r="K219" s="83">
        <v>1423.14</v>
      </c>
      <c r="L219" s="83">
        <v>8200</v>
      </c>
    </row>
    <row r="220" spans="2:12">
      <c r="B220" t="s">
        <v>2075</v>
      </c>
      <c r="C220" t="s">
        <v>2035</v>
      </c>
      <c r="D220" s="79">
        <v>5</v>
      </c>
      <c r="E220" s="79">
        <v>8406</v>
      </c>
      <c r="F220" s="79">
        <v>73298223794075</v>
      </c>
      <c r="G220" s="79">
        <v>99</v>
      </c>
      <c r="H220" s="79">
        <v>0</v>
      </c>
      <c r="J220" s="83">
        <v>8677.69</v>
      </c>
      <c r="K220" s="83">
        <v>1822.31</v>
      </c>
      <c r="L220" s="83">
        <v>10500</v>
      </c>
    </row>
    <row r="221" spans="2:12">
      <c r="B221" t="s">
        <v>2075</v>
      </c>
      <c r="C221" t="s">
        <v>2035</v>
      </c>
      <c r="D221" s="79">
        <v>5</v>
      </c>
      <c r="E221" s="79">
        <v>8407</v>
      </c>
      <c r="F221" s="79">
        <v>73298234872444</v>
      </c>
      <c r="G221" s="79">
        <v>99</v>
      </c>
      <c r="H221" s="79">
        <v>0</v>
      </c>
      <c r="J221" s="83">
        <v>7438.02</v>
      </c>
      <c r="K221" s="83">
        <v>1561.98</v>
      </c>
      <c r="L221" s="83">
        <v>9000</v>
      </c>
    </row>
    <row r="222" spans="2:12">
      <c r="B222" t="s">
        <v>2075</v>
      </c>
      <c r="C222" t="s">
        <v>2035</v>
      </c>
      <c r="D222" s="79">
        <v>5</v>
      </c>
      <c r="E222" s="79">
        <v>8408</v>
      </c>
      <c r="F222" s="79">
        <v>73298237120878</v>
      </c>
      <c r="G222" s="79">
        <v>99</v>
      </c>
      <c r="H222" s="79">
        <v>0</v>
      </c>
      <c r="J222" s="83">
        <v>12066.12</v>
      </c>
      <c r="K222" s="83">
        <v>2533.88</v>
      </c>
      <c r="L222" s="83">
        <v>14600</v>
      </c>
    </row>
    <row r="223" spans="2:12">
      <c r="B223" t="s">
        <v>2075</v>
      </c>
      <c r="C223" t="s">
        <v>2035</v>
      </c>
      <c r="D223" s="79">
        <v>5</v>
      </c>
      <c r="E223" s="79">
        <v>8409</v>
      </c>
      <c r="F223" s="79">
        <v>73298239447654</v>
      </c>
      <c r="G223" s="79">
        <v>99</v>
      </c>
      <c r="H223" s="79">
        <v>0</v>
      </c>
      <c r="J223" s="83">
        <v>6776.86</v>
      </c>
      <c r="K223" s="83">
        <v>1423.14</v>
      </c>
      <c r="L223" s="83">
        <v>8200</v>
      </c>
    </row>
    <row r="224" spans="2:12">
      <c r="B224" t="s">
        <v>2075</v>
      </c>
      <c r="C224" t="s">
        <v>2035</v>
      </c>
      <c r="D224" s="79">
        <v>5</v>
      </c>
      <c r="E224" s="79">
        <v>8410</v>
      </c>
      <c r="F224" s="79">
        <v>73298262572006</v>
      </c>
      <c r="G224" s="79">
        <v>99</v>
      </c>
      <c r="H224" s="79">
        <v>0</v>
      </c>
      <c r="J224" s="83">
        <v>8264.4599999999991</v>
      </c>
      <c r="K224" s="83">
        <v>1735.54</v>
      </c>
      <c r="L224" s="83">
        <v>10000</v>
      </c>
    </row>
    <row r="225" spans="2:12">
      <c r="B225" t="s">
        <v>2075</v>
      </c>
      <c r="C225" t="s">
        <v>2035</v>
      </c>
      <c r="D225" s="79">
        <v>5</v>
      </c>
      <c r="E225" s="79">
        <v>8411</v>
      </c>
      <c r="F225" s="79">
        <v>73298263181690</v>
      </c>
      <c r="G225" s="79">
        <v>99</v>
      </c>
      <c r="H225" s="79">
        <v>0</v>
      </c>
      <c r="J225" s="83">
        <v>8512.4</v>
      </c>
      <c r="K225" s="83">
        <v>1787.6</v>
      </c>
      <c r="L225" s="83">
        <v>10300</v>
      </c>
    </row>
    <row r="226" spans="2:12">
      <c r="B226" t="s">
        <v>2075</v>
      </c>
      <c r="C226" t="s">
        <v>2035</v>
      </c>
      <c r="D226" s="79">
        <v>5</v>
      </c>
      <c r="E226" s="79">
        <v>8412</v>
      </c>
      <c r="F226" s="79">
        <v>73298269146880</v>
      </c>
      <c r="G226" s="79">
        <v>99</v>
      </c>
      <c r="H226" s="79">
        <v>0</v>
      </c>
      <c r="J226" s="83">
        <v>5537.19</v>
      </c>
      <c r="K226" s="83">
        <v>1162.81</v>
      </c>
      <c r="L226" s="83">
        <v>6700</v>
      </c>
    </row>
    <row r="227" spans="2:12">
      <c r="B227" t="s">
        <v>2075</v>
      </c>
      <c r="C227" t="s">
        <v>2035</v>
      </c>
      <c r="D227" s="79">
        <v>5</v>
      </c>
      <c r="E227" s="79">
        <v>8413</v>
      </c>
      <c r="F227" s="79">
        <v>73298271419361</v>
      </c>
      <c r="G227" s="79">
        <v>99</v>
      </c>
      <c r="H227" s="79">
        <v>0</v>
      </c>
      <c r="J227" s="83">
        <v>5619.83</v>
      </c>
      <c r="K227" s="83">
        <v>1180.17</v>
      </c>
      <c r="L227" s="83">
        <v>6800</v>
      </c>
    </row>
    <row r="228" spans="2:12">
      <c r="B228" t="s">
        <v>2075</v>
      </c>
      <c r="C228" t="s">
        <v>2035</v>
      </c>
      <c r="D228" s="79">
        <v>5</v>
      </c>
      <c r="E228" s="79">
        <v>8414</v>
      </c>
      <c r="F228" s="79">
        <v>73298272230255</v>
      </c>
      <c r="G228" s="79">
        <v>99</v>
      </c>
      <c r="H228" s="79">
        <v>0</v>
      </c>
      <c r="J228" s="83">
        <v>5289.26</v>
      </c>
      <c r="K228" s="83">
        <v>1110.74</v>
      </c>
      <c r="L228" s="83">
        <v>6400</v>
      </c>
    </row>
    <row r="229" spans="2:12">
      <c r="B229" t="s">
        <v>2075</v>
      </c>
      <c r="C229" t="s">
        <v>2035</v>
      </c>
      <c r="D229" s="79">
        <v>5</v>
      </c>
      <c r="E229" s="79">
        <v>8415</v>
      </c>
      <c r="F229" s="79">
        <v>73298277705031</v>
      </c>
      <c r="G229" s="79">
        <v>99</v>
      </c>
      <c r="H229" s="79">
        <v>0</v>
      </c>
      <c r="J229" s="83">
        <v>6776.86</v>
      </c>
      <c r="K229" s="83">
        <v>1423.14</v>
      </c>
      <c r="L229" s="83">
        <v>8200</v>
      </c>
    </row>
    <row r="230" spans="2:12">
      <c r="B230" t="s">
        <v>2075</v>
      </c>
      <c r="C230" t="s">
        <v>2035</v>
      </c>
      <c r="D230" s="79">
        <v>5</v>
      </c>
      <c r="E230" s="79">
        <v>8416</v>
      </c>
      <c r="F230" s="79">
        <v>73298281093073</v>
      </c>
      <c r="G230" s="79">
        <v>99</v>
      </c>
      <c r="H230" s="79">
        <v>0</v>
      </c>
      <c r="J230" s="83">
        <v>3388.43</v>
      </c>
      <c r="K230" s="83">
        <v>711.57</v>
      </c>
      <c r="L230" s="83">
        <v>4100</v>
      </c>
    </row>
    <row r="231" spans="2:12">
      <c r="B231" t="s">
        <v>2075</v>
      </c>
      <c r="C231" t="s">
        <v>2035</v>
      </c>
      <c r="D231" s="79">
        <v>5</v>
      </c>
      <c r="E231" s="79">
        <v>8417</v>
      </c>
      <c r="F231" s="79">
        <v>73298283980802</v>
      </c>
      <c r="G231" s="79">
        <v>99</v>
      </c>
      <c r="H231" s="79">
        <v>0</v>
      </c>
      <c r="J231" s="83">
        <v>5289.26</v>
      </c>
      <c r="K231" s="83">
        <v>1110.74</v>
      </c>
      <c r="L231" s="83">
        <v>6400</v>
      </c>
    </row>
    <row r="232" spans="2:12">
      <c r="B232" t="s">
        <v>2075</v>
      </c>
      <c r="C232" t="s">
        <v>2035</v>
      </c>
      <c r="D232" s="79">
        <v>5</v>
      </c>
      <c r="E232" s="79">
        <v>8418</v>
      </c>
      <c r="F232" s="79">
        <v>73298285022834</v>
      </c>
      <c r="G232" s="79">
        <v>99</v>
      </c>
      <c r="H232" s="79">
        <v>0</v>
      </c>
      <c r="J232" s="83">
        <v>3388.43</v>
      </c>
      <c r="K232" s="83">
        <v>711.57</v>
      </c>
      <c r="L232" s="83">
        <v>4100</v>
      </c>
    </row>
    <row r="233" spans="2:12">
      <c r="B233" t="s">
        <v>2075</v>
      </c>
      <c r="C233" t="s">
        <v>2035</v>
      </c>
      <c r="D233" s="79">
        <v>5</v>
      </c>
      <c r="E233" s="79">
        <v>8419</v>
      </c>
      <c r="F233" s="79">
        <v>73298289162997</v>
      </c>
      <c r="G233" s="79">
        <v>99</v>
      </c>
      <c r="H233" s="79">
        <v>0</v>
      </c>
      <c r="J233" s="83">
        <v>5289.26</v>
      </c>
      <c r="K233" s="83">
        <v>1110.74</v>
      </c>
      <c r="L233" s="83">
        <v>6400</v>
      </c>
    </row>
    <row r="234" spans="2:12">
      <c r="B234" t="s">
        <v>2075</v>
      </c>
      <c r="C234" t="s">
        <v>2035</v>
      </c>
      <c r="D234" s="79">
        <v>5</v>
      </c>
      <c r="E234" s="79">
        <v>8420</v>
      </c>
      <c r="F234" s="79">
        <v>73298289547185</v>
      </c>
      <c r="G234" s="79">
        <v>99</v>
      </c>
      <c r="H234" s="79">
        <v>0</v>
      </c>
      <c r="J234" s="83">
        <v>3388.43</v>
      </c>
      <c r="K234" s="83">
        <v>711.57</v>
      </c>
      <c r="L234" s="83">
        <v>4100</v>
      </c>
    </row>
    <row r="235" spans="2:12">
      <c r="B235" t="s">
        <v>2076</v>
      </c>
      <c r="C235" t="s">
        <v>2035</v>
      </c>
      <c r="D235" s="79">
        <v>5</v>
      </c>
      <c r="E235" s="79">
        <v>8427</v>
      </c>
      <c r="F235" s="79">
        <v>73308531692403</v>
      </c>
      <c r="G235" s="79">
        <v>99</v>
      </c>
      <c r="H235" s="79">
        <v>0</v>
      </c>
      <c r="J235" s="83">
        <v>7809.92</v>
      </c>
      <c r="K235" s="83">
        <v>1640.08</v>
      </c>
      <c r="L235" s="83">
        <v>9450</v>
      </c>
    </row>
    <row r="236" spans="2:12">
      <c r="B236" t="s">
        <v>2076</v>
      </c>
      <c r="C236" t="s">
        <v>2035</v>
      </c>
      <c r="D236" s="79">
        <v>5</v>
      </c>
      <c r="E236" s="79">
        <v>8428</v>
      </c>
      <c r="F236" s="79">
        <v>73308540254137</v>
      </c>
      <c r="G236" s="79">
        <v>99</v>
      </c>
      <c r="H236" s="79">
        <v>0</v>
      </c>
      <c r="J236" s="83">
        <v>4710.74</v>
      </c>
      <c r="K236" s="83">
        <v>989.26</v>
      </c>
      <c r="L236" s="83">
        <v>5700</v>
      </c>
    </row>
    <row r="237" spans="2:12">
      <c r="B237" t="s">
        <v>2076</v>
      </c>
      <c r="C237" t="s">
        <v>2035</v>
      </c>
      <c r="D237" s="79">
        <v>5</v>
      </c>
      <c r="E237" s="79">
        <v>8429</v>
      </c>
      <c r="F237" s="79">
        <v>73308552589870</v>
      </c>
      <c r="G237" s="79">
        <v>99</v>
      </c>
      <c r="H237" s="79">
        <v>0</v>
      </c>
      <c r="J237" s="83">
        <v>6033.06</v>
      </c>
      <c r="K237" s="83">
        <v>1266.94</v>
      </c>
      <c r="L237" s="83">
        <v>7300</v>
      </c>
    </row>
    <row r="238" spans="2:12">
      <c r="B238" t="s">
        <v>2076</v>
      </c>
      <c r="C238" t="s">
        <v>2035</v>
      </c>
      <c r="D238" s="79">
        <v>5</v>
      </c>
      <c r="E238" s="79">
        <v>8430</v>
      </c>
      <c r="F238" s="79">
        <v>73308556657184</v>
      </c>
      <c r="G238" s="79">
        <v>99</v>
      </c>
      <c r="H238" s="79">
        <v>0</v>
      </c>
      <c r="J238" s="83">
        <v>6776.86</v>
      </c>
      <c r="K238" s="83">
        <v>1423.14</v>
      </c>
      <c r="L238" s="83">
        <v>8200</v>
      </c>
    </row>
    <row r="239" spans="2:12">
      <c r="B239" t="s">
        <v>2076</v>
      </c>
      <c r="C239" t="s">
        <v>2035</v>
      </c>
      <c r="D239" s="79">
        <v>5</v>
      </c>
      <c r="E239" s="79">
        <v>8431</v>
      </c>
      <c r="F239" s="79">
        <v>73308557181447</v>
      </c>
      <c r="G239" s="79">
        <v>99</v>
      </c>
      <c r="H239" s="79">
        <v>0</v>
      </c>
      <c r="J239" s="83">
        <v>3636.36</v>
      </c>
      <c r="K239" s="83">
        <v>763.64</v>
      </c>
      <c r="L239" s="83">
        <v>4400</v>
      </c>
    </row>
    <row r="240" spans="2:12">
      <c r="B240" t="s">
        <v>2076</v>
      </c>
      <c r="C240" t="s">
        <v>2035</v>
      </c>
      <c r="D240" s="79">
        <v>5</v>
      </c>
      <c r="E240" s="79">
        <v>8432</v>
      </c>
      <c r="F240" s="79">
        <v>73308558761350</v>
      </c>
      <c r="G240" s="79">
        <v>99</v>
      </c>
      <c r="H240" s="79">
        <v>0</v>
      </c>
      <c r="J240" s="83">
        <v>10330.58</v>
      </c>
      <c r="K240" s="83">
        <v>2169.42</v>
      </c>
      <c r="L240" s="83">
        <v>12500</v>
      </c>
    </row>
    <row r="241" spans="2:12">
      <c r="B241" t="s">
        <v>2076</v>
      </c>
      <c r="C241" t="s">
        <v>2035</v>
      </c>
      <c r="D241" s="79">
        <v>5</v>
      </c>
      <c r="E241" s="79">
        <v>8433</v>
      </c>
      <c r="F241" s="79">
        <v>73308558991638</v>
      </c>
      <c r="G241" s="79">
        <v>99</v>
      </c>
      <c r="H241" s="79">
        <v>0</v>
      </c>
      <c r="J241" s="83">
        <v>3966.94</v>
      </c>
      <c r="K241" s="83">
        <v>833.06</v>
      </c>
      <c r="L241" s="83">
        <v>4800</v>
      </c>
    </row>
    <row r="242" spans="2:12">
      <c r="B242" t="s">
        <v>2076</v>
      </c>
      <c r="C242" t="s">
        <v>2035</v>
      </c>
      <c r="D242" s="79">
        <v>5</v>
      </c>
      <c r="E242" s="79">
        <v>8434</v>
      </c>
      <c r="F242" s="79">
        <v>73308562328149</v>
      </c>
      <c r="G242" s="79">
        <v>99</v>
      </c>
      <c r="H242" s="79">
        <v>0</v>
      </c>
      <c r="J242" s="83">
        <v>2479.34</v>
      </c>
      <c r="K242" s="83">
        <v>520.66</v>
      </c>
      <c r="L242" s="83">
        <v>3000</v>
      </c>
    </row>
    <row r="243" spans="2:12">
      <c r="B243" t="s">
        <v>2076</v>
      </c>
      <c r="C243" t="s">
        <v>2035</v>
      </c>
      <c r="D243" s="79">
        <v>5</v>
      </c>
      <c r="E243" s="79">
        <v>8435</v>
      </c>
      <c r="F243" s="79">
        <v>73308565943360</v>
      </c>
      <c r="G243" s="79">
        <v>99</v>
      </c>
      <c r="H243" s="79">
        <v>0</v>
      </c>
      <c r="J243" s="83">
        <v>2066.12</v>
      </c>
      <c r="K243" s="83">
        <v>433.88</v>
      </c>
      <c r="L243" s="83">
        <v>2500</v>
      </c>
    </row>
    <row r="244" spans="2:12">
      <c r="B244" t="s">
        <v>2076</v>
      </c>
      <c r="C244" t="s">
        <v>2035</v>
      </c>
      <c r="D244" s="79">
        <v>5</v>
      </c>
      <c r="E244" s="79">
        <v>8436</v>
      </c>
      <c r="F244" s="79">
        <v>73308567007138</v>
      </c>
      <c r="G244" s="79">
        <v>99</v>
      </c>
      <c r="H244" s="79">
        <v>0</v>
      </c>
      <c r="J244" s="83">
        <v>7272.73</v>
      </c>
      <c r="K244" s="83">
        <v>1527.27</v>
      </c>
      <c r="L244" s="83">
        <v>8800</v>
      </c>
    </row>
    <row r="245" spans="2:12">
      <c r="B245" t="s">
        <v>2076</v>
      </c>
      <c r="C245" t="s">
        <v>2035</v>
      </c>
      <c r="D245" s="79">
        <v>5</v>
      </c>
      <c r="E245" s="79">
        <v>8437</v>
      </c>
      <c r="F245" s="79">
        <v>73308571907847</v>
      </c>
      <c r="G245" s="79">
        <v>99</v>
      </c>
      <c r="H245" s="79">
        <v>0</v>
      </c>
      <c r="J245" s="83">
        <v>12727.27</v>
      </c>
      <c r="K245" s="83">
        <v>2672.73</v>
      </c>
      <c r="L245" s="83">
        <v>15400</v>
      </c>
    </row>
    <row r="246" spans="2:12">
      <c r="B246" t="s">
        <v>2076</v>
      </c>
      <c r="C246" t="s">
        <v>2035</v>
      </c>
      <c r="D246" s="79">
        <v>5</v>
      </c>
      <c r="E246" s="79">
        <v>8421</v>
      </c>
      <c r="F246" s="79">
        <v>73308515228501</v>
      </c>
      <c r="G246" s="79">
        <v>99</v>
      </c>
      <c r="H246" s="79">
        <v>0</v>
      </c>
      <c r="J246" s="83">
        <v>12644.63</v>
      </c>
      <c r="K246" s="83">
        <v>2655.37</v>
      </c>
      <c r="L246" s="83">
        <v>15300</v>
      </c>
    </row>
    <row r="247" spans="2:12">
      <c r="B247" t="s">
        <v>2076</v>
      </c>
      <c r="C247" t="s">
        <v>2035</v>
      </c>
      <c r="D247" s="79">
        <v>5</v>
      </c>
      <c r="E247" s="79">
        <v>8422</v>
      </c>
      <c r="F247" s="79">
        <v>73308515789665</v>
      </c>
      <c r="G247" s="79">
        <v>99</v>
      </c>
      <c r="H247" s="79">
        <v>0</v>
      </c>
      <c r="J247" s="83">
        <v>13016.53</v>
      </c>
      <c r="K247" s="83">
        <v>2733.47</v>
      </c>
      <c r="L247" s="83">
        <v>15750</v>
      </c>
    </row>
    <row r="248" spans="2:12">
      <c r="B248" t="s">
        <v>2076</v>
      </c>
      <c r="C248" t="s">
        <v>2035</v>
      </c>
      <c r="D248" s="79">
        <v>5</v>
      </c>
      <c r="E248" s="79">
        <v>8423</v>
      </c>
      <c r="F248" s="79">
        <v>73308516607008</v>
      </c>
      <c r="G248" s="79">
        <v>99</v>
      </c>
      <c r="H248" s="79">
        <v>0</v>
      </c>
      <c r="J248" s="83">
        <v>12561.98</v>
      </c>
      <c r="K248" s="83">
        <v>2638.02</v>
      </c>
      <c r="L248" s="83">
        <v>15200</v>
      </c>
    </row>
    <row r="249" spans="2:12">
      <c r="B249" t="s">
        <v>2076</v>
      </c>
      <c r="C249" t="s">
        <v>2035</v>
      </c>
      <c r="D249" s="79">
        <v>5</v>
      </c>
      <c r="E249" s="79">
        <v>8424</v>
      </c>
      <c r="F249" s="79">
        <v>73308518562239</v>
      </c>
      <c r="G249" s="79">
        <v>99</v>
      </c>
      <c r="H249" s="79">
        <v>0</v>
      </c>
      <c r="J249" s="83">
        <v>7438.02</v>
      </c>
      <c r="K249" s="83">
        <v>1561.98</v>
      </c>
      <c r="L249" s="83">
        <v>9000</v>
      </c>
    </row>
    <row r="250" spans="2:12">
      <c r="B250" t="s">
        <v>2076</v>
      </c>
      <c r="C250" t="s">
        <v>2035</v>
      </c>
      <c r="D250" s="79">
        <v>5</v>
      </c>
      <c r="E250" s="79">
        <v>8425</v>
      </c>
      <c r="F250" s="79">
        <v>73308519452358</v>
      </c>
      <c r="G250" s="79">
        <v>99</v>
      </c>
      <c r="H250" s="79">
        <v>0</v>
      </c>
      <c r="J250" s="83">
        <v>4958.68</v>
      </c>
      <c r="K250" s="83">
        <v>1041.32</v>
      </c>
      <c r="L250" s="83">
        <v>6000</v>
      </c>
    </row>
    <row r="251" spans="2:12">
      <c r="B251" t="s">
        <v>2076</v>
      </c>
      <c r="C251" t="s">
        <v>2035</v>
      </c>
      <c r="D251" s="79">
        <v>5</v>
      </c>
      <c r="E251" s="79">
        <v>8426</v>
      </c>
      <c r="F251" s="79">
        <v>73308529444360</v>
      </c>
      <c r="G251" s="79">
        <v>99</v>
      </c>
      <c r="H251" s="79">
        <v>0</v>
      </c>
      <c r="J251" s="83">
        <v>2479.34</v>
      </c>
      <c r="K251" s="83">
        <v>520.66</v>
      </c>
      <c r="L251" s="83">
        <v>3000</v>
      </c>
    </row>
    <row r="252" spans="2:12">
      <c r="B252" t="s">
        <v>2078</v>
      </c>
      <c r="C252" t="s">
        <v>2035</v>
      </c>
      <c r="D252" s="79">
        <v>5</v>
      </c>
      <c r="E252" s="79">
        <v>8438</v>
      </c>
      <c r="F252" s="79">
        <v>73308626500692</v>
      </c>
      <c r="G252" t="s">
        <v>2052</v>
      </c>
      <c r="H252" s="79">
        <v>32912323</v>
      </c>
      <c r="J252" s="83">
        <v>11570.25</v>
      </c>
      <c r="K252" s="83">
        <v>2429.75</v>
      </c>
      <c r="L252" s="83">
        <v>14000</v>
      </c>
    </row>
    <row r="253" spans="2:12">
      <c r="B253" t="s">
        <v>2078</v>
      </c>
      <c r="C253" t="s">
        <v>2035</v>
      </c>
      <c r="D253" s="79">
        <v>5</v>
      </c>
      <c r="E253" s="79">
        <v>8439</v>
      </c>
      <c r="F253" s="79">
        <v>73308626690824</v>
      </c>
      <c r="G253" s="79">
        <v>99</v>
      </c>
      <c r="H253" s="79">
        <v>0</v>
      </c>
      <c r="J253" s="83">
        <v>1652.89</v>
      </c>
      <c r="K253" s="83">
        <v>347.11</v>
      </c>
      <c r="L253" s="83">
        <v>2000</v>
      </c>
    </row>
    <row r="254" spans="2:12">
      <c r="B254" t="s">
        <v>2078</v>
      </c>
      <c r="C254" t="s">
        <v>2035</v>
      </c>
      <c r="D254" s="79">
        <v>5</v>
      </c>
      <c r="E254" s="79">
        <v>8440</v>
      </c>
      <c r="F254" s="79">
        <v>73308628656388</v>
      </c>
      <c r="G254" s="79">
        <v>99</v>
      </c>
      <c r="H254" s="79">
        <v>0</v>
      </c>
      <c r="J254" s="83">
        <v>3305.79</v>
      </c>
      <c r="K254" s="83">
        <v>694.21</v>
      </c>
      <c r="L254" s="83">
        <v>4000</v>
      </c>
    </row>
    <row r="255" spans="2:12">
      <c r="B255" t="s">
        <v>2078</v>
      </c>
      <c r="C255" t="s">
        <v>2035</v>
      </c>
      <c r="D255" s="79">
        <v>5</v>
      </c>
      <c r="E255" s="79">
        <v>8441</v>
      </c>
      <c r="F255" s="79">
        <v>73308629994018</v>
      </c>
      <c r="G255" t="s">
        <v>2052</v>
      </c>
      <c r="H255" s="79">
        <v>52766596</v>
      </c>
      <c r="J255" s="83">
        <v>12066.12</v>
      </c>
      <c r="K255" s="83">
        <v>2533.88</v>
      </c>
      <c r="L255" s="83">
        <v>14600</v>
      </c>
    </row>
    <row r="256" spans="2:12">
      <c r="B256" t="s">
        <v>2078</v>
      </c>
      <c r="C256" t="s">
        <v>2035</v>
      </c>
      <c r="D256" s="79">
        <v>5</v>
      </c>
      <c r="E256" s="79">
        <v>8442</v>
      </c>
      <c r="F256" s="79">
        <v>73308636696252</v>
      </c>
      <c r="G256" s="79">
        <v>99</v>
      </c>
      <c r="H256" s="79">
        <v>0</v>
      </c>
      <c r="J256" s="83">
        <v>6280.99</v>
      </c>
      <c r="K256" s="83">
        <v>1319.01</v>
      </c>
      <c r="L256" s="83">
        <v>7600</v>
      </c>
    </row>
    <row r="257" spans="2:12">
      <c r="B257" t="s">
        <v>2078</v>
      </c>
      <c r="C257" t="s">
        <v>2035</v>
      </c>
      <c r="D257" s="79">
        <v>5</v>
      </c>
      <c r="E257" s="79">
        <v>8443</v>
      </c>
      <c r="F257" s="79">
        <v>73308638694396</v>
      </c>
      <c r="G257" s="79">
        <v>99</v>
      </c>
      <c r="H257" s="79">
        <v>0</v>
      </c>
      <c r="J257" s="83">
        <v>6776.86</v>
      </c>
      <c r="K257" s="83">
        <v>1423.14</v>
      </c>
      <c r="L257" s="83">
        <v>8200</v>
      </c>
    </row>
    <row r="258" spans="2:12">
      <c r="B258" t="s">
        <v>2078</v>
      </c>
      <c r="C258" t="s">
        <v>2035</v>
      </c>
      <c r="D258" s="79">
        <v>5</v>
      </c>
      <c r="E258" s="79">
        <v>8444</v>
      </c>
      <c r="F258" s="79">
        <v>73308649855696</v>
      </c>
      <c r="G258" s="79">
        <v>99</v>
      </c>
      <c r="H258" s="79">
        <v>0</v>
      </c>
      <c r="J258" s="83">
        <v>2479.34</v>
      </c>
      <c r="K258" s="83">
        <v>520.66</v>
      </c>
      <c r="L258" s="83">
        <v>3000</v>
      </c>
    </row>
    <row r="259" spans="2:12">
      <c r="B259" t="s">
        <v>2078</v>
      </c>
      <c r="C259" t="s">
        <v>2035</v>
      </c>
      <c r="D259" s="79">
        <v>5</v>
      </c>
      <c r="E259" s="79">
        <v>8445</v>
      </c>
      <c r="F259" s="79">
        <v>73308649992210</v>
      </c>
      <c r="G259" s="79">
        <v>99</v>
      </c>
      <c r="H259" s="79">
        <v>0</v>
      </c>
      <c r="J259" s="83">
        <v>2479.34</v>
      </c>
      <c r="K259" s="83">
        <v>520.66</v>
      </c>
      <c r="L259" s="83">
        <v>3000</v>
      </c>
    </row>
    <row r="260" spans="2:12">
      <c r="B260" t="s">
        <v>2078</v>
      </c>
      <c r="C260" t="s">
        <v>2035</v>
      </c>
      <c r="D260" s="79">
        <v>5</v>
      </c>
      <c r="E260" s="79">
        <v>8446</v>
      </c>
      <c r="F260" s="79">
        <v>73308650664705</v>
      </c>
      <c r="G260" s="79">
        <v>99</v>
      </c>
      <c r="H260" s="79">
        <v>0</v>
      </c>
      <c r="J260" s="83">
        <v>2479.34</v>
      </c>
      <c r="K260" s="83">
        <v>520.66</v>
      </c>
      <c r="L260" s="83">
        <v>3000</v>
      </c>
    </row>
    <row r="261" spans="2:12">
      <c r="B261" t="s">
        <v>2078</v>
      </c>
      <c r="C261" t="s">
        <v>2035</v>
      </c>
      <c r="D261" s="79">
        <v>5</v>
      </c>
      <c r="E261" s="79">
        <v>8447</v>
      </c>
      <c r="F261" s="79">
        <v>73308653218225</v>
      </c>
      <c r="G261" s="79">
        <v>99</v>
      </c>
      <c r="H261" s="79">
        <v>0</v>
      </c>
      <c r="J261" s="83">
        <v>12727.27</v>
      </c>
      <c r="K261" s="83">
        <v>2672.73</v>
      </c>
      <c r="L261" s="83">
        <v>15400</v>
      </c>
    </row>
    <row r="262" spans="2:12">
      <c r="B262" t="s">
        <v>2078</v>
      </c>
      <c r="C262" t="s">
        <v>2035</v>
      </c>
      <c r="D262" s="79">
        <v>5</v>
      </c>
      <c r="E262" s="79">
        <v>8448</v>
      </c>
      <c r="F262" s="79">
        <v>73308653640232</v>
      </c>
      <c r="G262" s="79">
        <v>99</v>
      </c>
      <c r="H262" s="79">
        <v>0</v>
      </c>
      <c r="J262" s="83">
        <v>2479.34</v>
      </c>
      <c r="K262" s="83">
        <v>520.66</v>
      </c>
      <c r="L262" s="83">
        <v>3000</v>
      </c>
    </row>
    <row r="263" spans="2:12">
      <c r="B263" t="s">
        <v>2078</v>
      </c>
      <c r="C263" t="s">
        <v>2035</v>
      </c>
      <c r="D263" s="79">
        <v>5</v>
      </c>
      <c r="E263" s="79">
        <v>8449</v>
      </c>
      <c r="F263" s="79">
        <v>73308662032275</v>
      </c>
      <c r="G263" s="79">
        <v>99</v>
      </c>
      <c r="H263" s="79">
        <v>0</v>
      </c>
      <c r="J263" s="83">
        <v>826.45</v>
      </c>
      <c r="K263" s="83">
        <v>173.55</v>
      </c>
      <c r="L263" s="83">
        <v>1000</v>
      </c>
    </row>
    <row r="264" spans="2:12">
      <c r="B264" t="s">
        <v>2078</v>
      </c>
      <c r="C264" t="s">
        <v>2035</v>
      </c>
      <c r="D264" s="79">
        <v>5</v>
      </c>
      <c r="E264" s="79">
        <v>8450</v>
      </c>
      <c r="F264" s="79">
        <v>73308668258117</v>
      </c>
      <c r="G264" s="79">
        <v>99</v>
      </c>
      <c r="H264" s="79">
        <v>0</v>
      </c>
      <c r="J264" s="83">
        <v>5785.12</v>
      </c>
      <c r="K264" s="83">
        <v>1214.8800000000001</v>
      </c>
      <c r="L264" s="83">
        <v>7000</v>
      </c>
    </row>
    <row r="265" spans="2:12">
      <c r="B265" t="s">
        <v>2078</v>
      </c>
      <c r="C265" t="s">
        <v>2035</v>
      </c>
      <c r="D265" s="79">
        <v>5</v>
      </c>
      <c r="E265" s="79">
        <v>8451</v>
      </c>
      <c r="F265" s="79">
        <v>73308669089114</v>
      </c>
      <c r="G265" s="79">
        <v>99</v>
      </c>
      <c r="H265" s="79">
        <v>0</v>
      </c>
      <c r="J265" s="83">
        <v>7685.95</v>
      </c>
      <c r="K265" s="83">
        <v>1614.05</v>
      </c>
      <c r="L265" s="83">
        <v>9300</v>
      </c>
    </row>
    <row r="266" spans="2:12">
      <c r="B266" t="s">
        <v>2078</v>
      </c>
      <c r="C266" t="s">
        <v>2035</v>
      </c>
      <c r="D266" s="79">
        <v>5</v>
      </c>
      <c r="E266" s="79">
        <v>8452</v>
      </c>
      <c r="F266" s="79">
        <v>73308671556180</v>
      </c>
      <c r="G266" s="79">
        <v>99</v>
      </c>
      <c r="H266" s="79">
        <v>0</v>
      </c>
      <c r="J266" s="83">
        <v>8595.0400000000009</v>
      </c>
      <c r="K266" s="83">
        <v>1804.96</v>
      </c>
      <c r="L266" s="83">
        <v>10400</v>
      </c>
    </row>
    <row r="267" spans="2:12">
      <c r="B267" t="s">
        <v>2078</v>
      </c>
      <c r="C267" t="s">
        <v>2035</v>
      </c>
      <c r="D267" s="79">
        <v>5</v>
      </c>
      <c r="E267" s="79">
        <v>8453</v>
      </c>
      <c r="F267" s="79">
        <v>73308674207395</v>
      </c>
      <c r="G267" s="79">
        <v>99</v>
      </c>
      <c r="H267" s="79">
        <v>0</v>
      </c>
      <c r="J267" s="83">
        <v>3305.79</v>
      </c>
      <c r="K267" s="83">
        <v>694.21</v>
      </c>
      <c r="L267" s="83">
        <v>4000</v>
      </c>
    </row>
    <row r="268" spans="2:12">
      <c r="B268" t="s">
        <v>2078</v>
      </c>
      <c r="C268" t="s">
        <v>2035</v>
      </c>
      <c r="D268" s="79">
        <v>5</v>
      </c>
      <c r="E268" s="79">
        <v>8454</v>
      </c>
      <c r="F268" s="79">
        <v>73308677987972</v>
      </c>
      <c r="G268" s="79">
        <v>99</v>
      </c>
      <c r="H268" s="79">
        <v>0</v>
      </c>
      <c r="J268" s="83">
        <v>3388.43</v>
      </c>
      <c r="K268" s="83">
        <v>711.57</v>
      </c>
      <c r="L268" s="83">
        <v>4100</v>
      </c>
    </row>
    <row r="269" spans="2:12">
      <c r="B269" t="s">
        <v>2078</v>
      </c>
      <c r="C269" t="s">
        <v>2035</v>
      </c>
      <c r="D269" s="79">
        <v>5</v>
      </c>
      <c r="E269" s="79">
        <v>8455</v>
      </c>
      <c r="F269" s="79">
        <v>73308680863787</v>
      </c>
      <c r="G269" t="s">
        <v>2052</v>
      </c>
      <c r="H269" s="79">
        <v>40129540</v>
      </c>
      <c r="J269" s="83">
        <v>4710.74</v>
      </c>
      <c r="K269" s="83">
        <v>989.26</v>
      </c>
      <c r="L269" s="83">
        <v>5700</v>
      </c>
    </row>
    <row r="270" spans="2:12">
      <c r="B270" t="s">
        <v>2080</v>
      </c>
      <c r="C270" t="s">
        <v>2035</v>
      </c>
      <c r="D270" s="79">
        <v>5</v>
      </c>
      <c r="E270" s="79">
        <v>8456</v>
      </c>
      <c r="F270" s="79">
        <v>73308729927153</v>
      </c>
      <c r="G270" s="79">
        <v>99</v>
      </c>
      <c r="H270" s="79">
        <v>0</v>
      </c>
      <c r="J270" s="83">
        <v>13016.53</v>
      </c>
      <c r="K270" s="83">
        <v>2733.47</v>
      </c>
      <c r="L270" s="83">
        <v>15750</v>
      </c>
    </row>
    <row r="271" spans="2:12">
      <c r="B271" t="s">
        <v>2080</v>
      </c>
      <c r="C271" t="s">
        <v>2035</v>
      </c>
      <c r="D271" s="79">
        <v>5</v>
      </c>
      <c r="E271" s="79">
        <v>8457</v>
      </c>
      <c r="F271" s="79">
        <v>73308754954688</v>
      </c>
      <c r="G271" s="79">
        <v>99</v>
      </c>
      <c r="H271" s="79">
        <v>0</v>
      </c>
      <c r="J271" s="83">
        <v>2727.27</v>
      </c>
      <c r="K271" s="83">
        <v>572.73</v>
      </c>
      <c r="L271" s="83">
        <v>3300</v>
      </c>
    </row>
    <row r="272" spans="2:12">
      <c r="B272" t="s">
        <v>2080</v>
      </c>
      <c r="C272" t="s">
        <v>2035</v>
      </c>
      <c r="D272" s="79">
        <v>5</v>
      </c>
      <c r="E272" s="79">
        <v>8458</v>
      </c>
      <c r="F272" s="79">
        <v>73308758143954</v>
      </c>
      <c r="G272" s="79">
        <v>99</v>
      </c>
      <c r="H272" s="79">
        <v>0</v>
      </c>
      <c r="J272" s="83">
        <v>6033.06</v>
      </c>
      <c r="K272" s="83">
        <v>1266.94</v>
      </c>
      <c r="L272" s="83">
        <v>7300</v>
      </c>
    </row>
    <row r="273" spans="2:12">
      <c r="B273" t="s">
        <v>2080</v>
      </c>
      <c r="C273" t="s">
        <v>2035</v>
      </c>
      <c r="D273" s="79">
        <v>5</v>
      </c>
      <c r="E273" s="79">
        <v>8459</v>
      </c>
      <c r="F273" s="79">
        <v>73308763321502</v>
      </c>
      <c r="G273" s="79">
        <v>99</v>
      </c>
      <c r="H273" s="79">
        <v>0</v>
      </c>
      <c r="J273" s="83">
        <v>2644.63</v>
      </c>
      <c r="K273" s="83">
        <v>555.37</v>
      </c>
      <c r="L273" s="83">
        <v>3200</v>
      </c>
    </row>
    <row r="274" spans="2:12">
      <c r="B274" t="s">
        <v>2080</v>
      </c>
      <c r="C274" t="s">
        <v>2035</v>
      </c>
      <c r="D274" s="79">
        <v>5</v>
      </c>
      <c r="E274" s="79">
        <v>8460</v>
      </c>
      <c r="F274" s="79">
        <v>73308778155190</v>
      </c>
      <c r="G274" s="79">
        <v>99</v>
      </c>
      <c r="H274" s="79">
        <v>0</v>
      </c>
      <c r="J274" s="83">
        <v>4958.68</v>
      </c>
      <c r="K274" s="83">
        <v>1041.32</v>
      </c>
      <c r="L274" s="83">
        <v>6000</v>
      </c>
    </row>
    <row r="275" spans="2:12">
      <c r="B275" t="s">
        <v>2080</v>
      </c>
      <c r="C275" t="s">
        <v>2035</v>
      </c>
      <c r="D275" s="79">
        <v>5</v>
      </c>
      <c r="E275" s="79">
        <v>8461</v>
      </c>
      <c r="F275" s="79">
        <v>73308783793477</v>
      </c>
      <c r="G275" s="79">
        <v>99</v>
      </c>
      <c r="H275" s="79">
        <v>0</v>
      </c>
      <c r="J275" s="83">
        <v>3388.43</v>
      </c>
      <c r="K275" s="83">
        <v>711.57</v>
      </c>
      <c r="L275" s="83">
        <v>4100</v>
      </c>
    </row>
    <row r="276" spans="2:12">
      <c r="B276" t="s">
        <v>2082</v>
      </c>
      <c r="C276" t="s">
        <v>2035</v>
      </c>
      <c r="D276" s="79">
        <v>5</v>
      </c>
      <c r="E276" s="79">
        <v>8462</v>
      </c>
      <c r="F276" s="79">
        <v>73308845465027</v>
      </c>
      <c r="G276" s="79">
        <v>99</v>
      </c>
      <c r="H276" s="79">
        <v>0</v>
      </c>
      <c r="J276" s="83">
        <v>2727.27</v>
      </c>
      <c r="K276" s="83">
        <v>572.73</v>
      </c>
      <c r="L276" s="83">
        <v>3300</v>
      </c>
    </row>
    <row r="277" spans="2:12">
      <c r="B277" t="s">
        <v>2082</v>
      </c>
      <c r="C277" t="s">
        <v>2035</v>
      </c>
      <c r="D277" s="79">
        <v>5</v>
      </c>
      <c r="E277" s="79">
        <v>8463</v>
      </c>
      <c r="F277" s="79">
        <v>73308847064342</v>
      </c>
      <c r="G277" s="79">
        <v>99</v>
      </c>
      <c r="H277" s="79">
        <v>0</v>
      </c>
      <c r="J277" s="83">
        <v>3471.07</v>
      </c>
      <c r="K277" s="83">
        <v>728.93</v>
      </c>
      <c r="L277" s="83">
        <v>4200</v>
      </c>
    </row>
    <row r="278" spans="2:12">
      <c r="B278" t="s">
        <v>2082</v>
      </c>
      <c r="C278" t="s">
        <v>2035</v>
      </c>
      <c r="D278" s="79">
        <v>5</v>
      </c>
      <c r="E278" s="79">
        <v>8464</v>
      </c>
      <c r="F278" s="79">
        <v>73308849027243</v>
      </c>
      <c r="G278" s="79">
        <v>99</v>
      </c>
      <c r="H278" s="79">
        <v>0</v>
      </c>
      <c r="J278" s="83">
        <v>5371.9</v>
      </c>
      <c r="K278" s="83">
        <v>1128.0999999999999</v>
      </c>
      <c r="L278" s="83">
        <v>6500</v>
      </c>
    </row>
    <row r="279" spans="2:12">
      <c r="B279" t="s">
        <v>2082</v>
      </c>
      <c r="C279" t="s">
        <v>2035</v>
      </c>
      <c r="D279" s="79">
        <v>5</v>
      </c>
      <c r="E279" s="79">
        <v>8465</v>
      </c>
      <c r="F279" s="79">
        <v>73308864534387</v>
      </c>
      <c r="G279" s="79">
        <v>99</v>
      </c>
      <c r="H279" s="79">
        <v>0</v>
      </c>
      <c r="J279" s="83">
        <v>4132.2299999999996</v>
      </c>
      <c r="K279" s="83">
        <v>867.77</v>
      </c>
      <c r="L279" s="83">
        <v>5000</v>
      </c>
    </row>
    <row r="280" spans="2:12">
      <c r="B280" t="s">
        <v>2082</v>
      </c>
      <c r="C280" t="s">
        <v>2035</v>
      </c>
      <c r="D280" s="79">
        <v>5</v>
      </c>
      <c r="E280" s="79">
        <v>8466</v>
      </c>
      <c r="F280" s="79">
        <v>73308870470096</v>
      </c>
      <c r="G280" s="79">
        <v>99</v>
      </c>
      <c r="H280" s="79">
        <v>0</v>
      </c>
      <c r="J280" s="83">
        <v>12066.12</v>
      </c>
      <c r="K280" s="83">
        <v>2533.88</v>
      </c>
      <c r="L280" s="83">
        <v>14600</v>
      </c>
    </row>
    <row r="281" spans="2:12">
      <c r="B281" t="s">
        <v>2082</v>
      </c>
      <c r="C281" t="s">
        <v>2035</v>
      </c>
      <c r="D281" s="79">
        <v>5</v>
      </c>
      <c r="E281" s="79">
        <v>8467</v>
      </c>
      <c r="F281" s="79">
        <v>73308875030156</v>
      </c>
      <c r="G281" s="79">
        <v>99</v>
      </c>
      <c r="H281" s="79">
        <v>0</v>
      </c>
      <c r="J281" s="83">
        <v>13388.43</v>
      </c>
      <c r="K281" s="83">
        <v>2811.57</v>
      </c>
      <c r="L281" s="83">
        <v>16200</v>
      </c>
    </row>
    <row r="282" spans="2:12">
      <c r="B282" t="s">
        <v>2082</v>
      </c>
      <c r="C282" t="s">
        <v>2035</v>
      </c>
      <c r="D282" s="79">
        <v>5</v>
      </c>
      <c r="E282" s="79">
        <v>8468</v>
      </c>
      <c r="F282" s="79">
        <v>73308880895765</v>
      </c>
      <c r="G282" s="79">
        <v>99</v>
      </c>
      <c r="H282" s="79">
        <v>0</v>
      </c>
      <c r="J282" s="83">
        <v>6611.57</v>
      </c>
      <c r="K282" s="83">
        <v>1388.43</v>
      </c>
      <c r="L282" s="83">
        <v>8000</v>
      </c>
    </row>
    <row r="283" spans="2:12">
      <c r="B283" t="s">
        <v>2082</v>
      </c>
      <c r="C283" t="s">
        <v>2035</v>
      </c>
      <c r="D283" s="79">
        <v>5</v>
      </c>
      <c r="E283" s="79">
        <v>8469</v>
      </c>
      <c r="F283" s="79">
        <v>73308886351493</v>
      </c>
      <c r="G283" s="79">
        <v>99</v>
      </c>
      <c r="H283" s="79">
        <v>0</v>
      </c>
      <c r="J283" s="83">
        <v>1818.18</v>
      </c>
      <c r="K283" s="83">
        <v>381.82</v>
      </c>
      <c r="L283" s="83">
        <v>2200</v>
      </c>
    </row>
    <row r="284" spans="2:12">
      <c r="B284" t="s">
        <v>2082</v>
      </c>
      <c r="C284" t="s">
        <v>2035</v>
      </c>
      <c r="D284" s="79">
        <v>5</v>
      </c>
      <c r="E284" s="79">
        <v>8470</v>
      </c>
      <c r="F284" s="79">
        <v>73308902466346</v>
      </c>
      <c r="G284" s="79">
        <v>99</v>
      </c>
      <c r="H284" s="79">
        <v>0</v>
      </c>
      <c r="J284" s="83">
        <v>1322.31</v>
      </c>
      <c r="K284" s="83">
        <v>277.69</v>
      </c>
      <c r="L284" s="83">
        <v>1600</v>
      </c>
    </row>
    <row r="285" spans="2:12">
      <c r="B285" t="s">
        <v>2083</v>
      </c>
      <c r="C285" t="s">
        <v>2035</v>
      </c>
      <c r="D285" s="79">
        <v>5</v>
      </c>
      <c r="E285" s="79">
        <v>8471</v>
      </c>
      <c r="F285" s="79">
        <v>73308972923265</v>
      </c>
      <c r="G285" s="79">
        <v>99</v>
      </c>
      <c r="H285" s="79">
        <v>0</v>
      </c>
      <c r="J285" s="83">
        <v>14049.59</v>
      </c>
      <c r="K285" s="83">
        <v>2950.41</v>
      </c>
      <c r="L285" s="83">
        <v>17000</v>
      </c>
    </row>
    <row r="286" spans="2:12">
      <c r="B286" t="s">
        <v>2083</v>
      </c>
      <c r="C286" t="s">
        <v>2035</v>
      </c>
      <c r="D286" s="79">
        <v>5</v>
      </c>
      <c r="E286" s="79">
        <v>8472</v>
      </c>
      <c r="F286" s="79">
        <v>73308974885744</v>
      </c>
      <c r="G286" s="79">
        <v>99</v>
      </c>
      <c r="H286" s="79">
        <v>0</v>
      </c>
      <c r="J286" s="83">
        <v>4545.45</v>
      </c>
      <c r="K286" s="83">
        <v>954.55</v>
      </c>
      <c r="L286" s="83">
        <v>5500</v>
      </c>
    </row>
    <row r="287" spans="2:12">
      <c r="B287" t="s">
        <v>2083</v>
      </c>
      <c r="C287" t="s">
        <v>2035</v>
      </c>
      <c r="D287" s="79">
        <v>5</v>
      </c>
      <c r="E287" s="79">
        <v>8473</v>
      </c>
      <c r="F287" s="79">
        <v>73308977951018</v>
      </c>
      <c r="G287" s="79">
        <v>99</v>
      </c>
      <c r="H287" s="79">
        <v>0</v>
      </c>
      <c r="J287" s="83">
        <v>8264.4599999999991</v>
      </c>
      <c r="K287" s="83">
        <v>1735.54</v>
      </c>
      <c r="L287" s="83">
        <v>10000</v>
      </c>
    </row>
    <row r="288" spans="2:12">
      <c r="B288" t="s">
        <v>2083</v>
      </c>
      <c r="C288" t="s">
        <v>2035</v>
      </c>
      <c r="D288" s="79">
        <v>5</v>
      </c>
      <c r="E288" s="79">
        <v>8474</v>
      </c>
      <c r="F288" s="79">
        <v>73308980114930</v>
      </c>
      <c r="G288" s="79">
        <v>99</v>
      </c>
      <c r="H288" s="79">
        <v>0</v>
      </c>
      <c r="J288" s="83">
        <v>5785.12</v>
      </c>
      <c r="K288" s="83">
        <v>1214.8800000000001</v>
      </c>
      <c r="L288" s="83">
        <v>7000</v>
      </c>
    </row>
    <row r="289" spans="2:12">
      <c r="B289" t="s">
        <v>2083</v>
      </c>
      <c r="C289" t="s">
        <v>2035</v>
      </c>
      <c r="D289" s="79">
        <v>5</v>
      </c>
      <c r="E289" s="79">
        <v>8475</v>
      </c>
      <c r="F289" s="79">
        <v>73308981131811</v>
      </c>
      <c r="G289" s="79">
        <v>99</v>
      </c>
      <c r="H289" s="79">
        <v>0</v>
      </c>
      <c r="J289" s="83">
        <v>12727.27</v>
      </c>
      <c r="K289" s="83">
        <v>2672.73</v>
      </c>
      <c r="L289" s="83">
        <v>15400</v>
      </c>
    </row>
    <row r="290" spans="2:12">
      <c r="B290" t="s">
        <v>2083</v>
      </c>
      <c r="C290" t="s">
        <v>2035</v>
      </c>
      <c r="D290" s="79">
        <v>5</v>
      </c>
      <c r="E290" s="79">
        <v>8476</v>
      </c>
      <c r="F290" s="79">
        <v>73308988694453</v>
      </c>
      <c r="G290" s="79">
        <v>99</v>
      </c>
      <c r="H290" s="79">
        <v>0</v>
      </c>
      <c r="J290" s="83">
        <v>5371.9</v>
      </c>
      <c r="K290" s="83">
        <v>1128.0999999999999</v>
      </c>
      <c r="L290" s="83">
        <v>6500</v>
      </c>
    </row>
    <row r="291" spans="2:12">
      <c r="B291" t="s">
        <v>2083</v>
      </c>
      <c r="C291" t="s">
        <v>2035</v>
      </c>
      <c r="D291" s="79">
        <v>5</v>
      </c>
      <c r="E291" s="79">
        <v>8477</v>
      </c>
      <c r="F291" s="79">
        <v>73308998744057</v>
      </c>
      <c r="G291" s="79">
        <v>99</v>
      </c>
      <c r="H291" s="79">
        <v>0</v>
      </c>
      <c r="J291" s="83">
        <v>8677.69</v>
      </c>
      <c r="K291" s="83">
        <v>1822.31</v>
      </c>
      <c r="L291" s="83">
        <v>10500</v>
      </c>
    </row>
    <row r="292" spans="2:12">
      <c r="B292" t="s">
        <v>2083</v>
      </c>
      <c r="C292" t="s">
        <v>2035</v>
      </c>
      <c r="D292" s="79">
        <v>5</v>
      </c>
      <c r="E292" s="79">
        <v>8478</v>
      </c>
      <c r="F292" s="79">
        <v>73308000538063</v>
      </c>
      <c r="G292" s="79">
        <v>99</v>
      </c>
      <c r="H292" s="79">
        <v>0</v>
      </c>
      <c r="J292" s="83">
        <v>11404.96</v>
      </c>
      <c r="K292" s="83">
        <v>2395.04</v>
      </c>
      <c r="L292" s="83">
        <v>13800</v>
      </c>
    </row>
    <row r="293" spans="2:12">
      <c r="B293" t="s">
        <v>2083</v>
      </c>
      <c r="C293" t="s">
        <v>2035</v>
      </c>
      <c r="D293" s="79">
        <v>5</v>
      </c>
      <c r="E293" s="79">
        <v>8479</v>
      </c>
      <c r="F293" s="79">
        <v>73308006545640</v>
      </c>
      <c r="G293" s="79">
        <v>99</v>
      </c>
      <c r="H293" s="79">
        <v>0</v>
      </c>
      <c r="J293" s="83">
        <v>6611.57</v>
      </c>
      <c r="K293" s="83">
        <v>1388.43</v>
      </c>
      <c r="L293" s="83">
        <v>8000</v>
      </c>
    </row>
    <row r="294" spans="2:12">
      <c r="B294" t="s">
        <v>2083</v>
      </c>
      <c r="C294" t="s">
        <v>2035</v>
      </c>
      <c r="D294" s="79">
        <v>5</v>
      </c>
      <c r="E294" s="79">
        <v>8480</v>
      </c>
      <c r="F294" s="79">
        <v>73308009187877</v>
      </c>
      <c r="G294" s="79">
        <v>99</v>
      </c>
      <c r="H294" s="79">
        <v>0</v>
      </c>
      <c r="J294" s="83">
        <v>6033.06</v>
      </c>
      <c r="K294" s="83">
        <v>1266.94</v>
      </c>
      <c r="L294" s="83">
        <v>7300</v>
      </c>
    </row>
    <row r="295" spans="2:12">
      <c r="B295" t="s">
        <v>2083</v>
      </c>
      <c r="C295" t="s">
        <v>2035</v>
      </c>
      <c r="D295" s="79">
        <v>5</v>
      </c>
      <c r="E295" s="79">
        <v>8481</v>
      </c>
      <c r="F295" s="79">
        <v>73308013232865</v>
      </c>
      <c r="G295" s="79">
        <v>99</v>
      </c>
      <c r="H295" s="79">
        <v>0</v>
      </c>
      <c r="J295" s="83">
        <v>15619.83</v>
      </c>
      <c r="K295" s="83">
        <v>3280.17</v>
      </c>
      <c r="L295" s="83">
        <v>18900</v>
      </c>
    </row>
    <row r="296" spans="2:12">
      <c r="B296" t="s">
        <v>2083</v>
      </c>
      <c r="C296" t="s">
        <v>2035</v>
      </c>
      <c r="D296" s="79">
        <v>5</v>
      </c>
      <c r="E296" s="79">
        <v>8482</v>
      </c>
      <c r="F296" s="79">
        <v>73308016194222</v>
      </c>
      <c r="G296" s="79">
        <v>99</v>
      </c>
      <c r="H296" s="79">
        <v>0</v>
      </c>
      <c r="J296" s="83">
        <v>4710.74</v>
      </c>
      <c r="K296" s="83">
        <v>989.26</v>
      </c>
      <c r="L296" s="83">
        <v>5700</v>
      </c>
    </row>
    <row r="297" spans="2:12">
      <c r="B297" t="s">
        <v>2083</v>
      </c>
      <c r="C297" t="s">
        <v>2035</v>
      </c>
      <c r="D297" s="79">
        <v>5</v>
      </c>
      <c r="E297" s="79">
        <v>8483</v>
      </c>
      <c r="F297" s="79">
        <v>73308016901003</v>
      </c>
      <c r="G297" s="79">
        <v>99</v>
      </c>
      <c r="H297" s="79">
        <v>0</v>
      </c>
      <c r="J297" s="83">
        <v>4132.2299999999996</v>
      </c>
      <c r="K297" s="83">
        <v>867.77</v>
      </c>
      <c r="L297" s="83">
        <v>5000</v>
      </c>
    </row>
    <row r="298" spans="2:12">
      <c r="B298" t="s">
        <v>2083</v>
      </c>
      <c r="C298" t="s">
        <v>2035</v>
      </c>
      <c r="D298" s="79">
        <v>5</v>
      </c>
      <c r="E298" s="79">
        <v>8484</v>
      </c>
      <c r="F298" s="79">
        <v>73308029472804</v>
      </c>
      <c r="G298" s="79">
        <v>99</v>
      </c>
      <c r="H298" s="79">
        <v>0</v>
      </c>
      <c r="J298" s="83">
        <v>3471.07</v>
      </c>
      <c r="K298" s="83">
        <v>728.93</v>
      </c>
      <c r="L298" s="83">
        <v>4200</v>
      </c>
    </row>
    <row r="299" spans="2:12">
      <c r="B299" t="s">
        <v>2083</v>
      </c>
      <c r="C299" t="s">
        <v>2035</v>
      </c>
      <c r="D299" s="79">
        <v>5</v>
      </c>
      <c r="E299" s="79">
        <v>8485</v>
      </c>
      <c r="F299" s="79">
        <v>73308031914782</v>
      </c>
      <c r="G299" s="79">
        <v>99</v>
      </c>
      <c r="H299" s="79">
        <v>0</v>
      </c>
      <c r="J299" s="83">
        <v>6033.06</v>
      </c>
      <c r="K299" s="83">
        <v>1266.94</v>
      </c>
      <c r="L299" s="83">
        <v>7300</v>
      </c>
    </row>
    <row r="300" spans="2:12">
      <c r="B300" t="s">
        <v>2085</v>
      </c>
      <c r="C300" t="s">
        <v>2035</v>
      </c>
      <c r="D300" s="79">
        <v>5</v>
      </c>
      <c r="E300" s="79">
        <v>8486</v>
      </c>
      <c r="F300" s="79">
        <v>73318255203682</v>
      </c>
      <c r="G300" s="79">
        <v>99</v>
      </c>
      <c r="H300" s="79">
        <v>0</v>
      </c>
      <c r="J300" s="83">
        <v>16033.06</v>
      </c>
      <c r="K300" s="83">
        <v>3366.94</v>
      </c>
      <c r="L300" s="83">
        <v>19400</v>
      </c>
    </row>
    <row r="301" spans="2:12">
      <c r="B301" t="s">
        <v>2085</v>
      </c>
      <c r="C301" t="s">
        <v>2035</v>
      </c>
      <c r="D301" s="79">
        <v>5</v>
      </c>
      <c r="E301" s="79">
        <v>8487</v>
      </c>
      <c r="F301" s="79">
        <v>73318271265395</v>
      </c>
      <c r="G301" s="79">
        <v>99</v>
      </c>
      <c r="H301" s="79">
        <v>0</v>
      </c>
      <c r="J301" s="83">
        <v>25619.83</v>
      </c>
      <c r="K301" s="83">
        <v>5380.17</v>
      </c>
      <c r="L301" s="83">
        <v>31000</v>
      </c>
    </row>
    <row r="302" spans="2:12">
      <c r="B302" t="s">
        <v>2085</v>
      </c>
      <c r="C302" t="s">
        <v>2035</v>
      </c>
      <c r="D302" s="79">
        <v>5</v>
      </c>
      <c r="E302" s="79">
        <v>8488</v>
      </c>
      <c r="F302" s="79">
        <v>73318273536497</v>
      </c>
      <c r="G302" s="79">
        <v>99</v>
      </c>
      <c r="H302" s="79">
        <v>0</v>
      </c>
      <c r="J302" s="83">
        <v>8677.69</v>
      </c>
      <c r="K302" s="83">
        <v>1822.31</v>
      </c>
      <c r="L302" s="83">
        <v>10500</v>
      </c>
    </row>
    <row r="303" spans="2:12">
      <c r="B303" t="s">
        <v>2085</v>
      </c>
      <c r="C303" t="s">
        <v>2035</v>
      </c>
      <c r="D303" s="79">
        <v>5</v>
      </c>
      <c r="E303" s="79">
        <v>8489</v>
      </c>
      <c r="F303" s="79">
        <v>73318278250734</v>
      </c>
      <c r="G303" s="79">
        <v>99</v>
      </c>
      <c r="H303" s="79">
        <v>0</v>
      </c>
      <c r="J303" s="83">
        <v>1611.57</v>
      </c>
      <c r="K303" s="83">
        <v>338.43</v>
      </c>
      <c r="L303" s="83">
        <v>1950</v>
      </c>
    </row>
    <row r="304" spans="2:12">
      <c r="B304" t="s">
        <v>2085</v>
      </c>
      <c r="C304" t="s">
        <v>2035</v>
      </c>
      <c r="D304" s="79">
        <v>5</v>
      </c>
      <c r="E304" s="79">
        <v>8490</v>
      </c>
      <c r="F304" s="79">
        <v>73318281403412</v>
      </c>
      <c r="G304" s="79">
        <v>99</v>
      </c>
      <c r="H304" s="79">
        <v>0</v>
      </c>
      <c r="J304" s="83">
        <v>4132.2299999999996</v>
      </c>
      <c r="K304" s="83">
        <v>867.77</v>
      </c>
      <c r="L304" s="83">
        <v>5000</v>
      </c>
    </row>
    <row r="305" spans="2:12">
      <c r="B305" t="s">
        <v>2085</v>
      </c>
      <c r="C305" t="s">
        <v>2035</v>
      </c>
      <c r="D305" s="79">
        <v>5</v>
      </c>
      <c r="E305" s="79">
        <v>8491</v>
      </c>
      <c r="F305" s="79">
        <v>73318288865776</v>
      </c>
      <c r="G305" s="79">
        <v>99</v>
      </c>
      <c r="H305" s="79">
        <v>0</v>
      </c>
      <c r="J305" s="83">
        <v>3801.65</v>
      </c>
      <c r="K305" s="83">
        <v>798.35</v>
      </c>
      <c r="L305" s="83">
        <v>4600</v>
      </c>
    </row>
    <row r="306" spans="2:12">
      <c r="B306" t="s">
        <v>2085</v>
      </c>
      <c r="C306" t="s">
        <v>2035</v>
      </c>
      <c r="D306" s="79">
        <v>5</v>
      </c>
      <c r="E306" s="79">
        <v>8492</v>
      </c>
      <c r="F306" s="79">
        <v>73318296923798</v>
      </c>
      <c r="G306" s="79">
        <v>99</v>
      </c>
      <c r="H306" s="79">
        <v>0</v>
      </c>
      <c r="J306" s="83">
        <v>3388.43</v>
      </c>
      <c r="K306" s="83">
        <v>711.57</v>
      </c>
      <c r="L306" s="83">
        <v>4100</v>
      </c>
    </row>
    <row r="307" spans="2:12">
      <c r="B307" t="s">
        <v>2085</v>
      </c>
      <c r="C307" t="s">
        <v>2035</v>
      </c>
      <c r="D307" s="79">
        <v>5</v>
      </c>
      <c r="E307" s="79">
        <v>8493</v>
      </c>
      <c r="F307" s="79">
        <v>73318299644894</v>
      </c>
      <c r="G307" s="79">
        <v>99</v>
      </c>
      <c r="H307" s="79">
        <v>0</v>
      </c>
      <c r="J307" s="83">
        <v>1074.3800000000001</v>
      </c>
      <c r="K307" s="83">
        <v>225.62</v>
      </c>
      <c r="L307" s="83">
        <v>1300</v>
      </c>
    </row>
    <row r="308" spans="2:12">
      <c r="B308" t="s">
        <v>2085</v>
      </c>
      <c r="C308" t="s">
        <v>2035</v>
      </c>
      <c r="D308" s="79">
        <v>5</v>
      </c>
      <c r="E308" s="79">
        <v>8494</v>
      </c>
      <c r="F308" s="79">
        <v>73318302190952</v>
      </c>
      <c r="G308" s="79">
        <v>99</v>
      </c>
      <c r="H308" s="79">
        <v>0</v>
      </c>
      <c r="J308" s="83">
        <v>6033.06</v>
      </c>
      <c r="K308" s="83">
        <v>1266.94</v>
      </c>
      <c r="L308" s="83">
        <v>7300</v>
      </c>
    </row>
    <row r="309" spans="2:12">
      <c r="B309" t="s">
        <v>2085</v>
      </c>
      <c r="C309" t="s">
        <v>2035</v>
      </c>
      <c r="D309" s="79">
        <v>5</v>
      </c>
      <c r="E309" s="79">
        <v>8495</v>
      </c>
      <c r="F309" s="79">
        <v>73318302997031</v>
      </c>
      <c r="G309" t="s">
        <v>2052</v>
      </c>
      <c r="H309" s="79">
        <v>22099080</v>
      </c>
      <c r="J309" s="83">
        <v>5289.26</v>
      </c>
      <c r="K309" s="83">
        <v>1110.74</v>
      </c>
      <c r="L309" s="83">
        <v>6400</v>
      </c>
    </row>
    <row r="310" spans="2:12">
      <c r="B310" t="s">
        <v>2085</v>
      </c>
      <c r="C310" t="s">
        <v>2035</v>
      </c>
      <c r="D310" s="79">
        <v>5</v>
      </c>
      <c r="E310" s="79">
        <v>8496</v>
      </c>
      <c r="F310" s="79">
        <v>73318304124347</v>
      </c>
      <c r="G310" s="79">
        <v>99</v>
      </c>
      <c r="H310" s="79">
        <v>0</v>
      </c>
      <c r="J310" s="83">
        <v>4049.59</v>
      </c>
      <c r="K310" s="83">
        <v>850.41</v>
      </c>
      <c r="L310" s="83">
        <v>4900</v>
      </c>
    </row>
    <row r="311" spans="2:12">
      <c r="B311" t="s">
        <v>2085</v>
      </c>
      <c r="C311" t="s">
        <v>2035</v>
      </c>
      <c r="D311" s="79">
        <v>5</v>
      </c>
      <c r="E311" s="79">
        <v>8497</v>
      </c>
      <c r="F311" s="79">
        <v>73318306263669</v>
      </c>
      <c r="G311" s="79">
        <v>99</v>
      </c>
      <c r="H311" s="79">
        <v>0</v>
      </c>
      <c r="J311" s="83">
        <v>3305.79</v>
      </c>
      <c r="K311" s="83">
        <v>694.21</v>
      </c>
      <c r="L311" s="83">
        <v>4000</v>
      </c>
    </row>
    <row r="312" spans="2:12">
      <c r="B312" t="s">
        <v>2085</v>
      </c>
      <c r="C312" t="s">
        <v>2035</v>
      </c>
      <c r="D312" s="79">
        <v>5</v>
      </c>
      <c r="E312" s="79">
        <v>8498</v>
      </c>
      <c r="F312" s="79">
        <v>73318308881183</v>
      </c>
      <c r="G312" s="79">
        <v>99</v>
      </c>
      <c r="H312" s="79">
        <v>0</v>
      </c>
      <c r="J312" s="83">
        <v>3388.43</v>
      </c>
      <c r="K312" s="83">
        <v>711.57</v>
      </c>
      <c r="L312" s="83">
        <v>4100</v>
      </c>
    </row>
    <row r="313" spans="2:12">
      <c r="B313" t="s">
        <v>2085</v>
      </c>
      <c r="C313" t="s">
        <v>2035</v>
      </c>
      <c r="D313" s="79">
        <v>5</v>
      </c>
      <c r="E313" s="79">
        <v>8499</v>
      </c>
      <c r="F313" s="79">
        <v>73318314191214</v>
      </c>
      <c r="G313" s="79">
        <v>99</v>
      </c>
      <c r="H313" s="79">
        <v>0</v>
      </c>
      <c r="J313" s="83">
        <v>4545.45</v>
      </c>
      <c r="K313" s="83">
        <v>954.55</v>
      </c>
      <c r="L313" s="83">
        <v>5500</v>
      </c>
    </row>
    <row r="314" spans="2:12">
      <c r="B314" t="s">
        <v>2085</v>
      </c>
      <c r="C314" t="s">
        <v>2035</v>
      </c>
      <c r="D314" s="79">
        <v>5</v>
      </c>
      <c r="E314" s="79">
        <v>8500</v>
      </c>
      <c r="F314" s="79">
        <v>73318315710924</v>
      </c>
      <c r="G314" s="79">
        <v>99</v>
      </c>
      <c r="H314" s="79">
        <v>0</v>
      </c>
      <c r="J314" s="83">
        <v>5289.26</v>
      </c>
      <c r="K314" s="83">
        <v>1110.74</v>
      </c>
      <c r="L314" s="83">
        <v>6400</v>
      </c>
    </row>
    <row r="315" spans="2:12">
      <c r="B315" t="s">
        <v>2085</v>
      </c>
      <c r="C315" t="s">
        <v>2035</v>
      </c>
      <c r="D315" s="79">
        <v>5</v>
      </c>
      <c r="E315" s="79">
        <v>8501</v>
      </c>
      <c r="F315" s="79">
        <v>73318323760309</v>
      </c>
      <c r="G315" s="79">
        <v>99</v>
      </c>
      <c r="H315" s="79">
        <v>0</v>
      </c>
      <c r="J315" s="83">
        <v>3057.85</v>
      </c>
      <c r="K315" s="83">
        <v>642.15</v>
      </c>
      <c r="L315" s="83">
        <v>3700</v>
      </c>
    </row>
    <row r="316" spans="2:12">
      <c r="B316" t="s">
        <v>2085</v>
      </c>
      <c r="C316" t="s">
        <v>2035</v>
      </c>
      <c r="D316" s="79">
        <v>5</v>
      </c>
      <c r="E316" s="79">
        <v>8502</v>
      </c>
      <c r="F316" s="79">
        <v>73318324095949</v>
      </c>
      <c r="G316" s="79">
        <v>99</v>
      </c>
      <c r="H316" s="79">
        <v>0</v>
      </c>
      <c r="J316" s="83">
        <v>8471.07</v>
      </c>
      <c r="K316" s="83">
        <v>1778.93</v>
      </c>
      <c r="L316" s="83">
        <v>10250</v>
      </c>
    </row>
    <row r="317" spans="2:12">
      <c r="B317" t="s">
        <v>2085</v>
      </c>
      <c r="C317" t="s">
        <v>2035</v>
      </c>
      <c r="D317" s="79">
        <v>5</v>
      </c>
      <c r="E317" s="79">
        <v>8503</v>
      </c>
      <c r="F317" s="79">
        <v>73318324557606</v>
      </c>
      <c r="G317" s="79">
        <v>99</v>
      </c>
      <c r="H317" s="79">
        <v>0</v>
      </c>
      <c r="J317" s="83">
        <v>3305.79</v>
      </c>
      <c r="K317" s="83">
        <v>694.21</v>
      </c>
      <c r="L317" s="83">
        <v>4000</v>
      </c>
    </row>
    <row r="318" spans="2:12">
      <c r="B318" t="s">
        <v>2085</v>
      </c>
      <c r="C318" t="s">
        <v>2035</v>
      </c>
      <c r="D318" s="79">
        <v>5</v>
      </c>
      <c r="E318" s="79">
        <v>8504</v>
      </c>
      <c r="F318" s="79">
        <v>73318326252937</v>
      </c>
      <c r="G318" s="79">
        <v>99</v>
      </c>
      <c r="H318" s="79">
        <v>0</v>
      </c>
      <c r="J318" s="83">
        <v>7438.02</v>
      </c>
      <c r="K318" s="83">
        <v>1561.98</v>
      </c>
      <c r="L318" s="83">
        <v>9000</v>
      </c>
    </row>
    <row r="319" spans="2:12">
      <c r="B319" t="s">
        <v>2034</v>
      </c>
      <c r="C319" t="s">
        <v>2035</v>
      </c>
      <c r="D319" s="79">
        <v>7</v>
      </c>
      <c r="E319" s="79">
        <v>4469</v>
      </c>
      <c r="F319" s="79">
        <v>73278286229479</v>
      </c>
      <c r="G319" t="s">
        <v>2036</v>
      </c>
      <c r="H319" s="79">
        <v>30658137642</v>
      </c>
      <c r="I319" t="s">
        <v>2037</v>
      </c>
      <c r="J319" s="83">
        <v>55438.84</v>
      </c>
      <c r="K319" s="83">
        <v>11642.16</v>
      </c>
      <c r="L319" s="83">
        <v>67081</v>
      </c>
    </row>
    <row r="320" spans="2:12">
      <c r="B320" t="s">
        <v>2051</v>
      </c>
      <c r="C320" t="s">
        <v>2035</v>
      </c>
      <c r="D320" s="79">
        <v>7</v>
      </c>
      <c r="E320" s="79">
        <v>4470</v>
      </c>
      <c r="F320" s="79">
        <v>73278408440056</v>
      </c>
      <c r="G320" t="s">
        <v>2052</v>
      </c>
      <c r="H320" s="79">
        <v>3192296</v>
      </c>
      <c r="J320" s="83">
        <v>3719.01</v>
      </c>
      <c r="K320" s="83">
        <v>780.99</v>
      </c>
      <c r="L320" s="83">
        <v>4500</v>
      </c>
    </row>
    <row r="321" spans="2:12">
      <c r="B321" t="s">
        <v>2051</v>
      </c>
      <c r="C321" t="s">
        <v>2035</v>
      </c>
      <c r="D321" s="79">
        <v>7</v>
      </c>
      <c r="E321" s="79">
        <v>4471</v>
      </c>
      <c r="F321" s="79">
        <v>73278409341030</v>
      </c>
      <c r="G321" t="s">
        <v>2052</v>
      </c>
      <c r="H321" s="79">
        <v>13211322</v>
      </c>
      <c r="J321" s="83">
        <v>3719.01</v>
      </c>
      <c r="K321" s="83">
        <v>780.99</v>
      </c>
      <c r="L321" s="83">
        <v>4500</v>
      </c>
    </row>
    <row r="322" spans="2:12">
      <c r="B322" t="s">
        <v>2051</v>
      </c>
      <c r="C322" t="s">
        <v>2035</v>
      </c>
      <c r="D322" s="79">
        <v>7</v>
      </c>
      <c r="E322" s="79">
        <v>4472</v>
      </c>
      <c r="F322" s="79">
        <v>73278417849609</v>
      </c>
      <c r="G322" t="s">
        <v>2052</v>
      </c>
      <c r="H322" s="79">
        <v>21645724</v>
      </c>
      <c r="J322" s="83">
        <v>8677.68</v>
      </c>
      <c r="K322" s="83">
        <v>1822.32</v>
      </c>
      <c r="L322" s="83">
        <v>10500</v>
      </c>
    </row>
    <row r="323" spans="2:12">
      <c r="B323" t="s">
        <v>2051</v>
      </c>
      <c r="C323" t="s">
        <v>2035</v>
      </c>
      <c r="D323" s="79">
        <v>7</v>
      </c>
      <c r="E323" s="79">
        <v>4473</v>
      </c>
      <c r="F323" s="79">
        <v>73278423813524</v>
      </c>
      <c r="G323" t="s">
        <v>2052</v>
      </c>
      <c r="H323" s="79">
        <v>382591</v>
      </c>
      <c r="J323" s="83">
        <v>5619.83</v>
      </c>
      <c r="K323" s="83">
        <v>1180.17</v>
      </c>
      <c r="L323" s="83">
        <v>6800</v>
      </c>
    </row>
    <row r="324" spans="2:12">
      <c r="B324" t="s">
        <v>2051</v>
      </c>
      <c r="C324" t="s">
        <v>2035</v>
      </c>
      <c r="D324" s="79">
        <v>7</v>
      </c>
      <c r="E324" s="79">
        <v>4474</v>
      </c>
      <c r="F324" s="79">
        <v>73278433548352</v>
      </c>
      <c r="G324" t="s">
        <v>2052</v>
      </c>
      <c r="H324" s="79">
        <v>17198648</v>
      </c>
      <c r="J324" s="83">
        <v>22809.91</v>
      </c>
      <c r="K324" s="83">
        <v>4790.09</v>
      </c>
      <c r="L324" s="83">
        <v>27600</v>
      </c>
    </row>
    <row r="325" spans="2:12">
      <c r="B325" t="s">
        <v>2051</v>
      </c>
      <c r="C325" t="s">
        <v>2035</v>
      </c>
      <c r="D325" s="79">
        <v>7</v>
      </c>
      <c r="E325" s="79">
        <v>4475</v>
      </c>
      <c r="F325" s="79">
        <v>73278442294212</v>
      </c>
      <c r="G325" t="s">
        <v>2052</v>
      </c>
      <c r="H325" s="79">
        <v>14547747</v>
      </c>
      <c r="J325" s="83">
        <v>7438.02</v>
      </c>
      <c r="K325" s="83">
        <v>1561.98</v>
      </c>
      <c r="L325" s="83">
        <v>9000</v>
      </c>
    </row>
    <row r="326" spans="2:12">
      <c r="B326" t="s">
        <v>2055</v>
      </c>
      <c r="C326" t="s">
        <v>2035</v>
      </c>
      <c r="D326" s="79">
        <v>7</v>
      </c>
      <c r="E326" s="79">
        <v>4476</v>
      </c>
      <c r="F326" s="79">
        <v>73278535410375</v>
      </c>
      <c r="G326" t="s">
        <v>2036</v>
      </c>
      <c r="H326" s="79">
        <v>30590354798</v>
      </c>
      <c r="I326" t="s">
        <v>2056</v>
      </c>
      <c r="J326" s="83">
        <v>501517.08</v>
      </c>
      <c r="K326" s="83">
        <v>105318.59</v>
      </c>
      <c r="L326" s="83">
        <v>606835.67000000004</v>
      </c>
    </row>
    <row r="327" spans="2:12">
      <c r="B327" t="s">
        <v>2055</v>
      </c>
      <c r="C327" t="s">
        <v>2035</v>
      </c>
      <c r="D327" s="79">
        <v>7</v>
      </c>
      <c r="E327" s="79">
        <v>4477</v>
      </c>
      <c r="F327" s="79">
        <v>73278538286300</v>
      </c>
      <c r="G327" t="s">
        <v>2052</v>
      </c>
      <c r="H327" s="79">
        <v>21363216</v>
      </c>
      <c r="J327" s="83">
        <v>5785.12</v>
      </c>
      <c r="K327" s="83">
        <v>1214.8800000000001</v>
      </c>
      <c r="L327" s="83">
        <v>7000</v>
      </c>
    </row>
    <row r="328" spans="2:12">
      <c r="B328" t="s">
        <v>2055</v>
      </c>
      <c r="C328" t="s">
        <v>2035</v>
      </c>
      <c r="D328" s="79">
        <v>7</v>
      </c>
      <c r="E328" s="79">
        <v>4478</v>
      </c>
      <c r="F328" s="79">
        <v>73278544456445</v>
      </c>
      <c r="G328" t="s">
        <v>2052</v>
      </c>
      <c r="H328" s="79">
        <v>5804480</v>
      </c>
      <c r="J328" s="83">
        <v>9917.36</v>
      </c>
      <c r="K328" s="83">
        <v>2082.64</v>
      </c>
      <c r="L328" s="83">
        <v>12000</v>
      </c>
    </row>
    <row r="329" spans="2:12">
      <c r="B329" t="s">
        <v>2060</v>
      </c>
      <c r="C329" t="s">
        <v>2035</v>
      </c>
      <c r="D329" s="79">
        <v>7</v>
      </c>
      <c r="E329" s="79">
        <v>4479</v>
      </c>
      <c r="F329" s="79">
        <v>73278774844713</v>
      </c>
      <c r="G329" t="s">
        <v>2052</v>
      </c>
      <c r="H329" s="79">
        <v>36622635</v>
      </c>
      <c r="J329" s="83">
        <v>12892.56</v>
      </c>
      <c r="K329" s="83">
        <v>2707.44</v>
      </c>
      <c r="L329" s="83">
        <v>15600</v>
      </c>
    </row>
    <row r="330" spans="2:12">
      <c r="B330" t="s">
        <v>2060</v>
      </c>
      <c r="C330" t="s">
        <v>2035</v>
      </c>
      <c r="D330" s="79">
        <v>7</v>
      </c>
      <c r="E330" s="79">
        <v>4480</v>
      </c>
      <c r="F330" s="79">
        <v>73278782779116</v>
      </c>
      <c r="G330" t="s">
        <v>2052</v>
      </c>
      <c r="H330" s="79">
        <v>92316435</v>
      </c>
      <c r="J330" s="83">
        <v>6611.57</v>
      </c>
      <c r="K330" s="83">
        <v>1388.43</v>
      </c>
      <c r="L330" s="83">
        <v>8000</v>
      </c>
    </row>
    <row r="331" spans="2:12">
      <c r="B331" t="s">
        <v>2060</v>
      </c>
      <c r="C331" t="s">
        <v>2035</v>
      </c>
      <c r="D331" s="79">
        <v>7</v>
      </c>
      <c r="E331" s="79">
        <v>4481</v>
      </c>
      <c r="F331" s="79">
        <v>73278787905987</v>
      </c>
      <c r="G331" t="s">
        <v>2052</v>
      </c>
      <c r="H331" s="79">
        <v>2925288</v>
      </c>
      <c r="J331" s="83">
        <v>14049.59</v>
      </c>
      <c r="K331" s="83">
        <v>2950.41</v>
      </c>
      <c r="L331" s="83">
        <v>17000</v>
      </c>
    </row>
    <row r="332" spans="2:12">
      <c r="B332" t="s">
        <v>2060</v>
      </c>
      <c r="C332" t="s">
        <v>2035</v>
      </c>
      <c r="D332" s="79">
        <v>7</v>
      </c>
      <c r="E332" s="79">
        <v>4482</v>
      </c>
      <c r="F332" s="79">
        <v>73278796208317</v>
      </c>
      <c r="G332" t="s">
        <v>2052</v>
      </c>
      <c r="H332" s="79">
        <v>5274861</v>
      </c>
      <c r="J332" s="83">
        <v>8677.68</v>
      </c>
      <c r="K332" s="83">
        <v>1822.32</v>
      </c>
      <c r="L332" s="83">
        <v>10500</v>
      </c>
    </row>
    <row r="333" spans="2:12">
      <c r="B333" t="s">
        <v>2060</v>
      </c>
      <c r="C333" t="s">
        <v>2035</v>
      </c>
      <c r="D333" s="79">
        <v>7</v>
      </c>
      <c r="E333" s="79">
        <v>4483</v>
      </c>
      <c r="F333" s="79">
        <v>73278798846159</v>
      </c>
      <c r="G333" t="s">
        <v>2052</v>
      </c>
      <c r="H333" s="79">
        <v>29654556</v>
      </c>
      <c r="J333" s="83">
        <v>4958.68</v>
      </c>
      <c r="K333" s="83">
        <v>1041.32</v>
      </c>
      <c r="L333" s="83">
        <v>6000</v>
      </c>
    </row>
    <row r="334" spans="2:12">
      <c r="B334" t="s">
        <v>2060</v>
      </c>
      <c r="C334" t="s">
        <v>2035</v>
      </c>
      <c r="D334" s="79">
        <v>7</v>
      </c>
      <c r="E334" s="79">
        <v>4484</v>
      </c>
      <c r="F334" s="79">
        <v>73278806233682</v>
      </c>
      <c r="G334" t="s">
        <v>2052</v>
      </c>
      <c r="H334" s="79">
        <v>23229835</v>
      </c>
      <c r="J334" s="83">
        <v>4462.8100000000004</v>
      </c>
      <c r="K334" s="83">
        <v>937.19</v>
      </c>
      <c r="L334" s="83">
        <v>5400</v>
      </c>
    </row>
    <row r="335" spans="2:12">
      <c r="B335" t="s">
        <v>2060</v>
      </c>
      <c r="C335" t="s">
        <v>2035</v>
      </c>
      <c r="D335" s="79">
        <v>7</v>
      </c>
      <c r="E335" s="79">
        <v>4485</v>
      </c>
      <c r="F335" s="79">
        <v>73278816513255</v>
      </c>
      <c r="G335" t="s">
        <v>2052</v>
      </c>
      <c r="H335" s="79">
        <v>17036140</v>
      </c>
      <c r="J335" s="83">
        <v>4297.5200000000004</v>
      </c>
      <c r="K335" s="83">
        <v>902.48</v>
      </c>
      <c r="L335" s="83">
        <v>5200</v>
      </c>
    </row>
    <row r="336" spans="2:12">
      <c r="B336" t="s">
        <v>2061</v>
      </c>
      <c r="C336" t="s">
        <v>2035</v>
      </c>
      <c r="D336" s="79">
        <v>7</v>
      </c>
      <c r="E336" s="79">
        <v>4486</v>
      </c>
      <c r="F336" s="79">
        <v>73288058743311</v>
      </c>
      <c r="G336" t="s">
        <v>2052</v>
      </c>
      <c r="H336" s="79">
        <v>56980</v>
      </c>
      <c r="J336" s="83">
        <v>4132.2299999999996</v>
      </c>
      <c r="K336" s="83">
        <v>867.77</v>
      </c>
      <c r="L336" s="83">
        <v>5000</v>
      </c>
    </row>
    <row r="337" spans="2:12">
      <c r="B337" t="s">
        <v>2061</v>
      </c>
      <c r="C337" t="s">
        <v>2035</v>
      </c>
      <c r="D337" s="79">
        <v>7</v>
      </c>
      <c r="E337" s="79">
        <v>4487</v>
      </c>
      <c r="F337" s="79">
        <v>73288065149032</v>
      </c>
      <c r="G337" t="s">
        <v>2052</v>
      </c>
      <c r="H337" s="79">
        <v>20404430</v>
      </c>
      <c r="J337" s="83">
        <v>7438.02</v>
      </c>
      <c r="K337" s="83">
        <v>1561.98</v>
      </c>
      <c r="L337" s="83">
        <v>9000</v>
      </c>
    </row>
    <row r="338" spans="2:12">
      <c r="B338" t="s">
        <v>2061</v>
      </c>
      <c r="C338" t="s">
        <v>2035</v>
      </c>
      <c r="D338" s="79">
        <v>7</v>
      </c>
      <c r="E338" s="79">
        <v>4488</v>
      </c>
      <c r="F338" s="79">
        <v>73288073418751</v>
      </c>
      <c r="G338" t="s">
        <v>2052</v>
      </c>
      <c r="H338" s="79">
        <v>93195134</v>
      </c>
      <c r="J338" s="83">
        <v>3636.36</v>
      </c>
      <c r="K338" s="83">
        <v>763.64</v>
      </c>
      <c r="L338" s="83">
        <v>4400</v>
      </c>
    </row>
    <row r="339" spans="2:12">
      <c r="B339" t="s">
        <v>2061</v>
      </c>
      <c r="C339" t="s">
        <v>2035</v>
      </c>
      <c r="D339" s="79">
        <v>7</v>
      </c>
      <c r="E339" s="79">
        <v>4489</v>
      </c>
      <c r="F339" s="79">
        <v>73288080409015</v>
      </c>
      <c r="G339" t="s">
        <v>2052</v>
      </c>
      <c r="H339" s="79">
        <v>902191</v>
      </c>
      <c r="J339" s="83">
        <v>4958.68</v>
      </c>
      <c r="K339" s="83">
        <v>1041.32</v>
      </c>
      <c r="L339" s="83">
        <v>6000</v>
      </c>
    </row>
    <row r="340" spans="2:12">
      <c r="B340" t="s">
        <v>2061</v>
      </c>
      <c r="C340" t="s">
        <v>2035</v>
      </c>
      <c r="D340" s="79">
        <v>7</v>
      </c>
      <c r="E340" s="79">
        <v>4490</v>
      </c>
      <c r="F340" s="79">
        <v>73288085243224</v>
      </c>
      <c r="G340" s="79">
        <v>99</v>
      </c>
      <c r="H340" s="79">
        <v>0</v>
      </c>
      <c r="J340" s="83">
        <v>16115.7</v>
      </c>
      <c r="K340" s="83">
        <v>3384.3</v>
      </c>
      <c r="L340" s="83">
        <v>19500</v>
      </c>
    </row>
    <row r="341" spans="2:12">
      <c r="B341" t="s">
        <v>2064</v>
      </c>
      <c r="C341" t="s">
        <v>2035</v>
      </c>
      <c r="D341" s="79">
        <v>7</v>
      </c>
      <c r="E341" s="79">
        <v>4491</v>
      </c>
      <c r="F341" s="79">
        <v>73288201389736</v>
      </c>
      <c r="G341" s="79">
        <v>99</v>
      </c>
      <c r="H341" s="79">
        <v>0</v>
      </c>
      <c r="J341" s="83">
        <v>3636.35</v>
      </c>
      <c r="K341" s="83">
        <v>763.65</v>
      </c>
      <c r="L341" s="83">
        <v>4400</v>
      </c>
    </row>
    <row r="342" spans="2:12">
      <c r="B342" t="s">
        <v>2065</v>
      </c>
      <c r="C342" t="s">
        <v>2035</v>
      </c>
      <c r="D342" s="79">
        <v>7</v>
      </c>
      <c r="E342" s="79">
        <v>4492</v>
      </c>
      <c r="F342" s="79">
        <v>73288283747143</v>
      </c>
      <c r="G342" t="s">
        <v>2052</v>
      </c>
      <c r="H342" s="79">
        <v>94061699</v>
      </c>
      <c r="J342" s="83">
        <v>6776.86</v>
      </c>
      <c r="K342" s="83">
        <v>1423.14</v>
      </c>
      <c r="L342" s="83">
        <v>8200</v>
      </c>
    </row>
    <row r="343" spans="2:12">
      <c r="B343" t="s">
        <v>2065</v>
      </c>
      <c r="C343" t="s">
        <v>2035</v>
      </c>
      <c r="D343" s="79">
        <v>7</v>
      </c>
      <c r="E343" s="79">
        <v>4493</v>
      </c>
      <c r="F343" s="79">
        <v>73288292295394</v>
      </c>
      <c r="G343" t="s">
        <v>2052</v>
      </c>
      <c r="H343" s="79">
        <v>12791306</v>
      </c>
      <c r="J343" s="83">
        <v>8677.68</v>
      </c>
      <c r="K343" s="83">
        <v>1822.32</v>
      </c>
      <c r="L343" s="83">
        <v>10500</v>
      </c>
    </row>
    <row r="344" spans="2:12">
      <c r="B344" t="s">
        <v>2065</v>
      </c>
      <c r="C344" t="s">
        <v>2035</v>
      </c>
      <c r="D344" s="79">
        <v>7</v>
      </c>
      <c r="E344" s="79">
        <v>4494</v>
      </c>
      <c r="F344" s="79">
        <v>73288294536023</v>
      </c>
      <c r="G344" t="s">
        <v>2052</v>
      </c>
      <c r="H344" s="79">
        <v>705467</v>
      </c>
      <c r="J344" s="83">
        <v>9090.91</v>
      </c>
      <c r="K344" s="83">
        <v>1909.09</v>
      </c>
      <c r="L344" s="83">
        <v>11000</v>
      </c>
    </row>
    <row r="345" spans="2:12">
      <c r="B345" t="s">
        <v>2065</v>
      </c>
      <c r="C345" t="s">
        <v>2035</v>
      </c>
      <c r="D345" s="79">
        <v>7</v>
      </c>
      <c r="E345" s="79">
        <v>4495</v>
      </c>
      <c r="F345" s="79">
        <v>73288318432326</v>
      </c>
      <c r="G345" t="s">
        <v>2036</v>
      </c>
      <c r="H345" s="79">
        <v>30658137642</v>
      </c>
      <c r="I345" t="s">
        <v>2037</v>
      </c>
      <c r="J345" s="83">
        <v>111570.25</v>
      </c>
      <c r="K345" s="83">
        <v>23429.75</v>
      </c>
      <c r="L345" s="83">
        <v>135000</v>
      </c>
    </row>
    <row r="346" spans="2:12">
      <c r="B346" t="s">
        <v>2066</v>
      </c>
      <c r="C346" t="s">
        <v>2035</v>
      </c>
      <c r="D346" s="79">
        <v>7</v>
      </c>
      <c r="E346" s="79">
        <v>4496</v>
      </c>
      <c r="F346" s="79">
        <v>73288384197565</v>
      </c>
      <c r="G346" t="s">
        <v>2036</v>
      </c>
      <c r="H346" s="79">
        <v>30571766287</v>
      </c>
      <c r="I346" t="s">
        <v>2067</v>
      </c>
      <c r="J346" s="83">
        <v>23558.68</v>
      </c>
      <c r="K346" s="83">
        <v>4947.32</v>
      </c>
      <c r="L346" s="83">
        <v>28506</v>
      </c>
    </row>
    <row r="347" spans="2:12">
      <c r="B347" t="s">
        <v>2066</v>
      </c>
      <c r="C347" t="s">
        <v>2035</v>
      </c>
      <c r="D347" s="79">
        <v>7</v>
      </c>
      <c r="E347" s="79">
        <v>4497</v>
      </c>
      <c r="F347" s="79">
        <v>73288392213127</v>
      </c>
      <c r="G347" t="s">
        <v>2052</v>
      </c>
      <c r="H347" s="79">
        <v>93332052</v>
      </c>
      <c r="J347" s="83">
        <v>909.09</v>
      </c>
      <c r="K347" s="83">
        <v>190.91</v>
      </c>
      <c r="L347" s="83">
        <v>1100</v>
      </c>
    </row>
    <row r="348" spans="2:12">
      <c r="B348" t="s">
        <v>2066</v>
      </c>
      <c r="C348" t="s">
        <v>2035</v>
      </c>
      <c r="D348" s="79">
        <v>7</v>
      </c>
      <c r="E348" s="79">
        <v>4498</v>
      </c>
      <c r="F348" s="79">
        <v>73288392886953</v>
      </c>
      <c r="G348" t="s">
        <v>2052</v>
      </c>
      <c r="H348" s="79">
        <v>93483768</v>
      </c>
      <c r="J348" s="83">
        <v>7024.79</v>
      </c>
      <c r="K348" s="83">
        <v>1475.21</v>
      </c>
      <c r="L348" s="83">
        <v>8500</v>
      </c>
    </row>
    <row r="349" spans="2:12">
      <c r="B349" t="s">
        <v>2066</v>
      </c>
      <c r="C349" t="s">
        <v>2035</v>
      </c>
      <c r="D349" s="79">
        <v>7</v>
      </c>
      <c r="E349" s="79">
        <v>4499</v>
      </c>
      <c r="F349" s="79">
        <v>73288398062479</v>
      </c>
      <c r="G349" t="s">
        <v>2052</v>
      </c>
      <c r="H349" s="79">
        <v>24554063</v>
      </c>
      <c r="J349" s="83">
        <v>8677.68</v>
      </c>
      <c r="K349" s="83">
        <v>1822.32</v>
      </c>
      <c r="L349" s="83">
        <v>10500</v>
      </c>
    </row>
    <row r="350" spans="2:12">
      <c r="B350" t="s">
        <v>2066</v>
      </c>
      <c r="C350" t="s">
        <v>2035</v>
      </c>
      <c r="D350" s="79">
        <v>7</v>
      </c>
      <c r="E350" s="79">
        <v>4500</v>
      </c>
      <c r="F350" s="79">
        <v>73288416249581</v>
      </c>
      <c r="G350" t="s">
        <v>2052</v>
      </c>
      <c r="H350" s="79">
        <v>6412590</v>
      </c>
      <c r="J350" s="83">
        <v>855.38</v>
      </c>
      <c r="K350" s="83">
        <v>179.62</v>
      </c>
      <c r="L350" s="83">
        <v>1035</v>
      </c>
    </row>
    <row r="351" spans="2:12">
      <c r="B351" t="s">
        <v>2070</v>
      </c>
      <c r="C351" t="s">
        <v>2035</v>
      </c>
      <c r="D351" s="79">
        <v>7</v>
      </c>
      <c r="E351" s="79">
        <v>4501</v>
      </c>
      <c r="F351" s="79">
        <v>73288552025443</v>
      </c>
      <c r="G351" t="s">
        <v>2052</v>
      </c>
      <c r="H351" s="79">
        <v>4826012</v>
      </c>
      <c r="J351" s="83">
        <v>798.34</v>
      </c>
      <c r="K351" s="83">
        <v>167.66</v>
      </c>
      <c r="L351" s="83">
        <v>966</v>
      </c>
    </row>
    <row r="352" spans="2:12">
      <c r="B352" t="s">
        <v>2074</v>
      </c>
      <c r="C352" t="s">
        <v>2035</v>
      </c>
      <c r="D352" s="79">
        <v>7</v>
      </c>
      <c r="E352" s="79">
        <v>4502</v>
      </c>
      <c r="F352" s="79">
        <v>73298130781357</v>
      </c>
      <c r="G352" t="s">
        <v>2052</v>
      </c>
      <c r="H352" s="79">
        <v>4164120</v>
      </c>
      <c r="J352" s="83">
        <v>2600</v>
      </c>
      <c r="K352" s="83">
        <v>546</v>
      </c>
      <c r="L352" s="83">
        <v>3146</v>
      </c>
    </row>
    <row r="353" spans="2:12">
      <c r="B353" t="s">
        <v>2075</v>
      </c>
      <c r="C353" t="s">
        <v>2035</v>
      </c>
      <c r="D353" s="79">
        <v>7</v>
      </c>
      <c r="E353" s="79">
        <v>4503</v>
      </c>
      <c r="F353" s="79">
        <v>73298250555111</v>
      </c>
      <c r="G353" t="s">
        <v>2052</v>
      </c>
      <c r="H353" s="79">
        <v>22040665</v>
      </c>
      <c r="J353" s="83">
        <v>11570.25</v>
      </c>
      <c r="K353" s="83">
        <v>2429.75</v>
      </c>
      <c r="L353" s="83">
        <v>14000</v>
      </c>
    </row>
    <row r="354" spans="2:12">
      <c r="B354" t="s">
        <v>2075</v>
      </c>
      <c r="C354" t="s">
        <v>2035</v>
      </c>
      <c r="D354" s="79">
        <v>7</v>
      </c>
      <c r="E354" s="79">
        <v>4504</v>
      </c>
      <c r="F354" s="79">
        <v>73298282904717</v>
      </c>
      <c r="G354" t="s">
        <v>2052</v>
      </c>
      <c r="H354" s="79">
        <v>10964746</v>
      </c>
      <c r="J354" s="83">
        <v>319008.26</v>
      </c>
      <c r="K354" s="83">
        <v>66991.740000000005</v>
      </c>
      <c r="L354" s="83">
        <v>386000</v>
      </c>
    </row>
    <row r="355" spans="2:12">
      <c r="B355" t="s">
        <v>2075</v>
      </c>
      <c r="C355" t="s">
        <v>2035</v>
      </c>
      <c r="D355" s="79">
        <v>7</v>
      </c>
      <c r="E355" s="79">
        <v>4505</v>
      </c>
      <c r="F355" s="79">
        <v>73298287903305</v>
      </c>
      <c r="G355" t="s">
        <v>2052</v>
      </c>
      <c r="H355" s="79">
        <v>40406898</v>
      </c>
      <c r="J355" s="83">
        <v>144297.51999999999</v>
      </c>
      <c r="K355" s="83">
        <v>30302.48</v>
      </c>
      <c r="L355" s="83">
        <v>174600</v>
      </c>
    </row>
    <row r="356" spans="2:12">
      <c r="B356" t="s">
        <v>2076</v>
      </c>
      <c r="C356" t="s">
        <v>2035</v>
      </c>
      <c r="D356" s="79">
        <v>7</v>
      </c>
      <c r="E356" s="79">
        <v>4506</v>
      </c>
      <c r="F356" s="79">
        <v>73308539378617</v>
      </c>
      <c r="G356" t="s">
        <v>2052</v>
      </c>
      <c r="H356" s="79">
        <v>10138957</v>
      </c>
      <c r="J356" s="83">
        <v>4132.2299999999996</v>
      </c>
      <c r="K356" s="83">
        <v>867.77</v>
      </c>
      <c r="L356" s="83">
        <v>5000</v>
      </c>
    </row>
    <row r="357" spans="2:12">
      <c r="B357" t="s">
        <v>2078</v>
      </c>
      <c r="C357" t="s">
        <v>2035</v>
      </c>
      <c r="D357" s="79">
        <v>7</v>
      </c>
      <c r="E357" s="79">
        <v>4507</v>
      </c>
      <c r="F357" s="79">
        <v>73308622078817</v>
      </c>
      <c r="G357" t="s">
        <v>2052</v>
      </c>
      <c r="H357" s="79">
        <v>24699538</v>
      </c>
      <c r="J357" s="83">
        <v>7024.79</v>
      </c>
      <c r="K357" s="83">
        <v>1475.21</v>
      </c>
      <c r="L357" s="83">
        <v>8500</v>
      </c>
    </row>
    <row r="358" spans="2:12">
      <c r="B358" t="s">
        <v>2078</v>
      </c>
      <c r="C358" t="s">
        <v>2035</v>
      </c>
      <c r="D358" s="79">
        <v>7</v>
      </c>
      <c r="E358" s="79">
        <v>4508</v>
      </c>
      <c r="F358" s="79">
        <v>73308626992063</v>
      </c>
      <c r="G358" t="s">
        <v>2052</v>
      </c>
      <c r="H358" s="79">
        <v>17855620</v>
      </c>
      <c r="J358" s="83">
        <v>16115.71</v>
      </c>
      <c r="K358" s="83">
        <v>3384.29</v>
      </c>
      <c r="L358" s="83">
        <v>19500</v>
      </c>
    </row>
    <row r="359" spans="2:12">
      <c r="B359" t="s">
        <v>2078</v>
      </c>
      <c r="C359" t="s">
        <v>2035</v>
      </c>
      <c r="D359" s="79">
        <v>7</v>
      </c>
      <c r="E359" s="79">
        <v>4509</v>
      </c>
      <c r="F359" s="79">
        <v>73308629542589</v>
      </c>
      <c r="G359" t="s">
        <v>2052</v>
      </c>
      <c r="H359" s="79">
        <v>14123802</v>
      </c>
      <c r="J359" s="83">
        <v>6033.06</v>
      </c>
      <c r="K359" s="83">
        <v>1266.94</v>
      </c>
      <c r="L359" s="83">
        <v>7300</v>
      </c>
    </row>
    <row r="360" spans="2:12">
      <c r="B360" t="s">
        <v>2078</v>
      </c>
      <c r="C360" t="s">
        <v>2035</v>
      </c>
      <c r="D360" s="79">
        <v>7</v>
      </c>
      <c r="E360" s="79">
        <v>4510</v>
      </c>
      <c r="F360" s="79">
        <v>73308630900762</v>
      </c>
      <c r="G360" t="s">
        <v>2036</v>
      </c>
      <c r="H360" s="79">
        <v>30590354798</v>
      </c>
      <c r="I360" t="s">
        <v>2056</v>
      </c>
      <c r="J360" s="83">
        <v>161487.6</v>
      </c>
      <c r="K360" s="83">
        <v>33912.400000000001</v>
      </c>
      <c r="L360" s="83">
        <v>195400</v>
      </c>
    </row>
    <row r="361" spans="2:12">
      <c r="B361" t="s">
        <v>2078</v>
      </c>
      <c r="C361" t="s">
        <v>2035</v>
      </c>
      <c r="D361" s="79">
        <v>7</v>
      </c>
      <c r="E361" s="79">
        <v>4511</v>
      </c>
      <c r="F361" s="79">
        <v>73308635777685</v>
      </c>
      <c r="G361" t="s">
        <v>2052</v>
      </c>
      <c r="H361" s="79">
        <v>14123802</v>
      </c>
      <c r="J361" s="83">
        <v>11322.31</v>
      </c>
      <c r="K361" s="83">
        <v>2377.69</v>
      </c>
      <c r="L361" s="83">
        <v>13700</v>
      </c>
    </row>
    <row r="362" spans="2:12">
      <c r="B362" t="s">
        <v>2078</v>
      </c>
      <c r="C362" t="s">
        <v>2035</v>
      </c>
      <c r="D362" s="79">
        <v>7</v>
      </c>
      <c r="E362" s="79">
        <v>4512</v>
      </c>
      <c r="F362" s="79">
        <v>73308638854034</v>
      </c>
      <c r="G362" t="s">
        <v>2052</v>
      </c>
      <c r="H362" s="79">
        <v>8208160</v>
      </c>
      <c r="J362" s="83">
        <v>3719.01</v>
      </c>
      <c r="K362" s="83">
        <v>780.99</v>
      </c>
      <c r="L362" s="83">
        <v>4500</v>
      </c>
    </row>
    <row r="363" spans="2:12">
      <c r="B363" t="s">
        <v>2078</v>
      </c>
      <c r="C363" t="s">
        <v>2035</v>
      </c>
      <c r="D363" s="79">
        <v>7</v>
      </c>
      <c r="E363" s="79">
        <v>4513</v>
      </c>
      <c r="F363" s="79">
        <v>73308667283076</v>
      </c>
      <c r="G363" t="s">
        <v>2052</v>
      </c>
      <c r="H363" s="79">
        <v>95756049</v>
      </c>
      <c r="J363" s="83">
        <v>8925.6200000000008</v>
      </c>
      <c r="K363" s="83">
        <v>1874.38</v>
      </c>
      <c r="L363" s="83">
        <v>10800</v>
      </c>
    </row>
    <row r="364" spans="2:12">
      <c r="B364" t="s">
        <v>2080</v>
      </c>
      <c r="C364" t="s">
        <v>2035</v>
      </c>
      <c r="D364" s="79">
        <v>7</v>
      </c>
      <c r="E364" s="79">
        <v>4514</v>
      </c>
      <c r="F364" s="79">
        <v>73308731592331</v>
      </c>
      <c r="G364" t="s">
        <v>2036</v>
      </c>
      <c r="H364" s="79">
        <v>30685228501</v>
      </c>
      <c r="I364" t="s">
        <v>2081</v>
      </c>
      <c r="J364" s="83">
        <v>68347.100000000006</v>
      </c>
      <c r="K364" s="83">
        <v>14352.9</v>
      </c>
      <c r="L364" s="83">
        <v>82700</v>
      </c>
    </row>
    <row r="365" spans="2:12">
      <c r="B365" t="s">
        <v>2080</v>
      </c>
      <c r="C365" t="s">
        <v>2035</v>
      </c>
      <c r="D365" s="79">
        <v>7</v>
      </c>
      <c r="E365" s="79">
        <v>4515</v>
      </c>
      <c r="F365" s="79">
        <v>73308735907496</v>
      </c>
      <c r="G365" s="79">
        <v>99</v>
      </c>
      <c r="H365" s="79">
        <v>0</v>
      </c>
      <c r="J365" s="83">
        <v>26446.28</v>
      </c>
      <c r="K365" s="83">
        <v>5553.72</v>
      </c>
      <c r="L365" s="83">
        <v>32000</v>
      </c>
    </row>
    <row r="366" spans="2:12">
      <c r="B366" t="s">
        <v>2080</v>
      </c>
      <c r="C366" t="s">
        <v>2035</v>
      </c>
      <c r="D366" s="79">
        <v>7</v>
      </c>
      <c r="E366" s="79">
        <v>4516</v>
      </c>
      <c r="F366" s="79">
        <v>73308740608111</v>
      </c>
      <c r="G366" t="s">
        <v>2052</v>
      </c>
      <c r="H366" s="79">
        <v>24448662</v>
      </c>
      <c r="J366" s="83">
        <v>6611.57</v>
      </c>
      <c r="K366" s="83">
        <v>1388.43</v>
      </c>
      <c r="L366" s="83">
        <v>8000</v>
      </c>
    </row>
    <row r="367" spans="2:12">
      <c r="B367" t="s">
        <v>2080</v>
      </c>
      <c r="C367" t="s">
        <v>2035</v>
      </c>
      <c r="D367" s="79">
        <v>7</v>
      </c>
      <c r="E367" s="79">
        <v>4517</v>
      </c>
      <c r="F367" s="79">
        <v>73308759085680</v>
      </c>
      <c r="G367" t="s">
        <v>2052</v>
      </c>
      <c r="H367" s="79">
        <v>37904748</v>
      </c>
      <c r="J367" s="83">
        <v>7851.24</v>
      </c>
      <c r="K367" s="83">
        <v>1648.76</v>
      </c>
      <c r="L367" s="83">
        <v>9500</v>
      </c>
    </row>
    <row r="368" spans="2:12">
      <c r="B368" t="s">
        <v>2082</v>
      </c>
      <c r="C368" t="s">
        <v>2035</v>
      </c>
      <c r="D368" s="79">
        <v>7</v>
      </c>
      <c r="E368" s="79">
        <v>4518</v>
      </c>
      <c r="F368" s="79">
        <v>73308872850210</v>
      </c>
      <c r="G368" t="s">
        <v>2052</v>
      </c>
      <c r="H368" s="79">
        <v>16246667</v>
      </c>
      <c r="J368" s="83">
        <v>11983.47</v>
      </c>
      <c r="K368" s="83">
        <v>2516.5300000000002</v>
      </c>
      <c r="L368" s="83">
        <v>14500</v>
      </c>
    </row>
    <row r="369" spans="2:12">
      <c r="B369" t="s">
        <v>2082</v>
      </c>
      <c r="C369" t="s">
        <v>2035</v>
      </c>
      <c r="D369" s="79">
        <v>7</v>
      </c>
      <c r="E369" s="79">
        <v>4519</v>
      </c>
      <c r="F369" s="79">
        <v>73308876008423</v>
      </c>
      <c r="G369" t="s">
        <v>2052</v>
      </c>
      <c r="H369" s="79">
        <v>16481086</v>
      </c>
      <c r="J369" s="83">
        <v>6776.86</v>
      </c>
      <c r="K369" s="83">
        <v>1423.14</v>
      </c>
      <c r="L369" s="83">
        <v>8200</v>
      </c>
    </row>
    <row r="370" spans="2:12">
      <c r="B370" t="s">
        <v>2082</v>
      </c>
      <c r="C370" t="s">
        <v>2035</v>
      </c>
      <c r="D370" s="79">
        <v>7</v>
      </c>
      <c r="E370" s="79">
        <v>4520</v>
      </c>
      <c r="F370" s="79">
        <v>73308879797921</v>
      </c>
      <c r="G370" s="79">
        <v>99</v>
      </c>
      <c r="H370" s="79">
        <v>0</v>
      </c>
      <c r="J370" s="83">
        <v>66115.7</v>
      </c>
      <c r="K370" s="83">
        <v>13884.3</v>
      </c>
      <c r="L370" s="83">
        <v>80000</v>
      </c>
    </row>
    <row r="371" spans="2:12">
      <c r="B371" t="s">
        <v>2083</v>
      </c>
      <c r="C371" t="s">
        <v>2035</v>
      </c>
      <c r="D371" s="79">
        <v>7</v>
      </c>
      <c r="E371" s="79">
        <v>4521</v>
      </c>
      <c r="F371" s="79">
        <v>73308967356896</v>
      </c>
      <c r="G371" t="s">
        <v>2052</v>
      </c>
      <c r="H371" s="79">
        <v>30206585</v>
      </c>
      <c r="J371" s="83">
        <v>4214.88</v>
      </c>
      <c r="K371" s="83">
        <v>885.12</v>
      </c>
      <c r="L371" s="83">
        <v>5100</v>
      </c>
    </row>
    <row r="372" spans="2:12">
      <c r="B372" t="s">
        <v>2083</v>
      </c>
      <c r="C372" t="s">
        <v>2035</v>
      </c>
      <c r="D372" s="79">
        <v>7</v>
      </c>
      <c r="E372" s="79">
        <v>4522</v>
      </c>
      <c r="F372" s="79">
        <v>73308976073813</v>
      </c>
      <c r="G372" t="s">
        <v>2052</v>
      </c>
      <c r="H372" s="79">
        <v>28692323</v>
      </c>
      <c r="J372" s="83">
        <v>10578.5</v>
      </c>
      <c r="K372" s="83">
        <v>2221.5</v>
      </c>
      <c r="L372" s="83">
        <v>12800</v>
      </c>
    </row>
    <row r="373" spans="2:12">
      <c r="B373" t="s">
        <v>2083</v>
      </c>
      <c r="C373" t="s">
        <v>2035</v>
      </c>
      <c r="D373" s="79">
        <v>7</v>
      </c>
      <c r="E373" s="79">
        <v>4523</v>
      </c>
      <c r="F373" s="79">
        <v>73308991512013</v>
      </c>
      <c r="G373" t="s">
        <v>2052</v>
      </c>
      <c r="H373" s="79">
        <v>94466696</v>
      </c>
      <c r="J373" s="83">
        <v>7933.88</v>
      </c>
      <c r="K373" s="83">
        <v>1666.12</v>
      </c>
      <c r="L373" s="83">
        <v>9600</v>
      </c>
    </row>
    <row r="374" spans="2:12">
      <c r="B374" t="s">
        <v>2083</v>
      </c>
      <c r="C374" t="s">
        <v>2035</v>
      </c>
      <c r="D374" s="79">
        <v>7</v>
      </c>
      <c r="E374" s="79">
        <v>4524</v>
      </c>
      <c r="F374" s="79">
        <v>73308994782600</v>
      </c>
      <c r="G374" t="s">
        <v>2052</v>
      </c>
      <c r="H374" s="79">
        <v>8607637</v>
      </c>
      <c r="J374" s="83">
        <v>13223.14</v>
      </c>
      <c r="K374" s="83">
        <v>2776.86</v>
      </c>
      <c r="L374" s="83">
        <v>16000</v>
      </c>
    </row>
    <row r="375" spans="2:12">
      <c r="B375" t="s">
        <v>2083</v>
      </c>
      <c r="C375" t="s">
        <v>2035</v>
      </c>
      <c r="D375" s="79">
        <v>7</v>
      </c>
      <c r="E375" s="79">
        <v>4525</v>
      </c>
      <c r="F375" s="79">
        <v>73308997811297</v>
      </c>
      <c r="G375" t="s">
        <v>2052</v>
      </c>
      <c r="H375" s="79">
        <v>25864351</v>
      </c>
      <c r="J375" s="83">
        <v>7024.79</v>
      </c>
      <c r="K375" s="83">
        <v>1475.21</v>
      </c>
      <c r="L375" s="83">
        <v>8500</v>
      </c>
    </row>
    <row r="376" spans="2:12">
      <c r="B376" t="s">
        <v>2085</v>
      </c>
      <c r="C376" t="s">
        <v>2035</v>
      </c>
      <c r="D376" s="79">
        <v>7</v>
      </c>
      <c r="E376" s="79">
        <v>4526</v>
      </c>
      <c r="F376" s="79">
        <v>73318258846629</v>
      </c>
      <c r="G376" t="s">
        <v>2052</v>
      </c>
      <c r="H376" s="79">
        <v>42470342</v>
      </c>
      <c r="J376" s="83">
        <v>4214.88</v>
      </c>
      <c r="K376" s="83">
        <v>885.12</v>
      </c>
      <c r="L376" s="83">
        <v>5100</v>
      </c>
    </row>
    <row r="377" spans="2:12">
      <c r="B377" t="s">
        <v>2085</v>
      </c>
      <c r="C377" t="s">
        <v>2035</v>
      </c>
      <c r="D377" s="79">
        <v>7</v>
      </c>
      <c r="E377" s="79">
        <v>4527</v>
      </c>
      <c r="F377" s="79">
        <v>73318264894039</v>
      </c>
      <c r="G377" t="s">
        <v>2052</v>
      </c>
      <c r="H377" s="79">
        <v>17275405</v>
      </c>
      <c r="J377" s="83">
        <v>11570.24</v>
      </c>
      <c r="K377" s="83">
        <v>2429.7600000000002</v>
      </c>
      <c r="L377" s="83">
        <v>14000</v>
      </c>
    </row>
    <row r="378" spans="2:12">
      <c r="B378" t="s">
        <v>2085</v>
      </c>
      <c r="C378" t="s">
        <v>2035</v>
      </c>
      <c r="D378" s="79">
        <v>7</v>
      </c>
      <c r="E378" s="79">
        <v>4528</v>
      </c>
      <c r="F378" s="79">
        <v>73318271451282</v>
      </c>
      <c r="G378" t="s">
        <v>2052</v>
      </c>
      <c r="H378" s="79">
        <v>11802503</v>
      </c>
      <c r="J378" s="83">
        <v>4462.8100000000004</v>
      </c>
      <c r="K378" s="83">
        <v>937.19</v>
      </c>
      <c r="L378" s="83">
        <v>5400</v>
      </c>
    </row>
    <row r="379" spans="2:12">
      <c r="B379" t="s">
        <v>2085</v>
      </c>
      <c r="C379" t="s">
        <v>2035</v>
      </c>
      <c r="D379" s="79">
        <v>7</v>
      </c>
      <c r="E379" s="79">
        <v>4529</v>
      </c>
      <c r="F379" s="79">
        <v>73318276808656</v>
      </c>
      <c r="G379" t="s">
        <v>2052</v>
      </c>
      <c r="H379" s="79">
        <v>93483768</v>
      </c>
      <c r="J379" s="83">
        <v>7024.79</v>
      </c>
      <c r="K379" s="83">
        <v>1475.21</v>
      </c>
      <c r="L379" s="83">
        <v>8500</v>
      </c>
    </row>
    <row r="380" spans="2:12">
      <c r="B380" t="s">
        <v>2085</v>
      </c>
      <c r="C380" t="s">
        <v>2035</v>
      </c>
      <c r="D380" s="79">
        <v>7</v>
      </c>
      <c r="E380" s="79">
        <v>4530</v>
      </c>
      <c r="F380" s="79">
        <v>73318285771055</v>
      </c>
      <c r="G380" s="79">
        <v>99</v>
      </c>
      <c r="H380" s="79">
        <v>0</v>
      </c>
      <c r="J380" s="83">
        <v>8677.68</v>
      </c>
      <c r="K380" s="83">
        <v>1822.32</v>
      </c>
      <c r="L380" s="83">
        <v>10500</v>
      </c>
    </row>
    <row r="381" spans="2:12">
      <c r="B381" t="s">
        <v>2066</v>
      </c>
      <c r="C381" t="s">
        <v>2068</v>
      </c>
      <c r="D381" s="79">
        <v>5</v>
      </c>
      <c r="E381" s="79">
        <v>118</v>
      </c>
      <c r="F381" s="79">
        <v>73288444248130</v>
      </c>
      <c r="G381" s="79">
        <v>99</v>
      </c>
      <c r="H381" s="79">
        <v>0</v>
      </c>
      <c r="J381" s="83">
        <v>-12066.12</v>
      </c>
      <c r="K381" s="83">
        <v>-2533.88</v>
      </c>
      <c r="L381" s="83">
        <v>14600</v>
      </c>
    </row>
    <row r="382" spans="2:12">
      <c r="J382" s="85">
        <f>SUM(J72:J381)</f>
        <v>3568047.6600000025</v>
      </c>
      <c r="K382" s="85">
        <f>SUM(K72:K381)</f>
        <v>749290.00999999966</v>
      </c>
      <c r="L382" s="85">
        <f>SUM(L72:L381)</f>
        <v>4346537.67</v>
      </c>
    </row>
    <row r="383" spans="2:12">
      <c r="B383" s="87" t="s">
        <v>2086</v>
      </c>
      <c r="C383" s="87"/>
      <c r="D383" s="87"/>
      <c r="E383" s="87"/>
      <c r="F383" s="87"/>
    </row>
    <row r="384" spans="2:12">
      <c r="B384" t="s">
        <v>2055</v>
      </c>
      <c r="C384" t="s">
        <v>2058</v>
      </c>
      <c r="D384" s="79">
        <v>3</v>
      </c>
      <c r="E384" s="79">
        <v>231</v>
      </c>
      <c r="F384" s="79">
        <v>73278561727547</v>
      </c>
      <c r="G384" t="s">
        <v>2036</v>
      </c>
      <c r="H384" s="79">
        <v>30522428163</v>
      </c>
      <c r="I384" t="s">
        <v>120</v>
      </c>
      <c r="J384" s="83">
        <v>1836528.93</v>
      </c>
      <c r="K384" s="83">
        <v>385671.08</v>
      </c>
      <c r="L384" s="83">
        <v>2222200.0099999998</v>
      </c>
    </row>
    <row r="385" spans="2:12">
      <c r="B385" t="s">
        <v>2055</v>
      </c>
      <c r="C385" t="s">
        <v>2058</v>
      </c>
      <c r="D385" s="79">
        <v>3</v>
      </c>
      <c r="E385" s="79">
        <v>232</v>
      </c>
      <c r="F385" s="79">
        <v>73278562398720</v>
      </c>
      <c r="G385" t="s">
        <v>2036</v>
      </c>
      <c r="H385" s="79">
        <v>30522428163</v>
      </c>
      <c r="I385" t="s">
        <v>120</v>
      </c>
      <c r="J385" s="83">
        <v>5077899.05</v>
      </c>
      <c r="K385" s="83">
        <v>1066358.8</v>
      </c>
      <c r="L385" s="83">
        <v>6144257.8499999996</v>
      </c>
    </row>
    <row r="386" spans="2:12">
      <c r="B386" t="s">
        <v>2055</v>
      </c>
      <c r="C386" t="s">
        <v>2058</v>
      </c>
      <c r="D386" s="79">
        <v>3</v>
      </c>
      <c r="E386" s="79">
        <v>233</v>
      </c>
      <c r="F386" s="79">
        <v>73278562969965</v>
      </c>
      <c r="G386" t="s">
        <v>2036</v>
      </c>
      <c r="H386" s="79">
        <v>30522428163</v>
      </c>
      <c r="I386" t="s">
        <v>120</v>
      </c>
      <c r="J386" s="83">
        <v>9464280.9900000002</v>
      </c>
      <c r="K386" s="83">
        <v>1987499.01</v>
      </c>
      <c r="L386" s="83">
        <v>11451780</v>
      </c>
    </row>
    <row r="387" spans="2:12">
      <c r="B387" t="s">
        <v>2055</v>
      </c>
      <c r="C387" t="s">
        <v>2058</v>
      </c>
      <c r="D387" s="79">
        <v>3</v>
      </c>
      <c r="E387" s="79">
        <v>234</v>
      </c>
      <c r="F387" s="79">
        <v>73278563755907</v>
      </c>
      <c r="G387" t="s">
        <v>2036</v>
      </c>
      <c r="H387" s="79">
        <v>30522428163</v>
      </c>
      <c r="I387" t="s">
        <v>120</v>
      </c>
      <c r="J387" s="83">
        <v>5769256.2000000002</v>
      </c>
      <c r="K387" s="83">
        <v>1211543.8</v>
      </c>
      <c r="L387" s="83">
        <v>6980800</v>
      </c>
    </row>
    <row r="388" spans="2:12">
      <c r="B388" t="s">
        <v>2073</v>
      </c>
      <c r="C388" t="s">
        <v>2058</v>
      </c>
      <c r="D388" s="79">
        <v>3</v>
      </c>
      <c r="E388" s="79">
        <v>235</v>
      </c>
      <c r="F388" s="79">
        <v>73298041373685</v>
      </c>
      <c r="G388" t="s">
        <v>2036</v>
      </c>
      <c r="H388" s="79">
        <v>30522428163</v>
      </c>
      <c r="I388" t="s">
        <v>120</v>
      </c>
      <c r="J388" s="83">
        <v>464679.07</v>
      </c>
      <c r="K388" s="83">
        <v>97582.6</v>
      </c>
      <c r="L388" s="83">
        <v>562261.67000000004</v>
      </c>
    </row>
    <row r="389" spans="2:12">
      <c r="B389" t="s">
        <v>2073</v>
      </c>
      <c r="C389" t="s">
        <v>2058</v>
      </c>
      <c r="D389" s="79">
        <v>3</v>
      </c>
      <c r="E389" s="79">
        <v>236</v>
      </c>
      <c r="F389" s="79">
        <v>73298042289382</v>
      </c>
      <c r="G389" t="s">
        <v>2036</v>
      </c>
      <c r="H389" s="79">
        <v>30522428163</v>
      </c>
      <c r="I389" t="s">
        <v>120</v>
      </c>
      <c r="J389" s="83">
        <v>4682644.6100000003</v>
      </c>
      <c r="K389" s="83">
        <v>983355.37</v>
      </c>
      <c r="L389" s="83">
        <v>5665999.9800000004</v>
      </c>
    </row>
    <row r="390" spans="2:12">
      <c r="B390" t="s">
        <v>2073</v>
      </c>
      <c r="C390" t="s">
        <v>2058</v>
      </c>
      <c r="D390" s="79">
        <v>3</v>
      </c>
      <c r="E390" s="79">
        <v>237</v>
      </c>
      <c r="F390" s="79">
        <v>73298043060096</v>
      </c>
      <c r="G390" t="s">
        <v>2036</v>
      </c>
      <c r="H390" s="79">
        <v>30522428163</v>
      </c>
      <c r="I390" t="s">
        <v>120</v>
      </c>
      <c r="J390" s="83">
        <v>5227520.6500000004</v>
      </c>
      <c r="K390" s="83">
        <v>1097779.3400000001</v>
      </c>
      <c r="L390" s="83">
        <v>6325299.9900000002</v>
      </c>
    </row>
    <row r="391" spans="2:12">
      <c r="B391" t="s">
        <v>2074</v>
      </c>
      <c r="C391" t="s">
        <v>2058</v>
      </c>
      <c r="D391" s="79">
        <v>3</v>
      </c>
      <c r="E391" s="79">
        <v>238</v>
      </c>
      <c r="F391" s="79">
        <v>73298122818792</v>
      </c>
      <c r="G391" t="s">
        <v>2036</v>
      </c>
      <c r="H391" s="79">
        <v>30522428163</v>
      </c>
      <c r="I391" t="s">
        <v>120</v>
      </c>
      <c r="J391" s="83">
        <v>223253.39</v>
      </c>
      <c r="K391" s="83">
        <v>46883.21</v>
      </c>
      <c r="L391" s="83">
        <v>270136.59999999998</v>
      </c>
    </row>
    <row r="392" spans="2:12">
      <c r="B392" t="s">
        <v>2074</v>
      </c>
      <c r="C392" t="s">
        <v>2058</v>
      </c>
      <c r="D392" s="79">
        <v>3</v>
      </c>
      <c r="E392" s="79">
        <v>239</v>
      </c>
      <c r="F392" s="79">
        <v>73298123496103</v>
      </c>
      <c r="G392" t="s">
        <v>2036</v>
      </c>
      <c r="H392" s="79">
        <v>30522428163</v>
      </c>
      <c r="I392" t="s">
        <v>120</v>
      </c>
      <c r="J392" s="83">
        <v>268415.45</v>
      </c>
      <c r="K392" s="83">
        <v>56367.24</v>
      </c>
      <c r="L392" s="83">
        <v>324782.69</v>
      </c>
    </row>
    <row r="393" spans="2:12">
      <c r="B393" t="s">
        <v>2074</v>
      </c>
      <c r="C393" t="s">
        <v>2058</v>
      </c>
      <c r="D393" s="79">
        <v>3</v>
      </c>
      <c r="E393" s="79">
        <v>240</v>
      </c>
      <c r="F393" s="79">
        <v>73298125051799</v>
      </c>
      <c r="G393" t="s">
        <v>2036</v>
      </c>
      <c r="H393" s="79">
        <v>30522428163</v>
      </c>
      <c r="I393" t="s">
        <v>120</v>
      </c>
      <c r="J393" s="83">
        <v>9237438.0299999993</v>
      </c>
      <c r="K393" s="83">
        <v>1939861.99</v>
      </c>
      <c r="L393" s="83">
        <v>11177300.02</v>
      </c>
    </row>
    <row r="394" spans="2:12">
      <c r="J394" s="89">
        <f>SUM(J384:J393)</f>
        <v>42251916.369999997</v>
      </c>
      <c r="K394" s="89">
        <f>SUM(K384:K393)</f>
        <v>8872902.4399999995</v>
      </c>
      <c r="L394" s="89">
        <f>SUM(L384:L393)</f>
        <v>51124818.810000002</v>
      </c>
    </row>
    <row r="395" spans="2:12">
      <c r="J395" s="22"/>
      <c r="K395" s="88"/>
    </row>
  </sheetData>
  <sortState ref="B4:L65">
    <sortCondition ref="C4:C65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57"/>
  <sheetViews>
    <sheetView workbookViewId="0">
      <selection activeCell="J457" sqref="J457"/>
    </sheetView>
  </sheetViews>
  <sheetFormatPr baseColWidth="10" defaultRowHeight="15"/>
  <cols>
    <col min="2" max="2" width="31.28515625" customWidth="1"/>
    <col min="4" max="4" width="11.85546875" customWidth="1"/>
    <col min="5" max="5" width="13.140625" customWidth="1"/>
    <col min="7" max="7" width="13.5703125" customWidth="1"/>
    <col min="10" max="10" width="15.5703125" bestFit="1" customWidth="1"/>
    <col min="13" max="13" width="11.85546875" customWidth="1"/>
    <col min="14" max="14" width="14.42578125" customWidth="1"/>
  </cols>
  <sheetData>
    <row r="2" spans="1:14">
      <c r="A2" s="105" t="s">
        <v>2023</v>
      </c>
    </row>
    <row r="3" spans="1:14">
      <c r="A3" s="93" t="s">
        <v>0</v>
      </c>
      <c r="B3" s="94" t="s">
        <v>1</v>
      </c>
      <c r="C3" s="94" t="s">
        <v>2</v>
      </c>
      <c r="D3" s="94" t="s">
        <v>3</v>
      </c>
      <c r="E3" s="94" t="s">
        <v>4</v>
      </c>
      <c r="F3" s="94" t="s">
        <v>5</v>
      </c>
      <c r="G3" s="94" t="s">
        <v>6</v>
      </c>
      <c r="H3" s="94" t="s">
        <v>7</v>
      </c>
      <c r="I3" s="94" t="s">
        <v>8</v>
      </c>
      <c r="J3" s="94" t="s">
        <v>9</v>
      </c>
      <c r="K3" s="94" t="s">
        <v>10</v>
      </c>
      <c r="L3" s="94" t="s">
        <v>11</v>
      </c>
      <c r="M3" s="94" t="s">
        <v>12</v>
      </c>
      <c r="N3" s="95" t="s">
        <v>13</v>
      </c>
    </row>
    <row r="4" spans="1:14">
      <c r="A4" s="91" t="s">
        <v>2245</v>
      </c>
      <c r="B4" s="4" t="s">
        <v>2246</v>
      </c>
      <c r="C4" s="5" t="s">
        <v>2247</v>
      </c>
      <c r="D4" s="5" t="s">
        <v>17</v>
      </c>
      <c r="E4" s="5">
        <v>27066993987</v>
      </c>
      <c r="F4" s="56">
        <v>5165.29</v>
      </c>
      <c r="G4" s="56">
        <v>0</v>
      </c>
      <c r="H4" s="5">
        <v>0</v>
      </c>
      <c r="I4" s="5">
        <v>0</v>
      </c>
      <c r="J4" s="5">
        <v>0</v>
      </c>
      <c r="K4" s="5">
        <v>1084.71</v>
      </c>
      <c r="L4" s="5">
        <v>0</v>
      </c>
      <c r="M4" s="56">
        <v>0</v>
      </c>
      <c r="N4" s="92">
        <v>6250</v>
      </c>
    </row>
    <row r="5" spans="1:14">
      <c r="A5" s="91" t="s">
        <v>2289</v>
      </c>
      <c r="B5" s="4" t="s">
        <v>2290</v>
      </c>
      <c r="C5" s="5" t="s">
        <v>2291</v>
      </c>
      <c r="D5" s="5" t="s">
        <v>17</v>
      </c>
      <c r="E5" s="5">
        <v>20203883693</v>
      </c>
      <c r="F5" s="56">
        <v>4958.68</v>
      </c>
      <c r="G5" s="56">
        <v>0</v>
      </c>
      <c r="H5" s="5">
        <v>0</v>
      </c>
      <c r="I5" s="5">
        <v>0</v>
      </c>
      <c r="J5" s="5">
        <v>0</v>
      </c>
      <c r="K5" s="5">
        <v>1041.32</v>
      </c>
      <c r="L5" s="5">
        <v>0</v>
      </c>
      <c r="M5" s="56">
        <v>0</v>
      </c>
      <c r="N5" s="92">
        <v>6000</v>
      </c>
    </row>
    <row r="6" spans="1:14">
      <c r="A6" s="91" t="s">
        <v>2531</v>
      </c>
      <c r="B6" s="4" t="s">
        <v>2532</v>
      </c>
      <c r="C6" s="5" t="s">
        <v>2533</v>
      </c>
      <c r="D6" s="5" t="s">
        <v>17</v>
      </c>
      <c r="E6" s="5">
        <v>30711428603</v>
      </c>
      <c r="F6" s="56">
        <v>15123.97</v>
      </c>
      <c r="G6" s="56">
        <v>0</v>
      </c>
      <c r="H6" s="5">
        <v>0</v>
      </c>
      <c r="I6" s="5">
        <v>0</v>
      </c>
      <c r="J6" s="5">
        <v>0</v>
      </c>
      <c r="K6" s="5">
        <v>3176.03</v>
      </c>
      <c r="L6" s="5">
        <v>0</v>
      </c>
      <c r="M6" s="56">
        <v>0</v>
      </c>
      <c r="N6" s="92">
        <v>18300</v>
      </c>
    </row>
    <row r="7" spans="1:14">
      <c r="A7" s="91" t="s">
        <v>2148</v>
      </c>
      <c r="B7" s="4" t="s">
        <v>2164</v>
      </c>
      <c r="C7" s="5" t="s">
        <v>2165</v>
      </c>
      <c r="D7" s="5" t="s">
        <v>17</v>
      </c>
      <c r="E7" s="5">
        <v>30522428163</v>
      </c>
      <c r="F7" s="56">
        <v>4459509.09</v>
      </c>
      <c r="G7" s="56">
        <v>0</v>
      </c>
      <c r="H7" s="5">
        <v>0</v>
      </c>
      <c r="I7" s="5">
        <v>0</v>
      </c>
      <c r="J7" s="5">
        <v>0</v>
      </c>
      <c r="K7" s="5">
        <v>936496.91</v>
      </c>
      <c r="L7" s="5">
        <v>0</v>
      </c>
      <c r="M7" s="56">
        <v>0</v>
      </c>
      <c r="N7" s="92">
        <v>5396006</v>
      </c>
    </row>
    <row r="8" spans="1:14">
      <c r="A8" s="91" t="s">
        <v>2101</v>
      </c>
      <c r="B8" s="4" t="s">
        <v>2111</v>
      </c>
      <c r="C8" s="5" t="s">
        <v>16</v>
      </c>
      <c r="D8" s="5" t="s">
        <v>17</v>
      </c>
      <c r="E8" s="5">
        <v>30522428163</v>
      </c>
      <c r="F8" s="56">
        <v>2706554.25</v>
      </c>
      <c r="G8" s="56">
        <v>0</v>
      </c>
      <c r="H8" s="5">
        <v>0</v>
      </c>
      <c r="I8" s="5">
        <v>0</v>
      </c>
      <c r="J8" s="5">
        <v>0</v>
      </c>
      <c r="K8" s="5">
        <v>568376.39</v>
      </c>
      <c r="L8" s="5">
        <v>0</v>
      </c>
      <c r="M8" s="56">
        <v>0</v>
      </c>
      <c r="N8" s="92">
        <v>3274930.64</v>
      </c>
    </row>
    <row r="9" spans="1:14">
      <c r="A9" s="91" t="s">
        <v>2123</v>
      </c>
      <c r="B9" s="4" t="s">
        <v>2142</v>
      </c>
      <c r="C9" s="5" t="s">
        <v>16</v>
      </c>
      <c r="D9" s="5" t="s">
        <v>17</v>
      </c>
      <c r="E9" s="5">
        <v>30522428163</v>
      </c>
      <c r="F9" s="56">
        <v>4265206.62</v>
      </c>
      <c r="G9" s="56">
        <v>0</v>
      </c>
      <c r="H9" s="5">
        <v>0</v>
      </c>
      <c r="I9" s="5">
        <v>0</v>
      </c>
      <c r="J9" s="5">
        <v>0</v>
      </c>
      <c r="K9" s="5">
        <v>895693.38</v>
      </c>
      <c r="L9" s="5">
        <v>0</v>
      </c>
      <c r="M9" s="56">
        <v>0</v>
      </c>
      <c r="N9" s="92">
        <v>5160900</v>
      </c>
    </row>
    <row r="10" spans="1:14">
      <c r="A10" s="91" t="s">
        <v>2123</v>
      </c>
      <c r="B10" s="4" t="s">
        <v>2143</v>
      </c>
      <c r="C10" s="5" t="s">
        <v>16</v>
      </c>
      <c r="D10" s="5" t="s">
        <v>17</v>
      </c>
      <c r="E10" s="5">
        <v>30522428163</v>
      </c>
      <c r="F10" s="56">
        <v>5242066.1100000003</v>
      </c>
      <c r="G10" s="56">
        <v>0</v>
      </c>
      <c r="H10" s="5">
        <v>0</v>
      </c>
      <c r="I10" s="5">
        <v>0</v>
      </c>
      <c r="J10" s="5">
        <v>0</v>
      </c>
      <c r="K10" s="5">
        <v>1100833.8900000001</v>
      </c>
      <c r="L10" s="5">
        <v>0</v>
      </c>
      <c r="M10" s="56">
        <v>0</v>
      </c>
      <c r="N10" s="92">
        <v>6342900</v>
      </c>
    </row>
    <row r="11" spans="1:14">
      <c r="A11" s="91" t="s">
        <v>2245</v>
      </c>
      <c r="B11" s="4" t="s">
        <v>2260</v>
      </c>
      <c r="C11" s="5" t="s">
        <v>16</v>
      </c>
      <c r="D11" s="5" t="s">
        <v>17</v>
      </c>
      <c r="E11" s="5">
        <v>30522428163</v>
      </c>
      <c r="F11" s="56">
        <v>3629757.01</v>
      </c>
      <c r="G11" s="56">
        <v>0</v>
      </c>
      <c r="H11" s="5">
        <v>0</v>
      </c>
      <c r="I11" s="5">
        <v>0</v>
      </c>
      <c r="J11" s="5">
        <v>0</v>
      </c>
      <c r="K11" s="5">
        <v>762248.97</v>
      </c>
      <c r="L11" s="5">
        <v>0</v>
      </c>
      <c r="M11" s="56">
        <v>0</v>
      </c>
      <c r="N11" s="92">
        <v>4392005.9800000004</v>
      </c>
    </row>
    <row r="12" spans="1:14">
      <c r="A12" s="91" t="s">
        <v>2245</v>
      </c>
      <c r="B12" s="4" t="s">
        <v>2261</v>
      </c>
      <c r="C12" s="5" t="s">
        <v>16</v>
      </c>
      <c r="D12" s="5" t="s">
        <v>17</v>
      </c>
      <c r="E12" s="5">
        <v>30522428163</v>
      </c>
      <c r="F12" s="56">
        <v>6410165.2999999998</v>
      </c>
      <c r="G12" s="56">
        <v>0</v>
      </c>
      <c r="H12" s="5">
        <v>0</v>
      </c>
      <c r="I12" s="5">
        <v>0</v>
      </c>
      <c r="J12" s="5">
        <v>0</v>
      </c>
      <c r="K12" s="5">
        <v>1346134.71</v>
      </c>
      <c r="L12" s="5">
        <v>0</v>
      </c>
      <c r="M12" s="56">
        <v>0</v>
      </c>
      <c r="N12" s="92">
        <v>7756300.0099999998</v>
      </c>
    </row>
    <row r="13" spans="1:14">
      <c r="A13" s="91" t="s">
        <v>2355</v>
      </c>
      <c r="B13" s="4" t="s">
        <v>2362</v>
      </c>
      <c r="C13" s="5" t="s">
        <v>16</v>
      </c>
      <c r="D13" s="5" t="s">
        <v>17</v>
      </c>
      <c r="E13" s="5">
        <v>30522428163</v>
      </c>
      <c r="F13" s="56">
        <v>4177272.72</v>
      </c>
      <c r="G13" s="56">
        <v>0</v>
      </c>
      <c r="H13" s="5">
        <v>0</v>
      </c>
      <c r="I13" s="5">
        <v>0</v>
      </c>
      <c r="J13" s="5">
        <v>0</v>
      </c>
      <c r="K13" s="5">
        <v>877227.28</v>
      </c>
      <c r="L13" s="5">
        <v>0</v>
      </c>
      <c r="M13" s="56">
        <v>0</v>
      </c>
      <c r="N13" s="92">
        <v>5054500</v>
      </c>
    </row>
    <row r="14" spans="1:14">
      <c r="A14" s="91" t="s">
        <v>2369</v>
      </c>
      <c r="B14" s="4" t="s">
        <v>2380</v>
      </c>
      <c r="C14" s="5" t="s">
        <v>16</v>
      </c>
      <c r="D14" s="5" t="s">
        <v>17</v>
      </c>
      <c r="E14" s="5">
        <v>30522428163</v>
      </c>
      <c r="F14" s="56">
        <v>1047024.8</v>
      </c>
      <c r="G14" s="56">
        <v>0</v>
      </c>
      <c r="H14" s="5">
        <v>0</v>
      </c>
      <c r="I14" s="5">
        <v>0</v>
      </c>
      <c r="J14" s="5">
        <v>0</v>
      </c>
      <c r="K14" s="5">
        <v>219875.21</v>
      </c>
      <c r="L14" s="5">
        <v>0</v>
      </c>
      <c r="M14" s="56">
        <v>0</v>
      </c>
      <c r="N14" s="92">
        <v>1266900.01</v>
      </c>
    </row>
    <row r="15" spans="1:14">
      <c r="A15" s="91" t="s">
        <v>2393</v>
      </c>
      <c r="B15" s="4" t="s">
        <v>2409</v>
      </c>
      <c r="C15" s="5" t="s">
        <v>16</v>
      </c>
      <c r="D15" s="5" t="s">
        <v>17</v>
      </c>
      <c r="E15" s="5">
        <v>30522428163</v>
      </c>
      <c r="F15" s="56">
        <v>4758512.3899999997</v>
      </c>
      <c r="G15" s="56">
        <v>0</v>
      </c>
      <c r="H15" s="5">
        <v>0</v>
      </c>
      <c r="I15" s="5">
        <v>0</v>
      </c>
      <c r="J15" s="5">
        <v>0</v>
      </c>
      <c r="K15" s="5">
        <v>999287.61</v>
      </c>
      <c r="L15" s="5">
        <v>0</v>
      </c>
      <c r="M15" s="56">
        <v>0</v>
      </c>
      <c r="N15" s="92">
        <v>5757800</v>
      </c>
    </row>
    <row r="16" spans="1:14">
      <c r="A16" s="91" t="s">
        <v>2551</v>
      </c>
      <c r="B16" s="4" t="s">
        <v>2573</v>
      </c>
      <c r="C16" s="5" t="s">
        <v>16</v>
      </c>
      <c r="D16" s="5" t="s">
        <v>17</v>
      </c>
      <c r="E16" s="5">
        <v>30522428163</v>
      </c>
      <c r="F16" s="56">
        <v>5693057.8500000006</v>
      </c>
      <c r="G16" s="56">
        <v>0</v>
      </c>
      <c r="H16" s="5">
        <v>0</v>
      </c>
      <c r="I16" s="5">
        <v>0</v>
      </c>
      <c r="J16" s="5">
        <v>0</v>
      </c>
      <c r="K16" s="5">
        <v>1195542.1400000001</v>
      </c>
      <c r="L16" s="5">
        <v>0</v>
      </c>
      <c r="M16" s="56">
        <v>0</v>
      </c>
      <c r="N16" s="92">
        <v>6888599.9900000002</v>
      </c>
    </row>
    <row r="17" spans="1:14">
      <c r="A17" s="91" t="s">
        <v>2101</v>
      </c>
      <c r="B17" s="4" t="s">
        <v>2112</v>
      </c>
      <c r="C17" s="5" t="s">
        <v>80</v>
      </c>
      <c r="D17" s="5" t="s">
        <v>17</v>
      </c>
      <c r="E17" s="5">
        <v>30608716390</v>
      </c>
      <c r="F17" s="56">
        <v>1072.73</v>
      </c>
      <c r="G17" s="56">
        <v>0</v>
      </c>
      <c r="H17" s="5">
        <v>0</v>
      </c>
      <c r="I17" s="5">
        <v>0</v>
      </c>
      <c r="J17" s="5">
        <v>0</v>
      </c>
      <c r="K17" s="5">
        <v>225.27</v>
      </c>
      <c r="L17" s="5">
        <v>0</v>
      </c>
      <c r="M17" s="56">
        <v>0</v>
      </c>
      <c r="N17" s="92">
        <v>1298</v>
      </c>
    </row>
    <row r="18" spans="1:14">
      <c r="A18" s="91" t="s">
        <v>2101</v>
      </c>
      <c r="B18" s="4" t="s">
        <v>2113</v>
      </c>
      <c r="C18" s="5" t="s">
        <v>16</v>
      </c>
      <c r="D18" s="5" t="s">
        <v>17</v>
      </c>
      <c r="E18" s="5">
        <v>30522428163</v>
      </c>
      <c r="F18" s="56">
        <v>255019.16</v>
      </c>
      <c r="G18" s="56">
        <v>0</v>
      </c>
      <c r="H18" s="5">
        <v>0</v>
      </c>
      <c r="I18" s="5">
        <v>0</v>
      </c>
      <c r="J18" s="5">
        <v>0</v>
      </c>
      <c r="K18" s="5">
        <v>53554.02</v>
      </c>
      <c r="L18" s="5">
        <v>0</v>
      </c>
      <c r="M18" s="56">
        <v>0</v>
      </c>
      <c r="N18" s="92">
        <v>308573.18</v>
      </c>
    </row>
    <row r="19" spans="1:14">
      <c r="A19" s="91" t="s">
        <v>2101</v>
      </c>
      <c r="B19" s="4" t="s">
        <v>2114</v>
      </c>
      <c r="C19" s="5" t="s">
        <v>16</v>
      </c>
      <c r="D19" s="5" t="s">
        <v>17</v>
      </c>
      <c r="E19" s="5">
        <v>30522428163</v>
      </c>
      <c r="F19" s="56">
        <v>16280.99</v>
      </c>
      <c r="G19" s="56">
        <v>0</v>
      </c>
      <c r="H19" s="5">
        <v>0</v>
      </c>
      <c r="I19" s="5">
        <v>0</v>
      </c>
      <c r="J19" s="5">
        <v>0</v>
      </c>
      <c r="K19" s="5">
        <v>3419.01</v>
      </c>
      <c r="L19" s="5">
        <v>0</v>
      </c>
      <c r="M19" s="56">
        <v>0</v>
      </c>
      <c r="N19" s="92">
        <v>19700</v>
      </c>
    </row>
    <row r="20" spans="1:14">
      <c r="A20" s="91" t="s">
        <v>2101</v>
      </c>
      <c r="B20" s="4" t="s">
        <v>2115</v>
      </c>
      <c r="C20" s="5" t="s">
        <v>16</v>
      </c>
      <c r="D20" s="5" t="s">
        <v>17</v>
      </c>
      <c r="E20" s="5">
        <v>30522428163</v>
      </c>
      <c r="F20" s="56">
        <v>10749.24</v>
      </c>
      <c r="G20" s="56">
        <v>0</v>
      </c>
      <c r="H20" s="5">
        <v>0</v>
      </c>
      <c r="I20" s="5">
        <v>0</v>
      </c>
      <c r="J20" s="5">
        <v>0</v>
      </c>
      <c r="K20" s="5">
        <v>2257.34</v>
      </c>
      <c r="L20" s="5">
        <v>0</v>
      </c>
      <c r="M20" s="56">
        <v>0</v>
      </c>
      <c r="N20" s="92">
        <v>13006.58</v>
      </c>
    </row>
    <row r="21" spans="1:14">
      <c r="A21" s="91" t="s">
        <v>2101</v>
      </c>
      <c r="B21" s="4" t="s">
        <v>2116</v>
      </c>
      <c r="C21" s="5" t="s">
        <v>16</v>
      </c>
      <c r="D21" s="5" t="s">
        <v>17</v>
      </c>
      <c r="E21" s="5">
        <v>30522428163</v>
      </c>
      <c r="F21" s="56">
        <v>380473.58</v>
      </c>
      <c r="G21" s="56">
        <v>0</v>
      </c>
      <c r="H21" s="5">
        <v>0</v>
      </c>
      <c r="I21" s="5">
        <v>0</v>
      </c>
      <c r="J21" s="5">
        <v>0</v>
      </c>
      <c r="K21" s="5">
        <v>79899.45</v>
      </c>
      <c r="L21" s="5">
        <v>0</v>
      </c>
      <c r="M21" s="56">
        <v>0</v>
      </c>
      <c r="N21" s="92">
        <v>460373.03</v>
      </c>
    </row>
    <row r="22" spans="1:14">
      <c r="A22" s="91" t="s">
        <v>2101</v>
      </c>
      <c r="B22" s="4" t="s">
        <v>2117</v>
      </c>
      <c r="C22" s="5" t="s">
        <v>16</v>
      </c>
      <c r="D22" s="5" t="s">
        <v>17</v>
      </c>
      <c r="E22" s="5">
        <v>30522428163</v>
      </c>
      <c r="F22" s="56">
        <v>245643.54</v>
      </c>
      <c r="G22" s="56">
        <v>0</v>
      </c>
      <c r="H22" s="5">
        <v>0</v>
      </c>
      <c r="I22" s="5">
        <v>0</v>
      </c>
      <c r="J22" s="5">
        <v>0</v>
      </c>
      <c r="K22" s="5">
        <v>51585.14</v>
      </c>
      <c r="L22" s="5">
        <v>0</v>
      </c>
      <c r="M22" s="56">
        <v>0</v>
      </c>
      <c r="N22" s="92">
        <v>297228.68</v>
      </c>
    </row>
    <row r="23" spans="1:14">
      <c r="A23" s="91" t="s">
        <v>2123</v>
      </c>
      <c r="B23" s="4" t="s">
        <v>2144</v>
      </c>
      <c r="C23" s="5" t="s">
        <v>80</v>
      </c>
      <c r="D23" s="5" t="s">
        <v>17</v>
      </c>
      <c r="E23" s="5">
        <v>30608716390</v>
      </c>
      <c r="F23" s="56">
        <v>5777.68</v>
      </c>
      <c r="G23" s="56">
        <v>0</v>
      </c>
      <c r="H23" s="5">
        <v>0</v>
      </c>
      <c r="I23" s="5">
        <v>0</v>
      </c>
      <c r="J23" s="5">
        <v>0</v>
      </c>
      <c r="K23" s="5">
        <v>1213.31</v>
      </c>
      <c r="L23" s="5">
        <v>0</v>
      </c>
      <c r="M23" s="56">
        <v>0</v>
      </c>
      <c r="N23" s="92">
        <v>6990.99</v>
      </c>
    </row>
    <row r="24" spans="1:14">
      <c r="A24" s="91" t="s">
        <v>2123</v>
      </c>
      <c r="B24" s="4" t="s">
        <v>2145</v>
      </c>
      <c r="C24" s="5" t="s">
        <v>60</v>
      </c>
      <c r="D24" s="5" t="s">
        <v>17</v>
      </c>
      <c r="E24" s="5">
        <v>30710538014</v>
      </c>
      <c r="F24" s="56">
        <v>20395.04</v>
      </c>
      <c r="G24" s="56">
        <v>0</v>
      </c>
      <c r="H24" s="5">
        <v>0</v>
      </c>
      <c r="I24" s="5">
        <v>0</v>
      </c>
      <c r="J24" s="5">
        <v>0</v>
      </c>
      <c r="K24" s="5">
        <v>4282.96</v>
      </c>
      <c r="L24" s="5">
        <v>0</v>
      </c>
      <c r="M24" s="56">
        <v>0</v>
      </c>
      <c r="N24" s="92">
        <v>24678</v>
      </c>
    </row>
    <row r="25" spans="1:14">
      <c r="A25" s="91" t="s">
        <v>2148</v>
      </c>
      <c r="B25" s="4" t="s">
        <v>2166</v>
      </c>
      <c r="C25" s="5" t="s">
        <v>66</v>
      </c>
      <c r="D25" s="5" t="s">
        <v>17</v>
      </c>
      <c r="E25" s="5">
        <v>30710961790</v>
      </c>
      <c r="F25" s="56">
        <v>46790.080000000002</v>
      </c>
      <c r="G25" s="56">
        <v>0</v>
      </c>
      <c r="H25" s="5">
        <v>0</v>
      </c>
      <c r="I25" s="5">
        <v>0</v>
      </c>
      <c r="J25" s="5">
        <v>0</v>
      </c>
      <c r="K25" s="5">
        <v>9825.92</v>
      </c>
      <c r="L25" s="5">
        <v>0</v>
      </c>
      <c r="M25" s="56">
        <v>0</v>
      </c>
      <c r="N25" s="92">
        <v>56616</v>
      </c>
    </row>
    <row r="26" spans="1:14">
      <c r="A26" s="91" t="s">
        <v>2171</v>
      </c>
      <c r="B26" s="4" t="s">
        <v>2181</v>
      </c>
      <c r="C26" s="5" t="s">
        <v>33</v>
      </c>
      <c r="D26" s="5" t="s">
        <v>17</v>
      </c>
      <c r="E26" s="5">
        <v>30683032227</v>
      </c>
      <c r="F26" s="56">
        <v>345972.53</v>
      </c>
      <c r="G26" s="56">
        <v>0</v>
      </c>
      <c r="H26" s="5">
        <v>0</v>
      </c>
      <c r="I26" s="5">
        <v>0</v>
      </c>
      <c r="J26" s="5">
        <v>0</v>
      </c>
      <c r="K26" s="5">
        <v>72654.23</v>
      </c>
      <c r="L26" s="5">
        <v>0</v>
      </c>
      <c r="M26" s="56">
        <v>0</v>
      </c>
      <c r="N26" s="92">
        <v>418626.76</v>
      </c>
    </row>
    <row r="27" spans="1:14">
      <c r="A27" s="91" t="s">
        <v>2171</v>
      </c>
      <c r="B27" s="4" t="s">
        <v>2182</v>
      </c>
      <c r="C27" s="5" t="s">
        <v>33</v>
      </c>
      <c r="D27" s="5" t="s">
        <v>17</v>
      </c>
      <c r="E27" s="5">
        <v>30683032227</v>
      </c>
      <c r="F27" s="56">
        <v>98140.5</v>
      </c>
      <c r="G27" s="56">
        <v>0</v>
      </c>
      <c r="H27" s="5">
        <v>0</v>
      </c>
      <c r="I27" s="5">
        <v>0</v>
      </c>
      <c r="J27" s="5">
        <v>0</v>
      </c>
      <c r="K27" s="5">
        <v>20609.510000000002</v>
      </c>
      <c r="L27" s="5">
        <v>0</v>
      </c>
      <c r="M27" s="56">
        <v>0</v>
      </c>
      <c r="N27" s="92">
        <v>118750.01</v>
      </c>
    </row>
    <row r="28" spans="1:14">
      <c r="A28" s="91" t="s">
        <v>2171</v>
      </c>
      <c r="B28" s="4" t="s">
        <v>2183</v>
      </c>
      <c r="C28" s="5" t="s">
        <v>33</v>
      </c>
      <c r="D28" s="5" t="s">
        <v>17</v>
      </c>
      <c r="E28" s="5">
        <v>30683032227</v>
      </c>
      <c r="F28" s="56">
        <v>24380.17</v>
      </c>
      <c r="G28" s="56">
        <v>0</v>
      </c>
      <c r="H28" s="5">
        <v>0</v>
      </c>
      <c r="I28" s="5">
        <v>0</v>
      </c>
      <c r="J28" s="5">
        <v>0</v>
      </c>
      <c r="K28" s="5">
        <v>5119.84</v>
      </c>
      <c r="L28" s="5">
        <v>0</v>
      </c>
      <c r="M28" s="56">
        <v>0</v>
      </c>
      <c r="N28" s="92">
        <v>29500.01</v>
      </c>
    </row>
    <row r="29" spans="1:14">
      <c r="A29" s="91" t="s">
        <v>2171</v>
      </c>
      <c r="B29" s="4" t="s">
        <v>2184</v>
      </c>
      <c r="C29" s="5" t="s">
        <v>80</v>
      </c>
      <c r="D29" s="5" t="s">
        <v>17</v>
      </c>
      <c r="E29" s="5">
        <v>30608716390</v>
      </c>
      <c r="F29" s="56">
        <v>8578.51</v>
      </c>
      <c r="G29" s="56">
        <v>0</v>
      </c>
      <c r="H29" s="5">
        <v>0</v>
      </c>
      <c r="I29" s="5">
        <v>0</v>
      </c>
      <c r="J29" s="5">
        <v>0</v>
      </c>
      <c r="K29" s="5">
        <v>1801.49</v>
      </c>
      <c r="L29" s="5">
        <v>0</v>
      </c>
      <c r="M29" s="56">
        <v>0</v>
      </c>
      <c r="N29" s="92">
        <v>10380</v>
      </c>
    </row>
    <row r="30" spans="1:14">
      <c r="A30" s="91" t="s">
        <v>2171</v>
      </c>
      <c r="B30" s="4" t="s">
        <v>2185</v>
      </c>
      <c r="C30" s="5" t="s">
        <v>80</v>
      </c>
      <c r="D30" s="5" t="s">
        <v>17</v>
      </c>
      <c r="E30" s="5">
        <v>30608716390</v>
      </c>
      <c r="F30" s="56">
        <v>1972.73</v>
      </c>
      <c r="G30" s="56">
        <v>0</v>
      </c>
      <c r="H30" s="5">
        <v>0</v>
      </c>
      <c r="I30" s="5">
        <v>0</v>
      </c>
      <c r="J30" s="5">
        <v>0</v>
      </c>
      <c r="K30" s="5">
        <v>414.27</v>
      </c>
      <c r="L30" s="5">
        <v>0</v>
      </c>
      <c r="M30" s="56">
        <v>0</v>
      </c>
      <c r="N30" s="92">
        <v>2387</v>
      </c>
    </row>
    <row r="31" spans="1:14">
      <c r="A31" s="91" t="s">
        <v>2171</v>
      </c>
      <c r="B31" s="4" t="s">
        <v>2186</v>
      </c>
      <c r="C31" s="5" t="s">
        <v>80</v>
      </c>
      <c r="D31" s="5" t="s">
        <v>17</v>
      </c>
      <c r="E31" s="5">
        <v>30608716390</v>
      </c>
      <c r="F31" s="56">
        <v>8578.51</v>
      </c>
      <c r="G31" s="56">
        <v>0</v>
      </c>
      <c r="H31" s="5">
        <v>0</v>
      </c>
      <c r="I31" s="5">
        <v>0</v>
      </c>
      <c r="J31" s="5">
        <v>0</v>
      </c>
      <c r="K31" s="5">
        <v>1801.49</v>
      </c>
      <c r="L31" s="5">
        <v>0</v>
      </c>
      <c r="M31" s="56">
        <v>0</v>
      </c>
      <c r="N31" s="92">
        <v>10380</v>
      </c>
    </row>
    <row r="32" spans="1:14">
      <c r="A32" s="91" t="s">
        <v>2171</v>
      </c>
      <c r="B32" s="4" t="s">
        <v>2187</v>
      </c>
      <c r="C32" s="5" t="s">
        <v>80</v>
      </c>
      <c r="D32" s="5" t="s">
        <v>17</v>
      </c>
      <c r="E32" s="5">
        <v>30608716390</v>
      </c>
      <c r="F32" s="56">
        <v>2676.46</v>
      </c>
      <c r="G32" s="56">
        <v>0</v>
      </c>
      <c r="H32" s="5">
        <v>0</v>
      </c>
      <c r="I32" s="5">
        <v>0</v>
      </c>
      <c r="J32" s="5">
        <v>0</v>
      </c>
      <c r="K32" s="5">
        <v>562.06000000000006</v>
      </c>
      <c r="L32" s="5">
        <v>0</v>
      </c>
      <c r="M32" s="56">
        <v>0</v>
      </c>
      <c r="N32" s="92">
        <v>3238.52</v>
      </c>
    </row>
    <row r="33" spans="1:14">
      <c r="A33" s="91" t="s">
        <v>2171</v>
      </c>
      <c r="B33" s="4" t="s">
        <v>2188</v>
      </c>
      <c r="C33" s="5" t="s">
        <v>57</v>
      </c>
      <c r="D33" s="5" t="s">
        <v>17</v>
      </c>
      <c r="E33" s="5">
        <v>30715186655</v>
      </c>
      <c r="F33" s="56">
        <v>81080.3</v>
      </c>
      <c r="G33" s="56">
        <v>0</v>
      </c>
      <c r="H33" s="5">
        <v>0</v>
      </c>
      <c r="I33" s="5">
        <v>0</v>
      </c>
      <c r="J33" s="5">
        <v>0</v>
      </c>
      <c r="K33" s="5">
        <v>17026.86</v>
      </c>
      <c r="L33" s="5">
        <v>0</v>
      </c>
      <c r="M33" s="56">
        <v>0</v>
      </c>
      <c r="N33" s="92">
        <v>98107.16</v>
      </c>
    </row>
    <row r="34" spans="1:14">
      <c r="A34" s="91" t="s">
        <v>2171</v>
      </c>
      <c r="B34" s="4" t="s">
        <v>2189</v>
      </c>
      <c r="C34" s="5" t="s">
        <v>57</v>
      </c>
      <c r="D34" s="5" t="s">
        <v>17</v>
      </c>
      <c r="E34" s="5">
        <v>30715186655</v>
      </c>
      <c r="F34" s="56">
        <v>5263.64</v>
      </c>
      <c r="G34" s="56">
        <v>0</v>
      </c>
      <c r="H34" s="5">
        <v>0</v>
      </c>
      <c r="I34" s="5">
        <v>0</v>
      </c>
      <c r="J34" s="5">
        <v>0</v>
      </c>
      <c r="K34" s="5">
        <v>1105.3600000000001</v>
      </c>
      <c r="L34" s="5">
        <v>0</v>
      </c>
      <c r="M34" s="56">
        <v>0</v>
      </c>
      <c r="N34" s="92">
        <v>6369</v>
      </c>
    </row>
    <row r="35" spans="1:14">
      <c r="A35" s="91" t="s">
        <v>2171</v>
      </c>
      <c r="B35" s="4" t="s">
        <v>2190</v>
      </c>
      <c r="C35" s="5" t="s">
        <v>64</v>
      </c>
      <c r="D35" s="5" t="s">
        <v>17</v>
      </c>
      <c r="E35" s="5">
        <v>30546771314</v>
      </c>
      <c r="F35" s="56">
        <v>6389.31</v>
      </c>
      <c r="G35" s="56">
        <v>0</v>
      </c>
      <c r="H35" s="5">
        <v>0</v>
      </c>
      <c r="I35" s="5">
        <v>0</v>
      </c>
      <c r="J35" s="5">
        <v>0</v>
      </c>
      <c r="K35" s="5">
        <v>1341.76</v>
      </c>
      <c r="L35" s="5">
        <v>0</v>
      </c>
      <c r="M35" s="56">
        <v>0</v>
      </c>
      <c r="N35" s="92">
        <v>7731.07</v>
      </c>
    </row>
    <row r="36" spans="1:14">
      <c r="A36" s="91" t="s">
        <v>2171</v>
      </c>
      <c r="B36" s="4" t="s">
        <v>2191</v>
      </c>
      <c r="C36" s="5" t="s">
        <v>68</v>
      </c>
      <c r="D36" s="5" t="s">
        <v>17</v>
      </c>
      <c r="E36" s="5">
        <v>30711244383</v>
      </c>
      <c r="F36" s="56">
        <v>6916.64</v>
      </c>
      <c r="G36" s="56">
        <v>0</v>
      </c>
      <c r="H36" s="5">
        <v>0</v>
      </c>
      <c r="I36" s="5">
        <v>0</v>
      </c>
      <c r="J36" s="5">
        <v>0</v>
      </c>
      <c r="K36" s="5">
        <v>1452.49</v>
      </c>
      <c r="L36" s="5">
        <v>0</v>
      </c>
      <c r="M36" s="56">
        <v>0</v>
      </c>
      <c r="N36" s="92">
        <v>8369.130000000001</v>
      </c>
    </row>
    <row r="37" spans="1:14">
      <c r="A37" s="91" t="s">
        <v>2171</v>
      </c>
      <c r="B37" s="4" t="s">
        <v>2192</v>
      </c>
      <c r="C37" s="5" t="s">
        <v>72</v>
      </c>
      <c r="D37" s="5" t="s">
        <v>17</v>
      </c>
      <c r="E37" s="5">
        <v>30657418877</v>
      </c>
      <c r="F37" s="56">
        <v>3615.51</v>
      </c>
      <c r="G37" s="56">
        <v>0</v>
      </c>
      <c r="H37" s="5">
        <v>0</v>
      </c>
      <c r="I37" s="5">
        <v>0</v>
      </c>
      <c r="J37" s="5">
        <v>0</v>
      </c>
      <c r="K37" s="5">
        <v>759.25</v>
      </c>
      <c r="L37" s="5">
        <v>0</v>
      </c>
      <c r="M37" s="56">
        <v>0</v>
      </c>
      <c r="N37" s="92">
        <v>4374.76</v>
      </c>
    </row>
    <row r="38" spans="1:14">
      <c r="A38" s="91" t="s">
        <v>2200</v>
      </c>
      <c r="B38" s="4" t="s">
        <v>2210</v>
      </c>
      <c r="C38" s="5" t="s">
        <v>84</v>
      </c>
      <c r="D38" s="5" t="s">
        <v>17</v>
      </c>
      <c r="E38" s="5">
        <v>30709016012</v>
      </c>
      <c r="F38" s="56">
        <v>11368.18</v>
      </c>
      <c r="G38" s="56">
        <v>0</v>
      </c>
      <c r="H38" s="5">
        <v>0</v>
      </c>
      <c r="I38" s="5">
        <v>0</v>
      </c>
      <c r="J38" s="5">
        <v>0</v>
      </c>
      <c r="K38" s="5">
        <v>2387.3200000000002</v>
      </c>
      <c r="L38" s="5">
        <v>0</v>
      </c>
      <c r="M38" s="56">
        <v>0</v>
      </c>
      <c r="N38" s="92">
        <v>13755.5</v>
      </c>
    </row>
    <row r="39" spans="1:14">
      <c r="A39" s="91" t="s">
        <v>2200</v>
      </c>
      <c r="B39" s="4" t="s">
        <v>2211</v>
      </c>
      <c r="C39" s="5" t="s">
        <v>80</v>
      </c>
      <c r="D39" s="5" t="s">
        <v>17</v>
      </c>
      <c r="E39" s="5">
        <v>30608716390</v>
      </c>
      <c r="F39" s="56">
        <v>1972.74</v>
      </c>
      <c r="G39" s="56">
        <v>0</v>
      </c>
      <c r="H39" s="5">
        <v>0</v>
      </c>
      <c r="I39" s="5">
        <v>0</v>
      </c>
      <c r="J39" s="5">
        <v>0</v>
      </c>
      <c r="K39" s="5">
        <v>414.28</v>
      </c>
      <c r="L39" s="5">
        <v>0</v>
      </c>
      <c r="M39" s="56">
        <v>0</v>
      </c>
      <c r="N39" s="92">
        <v>2387.02</v>
      </c>
    </row>
    <row r="40" spans="1:14">
      <c r="A40" s="91" t="s">
        <v>2200</v>
      </c>
      <c r="B40" s="4" t="s">
        <v>2212</v>
      </c>
      <c r="C40" s="5" t="s">
        <v>84</v>
      </c>
      <c r="D40" s="5" t="s">
        <v>17</v>
      </c>
      <c r="E40" s="5">
        <v>30709016012</v>
      </c>
      <c r="F40" s="56">
        <v>139818.12</v>
      </c>
      <c r="G40" s="56">
        <v>0</v>
      </c>
      <c r="H40" s="5">
        <v>0</v>
      </c>
      <c r="I40" s="5">
        <v>0</v>
      </c>
      <c r="J40" s="5">
        <v>0</v>
      </c>
      <c r="K40" s="5">
        <v>29361.8</v>
      </c>
      <c r="L40" s="5">
        <v>0</v>
      </c>
      <c r="M40" s="56">
        <v>0</v>
      </c>
      <c r="N40" s="92">
        <v>169179.92</v>
      </c>
    </row>
    <row r="41" spans="1:14">
      <c r="A41" s="91" t="s">
        <v>2200</v>
      </c>
      <c r="B41" s="4" t="s">
        <v>2213</v>
      </c>
      <c r="C41" s="5" t="s">
        <v>70</v>
      </c>
      <c r="D41" s="5" t="s">
        <v>17</v>
      </c>
      <c r="E41" s="5">
        <v>30645337979</v>
      </c>
      <c r="F41" s="56">
        <v>13228.59</v>
      </c>
      <c r="G41" s="56">
        <v>0</v>
      </c>
      <c r="H41" s="5">
        <v>0</v>
      </c>
      <c r="I41" s="5">
        <v>0</v>
      </c>
      <c r="J41" s="5">
        <v>0</v>
      </c>
      <c r="K41" s="5">
        <v>2778</v>
      </c>
      <c r="L41" s="5">
        <v>0</v>
      </c>
      <c r="M41" s="56">
        <v>0</v>
      </c>
      <c r="N41" s="92">
        <v>16006.59</v>
      </c>
    </row>
    <row r="42" spans="1:14">
      <c r="A42" s="91" t="s">
        <v>2200</v>
      </c>
      <c r="B42" s="4" t="s">
        <v>2214</v>
      </c>
      <c r="C42" s="5" t="s">
        <v>1872</v>
      </c>
      <c r="D42" s="5" t="s">
        <v>17</v>
      </c>
      <c r="E42" s="5">
        <v>30606274161</v>
      </c>
      <c r="F42" s="56">
        <v>34339.67</v>
      </c>
      <c r="G42" s="56">
        <v>0</v>
      </c>
      <c r="H42" s="5">
        <v>0</v>
      </c>
      <c r="I42" s="5">
        <v>0</v>
      </c>
      <c r="J42" s="5">
        <v>0</v>
      </c>
      <c r="K42" s="5">
        <v>7211.33</v>
      </c>
      <c r="L42" s="5">
        <v>0</v>
      </c>
      <c r="M42" s="56">
        <v>0</v>
      </c>
      <c r="N42" s="92">
        <v>41551</v>
      </c>
    </row>
    <row r="43" spans="1:14">
      <c r="A43" s="91" t="s">
        <v>2200</v>
      </c>
      <c r="B43" s="4" t="s">
        <v>2215</v>
      </c>
      <c r="C43" s="5" t="s">
        <v>74</v>
      </c>
      <c r="D43" s="5" t="s">
        <v>17</v>
      </c>
      <c r="E43" s="5">
        <v>30707612971</v>
      </c>
      <c r="F43" s="56">
        <v>16801.650000000001</v>
      </c>
      <c r="G43" s="56">
        <v>0</v>
      </c>
      <c r="H43" s="5">
        <v>0</v>
      </c>
      <c r="I43" s="5">
        <v>0</v>
      </c>
      <c r="J43" s="5">
        <v>0</v>
      </c>
      <c r="K43" s="5">
        <v>3528.35</v>
      </c>
      <c r="L43" s="5">
        <v>0</v>
      </c>
      <c r="M43" s="56">
        <v>0</v>
      </c>
      <c r="N43" s="92">
        <v>20330</v>
      </c>
    </row>
    <row r="44" spans="1:14">
      <c r="A44" s="91" t="s">
        <v>2200</v>
      </c>
      <c r="B44" s="4" t="s">
        <v>2216</v>
      </c>
      <c r="C44" s="5" t="s">
        <v>98</v>
      </c>
      <c r="D44" s="5" t="s">
        <v>17</v>
      </c>
      <c r="E44" s="5">
        <v>30707118454</v>
      </c>
      <c r="F44" s="56">
        <v>5037.1900000000005</v>
      </c>
      <c r="G44" s="56">
        <v>0</v>
      </c>
      <c r="H44" s="5">
        <v>0</v>
      </c>
      <c r="I44" s="5">
        <v>0</v>
      </c>
      <c r="J44" s="5">
        <v>0</v>
      </c>
      <c r="K44" s="5">
        <v>1057.81</v>
      </c>
      <c r="L44" s="5">
        <v>0</v>
      </c>
      <c r="M44" s="56">
        <v>0</v>
      </c>
      <c r="N44" s="92">
        <v>6095</v>
      </c>
    </row>
    <row r="45" spans="1:14">
      <c r="A45" s="91" t="s">
        <v>2200</v>
      </c>
      <c r="B45" s="4" t="s">
        <v>2217</v>
      </c>
      <c r="C45" s="5" t="s">
        <v>62</v>
      </c>
      <c r="D45" s="5" t="s">
        <v>17</v>
      </c>
      <c r="E45" s="5">
        <v>30713669004</v>
      </c>
      <c r="F45" s="56">
        <v>10203.31</v>
      </c>
      <c r="G45" s="56">
        <v>0</v>
      </c>
      <c r="H45" s="5">
        <v>0</v>
      </c>
      <c r="I45" s="5">
        <v>0</v>
      </c>
      <c r="J45" s="5">
        <v>0</v>
      </c>
      <c r="K45" s="5">
        <v>2142.6999999999998</v>
      </c>
      <c r="L45" s="5">
        <v>0</v>
      </c>
      <c r="M45" s="56">
        <v>0</v>
      </c>
      <c r="N45" s="92">
        <v>12346.01</v>
      </c>
    </row>
    <row r="46" spans="1:14">
      <c r="A46" s="91" t="s">
        <v>2264</v>
      </c>
      <c r="B46" s="4" t="s">
        <v>2280</v>
      </c>
      <c r="C46" s="5" t="s">
        <v>1872</v>
      </c>
      <c r="D46" s="5" t="s">
        <v>17</v>
      </c>
      <c r="E46" s="5">
        <v>30606274161</v>
      </c>
      <c r="F46" s="56">
        <v>2955.37</v>
      </c>
      <c r="G46" s="56">
        <v>0</v>
      </c>
      <c r="H46" s="5">
        <v>0</v>
      </c>
      <c r="I46" s="5">
        <v>0</v>
      </c>
      <c r="J46" s="5">
        <v>0</v>
      </c>
      <c r="K46" s="5">
        <v>620.63</v>
      </c>
      <c r="L46" s="5">
        <v>0</v>
      </c>
      <c r="M46" s="56">
        <v>0</v>
      </c>
      <c r="N46" s="92">
        <v>3576</v>
      </c>
    </row>
    <row r="47" spans="1:14">
      <c r="A47" s="91" t="s">
        <v>2306</v>
      </c>
      <c r="B47" s="4" t="s">
        <v>2319</v>
      </c>
      <c r="C47" s="5" t="s">
        <v>80</v>
      </c>
      <c r="D47" s="5" t="s">
        <v>17</v>
      </c>
      <c r="E47" s="5">
        <v>30608716390</v>
      </c>
      <c r="F47" s="56">
        <v>4118.18</v>
      </c>
      <c r="G47" s="56">
        <v>0</v>
      </c>
      <c r="H47" s="5">
        <v>0</v>
      </c>
      <c r="I47" s="5">
        <v>0</v>
      </c>
      <c r="J47" s="5">
        <v>0</v>
      </c>
      <c r="K47" s="5">
        <v>864.81</v>
      </c>
      <c r="L47" s="5">
        <v>0</v>
      </c>
      <c r="M47" s="56">
        <v>0</v>
      </c>
      <c r="N47" s="92">
        <v>4982.99</v>
      </c>
    </row>
    <row r="48" spans="1:14">
      <c r="A48" s="91" t="s">
        <v>2306</v>
      </c>
      <c r="B48" s="4" t="s">
        <v>2320</v>
      </c>
      <c r="C48" s="5" t="s">
        <v>16</v>
      </c>
      <c r="D48" s="5" t="s">
        <v>17</v>
      </c>
      <c r="E48" s="5">
        <v>30522428163</v>
      </c>
      <c r="F48" s="56">
        <v>26199.3</v>
      </c>
      <c r="G48" s="56">
        <v>0</v>
      </c>
      <c r="H48" s="5">
        <v>0</v>
      </c>
      <c r="I48" s="5">
        <v>0</v>
      </c>
      <c r="J48" s="5">
        <v>0</v>
      </c>
      <c r="K48" s="5">
        <v>5501.85</v>
      </c>
      <c r="L48" s="5">
        <v>0</v>
      </c>
      <c r="M48" s="56">
        <v>0</v>
      </c>
      <c r="N48" s="92">
        <v>31701.15</v>
      </c>
    </row>
    <row r="49" spans="1:14">
      <c r="A49" s="91" t="s">
        <v>2306</v>
      </c>
      <c r="B49" s="4" t="s">
        <v>2321</v>
      </c>
      <c r="C49" s="5" t="s">
        <v>16</v>
      </c>
      <c r="D49" s="5" t="s">
        <v>17</v>
      </c>
      <c r="E49" s="5">
        <v>30522428163</v>
      </c>
      <c r="F49" s="56">
        <v>24290.7</v>
      </c>
      <c r="G49" s="56">
        <v>0</v>
      </c>
      <c r="H49" s="5">
        <v>0</v>
      </c>
      <c r="I49" s="5">
        <v>0</v>
      </c>
      <c r="J49" s="5">
        <v>0</v>
      </c>
      <c r="K49" s="5">
        <v>5101.05</v>
      </c>
      <c r="L49" s="5">
        <v>0</v>
      </c>
      <c r="M49" s="56">
        <v>0</v>
      </c>
      <c r="N49" s="92">
        <v>29391.75</v>
      </c>
    </row>
    <row r="50" spans="1:14">
      <c r="A50" s="91" t="s">
        <v>2322</v>
      </c>
      <c r="B50" s="4" t="s">
        <v>2339</v>
      </c>
      <c r="C50" s="5" t="s">
        <v>33</v>
      </c>
      <c r="D50" s="5" t="s">
        <v>17</v>
      </c>
      <c r="E50" s="5">
        <v>30683032227</v>
      </c>
      <c r="F50" s="56">
        <v>114049.59</v>
      </c>
      <c r="G50" s="56">
        <v>0</v>
      </c>
      <c r="H50" s="5">
        <v>0</v>
      </c>
      <c r="I50" s="5">
        <v>0</v>
      </c>
      <c r="J50" s="5">
        <v>0</v>
      </c>
      <c r="K50" s="5">
        <v>23950.41</v>
      </c>
      <c r="L50" s="5">
        <v>0</v>
      </c>
      <c r="M50" s="56">
        <v>0</v>
      </c>
      <c r="N50" s="92">
        <v>138000</v>
      </c>
    </row>
    <row r="51" spans="1:14">
      <c r="A51" s="91" t="s">
        <v>2322</v>
      </c>
      <c r="B51" s="4" t="s">
        <v>2340</v>
      </c>
      <c r="C51" s="5" t="s">
        <v>80</v>
      </c>
      <c r="D51" s="5" t="s">
        <v>17</v>
      </c>
      <c r="E51" s="5">
        <v>30608716390</v>
      </c>
      <c r="F51" s="56">
        <v>867.77</v>
      </c>
      <c r="G51" s="56">
        <v>0</v>
      </c>
      <c r="H51" s="5">
        <v>0</v>
      </c>
      <c r="I51" s="5">
        <v>0</v>
      </c>
      <c r="J51" s="5">
        <v>0</v>
      </c>
      <c r="K51" s="5">
        <v>182.23</v>
      </c>
      <c r="L51" s="5">
        <v>0</v>
      </c>
      <c r="M51" s="56">
        <v>0</v>
      </c>
      <c r="N51" s="92">
        <v>1050</v>
      </c>
    </row>
    <row r="52" spans="1:14">
      <c r="A52" s="91" t="s">
        <v>2322</v>
      </c>
      <c r="B52" s="4" t="s">
        <v>2341</v>
      </c>
      <c r="C52" s="5" t="s">
        <v>16</v>
      </c>
      <c r="D52" s="5" t="s">
        <v>17</v>
      </c>
      <c r="E52" s="5">
        <v>30522428163</v>
      </c>
      <c r="F52" s="56">
        <v>75808.800000000003</v>
      </c>
      <c r="G52" s="56">
        <v>0</v>
      </c>
      <c r="H52" s="5">
        <v>0</v>
      </c>
      <c r="I52" s="5">
        <v>0</v>
      </c>
      <c r="J52" s="5">
        <v>0</v>
      </c>
      <c r="K52" s="5">
        <v>15919.85</v>
      </c>
      <c r="L52" s="5">
        <v>0</v>
      </c>
      <c r="M52" s="56">
        <v>0</v>
      </c>
      <c r="N52" s="92">
        <v>91728.65</v>
      </c>
    </row>
    <row r="53" spans="1:14">
      <c r="A53" s="91" t="s">
        <v>2322</v>
      </c>
      <c r="B53" s="4" t="s">
        <v>2342</v>
      </c>
      <c r="C53" s="5" t="s">
        <v>16</v>
      </c>
      <c r="D53" s="5" t="s">
        <v>17</v>
      </c>
      <c r="E53" s="5">
        <v>30522428163</v>
      </c>
      <c r="F53" s="56">
        <v>2832.6</v>
      </c>
      <c r="G53" s="56">
        <v>0</v>
      </c>
      <c r="H53" s="5">
        <v>0</v>
      </c>
      <c r="I53" s="5">
        <v>0</v>
      </c>
      <c r="J53" s="5">
        <v>0</v>
      </c>
      <c r="K53" s="5">
        <v>594.85</v>
      </c>
      <c r="L53" s="5">
        <v>0</v>
      </c>
      <c r="M53" s="56">
        <v>0</v>
      </c>
      <c r="N53" s="92">
        <v>3427.45</v>
      </c>
    </row>
    <row r="54" spans="1:14">
      <c r="A54" s="91" t="s">
        <v>2322</v>
      </c>
      <c r="B54" s="4" t="s">
        <v>2343</v>
      </c>
      <c r="C54" s="5" t="s">
        <v>16</v>
      </c>
      <c r="D54" s="5" t="s">
        <v>17</v>
      </c>
      <c r="E54" s="5">
        <v>30522428163</v>
      </c>
      <c r="F54" s="56">
        <v>103638</v>
      </c>
      <c r="G54" s="56">
        <v>0</v>
      </c>
      <c r="H54" s="5">
        <v>0</v>
      </c>
      <c r="I54" s="5">
        <v>0</v>
      </c>
      <c r="J54" s="5">
        <v>0</v>
      </c>
      <c r="K54" s="5">
        <v>21763.98</v>
      </c>
      <c r="L54" s="5">
        <v>0</v>
      </c>
      <c r="M54" s="56">
        <v>0</v>
      </c>
      <c r="N54" s="92">
        <v>125401.98</v>
      </c>
    </row>
    <row r="55" spans="1:14">
      <c r="A55" s="91" t="s">
        <v>2322</v>
      </c>
      <c r="B55" s="4" t="s">
        <v>2344</v>
      </c>
      <c r="C55" s="5" t="s">
        <v>16</v>
      </c>
      <c r="D55" s="5" t="s">
        <v>17</v>
      </c>
      <c r="E55" s="5">
        <v>30522428163</v>
      </c>
      <c r="F55" s="56">
        <v>176093.2</v>
      </c>
      <c r="G55" s="56">
        <v>0</v>
      </c>
      <c r="H55" s="5">
        <v>0</v>
      </c>
      <c r="I55" s="5">
        <v>0</v>
      </c>
      <c r="J55" s="5">
        <v>0</v>
      </c>
      <c r="K55" s="5">
        <v>36979.57</v>
      </c>
      <c r="L55" s="5">
        <v>0</v>
      </c>
      <c r="M55" s="56">
        <v>0</v>
      </c>
      <c r="N55" s="92">
        <v>213072.77</v>
      </c>
    </row>
    <row r="56" spans="1:14">
      <c r="A56" s="91" t="s">
        <v>2322</v>
      </c>
      <c r="B56" s="4" t="s">
        <v>2345</v>
      </c>
      <c r="C56" s="5" t="s">
        <v>16</v>
      </c>
      <c r="D56" s="5" t="s">
        <v>17</v>
      </c>
      <c r="E56" s="5">
        <v>30522428163</v>
      </c>
      <c r="F56" s="56">
        <v>7231.2</v>
      </c>
      <c r="G56" s="56">
        <v>0</v>
      </c>
      <c r="H56" s="5">
        <v>0</v>
      </c>
      <c r="I56" s="5">
        <v>0</v>
      </c>
      <c r="J56" s="5">
        <v>0</v>
      </c>
      <c r="K56" s="5">
        <v>1518.55</v>
      </c>
      <c r="L56" s="5">
        <v>0</v>
      </c>
      <c r="M56" s="56">
        <v>0</v>
      </c>
      <c r="N56" s="92">
        <v>8749.75</v>
      </c>
    </row>
    <row r="57" spans="1:14">
      <c r="A57" s="91" t="s">
        <v>2355</v>
      </c>
      <c r="B57" s="4" t="s">
        <v>2363</v>
      </c>
      <c r="C57" s="5" t="s">
        <v>16</v>
      </c>
      <c r="D57" s="5" t="s">
        <v>17</v>
      </c>
      <c r="E57" s="5">
        <v>30522428163</v>
      </c>
      <c r="F57" s="56">
        <v>7547.7</v>
      </c>
      <c r="G57" s="56">
        <v>0</v>
      </c>
      <c r="H57" s="5">
        <v>0</v>
      </c>
      <c r="I57" s="5">
        <v>0</v>
      </c>
      <c r="J57" s="5">
        <v>0</v>
      </c>
      <c r="K57" s="5">
        <v>1585.02</v>
      </c>
      <c r="L57" s="5">
        <v>0</v>
      </c>
      <c r="M57" s="56">
        <v>0</v>
      </c>
      <c r="N57" s="92">
        <v>9132.7199999999993</v>
      </c>
    </row>
    <row r="58" spans="1:14">
      <c r="A58" s="91" t="s">
        <v>2369</v>
      </c>
      <c r="B58" s="4" t="s">
        <v>2381</v>
      </c>
      <c r="C58" s="5" t="s">
        <v>16</v>
      </c>
      <c r="D58" s="5" t="s">
        <v>17</v>
      </c>
      <c r="E58" s="5">
        <v>30522428163</v>
      </c>
      <c r="F58" s="56">
        <v>145413.22</v>
      </c>
      <c r="G58" s="56">
        <v>0</v>
      </c>
      <c r="H58" s="5">
        <v>0</v>
      </c>
      <c r="I58" s="5">
        <v>0</v>
      </c>
      <c r="J58" s="5">
        <v>0</v>
      </c>
      <c r="K58" s="5">
        <v>30536.78</v>
      </c>
      <c r="L58" s="5">
        <v>0</v>
      </c>
      <c r="M58" s="56">
        <v>0</v>
      </c>
      <c r="N58" s="92">
        <v>175950</v>
      </c>
    </row>
    <row r="59" spans="1:14">
      <c r="A59" s="91" t="s">
        <v>2369</v>
      </c>
      <c r="B59" s="4" t="s">
        <v>2382</v>
      </c>
      <c r="C59" s="5" t="s">
        <v>2383</v>
      </c>
      <c r="D59" s="5" t="s">
        <v>17</v>
      </c>
      <c r="E59" s="5">
        <v>20223256393</v>
      </c>
      <c r="F59" s="56">
        <v>9917.36</v>
      </c>
      <c r="G59" s="56">
        <v>0</v>
      </c>
      <c r="H59" s="5">
        <v>0</v>
      </c>
      <c r="I59" s="5">
        <v>0</v>
      </c>
      <c r="J59" s="5">
        <v>0</v>
      </c>
      <c r="K59" s="5">
        <v>2082.64</v>
      </c>
      <c r="L59" s="5">
        <v>0</v>
      </c>
      <c r="M59" s="56">
        <v>0</v>
      </c>
      <c r="N59" s="92">
        <v>12000</v>
      </c>
    </row>
    <row r="60" spans="1:14">
      <c r="A60" s="91" t="s">
        <v>2369</v>
      </c>
      <c r="B60" s="4" t="s">
        <v>2384</v>
      </c>
      <c r="C60" s="5" t="s">
        <v>80</v>
      </c>
      <c r="D60" s="5" t="s">
        <v>17</v>
      </c>
      <c r="E60" s="5">
        <v>30608716390</v>
      </c>
      <c r="F60" s="56">
        <v>25752.89</v>
      </c>
      <c r="G60" s="56">
        <v>0</v>
      </c>
      <c r="H60" s="5">
        <v>0</v>
      </c>
      <c r="I60" s="5">
        <v>0</v>
      </c>
      <c r="J60" s="5">
        <v>0</v>
      </c>
      <c r="K60" s="5">
        <v>5408.1</v>
      </c>
      <c r="L60" s="5">
        <v>0</v>
      </c>
      <c r="M60" s="56">
        <v>0</v>
      </c>
      <c r="N60" s="92">
        <v>31160.99</v>
      </c>
    </row>
    <row r="61" spans="1:14">
      <c r="A61" s="91" t="s">
        <v>2369</v>
      </c>
      <c r="B61" s="4" t="s">
        <v>2385</v>
      </c>
      <c r="C61" s="5" t="s">
        <v>80</v>
      </c>
      <c r="D61" s="5" t="s">
        <v>17</v>
      </c>
      <c r="E61" s="5">
        <v>30608716390</v>
      </c>
      <c r="F61" s="56">
        <v>9572.7199999999993</v>
      </c>
      <c r="G61" s="56">
        <v>0</v>
      </c>
      <c r="H61" s="5">
        <v>0</v>
      </c>
      <c r="I61" s="5">
        <v>0</v>
      </c>
      <c r="J61" s="5">
        <v>0</v>
      </c>
      <c r="K61" s="5">
        <v>2010.26</v>
      </c>
      <c r="L61" s="5">
        <v>0</v>
      </c>
      <c r="M61" s="56">
        <v>0</v>
      </c>
      <c r="N61" s="92">
        <v>11582.98</v>
      </c>
    </row>
    <row r="62" spans="1:14">
      <c r="A62" s="91" t="s">
        <v>2369</v>
      </c>
      <c r="B62" s="4" t="s">
        <v>2386</v>
      </c>
      <c r="C62" s="5" t="s">
        <v>502</v>
      </c>
      <c r="D62" s="5" t="s">
        <v>17</v>
      </c>
      <c r="E62" s="5">
        <v>30590412631</v>
      </c>
      <c r="F62" s="56">
        <v>37024.79</v>
      </c>
      <c r="G62" s="56">
        <v>0</v>
      </c>
      <c r="H62" s="5">
        <v>0</v>
      </c>
      <c r="I62" s="5">
        <v>0</v>
      </c>
      <c r="J62" s="5">
        <v>0</v>
      </c>
      <c r="K62" s="5">
        <v>7775.21</v>
      </c>
      <c r="L62" s="5">
        <v>0</v>
      </c>
      <c r="M62" s="56">
        <v>0</v>
      </c>
      <c r="N62" s="92">
        <v>44800</v>
      </c>
    </row>
    <row r="63" spans="1:14">
      <c r="A63" s="91" t="s">
        <v>2369</v>
      </c>
      <c r="B63" s="4" t="s">
        <v>2387</v>
      </c>
      <c r="C63" s="5" t="s">
        <v>33</v>
      </c>
      <c r="D63" s="5" t="s">
        <v>17</v>
      </c>
      <c r="E63" s="5">
        <v>30683032227</v>
      </c>
      <c r="F63" s="56">
        <v>76033.06</v>
      </c>
      <c r="G63" s="56">
        <v>0</v>
      </c>
      <c r="H63" s="5">
        <v>0</v>
      </c>
      <c r="I63" s="5">
        <v>0</v>
      </c>
      <c r="J63" s="5">
        <v>0</v>
      </c>
      <c r="K63" s="5">
        <v>15966.94</v>
      </c>
      <c r="L63" s="5">
        <v>0</v>
      </c>
      <c r="M63" s="56">
        <v>0</v>
      </c>
      <c r="N63" s="92">
        <v>92000</v>
      </c>
    </row>
    <row r="64" spans="1:14">
      <c r="A64" s="91" t="s">
        <v>2393</v>
      </c>
      <c r="B64" s="4" t="s">
        <v>2410</v>
      </c>
      <c r="C64" s="5" t="s">
        <v>16</v>
      </c>
      <c r="D64" s="5" t="s">
        <v>17</v>
      </c>
      <c r="E64" s="5">
        <v>30522428163</v>
      </c>
      <c r="F64" s="56">
        <v>11799.6</v>
      </c>
      <c r="G64" s="56">
        <v>0</v>
      </c>
      <c r="H64" s="5">
        <v>0</v>
      </c>
      <c r="I64" s="5">
        <v>0</v>
      </c>
      <c r="J64" s="5">
        <v>0</v>
      </c>
      <c r="K64" s="5">
        <v>2477.92</v>
      </c>
      <c r="L64" s="5">
        <v>0</v>
      </c>
      <c r="M64" s="56">
        <v>0</v>
      </c>
      <c r="N64" s="92">
        <v>14277.52</v>
      </c>
    </row>
    <row r="65" spans="1:15">
      <c r="A65" s="91" t="s">
        <v>2393</v>
      </c>
      <c r="B65" s="4" t="s">
        <v>2411</v>
      </c>
      <c r="C65" s="5" t="s">
        <v>16</v>
      </c>
      <c r="D65" s="5" t="s">
        <v>17</v>
      </c>
      <c r="E65" s="5">
        <v>30522428163</v>
      </c>
      <c r="F65" s="56">
        <v>31814.7</v>
      </c>
      <c r="G65" s="56">
        <v>0</v>
      </c>
      <c r="H65" s="5">
        <v>0</v>
      </c>
      <c r="I65" s="5">
        <v>0</v>
      </c>
      <c r="J65" s="5">
        <v>0</v>
      </c>
      <c r="K65" s="5">
        <v>6681.09</v>
      </c>
      <c r="L65" s="5">
        <v>0</v>
      </c>
      <c r="M65" s="56">
        <v>0</v>
      </c>
      <c r="N65" s="92">
        <v>38495.79</v>
      </c>
    </row>
    <row r="66" spans="1:15">
      <c r="A66" s="91" t="s">
        <v>2412</v>
      </c>
      <c r="B66" s="4" t="s">
        <v>2426</v>
      </c>
      <c r="C66" s="5" t="s">
        <v>80</v>
      </c>
      <c r="D66" s="5" t="s">
        <v>17</v>
      </c>
      <c r="E66" s="5">
        <v>30608716390</v>
      </c>
      <c r="F66" s="56">
        <v>1838.02</v>
      </c>
      <c r="G66" s="56">
        <v>0</v>
      </c>
      <c r="H66" s="5">
        <v>0</v>
      </c>
      <c r="I66" s="5">
        <v>0</v>
      </c>
      <c r="J66" s="5">
        <v>0</v>
      </c>
      <c r="K66" s="5">
        <v>385.98</v>
      </c>
      <c r="L66" s="5">
        <v>0</v>
      </c>
      <c r="M66" s="56">
        <v>0</v>
      </c>
      <c r="N66" s="92">
        <v>2224</v>
      </c>
    </row>
    <row r="67" spans="1:15">
      <c r="A67" s="91" t="s">
        <v>2412</v>
      </c>
      <c r="B67" s="4" t="s">
        <v>2427</v>
      </c>
      <c r="C67" s="5" t="s">
        <v>16</v>
      </c>
      <c r="D67" s="5" t="s">
        <v>17</v>
      </c>
      <c r="E67" s="5">
        <v>30522428163</v>
      </c>
      <c r="F67" s="56">
        <v>35795.39</v>
      </c>
      <c r="G67" s="56">
        <v>0</v>
      </c>
      <c r="H67" s="5">
        <v>0</v>
      </c>
      <c r="I67" s="5">
        <v>0</v>
      </c>
      <c r="J67" s="5">
        <v>0</v>
      </c>
      <c r="K67" s="5">
        <v>7517.03</v>
      </c>
      <c r="L67" s="5">
        <v>0</v>
      </c>
      <c r="M67" s="56">
        <v>0</v>
      </c>
      <c r="N67" s="92">
        <v>43312.42</v>
      </c>
    </row>
    <row r="68" spans="1:15">
      <c r="A68" s="91" t="s">
        <v>2412</v>
      </c>
      <c r="B68" s="4" t="s">
        <v>2428</v>
      </c>
      <c r="C68" s="5" t="s">
        <v>16</v>
      </c>
      <c r="D68" s="5" t="s">
        <v>17</v>
      </c>
      <c r="E68" s="5">
        <v>30522428163</v>
      </c>
      <c r="F68" s="56">
        <v>18615.900000000001</v>
      </c>
      <c r="G68" s="56">
        <v>0</v>
      </c>
      <c r="H68" s="5">
        <v>0</v>
      </c>
      <c r="I68" s="5">
        <v>0</v>
      </c>
      <c r="J68" s="5">
        <v>0</v>
      </c>
      <c r="K68" s="5">
        <v>3909.34</v>
      </c>
      <c r="L68" s="5">
        <v>0</v>
      </c>
      <c r="M68" s="56">
        <v>0</v>
      </c>
      <c r="N68" s="92">
        <v>22525.24</v>
      </c>
    </row>
    <row r="69" spans="1:15">
      <c r="A69" s="91" t="s">
        <v>2412</v>
      </c>
      <c r="B69" s="4" t="s">
        <v>2429</v>
      </c>
      <c r="C69" s="5" t="s">
        <v>80</v>
      </c>
      <c r="D69" s="5" t="s">
        <v>17</v>
      </c>
      <c r="E69" s="5">
        <v>30608716390</v>
      </c>
      <c r="F69" s="56">
        <v>11705.38</v>
      </c>
      <c r="G69" s="56">
        <v>0</v>
      </c>
      <c r="H69" s="5">
        <v>0</v>
      </c>
      <c r="I69" s="5">
        <v>0</v>
      </c>
      <c r="J69" s="5">
        <v>0</v>
      </c>
      <c r="K69" s="5">
        <v>2458.13</v>
      </c>
      <c r="L69" s="5">
        <v>0</v>
      </c>
      <c r="M69" s="56">
        <v>0</v>
      </c>
      <c r="N69" s="92">
        <v>14163.51</v>
      </c>
    </row>
    <row r="70" spans="1:15">
      <c r="A70" s="91" t="s">
        <v>2512</v>
      </c>
      <c r="B70" s="4" t="s">
        <v>2526</v>
      </c>
      <c r="C70" s="5" t="s">
        <v>80</v>
      </c>
      <c r="D70" s="5" t="s">
        <v>17</v>
      </c>
      <c r="E70" s="5">
        <v>30608716390</v>
      </c>
      <c r="F70" s="56">
        <v>3676.03</v>
      </c>
      <c r="G70" s="56">
        <v>0</v>
      </c>
      <c r="H70" s="5">
        <v>0</v>
      </c>
      <c r="I70" s="5">
        <v>0</v>
      </c>
      <c r="J70" s="5">
        <v>0</v>
      </c>
      <c r="K70" s="5">
        <v>771.97</v>
      </c>
      <c r="L70" s="5">
        <v>0</v>
      </c>
      <c r="M70" s="56">
        <v>0</v>
      </c>
      <c r="N70" s="92">
        <v>4448</v>
      </c>
    </row>
    <row r="71" spans="1:15">
      <c r="A71" s="91" t="s">
        <v>2512</v>
      </c>
      <c r="B71" s="4" t="s">
        <v>2527</v>
      </c>
      <c r="C71" s="5" t="s">
        <v>2528</v>
      </c>
      <c r="D71" s="5" t="s">
        <v>17</v>
      </c>
      <c r="E71" s="5">
        <v>30654144482</v>
      </c>
      <c r="F71" s="56">
        <v>9090.9</v>
      </c>
      <c r="G71" s="56">
        <v>0</v>
      </c>
      <c r="H71" s="5">
        <v>0</v>
      </c>
      <c r="I71" s="5">
        <v>0</v>
      </c>
      <c r="J71" s="5">
        <v>0</v>
      </c>
      <c r="K71" s="5">
        <v>1909.1</v>
      </c>
      <c r="L71" s="5">
        <v>0</v>
      </c>
      <c r="M71" s="56">
        <v>0</v>
      </c>
      <c r="N71" s="92">
        <v>11000</v>
      </c>
    </row>
    <row r="72" spans="1:15">
      <c r="A72" s="91" t="s">
        <v>2531</v>
      </c>
      <c r="B72" s="4" t="s">
        <v>2545</v>
      </c>
      <c r="C72" s="5" t="s">
        <v>80</v>
      </c>
      <c r="D72" s="5" t="s">
        <v>17</v>
      </c>
      <c r="E72" s="5">
        <v>30608716390</v>
      </c>
      <c r="F72" s="56">
        <v>5821.48</v>
      </c>
      <c r="G72" s="56">
        <v>0</v>
      </c>
      <c r="H72" s="5">
        <v>0</v>
      </c>
      <c r="I72" s="5">
        <v>0</v>
      </c>
      <c r="J72" s="5">
        <v>0</v>
      </c>
      <c r="K72" s="5">
        <v>1222.51</v>
      </c>
      <c r="L72" s="5">
        <v>0</v>
      </c>
      <c r="M72" s="56">
        <v>0</v>
      </c>
      <c r="N72" s="92">
        <v>7043.99</v>
      </c>
    </row>
    <row r="73" spans="1:15">
      <c r="A73" s="91" t="s">
        <v>2551</v>
      </c>
      <c r="B73" s="4" t="s">
        <v>2574</v>
      </c>
      <c r="C73" s="5" t="s">
        <v>80</v>
      </c>
      <c r="D73" s="5" t="s">
        <v>17</v>
      </c>
      <c r="E73" s="5">
        <v>30608716390</v>
      </c>
      <c r="F73" s="56">
        <v>867.77</v>
      </c>
      <c r="G73" s="56">
        <v>0</v>
      </c>
      <c r="H73" s="5">
        <v>0</v>
      </c>
      <c r="I73" s="5">
        <v>0</v>
      </c>
      <c r="J73" s="5">
        <v>0</v>
      </c>
      <c r="K73" s="5">
        <v>182.23</v>
      </c>
      <c r="L73" s="5">
        <v>0</v>
      </c>
      <c r="M73" s="56">
        <v>0</v>
      </c>
      <c r="N73" s="92">
        <v>1050</v>
      </c>
    </row>
    <row r="74" spans="1:15">
      <c r="A74" s="91" t="s">
        <v>2551</v>
      </c>
      <c r="B74" s="4" t="s">
        <v>2575</v>
      </c>
      <c r="C74" s="5" t="s">
        <v>80</v>
      </c>
      <c r="D74" s="5" t="s">
        <v>17</v>
      </c>
      <c r="E74" s="5">
        <v>30608716390</v>
      </c>
      <c r="F74" s="56">
        <v>2826.45</v>
      </c>
      <c r="G74" s="56">
        <v>0</v>
      </c>
      <c r="H74" s="5">
        <v>0</v>
      </c>
      <c r="I74" s="5">
        <v>0</v>
      </c>
      <c r="J74" s="5">
        <v>0</v>
      </c>
      <c r="K74" s="5">
        <v>593.55000000000007</v>
      </c>
      <c r="L74" s="5">
        <v>0</v>
      </c>
      <c r="M74" s="56">
        <v>0</v>
      </c>
      <c r="N74" s="92">
        <v>3420</v>
      </c>
    </row>
    <row r="75" spans="1:15">
      <c r="A75" s="91" t="s">
        <v>2551</v>
      </c>
      <c r="B75" s="4" t="s">
        <v>2576</v>
      </c>
      <c r="C75" s="5" t="s">
        <v>16</v>
      </c>
      <c r="D75" s="5" t="s">
        <v>17</v>
      </c>
      <c r="E75" s="5">
        <v>30522428163</v>
      </c>
      <c r="F75" s="56">
        <v>60991.74</v>
      </c>
      <c r="G75" s="56">
        <v>0</v>
      </c>
      <c r="H75" s="5">
        <v>0</v>
      </c>
      <c r="I75" s="5">
        <v>0</v>
      </c>
      <c r="J75" s="5">
        <v>0</v>
      </c>
      <c r="K75" s="5">
        <v>12808.26</v>
      </c>
      <c r="L75" s="5">
        <v>0</v>
      </c>
      <c r="M75" s="56">
        <v>0</v>
      </c>
      <c r="N75" s="92">
        <v>73800</v>
      </c>
    </row>
    <row r="76" spans="1:15">
      <c r="A76" s="91" t="s">
        <v>2289</v>
      </c>
      <c r="B76" s="4" t="s">
        <v>2301</v>
      </c>
      <c r="C76" s="5" t="s">
        <v>16</v>
      </c>
      <c r="D76" s="5" t="s">
        <v>17</v>
      </c>
      <c r="E76" s="5">
        <v>30522428163</v>
      </c>
      <c r="F76" s="56">
        <v>-369013.91</v>
      </c>
      <c r="G76" s="56">
        <v>0</v>
      </c>
      <c r="H76" s="5">
        <v>0</v>
      </c>
      <c r="I76" s="5">
        <v>0</v>
      </c>
      <c r="J76" s="5">
        <v>0</v>
      </c>
      <c r="K76" s="5">
        <v>-77492.92</v>
      </c>
      <c r="L76" s="5">
        <v>0</v>
      </c>
      <c r="M76" s="56">
        <v>0</v>
      </c>
      <c r="N76" s="92">
        <v>-446506.83</v>
      </c>
    </row>
    <row r="77" spans="1:15">
      <c r="A77" s="91" t="s">
        <v>2289</v>
      </c>
      <c r="B77" s="4" t="s">
        <v>2302</v>
      </c>
      <c r="C77" s="5" t="s">
        <v>16</v>
      </c>
      <c r="D77" s="5" t="s">
        <v>17</v>
      </c>
      <c r="E77" s="5">
        <v>30522428163</v>
      </c>
      <c r="F77" s="56">
        <v>-16727.099999999999</v>
      </c>
      <c r="G77" s="56">
        <v>0</v>
      </c>
      <c r="H77" s="5">
        <v>0</v>
      </c>
      <c r="I77" s="5">
        <v>0</v>
      </c>
      <c r="J77" s="5">
        <v>0</v>
      </c>
      <c r="K77" s="5">
        <v>-3512.69</v>
      </c>
      <c r="L77" s="5">
        <v>0</v>
      </c>
      <c r="M77" s="56">
        <v>0</v>
      </c>
      <c r="N77" s="92">
        <v>-20239.79</v>
      </c>
    </row>
    <row r="78" spans="1:15">
      <c r="A78" s="106" t="s">
        <v>2463</v>
      </c>
      <c r="B78" s="107" t="s">
        <v>2584</v>
      </c>
      <c r="C78" s="108" t="s">
        <v>120</v>
      </c>
      <c r="D78" s="108" t="s">
        <v>17</v>
      </c>
      <c r="E78" s="108">
        <v>30710473168</v>
      </c>
      <c r="F78" s="109">
        <v>3414710.71</v>
      </c>
      <c r="G78" s="109">
        <v>0</v>
      </c>
      <c r="H78" s="108">
        <v>0</v>
      </c>
      <c r="I78" s="108">
        <v>0</v>
      </c>
      <c r="J78" s="108">
        <v>0</v>
      </c>
      <c r="K78" s="108">
        <v>717089.25</v>
      </c>
      <c r="L78" s="108">
        <v>0</v>
      </c>
      <c r="M78" s="109">
        <v>0</v>
      </c>
      <c r="N78" s="110">
        <v>4131799.99</v>
      </c>
      <c r="O78" t="s">
        <v>2585</v>
      </c>
    </row>
    <row r="79" spans="1:15">
      <c r="A79" s="13" t="s">
        <v>432</v>
      </c>
      <c r="B79" s="13" t="s">
        <v>433</v>
      </c>
      <c r="C79" s="13" t="s">
        <v>434</v>
      </c>
      <c r="D79" s="13" t="s">
        <v>435</v>
      </c>
      <c r="E79" s="13" t="s">
        <v>436</v>
      </c>
      <c r="F79" s="90">
        <f>SUBTOTAL(109,Tabla1[Gravado])</f>
        <v>48296069.890000023</v>
      </c>
      <c r="G79" s="90">
        <f ca="1">SUM(OFFSET($A$1,5,COLUMN()-1):OFFSET($A$1,ROW()-2,COLUMN()-1))</f>
        <v>0</v>
      </c>
      <c r="H79" s="90">
        <f ca="1">SUM(OFFSET($A$1,5,COLUMN()-1):OFFSET($A$1,ROW()-2,COLUMN()-1))</f>
        <v>0</v>
      </c>
      <c r="I79" s="90">
        <f ca="1">SUM(OFFSET($A$1,5,COLUMN()-1):OFFSET($A$1,ROW()-2,COLUMN()-1))</f>
        <v>0</v>
      </c>
      <c r="J79" s="90">
        <f ca="1">SUM(OFFSET($A$1,5,COLUMN()-1):OFFSET($A$1,ROW()-2,COLUMN()-1))</f>
        <v>0</v>
      </c>
      <c r="K79" s="90">
        <f>SUBTOTAL(109,Tabla1[IVA 21%])+0.03</f>
        <v>10142174.680000003</v>
      </c>
      <c r="L79" s="90">
        <f ca="1">SUM(OFFSET($A$1,5,COLUMN()-1):OFFSET($A$1,ROW()-2,COLUMN()-1))</f>
        <v>0</v>
      </c>
      <c r="M79" s="90">
        <f ca="1">SUM(OFFSET($A$1,5,COLUMN()-1):OFFSET($A$1,ROW()-2,COLUMN()-1))</f>
        <v>0</v>
      </c>
      <c r="N79" s="90">
        <f ca="1">SUM(OFFSET($A$1,5,COLUMN()-1):OFFSET($A$1,ROW()-2,COLUMN()-1))</f>
        <v>58425994.570000015</v>
      </c>
    </row>
    <row r="82" spans="1:14">
      <c r="A82" s="105" t="s">
        <v>2022</v>
      </c>
    </row>
    <row r="83" spans="1:14">
      <c r="A83" s="101" t="s">
        <v>0</v>
      </c>
      <c r="B83" s="101" t="s">
        <v>1</v>
      </c>
      <c r="C83" s="101" t="s">
        <v>2</v>
      </c>
      <c r="D83" s="101" t="s">
        <v>3</v>
      </c>
      <c r="E83" s="101" t="s">
        <v>4</v>
      </c>
      <c r="F83" s="101" t="s">
        <v>5</v>
      </c>
      <c r="G83" s="101" t="s">
        <v>6</v>
      </c>
      <c r="H83" s="101" t="s">
        <v>7</v>
      </c>
      <c r="I83" s="101" t="s">
        <v>8</v>
      </c>
      <c r="J83" s="101" t="s">
        <v>9</v>
      </c>
      <c r="K83" s="101" t="s">
        <v>10</v>
      </c>
      <c r="L83" s="101" t="s">
        <v>11</v>
      </c>
      <c r="M83" s="101" t="s">
        <v>12</v>
      </c>
      <c r="N83" s="101" t="s">
        <v>13</v>
      </c>
    </row>
    <row r="84" spans="1:14">
      <c r="A84" s="91" t="s">
        <v>2087</v>
      </c>
      <c r="B84" s="4" t="s">
        <v>2088</v>
      </c>
      <c r="C84" s="5" t="s">
        <v>122</v>
      </c>
      <c r="D84" s="5" t="s">
        <v>123</v>
      </c>
      <c r="E84" s="5" t="s">
        <v>124</v>
      </c>
      <c r="F84" s="56">
        <v>3388.43</v>
      </c>
      <c r="G84" s="56">
        <v>0</v>
      </c>
      <c r="H84" s="5">
        <v>0</v>
      </c>
      <c r="I84" s="5">
        <v>0</v>
      </c>
      <c r="J84" s="5">
        <v>0</v>
      </c>
      <c r="K84" s="5">
        <v>711.57</v>
      </c>
      <c r="L84" s="5">
        <v>0</v>
      </c>
      <c r="M84" s="56">
        <v>0</v>
      </c>
      <c r="N84" s="92">
        <v>4100</v>
      </c>
    </row>
    <row r="85" spans="1:14">
      <c r="A85" s="91" t="s">
        <v>2087</v>
      </c>
      <c r="B85" s="4" t="s">
        <v>2089</v>
      </c>
      <c r="C85" s="5" t="s">
        <v>122</v>
      </c>
      <c r="D85" s="5" t="s">
        <v>123</v>
      </c>
      <c r="E85" s="5" t="s">
        <v>124</v>
      </c>
      <c r="F85" s="56">
        <v>6694.21</v>
      </c>
      <c r="G85" s="56">
        <v>0</v>
      </c>
      <c r="H85" s="5">
        <v>0</v>
      </c>
      <c r="I85" s="5">
        <v>0</v>
      </c>
      <c r="J85" s="5">
        <v>0</v>
      </c>
      <c r="K85" s="5">
        <v>1405.79</v>
      </c>
      <c r="L85" s="5">
        <v>0</v>
      </c>
      <c r="M85" s="56">
        <v>0</v>
      </c>
      <c r="N85" s="92">
        <v>8100</v>
      </c>
    </row>
    <row r="86" spans="1:14">
      <c r="A86" s="91" t="s">
        <v>2087</v>
      </c>
      <c r="B86" s="4" t="s">
        <v>2090</v>
      </c>
      <c r="C86" s="5" t="s">
        <v>122</v>
      </c>
      <c r="D86" s="5" t="s">
        <v>123</v>
      </c>
      <c r="E86" s="5" t="s">
        <v>124</v>
      </c>
      <c r="F86" s="56">
        <v>8760.33</v>
      </c>
      <c r="G86" s="56">
        <v>0</v>
      </c>
      <c r="H86" s="5">
        <v>0</v>
      </c>
      <c r="I86" s="5">
        <v>0</v>
      </c>
      <c r="J86" s="5">
        <v>0</v>
      </c>
      <c r="K86" s="5">
        <v>1839.67</v>
      </c>
      <c r="L86" s="5">
        <v>0</v>
      </c>
      <c r="M86" s="56">
        <v>0</v>
      </c>
      <c r="N86" s="92">
        <v>10600</v>
      </c>
    </row>
    <row r="87" spans="1:14">
      <c r="A87" s="91" t="s">
        <v>2087</v>
      </c>
      <c r="B87" s="4" t="s">
        <v>2091</v>
      </c>
      <c r="C87" s="5" t="s">
        <v>122</v>
      </c>
      <c r="D87" s="5" t="s">
        <v>123</v>
      </c>
      <c r="E87" s="5" t="s">
        <v>124</v>
      </c>
      <c r="F87" s="56">
        <v>2520.66</v>
      </c>
      <c r="G87" s="56">
        <v>0</v>
      </c>
      <c r="H87" s="5">
        <v>0</v>
      </c>
      <c r="I87" s="5">
        <v>0</v>
      </c>
      <c r="J87" s="5">
        <v>0</v>
      </c>
      <c r="K87" s="5">
        <v>529.34</v>
      </c>
      <c r="L87" s="5">
        <v>0</v>
      </c>
      <c r="M87" s="56">
        <v>0</v>
      </c>
      <c r="N87" s="92">
        <v>3050</v>
      </c>
    </row>
    <row r="88" spans="1:14">
      <c r="A88" s="91" t="s">
        <v>2087</v>
      </c>
      <c r="B88" s="4" t="s">
        <v>2092</v>
      </c>
      <c r="C88" s="5" t="s">
        <v>122</v>
      </c>
      <c r="D88" s="5" t="s">
        <v>123</v>
      </c>
      <c r="E88" s="5" t="s">
        <v>124</v>
      </c>
      <c r="F88" s="56">
        <v>6776.86</v>
      </c>
      <c r="G88" s="56">
        <v>0</v>
      </c>
      <c r="H88" s="5">
        <v>0</v>
      </c>
      <c r="I88" s="5">
        <v>0</v>
      </c>
      <c r="J88" s="5">
        <v>0</v>
      </c>
      <c r="K88" s="5">
        <v>1423.14</v>
      </c>
      <c r="L88" s="5">
        <v>0</v>
      </c>
      <c r="M88" s="56">
        <v>0</v>
      </c>
      <c r="N88" s="92">
        <v>8200</v>
      </c>
    </row>
    <row r="89" spans="1:14">
      <c r="A89" s="91" t="s">
        <v>2087</v>
      </c>
      <c r="B89" s="4" t="s">
        <v>2093</v>
      </c>
      <c r="C89" s="5" t="s">
        <v>2094</v>
      </c>
      <c r="D89" s="5" t="s">
        <v>123</v>
      </c>
      <c r="E89" s="5">
        <v>18142775</v>
      </c>
      <c r="F89" s="56">
        <v>4752.07</v>
      </c>
      <c r="G89" s="56">
        <v>0</v>
      </c>
      <c r="H89" s="5">
        <v>0</v>
      </c>
      <c r="I89" s="5">
        <v>0</v>
      </c>
      <c r="J89" s="5">
        <v>0</v>
      </c>
      <c r="K89" s="5">
        <v>997.93</v>
      </c>
      <c r="L89" s="5">
        <v>0</v>
      </c>
      <c r="M89" s="56">
        <v>0</v>
      </c>
      <c r="N89" s="92">
        <v>5750</v>
      </c>
    </row>
    <row r="90" spans="1:14">
      <c r="A90" s="91" t="s">
        <v>2087</v>
      </c>
      <c r="B90" s="4" t="s">
        <v>2095</v>
      </c>
      <c r="C90" s="5" t="s">
        <v>122</v>
      </c>
      <c r="D90" s="5" t="s">
        <v>123</v>
      </c>
      <c r="E90" s="5" t="s">
        <v>124</v>
      </c>
      <c r="F90" s="56">
        <v>7851.24</v>
      </c>
      <c r="G90" s="56">
        <v>0</v>
      </c>
      <c r="H90" s="5">
        <v>0</v>
      </c>
      <c r="I90" s="5">
        <v>0</v>
      </c>
      <c r="J90" s="5">
        <v>0</v>
      </c>
      <c r="K90" s="5">
        <v>1648.76</v>
      </c>
      <c r="L90" s="5">
        <v>0</v>
      </c>
      <c r="M90" s="56">
        <v>0</v>
      </c>
      <c r="N90" s="92">
        <v>9500</v>
      </c>
    </row>
    <row r="91" spans="1:14">
      <c r="A91" s="91" t="s">
        <v>2087</v>
      </c>
      <c r="B91" s="4" t="s">
        <v>2096</v>
      </c>
      <c r="C91" s="5" t="s">
        <v>122</v>
      </c>
      <c r="D91" s="5" t="s">
        <v>123</v>
      </c>
      <c r="E91" s="5" t="s">
        <v>124</v>
      </c>
      <c r="F91" s="56">
        <v>1157.02</v>
      </c>
      <c r="G91" s="56">
        <v>0</v>
      </c>
      <c r="H91" s="5">
        <v>0</v>
      </c>
      <c r="I91" s="5">
        <v>0</v>
      </c>
      <c r="J91" s="5">
        <v>0</v>
      </c>
      <c r="K91" s="5">
        <v>242.98</v>
      </c>
      <c r="L91" s="5">
        <v>0</v>
      </c>
      <c r="M91" s="56">
        <v>0</v>
      </c>
      <c r="N91" s="92">
        <v>1400</v>
      </c>
    </row>
    <row r="92" spans="1:14">
      <c r="A92" s="91" t="s">
        <v>2087</v>
      </c>
      <c r="B92" s="4" t="s">
        <v>2097</v>
      </c>
      <c r="C92" s="5" t="s">
        <v>122</v>
      </c>
      <c r="D92" s="5" t="s">
        <v>123</v>
      </c>
      <c r="E92" s="5" t="s">
        <v>124</v>
      </c>
      <c r="F92" s="56">
        <v>6776.86</v>
      </c>
      <c r="G92" s="56">
        <v>0</v>
      </c>
      <c r="H92" s="5">
        <v>0</v>
      </c>
      <c r="I92" s="5">
        <v>0</v>
      </c>
      <c r="J92" s="5">
        <v>0</v>
      </c>
      <c r="K92" s="5">
        <v>1423.14</v>
      </c>
      <c r="L92" s="5">
        <v>0</v>
      </c>
      <c r="M92" s="56">
        <v>0</v>
      </c>
      <c r="N92" s="92">
        <v>8200</v>
      </c>
    </row>
    <row r="93" spans="1:14">
      <c r="A93" s="91" t="s">
        <v>2087</v>
      </c>
      <c r="B93" s="4" t="s">
        <v>2098</v>
      </c>
      <c r="C93" s="5" t="s">
        <v>122</v>
      </c>
      <c r="D93" s="5" t="s">
        <v>123</v>
      </c>
      <c r="E93" s="5" t="s">
        <v>124</v>
      </c>
      <c r="F93" s="56">
        <v>10743.8</v>
      </c>
      <c r="G93" s="56">
        <v>0</v>
      </c>
      <c r="H93" s="5">
        <v>0</v>
      </c>
      <c r="I93" s="5">
        <v>0</v>
      </c>
      <c r="J93" s="5">
        <v>0</v>
      </c>
      <c r="K93" s="5">
        <v>2256.2000000000003</v>
      </c>
      <c r="L93" s="5">
        <v>0</v>
      </c>
      <c r="M93" s="56">
        <v>0</v>
      </c>
      <c r="N93" s="92">
        <v>13000</v>
      </c>
    </row>
    <row r="94" spans="1:14">
      <c r="A94" s="91" t="s">
        <v>2101</v>
      </c>
      <c r="B94" s="4" t="s">
        <v>2102</v>
      </c>
      <c r="C94" s="5" t="s">
        <v>122</v>
      </c>
      <c r="D94" s="5" t="s">
        <v>123</v>
      </c>
      <c r="E94" s="5" t="s">
        <v>124</v>
      </c>
      <c r="F94" s="56">
        <v>6776.86</v>
      </c>
      <c r="G94" s="56">
        <v>0</v>
      </c>
      <c r="H94" s="5">
        <v>0</v>
      </c>
      <c r="I94" s="5">
        <v>0</v>
      </c>
      <c r="J94" s="5">
        <v>0</v>
      </c>
      <c r="K94" s="5">
        <v>1423.14</v>
      </c>
      <c r="L94" s="5">
        <v>0</v>
      </c>
      <c r="M94" s="56">
        <v>0</v>
      </c>
      <c r="N94" s="92">
        <v>8200</v>
      </c>
    </row>
    <row r="95" spans="1:14">
      <c r="A95" s="91" t="s">
        <v>2101</v>
      </c>
      <c r="B95" s="4" t="s">
        <v>2103</v>
      </c>
      <c r="C95" s="5" t="s">
        <v>122</v>
      </c>
      <c r="D95" s="5" t="s">
        <v>123</v>
      </c>
      <c r="E95" s="5" t="s">
        <v>124</v>
      </c>
      <c r="F95" s="56">
        <v>6280.99</v>
      </c>
      <c r="G95" s="56">
        <v>0</v>
      </c>
      <c r="H95" s="5">
        <v>0</v>
      </c>
      <c r="I95" s="5">
        <v>0</v>
      </c>
      <c r="J95" s="5">
        <v>0</v>
      </c>
      <c r="K95" s="5">
        <v>1319.01</v>
      </c>
      <c r="L95" s="5">
        <v>0</v>
      </c>
      <c r="M95" s="56">
        <v>0</v>
      </c>
      <c r="N95" s="92">
        <v>7600</v>
      </c>
    </row>
    <row r="96" spans="1:14">
      <c r="A96" s="91" t="s">
        <v>2101</v>
      </c>
      <c r="B96" s="4" t="s">
        <v>2104</v>
      </c>
      <c r="C96" s="5" t="s">
        <v>122</v>
      </c>
      <c r="D96" s="5" t="s">
        <v>123</v>
      </c>
      <c r="E96" s="5" t="s">
        <v>124</v>
      </c>
      <c r="F96" s="56">
        <v>3388.43</v>
      </c>
      <c r="G96" s="56">
        <v>0</v>
      </c>
      <c r="H96" s="5">
        <v>0</v>
      </c>
      <c r="I96" s="5">
        <v>0</v>
      </c>
      <c r="J96" s="5">
        <v>0</v>
      </c>
      <c r="K96" s="5">
        <v>711.57</v>
      </c>
      <c r="L96" s="5">
        <v>0</v>
      </c>
      <c r="M96" s="56">
        <v>0</v>
      </c>
      <c r="N96" s="92">
        <v>4100</v>
      </c>
    </row>
    <row r="97" spans="1:14">
      <c r="A97" s="91" t="s">
        <v>2101</v>
      </c>
      <c r="B97" s="4" t="s">
        <v>2105</v>
      </c>
      <c r="C97" s="5" t="s">
        <v>122</v>
      </c>
      <c r="D97" s="5" t="s">
        <v>123</v>
      </c>
      <c r="E97" s="5" t="s">
        <v>124</v>
      </c>
      <c r="F97" s="56">
        <v>3388.43</v>
      </c>
      <c r="G97" s="56">
        <v>0</v>
      </c>
      <c r="H97" s="5">
        <v>0</v>
      </c>
      <c r="I97" s="5">
        <v>0</v>
      </c>
      <c r="J97" s="5">
        <v>0</v>
      </c>
      <c r="K97" s="5">
        <v>711.57</v>
      </c>
      <c r="L97" s="5">
        <v>0</v>
      </c>
      <c r="M97" s="56">
        <v>0</v>
      </c>
      <c r="N97" s="92">
        <v>4100</v>
      </c>
    </row>
    <row r="98" spans="1:14">
      <c r="A98" s="91" t="s">
        <v>2101</v>
      </c>
      <c r="B98" s="4" t="s">
        <v>2106</v>
      </c>
      <c r="C98" s="5" t="s">
        <v>122</v>
      </c>
      <c r="D98" s="5" t="s">
        <v>123</v>
      </c>
      <c r="E98" s="5" t="s">
        <v>124</v>
      </c>
      <c r="F98" s="56">
        <v>10743.8</v>
      </c>
      <c r="G98" s="56">
        <v>0</v>
      </c>
      <c r="H98" s="5">
        <v>0</v>
      </c>
      <c r="I98" s="5">
        <v>0</v>
      </c>
      <c r="J98" s="5">
        <v>0</v>
      </c>
      <c r="K98" s="5">
        <v>2256.2000000000003</v>
      </c>
      <c r="L98" s="5">
        <v>0</v>
      </c>
      <c r="M98" s="56">
        <v>0</v>
      </c>
      <c r="N98" s="92">
        <v>13000</v>
      </c>
    </row>
    <row r="99" spans="1:14">
      <c r="A99" s="91" t="s">
        <v>2101</v>
      </c>
      <c r="B99" s="4" t="s">
        <v>2107</v>
      </c>
      <c r="C99" s="5" t="s">
        <v>122</v>
      </c>
      <c r="D99" s="5" t="s">
        <v>123</v>
      </c>
      <c r="E99" s="5" t="s">
        <v>124</v>
      </c>
      <c r="F99" s="56">
        <v>6776.86</v>
      </c>
      <c r="G99" s="56">
        <v>0</v>
      </c>
      <c r="H99" s="5">
        <v>0</v>
      </c>
      <c r="I99" s="5">
        <v>0</v>
      </c>
      <c r="J99" s="5">
        <v>0</v>
      </c>
      <c r="K99" s="5">
        <v>1423.14</v>
      </c>
      <c r="L99" s="5">
        <v>0</v>
      </c>
      <c r="M99" s="56">
        <v>0</v>
      </c>
      <c r="N99" s="92">
        <v>8200</v>
      </c>
    </row>
    <row r="100" spans="1:14">
      <c r="A100" s="91" t="s">
        <v>2101</v>
      </c>
      <c r="B100" s="4" t="s">
        <v>2108</v>
      </c>
      <c r="C100" s="5" t="s">
        <v>122</v>
      </c>
      <c r="D100" s="5" t="s">
        <v>123</v>
      </c>
      <c r="E100" s="5" t="s">
        <v>124</v>
      </c>
      <c r="F100" s="56">
        <v>4132.2300000000005</v>
      </c>
      <c r="G100" s="56">
        <v>0</v>
      </c>
      <c r="H100" s="5">
        <v>0</v>
      </c>
      <c r="I100" s="5">
        <v>0</v>
      </c>
      <c r="J100" s="5">
        <v>0</v>
      </c>
      <c r="K100" s="5">
        <v>867.77</v>
      </c>
      <c r="L100" s="5">
        <v>0</v>
      </c>
      <c r="M100" s="56">
        <v>0</v>
      </c>
      <c r="N100" s="92">
        <v>5000</v>
      </c>
    </row>
    <row r="101" spans="1:14">
      <c r="A101" s="91" t="s">
        <v>2101</v>
      </c>
      <c r="B101" s="4" t="s">
        <v>2109</v>
      </c>
      <c r="C101" s="5" t="s">
        <v>122</v>
      </c>
      <c r="D101" s="5" t="s">
        <v>123</v>
      </c>
      <c r="E101" s="5" t="s">
        <v>124</v>
      </c>
      <c r="F101" s="56">
        <v>9090.91</v>
      </c>
      <c r="G101" s="56">
        <v>0</v>
      </c>
      <c r="H101" s="5">
        <v>0</v>
      </c>
      <c r="I101" s="5">
        <v>0</v>
      </c>
      <c r="J101" s="5">
        <v>0</v>
      </c>
      <c r="K101" s="5">
        <v>1909.09</v>
      </c>
      <c r="L101" s="5">
        <v>0</v>
      </c>
      <c r="M101" s="56">
        <v>0</v>
      </c>
      <c r="N101" s="92">
        <v>11000</v>
      </c>
    </row>
    <row r="102" spans="1:14">
      <c r="A102" s="91" t="s">
        <v>2101</v>
      </c>
      <c r="B102" s="4" t="s">
        <v>2110</v>
      </c>
      <c r="C102" s="5" t="s">
        <v>122</v>
      </c>
      <c r="D102" s="5" t="s">
        <v>123</v>
      </c>
      <c r="E102" s="5" t="s">
        <v>124</v>
      </c>
      <c r="F102" s="56">
        <v>6033.06</v>
      </c>
      <c r="G102" s="56">
        <v>0</v>
      </c>
      <c r="H102" s="5">
        <v>0</v>
      </c>
      <c r="I102" s="5">
        <v>0</v>
      </c>
      <c r="J102" s="5">
        <v>0</v>
      </c>
      <c r="K102" s="5">
        <v>1266.94</v>
      </c>
      <c r="L102" s="5">
        <v>0</v>
      </c>
      <c r="M102" s="56">
        <v>0</v>
      </c>
      <c r="N102" s="92">
        <v>7300</v>
      </c>
    </row>
    <row r="103" spans="1:14">
      <c r="A103" s="91" t="s">
        <v>2123</v>
      </c>
      <c r="B103" s="4" t="s">
        <v>2124</v>
      </c>
      <c r="C103" s="5" t="s">
        <v>122</v>
      </c>
      <c r="D103" s="5" t="s">
        <v>123</v>
      </c>
      <c r="E103" s="5" t="s">
        <v>124</v>
      </c>
      <c r="F103" s="56">
        <v>3925.62</v>
      </c>
      <c r="G103" s="56">
        <v>0</v>
      </c>
      <c r="H103" s="5">
        <v>0</v>
      </c>
      <c r="I103" s="5">
        <v>0</v>
      </c>
      <c r="J103" s="5">
        <v>0</v>
      </c>
      <c r="K103" s="5">
        <v>824.38</v>
      </c>
      <c r="L103" s="5">
        <v>0</v>
      </c>
      <c r="M103" s="56">
        <v>0</v>
      </c>
      <c r="N103" s="92">
        <v>4750</v>
      </c>
    </row>
    <row r="104" spans="1:14">
      <c r="A104" s="91" t="s">
        <v>2123</v>
      </c>
      <c r="B104" s="4" t="s">
        <v>2125</v>
      </c>
      <c r="C104" s="5" t="s">
        <v>122</v>
      </c>
      <c r="D104" s="5" t="s">
        <v>123</v>
      </c>
      <c r="E104" s="5" t="s">
        <v>124</v>
      </c>
      <c r="F104" s="56">
        <v>10743.8</v>
      </c>
      <c r="G104" s="56">
        <v>0</v>
      </c>
      <c r="H104" s="5">
        <v>0</v>
      </c>
      <c r="I104" s="5">
        <v>0</v>
      </c>
      <c r="J104" s="5">
        <v>0</v>
      </c>
      <c r="K104" s="5">
        <v>2256.2000000000003</v>
      </c>
      <c r="L104" s="5">
        <v>0</v>
      </c>
      <c r="M104" s="56">
        <v>0</v>
      </c>
      <c r="N104" s="92">
        <v>13000</v>
      </c>
    </row>
    <row r="105" spans="1:14">
      <c r="A105" s="91" t="s">
        <v>2123</v>
      </c>
      <c r="B105" s="4" t="s">
        <v>2126</v>
      </c>
      <c r="C105" s="5" t="s">
        <v>122</v>
      </c>
      <c r="D105" s="5" t="s">
        <v>123</v>
      </c>
      <c r="E105" s="5" t="s">
        <v>124</v>
      </c>
      <c r="F105" s="56">
        <v>10826.45</v>
      </c>
      <c r="G105" s="56">
        <v>0</v>
      </c>
      <c r="H105" s="5">
        <v>0</v>
      </c>
      <c r="I105" s="5">
        <v>0</v>
      </c>
      <c r="J105" s="5">
        <v>0</v>
      </c>
      <c r="K105" s="5">
        <v>2273.5500000000002</v>
      </c>
      <c r="L105" s="5">
        <v>0</v>
      </c>
      <c r="M105" s="56">
        <v>0</v>
      </c>
      <c r="N105" s="92">
        <v>13100</v>
      </c>
    </row>
    <row r="106" spans="1:14">
      <c r="A106" s="91" t="s">
        <v>2123</v>
      </c>
      <c r="B106" s="4" t="s">
        <v>2127</v>
      </c>
      <c r="C106" s="5" t="s">
        <v>122</v>
      </c>
      <c r="D106" s="5" t="s">
        <v>123</v>
      </c>
      <c r="E106" s="5" t="s">
        <v>124</v>
      </c>
      <c r="F106" s="56">
        <v>6446.28</v>
      </c>
      <c r="G106" s="56">
        <v>0</v>
      </c>
      <c r="H106" s="5">
        <v>0</v>
      </c>
      <c r="I106" s="5">
        <v>0</v>
      </c>
      <c r="J106" s="5">
        <v>0</v>
      </c>
      <c r="K106" s="5">
        <v>1353.72</v>
      </c>
      <c r="L106" s="5">
        <v>0</v>
      </c>
      <c r="M106" s="56">
        <v>0</v>
      </c>
      <c r="N106" s="92">
        <v>7800</v>
      </c>
    </row>
    <row r="107" spans="1:14">
      <c r="A107" s="91" t="s">
        <v>2123</v>
      </c>
      <c r="B107" s="4" t="s">
        <v>2128</v>
      </c>
      <c r="C107" s="5" t="s">
        <v>122</v>
      </c>
      <c r="D107" s="5" t="s">
        <v>123</v>
      </c>
      <c r="E107" s="5" t="s">
        <v>124</v>
      </c>
      <c r="F107" s="56">
        <v>909.09</v>
      </c>
      <c r="G107" s="56">
        <v>0</v>
      </c>
      <c r="H107" s="5">
        <v>0</v>
      </c>
      <c r="I107" s="5">
        <v>0</v>
      </c>
      <c r="J107" s="5">
        <v>0</v>
      </c>
      <c r="K107" s="5">
        <v>190.91</v>
      </c>
      <c r="L107" s="5">
        <v>0</v>
      </c>
      <c r="M107" s="56">
        <v>0</v>
      </c>
      <c r="N107" s="92">
        <v>1100</v>
      </c>
    </row>
    <row r="108" spans="1:14">
      <c r="A108" s="91" t="s">
        <v>2123</v>
      </c>
      <c r="B108" s="4" t="s">
        <v>2129</v>
      </c>
      <c r="C108" s="5" t="s">
        <v>122</v>
      </c>
      <c r="D108" s="5" t="s">
        <v>123</v>
      </c>
      <c r="E108" s="5" t="s">
        <v>124</v>
      </c>
      <c r="F108" s="56">
        <v>5371.9</v>
      </c>
      <c r="G108" s="56">
        <v>0</v>
      </c>
      <c r="H108" s="5">
        <v>0</v>
      </c>
      <c r="I108" s="5">
        <v>0</v>
      </c>
      <c r="J108" s="5">
        <v>0</v>
      </c>
      <c r="K108" s="5">
        <v>1128.1000000000001</v>
      </c>
      <c r="L108" s="5">
        <v>0</v>
      </c>
      <c r="M108" s="56">
        <v>0</v>
      </c>
      <c r="N108" s="92">
        <v>6500</v>
      </c>
    </row>
    <row r="109" spans="1:14">
      <c r="A109" s="91" t="s">
        <v>2123</v>
      </c>
      <c r="B109" s="4" t="s">
        <v>2130</v>
      </c>
      <c r="C109" s="5" t="s">
        <v>122</v>
      </c>
      <c r="D109" s="5" t="s">
        <v>123</v>
      </c>
      <c r="E109" s="5" t="s">
        <v>124</v>
      </c>
      <c r="F109" s="56">
        <v>4628.1000000000004</v>
      </c>
      <c r="G109" s="56">
        <v>0</v>
      </c>
      <c r="H109" s="5">
        <v>0</v>
      </c>
      <c r="I109" s="5">
        <v>0</v>
      </c>
      <c r="J109" s="5">
        <v>0</v>
      </c>
      <c r="K109" s="5">
        <v>971.9</v>
      </c>
      <c r="L109" s="5">
        <v>0</v>
      </c>
      <c r="M109" s="56">
        <v>0</v>
      </c>
      <c r="N109" s="92">
        <v>5600</v>
      </c>
    </row>
    <row r="110" spans="1:14">
      <c r="A110" s="91" t="s">
        <v>2123</v>
      </c>
      <c r="B110" s="4" t="s">
        <v>2131</v>
      </c>
      <c r="C110" s="5" t="s">
        <v>122</v>
      </c>
      <c r="D110" s="5" t="s">
        <v>123</v>
      </c>
      <c r="E110" s="5" t="s">
        <v>124</v>
      </c>
      <c r="F110" s="56">
        <v>2892.56</v>
      </c>
      <c r="G110" s="56">
        <v>0</v>
      </c>
      <c r="H110" s="5">
        <v>0</v>
      </c>
      <c r="I110" s="5">
        <v>0</v>
      </c>
      <c r="J110" s="5">
        <v>0</v>
      </c>
      <c r="K110" s="5">
        <v>607.44000000000005</v>
      </c>
      <c r="L110" s="5">
        <v>0</v>
      </c>
      <c r="M110" s="56">
        <v>0</v>
      </c>
      <c r="N110" s="92">
        <v>3500</v>
      </c>
    </row>
    <row r="111" spans="1:14">
      <c r="A111" s="91" t="s">
        <v>2123</v>
      </c>
      <c r="B111" s="4" t="s">
        <v>2132</v>
      </c>
      <c r="C111" s="5" t="s">
        <v>122</v>
      </c>
      <c r="D111" s="5" t="s">
        <v>123</v>
      </c>
      <c r="E111" s="5" t="s">
        <v>124</v>
      </c>
      <c r="F111" s="56">
        <v>6611.57</v>
      </c>
      <c r="G111" s="56">
        <v>0</v>
      </c>
      <c r="H111" s="5">
        <v>0</v>
      </c>
      <c r="I111" s="5">
        <v>0</v>
      </c>
      <c r="J111" s="5">
        <v>0</v>
      </c>
      <c r="K111" s="5">
        <v>1388.43</v>
      </c>
      <c r="L111" s="5">
        <v>0</v>
      </c>
      <c r="M111" s="56">
        <v>0</v>
      </c>
      <c r="N111" s="92">
        <v>8000</v>
      </c>
    </row>
    <row r="112" spans="1:14">
      <c r="A112" s="91" t="s">
        <v>2123</v>
      </c>
      <c r="B112" s="4" t="s">
        <v>2133</v>
      </c>
      <c r="C112" s="5" t="s">
        <v>122</v>
      </c>
      <c r="D112" s="5" t="s">
        <v>123</v>
      </c>
      <c r="E112" s="5" t="s">
        <v>124</v>
      </c>
      <c r="F112" s="56">
        <v>3388.43</v>
      </c>
      <c r="G112" s="56">
        <v>0</v>
      </c>
      <c r="H112" s="5">
        <v>0</v>
      </c>
      <c r="I112" s="5">
        <v>0</v>
      </c>
      <c r="J112" s="5">
        <v>0</v>
      </c>
      <c r="K112" s="5">
        <v>711.57</v>
      </c>
      <c r="L112" s="5">
        <v>0</v>
      </c>
      <c r="M112" s="56">
        <v>0</v>
      </c>
      <c r="N112" s="92">
        <v>4100</v>
      </c>
    </row>
    <row r="113" spans="1:14">
      <c r="A113" s="91" t="s">
        <v>2123</v>
      </c>
      <c r="B113" s="4" t="s">
        <v>2134</v>
      </c>
      <c r="C113" s="5" t="s">
        <v>122</v>
      </c>
      <c r="D113" s="5" t="s">
        <v>123</v>
      </c>
      <c r="E113" s="5" t="s">
        <v>124</v>
      </c>
      <c r="F113" s="56">
        <v>6280.99</v>
      </c>
      <c r="G113" s="56">
        <v>0</v>
      </c>
      <c r="H113" s="5">
        <v>0</v>
      </c>
      <c r="I113" s="5">
        <v>0</v>
      </c>
      <c r="J113" s="5">
        <v>0</v>
      </c>
      <c r="K113" s="5">
        <v>1319.01</v>
      </c>
      <c r="L113" s="5">
        <v>0</v>
      </c>
      <c r="M113" s="56">
        <v>0</v>
      </c>
      <c r="N113" s="92">
        <v>7600</v>
      </c>
    </row>
    <row r="114" spans="1:14">
      <c r="A114" s="91" t="s">
        <v>2123</v>
      </c>
      <c r="B114" s="4" t="s">
        <v>2135</v>
      </c>
      <c r="C114" s="5" t="s">
        <v>2136</v>
      </c>
      <c r="D114" s="5" t="s">
        <v>123</v>
      </c>
      <c r="E114" s="5">
        <v>14241990</v>
      </c>
      <c r="F114" s="56">
        <v>15900.83</v>
      </c>
      <c r="G114" s="56">
        <v>0</v>
      </c>
      <c r="H114" s="5">
        <v>0</v>
      </c>
      <c r="I114" s="5">
        <v>0</v>
      </c>
      <c r="J114" s="5">
        <v>0</v>
      </c>
      <c r="K114" s="5">
        <v>3339.17</v>
      </c>
      <c r="L114" s="5">
        <v>0</v>
      </c>
      <c r="M114" s="56">
        <v>0</v>
      </c>
      <c r="N114" s="92">
        <v>19240</v>
      </c>
    </row>
    <row r="115" spans="1:14">
      <c r="A115" s="91" t="s">
        <v>2123</v>
      </c>
      <c r="B115" s="4" t="s">
        <v>2137</v>
      </c>
      <c r="C115" s="5" t="s">
        <v>122</v>
      </c>
      <c r="D115" s="5" t="s">
        <v>123</v>
      </c>
      <c r="E115" s="5" t="s">
        <v>124</v>
      </c>
      <c r="F115" s="56">
        <v>8512.4</v>
      </c>
      <c r="G115" s="56">
        <v>0</v>
      </c>
      <c r="H115" s="5">
        <v>0</v>
      </c>
      <c r="I115" s="5">
        <v>0</v>
      </c>
      <c r="J115" s="5">
        <v>0</v>
      </c>
      <c r="K115" s="5">
        <v>1787.6</v>
      </c>
      <c r="L115" s="5">
        <v>0</v>
      </c>
      <c r="M115" s="56">
        <v>0</v>
      </c>
      <c r="N115" s="92">
        <v>10300</v>
      </c>
    </row>
    <row r="116" spans="1:14">
      <c r="A116" s="91" t="s">
        <v>2123</v>
      </c>
      <c r="B116" s="4" t="s">
        <v>2138</v>
      </c>
      <c r="C116" s="5" t="s">
        <v>122</v>
      </c>
      <c r="D116" s="5" t="s">
        <v>123</v>
      </c>
      <c r="E116" s="5" t="s">
        <v>124</v>
      </c>
      <c r="F116" s="56">
        <v>8429.75</v>
      </c>
      <c r="G116" s="56">
        <v>0</v>
      </c>
      <c r="H116" s="5">
        <v>0</v>
      </c>
      <c r="I116" s="5">
        <v>0</v>
      </c>
      <c r="J116" s="5">
        <v>0</v>
      </c>
      <c r="K116" s="5">
        <v>1770.25</v>
      </c>
      <c r="L116" s="5">
        <v>0</v>
      </c>
      <c r="M116" s="56">
        <v>0</v>
      </c>
      <c r="N116" s="92">
        <v>10200</v>
      </c>
    </row>
    <row r="117" spans="1:14">
      <c r="A117" s="91" t="s">
        <v>2123</v>
      </c>
      <c r="B117" s="4" t="s">
        <v>2139</v>
      </c>
      <c r="C117" s="5" t="s">
        <v>122</v>
      </c>
      <c r="D117" s="5" t="s">
        <v>123</v>
      </c>
      <c r="E117" s="5" t="s">
        <v>124</v>
      </c>
      <c r="F117" s="56">
        <v>2644.63</v>
      </c>
      <c r="G117" s="56">
        <v>0</v>
      </c>
      <c r="H117" s="5">
        <v>0</v>
      </c>
      <c r="I117" s="5">
        <v>0</v>
      </c>
      <c r="J117" s="5">
        <v>0</v>
      </c>
      <c r="K117" s="5">
        <v>555.37</v>
      </c>
      <c r="L117" s="5">
        <v>0</v>
      </c>
      <c r="M117" s="56">
        <v>0</v>
      </c>
      <c r="N117" s="92">
        <v>3200</v>
      </c>
    </row>
    <row r="118" spans="1:14">
      <c r="A118" s="91" t="s">
        <v>2123</v>
      </c>
      <c r="B118" s="4" t="s">
        <v>2140</v>
      </c>
      <c r="C118" s="5" t="s">
        <v>122</v>
      </c>
      <c r="D118" s="5" t="s">
        <v>123</v>
      </c>
      <c r="E118" s="5" t="s">
        <v>124</v>
      </c>
      <c r="F118" s="56">
        <v>991.74</v>
      </c>
      <c r="G118" s="56">
        <v>0</v>
      </c>
      <c r="H118" s="5">
        <v>0</v>
      </c>
      <c r="I118" s="5">
        <v>0</v>
      </c>
      <c r="J118" s="5">
        <v>0</v>
      </c>
      <c r="K118" s="5">
        <v>208.26</v>
      </c>
      <c r="L118" s="5">
        <v>0</v>
      </c>
      <c r="M118" s="56">
        <v>0</v>
      </c>
      <c r="N118" s="92">
        <v>1200</v>
      </c>
    </row>
    <row r="119" spans="1:14">
      <c r="A119" s="91" t="s">
        <v>2123</v>
      </c>
      <c r="B119" s="4" t="s">
        <v>2141</v>
      </c>
      <c r="C119" s="5" t="s">
        <v>122</v>
      </c>
      <c r="D119" s="5" t="s">
        <v>123</v>
      </c>
      <c r="E119" s="5" t="s">
        <v>124</v>
      </c>
      <c r="F119" s="56">
        <v>11239.67</v>
      </c>
      <c r="G119" s="56">
        <v>0</v>
      </c>
      <c r="H119" s="5">
        <v>0</v>
      </c>
      <c r="I119" s="5">
        <v>0</v>
      </c>
      <c r="J119" s="5">
        <v>0</v>
      </c>
      <c r="K119" s="5">
        <v>2360.33</v>
      </c>
      <c r="L119" s="5">
        <v>0</v>
      </c>
      <c r="M119" s="56">
        <v>0</v>
      </c>
      <c r="N119" s="92">
        <v>13600</v>
      </c>
    </row>
    <row r="120" spans="1:14">
      <c r="A120" s="91" t="s">
        <v>2148</v>
      </c>
      <c r="B120" s="4" t="s">
        <v>2149</v>
      </c>
      <c r="C120" s="5" t="s">
        <v>122</v>
      </c>
      <c r="D120" s="5" t="s">
        <v>123</v>
      </c>
      <c r="E120" s="5" t="s">
        <v>124</v>
      </c>
      <c r="F120" s="56">
        <v>3925.62</v>
      </c>
      <c r="G120" s="56">
        <v>0</v>
      </c>
      <c r="H120" s="5">
        <v>0</v>
      </c>
      <c r="I120" s="5">
        <v>0</v>
      </c>
      <c r="J120" s="5">
        <v>0</v>
      </c>
      <c r="K120" s="5">
        <v>824.38</v>
      </c>
      <c r="L120" s="5">
        <v>0</v>
      </c>
      <c r="M120" s="56">
        <v>0</v>
      </c>
      <c r="N120" s="92">
        <v>4750</v>
      </c>
    </row>
    <row r="121" spans="1:14">
      <c r="A121" s="91" t="s">
        <v>2148</v>
      </c>
      <c r="B121" s="4" t="s">
        <v>2150</v>
      </c>
      <c r="C121" s="5" t="s">
        <v>122</v>
      </c>
      <c r="D121" s="5" t="s">
        <v>123</v>
      </c>
      <c r="E121" s="5" t="s">
        <v>124</v>
      </c>
      <c r="F121" s="56">
        <v>3305.79</v>
      </c>
      <c r="G121" s="56">
        <v>0</v>
      </c>
      <c r="H121" s="5">
        <v>0</v>
      </c>
      <c r="I121" s="5">
        <v>0</v>
      </c>
      <c r="J121" s="5">
        <v>0</v>
      </c>
      <c r="K121" s="5">
        <v>694.21</v>
      </c>
      <c r="L121" s="5">
        <v>0</v>
      </c>
      <c r="M121" s="56">
        <v>0</v>
      </c>
      <c r="N121" s="92">
        <v>4000</v>
      </c>
    </row>
    <row r="122" spans="1:14">
      <c r="A122" s="91" t="s">
        <v>2148</v>
      </c>
      <c r="B122" s="4" t="s">
        <v>2151</v>
      </c>
      <c r="C122" s="5" t="s">
        <v>122</v>
      </c>
      <c r="D122" s="5" t="s">
        <v>123</v>
      </c>
      <c r="E122" s="5" t="s">
        <v>124</v>
      </c>
      <c r="F122" s="56">
        <v>9256.2000000000007</v>
      </c>
      <c r="G122" s="56">
        <v>0</v>
      </c>
      <c r="H122" s="5">
        <v>0</v>
      </c>
      <c r="I122" s="5">
        <v>0</v>
      </c>
      <c r="J122" s="5">
        <v>0</v>
      </c>
      <c r="K122" s="5">
        <v>1943.8</v>
      </c>
      <c r="L122" s="5">
        <v>0</v>
      </c>
      <c r="M122" s="56">
        <v>0</v>
      </c>
      <c r="N122" s="92">
        <v>11200</v>
      </c>
    </row>
    <row r="123" spans="1:14">
      <c r="A123" s="91" t="s">
        <v>2148</v>
      </c>
      <c r="B123" s="4" t="s">
        <v>2152</v>
      </c>
      <c r="C123" s="5" t="s">
        <v>122</v>
      </c>
      <c r="D123" s="5" t="s">
        <v>123</v>
      </c>
      <c r="E123" s="5" t="s">
        <v>124</v>
      </c>
      <c r="F123" s="56">
        <v>13876.03</v>
      </c>
      <c r="G123" s="56">
        <v>0</v>
      </c>
      <c r="H123" s="5">
        <v>0</v>
      </c>
      <c r="I123" s="5">
        <v>0</v>
      </c>
      <c r="J123" s="5">
        <v>0</v>
      </c>
      <c r="K123" s="5">
        <v>2913.97</v>
      </c>
      <c r="L123" s="5">
        <v>0</v>
      </c>
      <c r="M123" s="56">
        <v>0</v>
      </c>
      <c r="N123" s="92">
        <v>16790</v>
      </c>
    </row>
    <row r="124" spans="1:14">
      <c r="A124" s="91" t="s">
        <v>2148</v>
      </c>
      <c r="B124" s="4" t="s">
        <v>2153</v>
      </c>
      <c r="C124" s="5" t="s">
        <v>122</v>
      </c>
      <c r="D124" s="5" t="s">
        <v>123</v>
      </c>
      <c r="E124" s="5" t="s">
        <v>124</v>
      </c>
      <c r="F124" s="56">
        <v>8553.7199999999993</v>
      </c>
      <c r="G124" s="56">
        <v>0</v>
      </c>
      <c r="H124" s="5">
        <v>0</v>
      </c>
      <c r="I124" s="5">
        <v>0</v>
      </c>
      <c r="J124" s="5">
        <v>0</v>
      </c>
      <c r="K124" s="5">
        <v>1796.28</v>
      </c>
      <c r="L124" s="5">
        <v>0</v>
      </c>
      <c r="M124" s="56">
        <v>0</v>
      </c>
      <c r="N124" s="92">
        <v>10350</v>
      </c>
    </row>
    <row r="125" spans="1:14">
      <c r="A125" s="91" t="s">
        <v>2148</v>
      </c>
      <c r="B125" s="4" t="s">
        <v>2154</v>
      </c>
      <c r="C125" s="5" t="s">
        <v>122</v>
      </c>
      <c r="D125" s="5" t="s">
        <v>123</v>
      </c>
      <c r="E125" s="5" t="s">
        <v>124</v>
      </c>
      <c r="F125" s="56">
        <v>6033.06</v>
      </c>
      <c r="G125" s="56">
        <v>0</v>
      </c>
      <c r="H125" s="5">
        <v>0</v>
      </c>
      <c r="I125" s="5">
        <v>0</v>
      </c>
      <c r="J125" s="5">
        <v>0</v>
      </c>
      <c r="K125" s="5">
        <v>1266.94</v>
      </c>
      <c r="L125" s="5">
        <v>0</v>
      </c>
      <c r="M125" s="56">
        <v>0</v>
      </c>
      <c r="N125" s="92">
        <v>7300</v>
      </c>
    </row>
    <row r="126" spans="1:14">
      <c r="A126" s="91" t="s">
        <v>2148</v>
      </c>
      <c r="B126" s="4" t="s">
        <v>2155</v>
      </c>
      <c r="C126" s="5" t="s">
        <v>122</v>
      </c>
      <c r="D126" s="5" t="s">
        <v>123</v>
      </c>
      <c r="E126" s="5" t="s">
        <v>124</v>
      </c>
      <c r="F126" s="56">
        <v>6776.86</v>
      </c>
      <c r="G126" s="56">
        <v>0</v>
      </c>
      <c r="H126" s="5">
        <v>0</v>
      </c>
      <c r="I126" s="5">
        <v>0</v>
      </c>
      <c r="J126" s="5">
        <v>0</v>
      </c>
      <c r="K126" s="5">
        <v>1423.14</v>
      </c>
      <c r="L126" s="5">
        <v>0</v>
      </c>
      <c r="M126" s="56">
        <v>0</v>
      </c>
      <c r="N126" s="92">
        <v>8200</v>
      </c>
    </row>
    <row r="127" spans="1:14">
      <c r="A127" s="91" t="s">
        <v>2148</v>
      </c>
      <c r="B127" s="4" t="s">
        <v>2156</v>
      </c>
      <c r="C127" s="5" t="s">
        <v>122</v>
      </c>
      <c r="D127" s="5" t="s">
        <v>123</v>
      </c>
      <c r="E127" s="5" t="s">
        <v>124</v>
      </c>
      <c r="F127" s="56">
        <v>6694.21</v>
      </c>
      <c r="G127" s="56">
        <v>0</v>
      </c>
      <c r="H127" s="5">
        <v>0</v>
      </c>
      <c r="I127" s="5">
        <v>0</v>
      </c>
      <c r="J127" s="5">
        <v>0</v>
      </c>
      <c r="K127" s="5">
        <v>1405.79</v>
      </c>
      <c r="L127" s="5">
        <v>0</v>
      </c>
      <c r="M127" s="56">
        <v>0</v>
      </c>
      <c r="N127" s="92">
        <v>8100</v>
      </c>
    </row>
    <row r="128" spans="1:14">
      <c r="A128" s="91" t="s">
        <v>2148</v>
      </c>
      <c r="B128" s="4" t="s">
        <v>2157</v>
      </c>
      <c r="C128" s="5" t="s">
        <v>122</v>
      </c>
      <c r="D128" s="5" t="s">
        <v>123</v>
      </c>
      <c r="E128" s="5" t="s">
        <v>124</v>
      </c>
      <c r="F128" s="56">
        <v>6033.06</v>
      </c>
      <c r="G128" s="56">
        <v>0</v>
      </c>
      <c r="H128" s="5">
        <v>0</v>
      </c>
      <c r="I128" s="5">
        <v>0</v>
      </c>
      <c r="J128" s="5">
        <v>0</v>
      </c>
      <c r="K128" s="5">
        <v>1266.94</v>
      </c>
      <c r="L128" s="5">
        <v>0</v>
      </c>
      <c r="M128" s="56">
        <v>0</v>
      </c>
      <c r="N128" s="92">
        <v>7300</v>
      </c>
    </row>
    <row r="129" spans="1:14">
      <c r="A129" s="91" t="s">
        <v>2148</v>
      </c>
      <c r="B129" s="4" t="s">
        <v>2158</v>
      </c>
      <c r="C129" s="5" t="s">
        <v>122</v>
      </c>
      <c r="D129" s="5" t="s">
        <v>123</v>
      </c>
      <c r="E129" s="5" t="s">
        <v>124</v>
      </c>
      <c r="F129" s="56">
        <v>1983.47</v>
      </c>
      <c r="G129" s="56">
        <v>0</v>
      </c>
      <c r="H129" s="5">
        <v>0</v>
      </c>
      <c r="I129" s="5">
        <v>0</v>
      </c>
      <c r="J129" s="5">
        <v>0</v>
      </c>
      <c r="K129" s="5">
        <v>416.53</v>
      </c>
      <c r="L129" s="5">
        <v>0</v>
      </c>
      <c r="M129" s="56">
        <v>0</v>
      </c>
      <c r="N129" s="92">
        <v>2400</v>
      </c>
    </row>
    <row r="130" spans="1:14">
      <c r="A130" s="91" t="s">
        <v>2148</v>
      </c>
      <c r="B130" s="4" t="s">
        <v>2159</v>
      </c>
      <c r="C130" s="5" t="s">
        <v>122</v>
      </c>
      <c r="D130" s="5" t="s">
        <v>123</v>
      </c>
      <c r="E130" s="5" t="s">
        <v>124</v>
      </c>
      <c r="F130" s="56">
        <v>13553.72</v>
      </c>
      <c r="G130" s="56">
        <v>0</v>
      </c>
      <c r="H130" s="5">
        <v>0</v>
      </c>
      <c r="I130" s="5">
        <v>0</v>
      </c>
      <c r="J130" s="5">
        <v>0</v>
      </c>
      <c r="K130" s="5">
        <v>2846.28</v>
      </c>
      <c r="L130" s="5">
        <v>0</v>
      </c>
      <c r="M130" s="56">
        <v>0</v>
      </c>
      <c r="N130" s="92">
        <v>16400</v>
      </c>
    </row>
    <row r="131" spans="1:14">
      <c r="A131" s="91" t="s">
        <v>2148</v>
      </c>
      <c r="B131" s="4" t="s">
        <v>2160</v>
      </c>
      <c r="C131" s="5" t="s">
        <v>122</v>
      </c>
      <c r="D131" s="5" t="s">
        <v>123</v>
      </c>
      <c r="E131" s="5" t="s">
        <v>124</v>
      </c>
      <c r="F131" s="56">
        <v>6024.79</v>
      </c>
      <c r="G131" s="56">
        <v>0</v>
      </c>
      <c r="H131" s="5">
        <v>0</v>
      </c>
      <c r="I131" s="5">
        <v>0</v>
      </c>
      <c r="J131" s="5">
        <v>0</v>
      </c>
      <c r="K131" s="5">
        <v>1265.21</v>
      </c>
      <c r="L131" s="5">
        <v>0</v>
      </c>
      <c r="M131" s="56">
        <v>0</v>
      </c>
      <c r="N131" s="92">
        <v>7290</v>
      </c>
    </row>
    <row r="132" spans="1:14">
      <c r="A132" s="91" t="s">
        <v>2148</v>
      </c>
      <c r="B132" s="4" t="s">
        <v>2161</v>
      </c>
      <c r="C132" s="5" t="s">
        <v>122</v>
      </c>
      <c r="D132" s="5" t="s">
        <v>123</v>
      </c>
      <c r="E132" s="5" t="s">
        <v>124</v>
      </c>
      <c r="F132" s="56">
        <v>3925.62</v>
      </c>
      <c r="G132" s="56">
        <v>0</v>
      </c>
      <c r="H132" s="5">
        <v>0</v>
      </c>
      <c r="I132" s="5">
        <v>0</v>
      </c>
      <c r="J132" s="5">
        <v>0</v>
      </c>
      <c r="K132" s="5">
        <v>824.38</v>
      </c>
      <c r="L132" s="5">
        <v>0</v>
      </c>
      <c r="M132" s="56">
        <v>0</v>
      </c>
      <c r="N132" s="92">
        <v>4750</v>
      </c>
    </row>
    <row r="133" spans="1:14">
      <c r="A133" s="91" t="s">
        <v>2148</v>
      </c>
      <c r="B133" s="4" t="s">
        <v>2162</v>
      </c>
      <c r="C133" s="5" t="s">
        <v>122</v>
      </c>
      <c r="D133" s="5" t="s">
        <v>123</v>
      </c>
      <c r="E133" s="5" t="s">
        <v>124</v>
      </c>
      <c r="F133" s="56">
        <v>6938.02</v>
      </c>
      <c r="G133" s="56">
        <v>0</v>
      </c>
      <c r="H133" s="5">
        <v>0</v>
      </c>
      <c r="I133" s="5">
        <v>0</v>
      </c>
      <c r="J133" s="5">
        <v>0</v>
      </c>
      <c r="K133" s="5">
        <v>1456.98</v>
      </c>
      <c r="L133" s="5">
        <v>0</v>
      </c>
      <c r="M133" s="56">
        <v>0</v>
      </c>
      <c r="N133" s="92">
        <v>8395</v>
      </c>
    </row>
    <row r="134" spans="1:14">
      <c r="A134" s="91" t="s">
        <v>2148</v>
      </c>
      <c r="B134" s="4" t="s">
        <v>2163</v>
      </c>
      <c r="C134" s="5" t="s">
        <v>122</v>
      </c>
      <c r="D134" s="5" t="s">
        <v>123</v>
      </c>
      <c r="E134" s="5" t="s">
        <v>124</v>
      </c>
      <c r="F134" s="56">
        <v>11570.25</v>
      </c>
      <c r="G134" s="56">
        <v>0</v>
      </c>
      <c r="H134" s="5">
        <v>0</v>
      </c>
      <c r="I134" s="5">
        <v>0</v>
      </c>
      <c r="J134" s="5">
        <v>0</v>
      </c>
      <c r="K134" s="5">
        <v>2429.75</v>
      </c>
      <c r="L134" s="5">
        <v>0</v>
      </c>
      <c r="M134" s="56">
        <v>0</v>
      </c>
      <c r="N134" s="92">
        <v>14000</v>
      </c>
    </row>
    <row r="135" spans="1:14">
      <c r="A135" s="91" t="s">
        <v>2171</v>
      </c>
      <c r="B135" s="4" t="s">
        <v>2172</v>
      </c>
      <c r="C135" s="5" t="s">
        <v>122</v>
      </c>
      <c r="D135" s="5" t="s">
        <v>123</v>
      </c>
      <c r="E135" s="5" t="s">
        <v>124</v>
      </c>
      <c r="F135" s="56">
        <v>2479.34</v>
      </c>
      <c r="G135" s="56">
        <v>0</v>
      </c>
      <c r="H135" s="5">
        <v>0</v>
      </c>
      <c r="I135" s="5">
        <v>0</v>
      </c>
      <c r="J135" s="5">
        <v>0</v>
      </c>
      <c r="K135" s="5">
        <v>520.66</v>
      </c>
      <c r="L135" s="5">
        <v>0</v>
      </c>
      <c r="M135" s="56">
        <v>0</v>
      </c>
      <c r="N135" s="92">
        <v>3000</v>
      </c>
    </row>
    <row r="136" spans="1:14">
      <c r="A136" s="91" t="s">
        <v>2171</v>
      </c>
      <c r="B136" s="4" t="s">
        <v>2173</v>
      </c>
      <c r="C136" s="5" t="s">
        <v>122</v>
      </c>
      <c r="D136" s="5" t="s">
        <v>123</v>
      </c>
      <c r="E136" s="5" t="s">
        <v>124</v>
      </c>
      <c r="F136" s="56">
        <v>1074.3800000000001</v>
      </c>
      <c r="G136" s="56">
        <v>0</v>
      </c>
      <c r="H136" s="5">
        <v>0</v>
      </c>
      <c r="I136" s="5">
        <v>0</v>
      </c>
      <c r="J136" s="5">
        <v>0</v>
      </c>
      <c r="K136" s="5">
        <v>225.62</v>
      </c>
      <c r="L136" s="5">
        <v>0</v>
      </c>
      <c r="M136" s="56">
        <v>0</v>
      </c>
      <c r="N136" s="92">
        <v>1300</v>
      </c>
    </row>
    <row r="137" spans="1:14">
      <c r="A137" s="91" t="s">
        <v>2171</v>
      </c>
      <c r="B137" s="4" t="s">
        <v>2174</v>
      </c>
      <c r="C137" s="5" t="s">
        <v>122</v>
      </c>
      <c r="D137" s="5" t="s">
        <v>123</v>
      </c>
      <c r="E137" s="5" t="s">
        <v>124</v>
      </c>
      <c r="F137" s="56">
        <v>3719.01</v>
      </c>
      <c r="G137" s="56">
        <v>0</v>
      </c>
      <c r="H137" s="5">
        <v>0</v>
      </c>
      <c r="I137" s="5">
        <v>0</v>
      </c>
      <c r="J137" s="5">
        <v>0</v>
      </c>
      <c r="K137" s="5">
        <v>780.99</v>
      </c>
      <c r="L137" s="5">
        <v>0</v>
      </c>
      <c r="M137" s="56">
        <v>0</v>
      </c>
      <c r="N137" s="92">
        <v>4500</v>
      </c>
    </row>
    <row r="138" spans="1:14">
      <c r="A138" s="91" t="s">
        <v>2171</v>
      </c>
      <c r="B138" s="4" t="s">
        <v>2175</v>
      </c>
      <c r="C138" s="5" t="s">
        <v>122</v>
      </c>
      <c r="D138" s="5" t="s">
        <v>123</v>
      </c>
      <c r="E138" s="5" t="s">
        <v>124</v>
      </c>
      <c r="F138" s="56">
        <v>8429.75</v>
      </c>
      <c r="G138" s="56">
        <v>0</v>
      </c>
      <c r="H138" s="5">
        <v>0</v>
      </c>
      <c r="I138" s="5">
        <v>0</v>
      </c>
      <c r="J138" s="5">
        <v>0</v>
      </c>
      <c r="K138" s="5">
        <v>1770.25</v>
      </c>
      <c r="L138" s="5">
        <v>0</v>
      </c>
      <c r="M138" s="56">
        <v>0</v>
      </c>
      <c r="N138" s="92">
        <v>10200</v>
      </c>
    </row>
    <row r="139" spans="1:14">
      <c r="A139" s="91" t="s">
        <v>2171</v>
      </c>
      <c r="B139" s="4" t="s">
        <v>2176</v>
      </c>
      <c r="C139" s="5" t="s">
        <v>122</v>
      </c>
      <c r="D139" s="5" t="s">
        <v>123</v>
      </c>
      <c r="E139" s="5" t="s">
        <v>124</v>
      </c>
      <c r="F139" s="56">
        <v>826.45</v>
      </c>
      <c r="G139" s="56">
        <v>0</v>
      </c>
      <c r="H139" s="5">
        <v>0</v>
      </c>
      <c r="I139" s="5">
        <v>0</v>
      </c>
      <c r="J139" s="5">
        <v>0</v>
      </c>
      <c r="K139" s="5">
        <v>173.55</v>
      </c>
      <c r="L139" s="5">
        <v>0</v>
      </c>
      <c r="M139" s="56">
        <v>0</v>
      </c>
      <c r="N139" s="92">
        <v>1000</v>
      </c>
    </row>
    <row r="140" spans="1:14">
      <c r="A140" s="91" t="s">
        <v>2171</v>
      </c>
      <c r="B140" s="4" t="s">
        <v>2177</v>
      </c>
      <c r="C140" s="5" t="s">
        <v>122</v>
      </c>
      <c r="D140" s="5" t="s">
        <v>123</v>
      </c>
      <c r="E140" s="5" t="s">
        <v>124</v>
      </c>
      <c r="F140" s="56">
        <v>5785.12</v>
      </c>
      <c r="G140" s="56">
        <v>0</v>
      </c>
      <c r="H140" s="5">
        <v>0</v>
      </c>
      <c r="I140" s="5">
        <v>0</v>
      </c>
      <c r="J140" s="5">
        <v>0</v>
      </c>
      <c r="K140" s="5">
        <v>1214.8800000000001</v>
      </c>
      <c r="L140" s="5">
        <v>0</v>
      </c>
      <c r="M140" s="56">
        <v>0</v>
      </c>
      <c r="N140" s="92">
        <v>7000</v>
      </c>
    </row>
    <row r="141" spans="1:14">
      <c r="A141" s="91" t="s">
        <v>2171</v>
      </c>
      <c r="B141" s="4" t="s">
        <v>2178</v>
      </c>
      <c r="C141" s="5" t="s">
        <v>122</v>
      </c>
      <c r="D141" s="5" t="s">
        <v>123</v>
      </c>
      <c r="E141" s="5" t="s">
        <v>124</v>
      </c>
      <c r="F141" s="56">
        <v>6776.86</v>
      </c>
      <c r="G141" s="56">
        <v>0</v>
      </c>
      <c r="H141" s="5">
        <v>0</v>
      </c>
      <c r="I141" s="5">
        <v>0</v>
      </c>
      <c r="J141" s="5">
        <v>0</v>
      </c>
      <c r="K141" s="5">
        <v>1423.14</v>
      </c>
      <c r="L141" s="5">
        <v>0</v>
      </c>
      <c r="M141" s="56">
        <v>0</v>
      </c>
      <c r="N141" s="92">
        <v>8200</v>
      </c>
    </row>
    <row r="142" spans="1:14">
      <c r="A142" s="91" t="s">
        <v>2171</v>
      </c>
      <c r="B142" s="4" t="s">
        <v>2179</v>
      </c>
      <c r="C142" s="5" t="s">
        <v>122</v>
      </c>
      <c r="D142" s="5" t="s">
        <v>123</v>
      </c>
      <c r="E142" s="5" t="s">
        <v>124</v>
      </c>
      <c r="F142" s="56">
        <v>15702.48</v>
      </c>
      <c r="G142" s="56">
        <v>0</v>
      </c>
      <c r="H142" s="5">
        <v>0</v>
      </c>
      <c r="I142" s="5">
        <v>0</v>
      </c>
      <c r="J142" s="5">
        <v>0</v>
      </c>
      <c r="K142" s="5">
        <v>3297.52</v>
      </c>
      <c r="L142" s="5">
        <v>0</v>
      </c>
      <c r="M142" s="56">
        <v>0</v>
      </c>
      <c r="N142" s="92">
        <v>19000</v>
      </c>
    </row>
    <row r="143" spans="1:14">
      <c r="A143" s="91" t="s">
        <v>2171</v>
      </c>
      <c r="B143" s="4" t="s">
        <v>2180</v>
      </c>
      <c r="C143" s="5" t="s">
        <v>122</v>
      </c>
      <c r="D143" s="5" t="s">
        <v>123</v>
      </c>
      <c r="E143" s="5" t="s">
        <v>124</v>
      </c>
      <c r="F143" s="56">
        <v>6033.06</v>
      </c>
      <c r="G143" s="56">
        <v>0</v>
      </c>
      <c r="H143" s="5">
        <v>0</v>
      </c>
      <c r="I143" s="5">
        <v>0</v>
      </c>
      <c r="J143" s="5">
        <v>0</v>
      </c>
      <c r="K143" s="5">
        <v>1266.94</v>
      </c>
      <c r="L143" s="5">
        <v>0</v>
      </c>
      <c r="M143" s="56">
        <v>0</v>
      </c>
      <c r="N143" s="92">
        <v>7300</v>
      </c>
    </row>
    <row r="144" spans="1:14">
      <c r="A144" s="91" t="s">
        <v>2200</v>
      </c>
      <c r="B144" s="4" t="s">
        <v>2201</v>
      </c>
      <c r="C144" s="5" t="s">
        <v>122</v>
      </c>
      <c r="D144" s="5" t="s">
        <v>123</v>
      </c>
      <c r="E144" s="5" t="s">
        <v>124</v>
      </c>
      <c r="F144" s="56">
        <v>3012.4</v>
      </c>
      <c r="G144" s="56">
        <v>0</v>
      </c>
      <c r="H144" s="5">
        <v>0</v>
      </c>
      <c r="I144" s="5">
        <v>0</v>
      </c>
      <c r="J144" s="5">
        <v>0</v>
      </c>
      <c r="K144" s="5">
        <v>632.6</v>
      </c>
      <c r="L144" s="5">
        <v>0</v>
      </c>
      <c r="M144" s="56">
        <v>0</v>
      </c>
      <c r="N144" s="92">
        <v>3645</v>
      </c>
    </row>
    <row r="145" spans="1:14">
      <c r="A145" s="91" t="s">
        <v>2200</v>
      </c>
      <c r="B145" s="4" t="s">
        <v>2202</v>
      </c>
      <c r="C145" s="5" t="s">
        <v>122</v>
      </c>
      <c r="D145" s="5" t="s">
        <v>123</v>
      </c>
      <c r="E145" s="5" t="s">
        <v>124</v>
      </c>
      <c r="F145" s="56">
        <v>6024.79</v>
      </c>
      <c r="G145" s="56">
        <v>0</v>
      </c>
      <c r="H145" s="5">
        <v>0</v>
      </c>
      <c r="I145" s="5">
        <v>0</v>
      </c>
      <c r="J145" s="5">
        <v>0</v>
      </c>
      <c r="K145" s="5">
        <v>1265.21</v>
      </c>
      <c r="L145" s="5">
        <v>0</v>
      </c>
      <c r="M145" s="56">
        <v>0</v>
      </c>
      <c r="N145" s="92">
        <v>7290</v>
      </c>
    </row>
    <row r="146" spans="1:14">
      <c r="A146" s="91" t="s">
        <v>2200</v>
      </c>
      <c r="B146" s="4" t="s">
        <v>2203</v>
      </c>
      <c r="C146" s="5" t="s">
        <v>122</v>
      </c>
      <c r="D146" s="5" t="s">
        <v>123</v>
      </c>
      <c r="E146" s="5" t="s">
        <v>124</v>
      </c>
      <c r="F146" s="56">
        <v>11157.02</v>
      </c>
      <c r="G146" s="56">
        <v>0</v>
      </c>
      <c r="H146" s="5">
        <v>0</v>
      </c>
      <c r="I146" s="5">
        <v>0</v>
      </c>
      <c r="J146" s="5">
        <v>0</v>
      </c>
      <c r="K146" s="5">
        <v>2342.98</v>
      </c>
      <c r="L146" s="5">
        <v>0</v>
      </c>
      <c r="M146" s="56">
        <v>0</v>
      </c>
      <c r="N146" s="92">
        <v>13500</v>
      </c>
    </row>
    <row r="147" spans="1:14">
      <c r="A147" s="91" t="s">
        <v>2200</v>
      </c>
      <c r="B147" s="4" t="s">
        <v>2204</v>
      </c>
      <c r="C147" s="5" t="s">
        <v>122</v>
      </c>
      <c r="D147" s="5" t="s">
        <v>123</v>
      </c>
      <c r="E147" s="5" t="s">
        <v>124</v>
      </c>
      <c r="F147" s="56">
        <v>6938.02</v>
      </c>
      <c r="G147" s="56">
        <v>0</v>
      </c>
      <c r="H147" s="5">
        <v>0</v>
      </c>
      <c r="I147" s="5">
        <v>0</v>
      </c>
      <c r="J147" s="5">
        <v>0</v>
      </c>
      <c r="K147" s="5">
        <v>1456.98</v>
      </c>
      <c r="L147" s="5">
        <v>0</v>
      </c>
      <c r="M147" s="56">
        <v>0</v>
      </c>
      <c r="N147" s="92">
        <v>8395</v>
      </c>
    </row>
    <row r="148" spans="1:14">
      <c r="A148" s="91" t="s">
        <v>2200</v>
      </c>
      <c r="B148" s="4" t="s">
        <v>2205</v>
      </c>
      <c r="C148" s="5" t="s">
        <v>122</v>
      </c>
      <c r="D148" s="5" t="s">
        <v>123</v>
      </c>
      <c r="E148" s="5" t="s">
        <v>124</v>
      </c>
      <c r="F148" s="56">
        <v>1652.89</v>
      </c>
      <c r="G148" s="56">
        <v>0</v>
      </c>
      <c r="H148" s="5">
        <v>0</v>
      </c>
      <c r="I148" s="5">
        <v>0</v>
      </c>
      <c r="J148" s="5">
        <v>0</v>
      </c>
      <c r="K148" s="5">
        <v>347.11</v>
      </c>
      <c r="L148" s="5">
        <v>0</v>
      </c>
      <c r="M148" s="56">
        <v>0</v>
      </c>
      <c r="N148" s="92">
        <v>2000</v>
      </c>
    </row>
    <row r="149" spans="1:14">
      <c r="A149" s="91" t="s">
        <v>2200</v>
      </c>
      <c r="B149" s="4" t="s">
        <v>2206</v>
      </c>
      <c r="C149" s="5" t="s">
        <v>122</v>
      </c>
      <c r="D149" s="5" t="s">
        <v>123</v>
      </c>
      <c r="E149" s="5" t="s">
        <v>124</v>
      </c>
      <c r="F149" s="56">
        <v>6280.99</v>
      </c>
      <c r="G149" s="56">
        <v>0</v>
      </c>
      <c r="H149" s="5">
        <v>0</v>
      </c>
      <c r="I149" s="5">
        <v>0</v>
      </c>
      <c r="J149" s="5">
        <v>0</v>
      </c>
      <c r="K149" s="5">
        <v>1319.01</v>
      </c>
      <c r="L149" s="5">
        <v>0</v>
      </c>
      <c r="M149" s="56">
        <v>0</v>
      </c>
      <c r="N149" s="92">
        <v>7600</v>
      </c>
    </row>
    <row r="150" spans="1:14">
      <c r="A150" s="91" t="s">
        <v>2200</v>
      </c>
      <c r="B150" s="4" t="s">
        <v>2207</v>
      </c>
      <c r="C150" s="5" t="s">
        <v>122</v>
      </c>
      <c r="D150" s="5" t="s">
        <v>123</v>
      </c>
      <c r="E150" s="5" t="s">
        <v>124</v>
      </c>
      <c r="F150" s="56">
        <v>7851.24</v>
      </c>
      <c r="G150" s="56">
        <v>0</v>
      </c>
      <c r="H150" s="5">
        <v>0</v>
      </c>
      <c r="I150" s="5">
        <v>0</v>
      </c>
      <c r="J150" s="5">
        <v>0</v>
      </c>
      <c r="K150" s="5">
        <v>1648.76</v>
      </c>
      <c r="L150" s="5">
        <v>0</v>
      </c>
      <c r="M150" s="56">
        <v>0</v>
      </c>
      <c r="N150" s="92">
        <v>9500</v>
      </c>
    </row>
    <row r="151" spans="1:14">
      <c r="A151" s="91" t="s">
        <v>2200</v>
      </c>
      <c r="B151" s="4" t="s">
        <v>2208</v>
      </c>
      <c r="C151" s="5" t="s">
        <v>122</v>
      </c>
      <c r="D151" s="5" t="s">
        <v>123</v>
      </c>
      <c r="E151" s="5" t="s">
        <v>124</v>
      </c>
      <c r="F151" s="56">
        <v>4297.5200000000004</v>
      </c>
      <c r="G151" s="56">
        <v>0</v>
      </c>
      <c r="H151" s="5">
        <v>0</v>
      </c>
      <c r="I151" s="5">
        <v>0</v>
      </c>
      <c r="J151" s="5">
        <v>0</v>
      </c>
      <c r="K151" s="5">
        <v>902.48</v>
      </c>
      <c r="L151" s="5">
        <v>0</v>
      </c>
      <c r="M151" s="56">
        <v>0</v>
      </c>
      <c r="N151" s="92">
        <v>5200</v>
      </c>
    </row>
    <row r="152" spans="1:14">
      <c r="A152" s="91" t="s">
        <v>2200</v>
      </c>
      <c r="B152" s="4" t="s">
        <v>2209</v>
      </c>
      <c r="C152" s="5" t="s">
        <v>122</v>
      </c>
      <c r="D152" s="5" t="s">
        <v>123</v>
      </c>
      <c r="E152" s="5" t="s">
        <v>124</v>
      </c>
      <c r="F152" s="56">
        <v>4958.68</v>
      </c>
      <c r="G152" s="56">
        <v>0</v>
      </c>
      <c r="H152" s="5">
        <v>0</v>
      </c>
      <c r="I152" s="5">
        <v>0</v>
      </c>
      <c r="J152" s="5">
        <v>0</v>
      </c>
      <c r="K152" s="5">
        <v>1041.32</v>
      </c>
      <c r="L152" s="5">
        <v>0</v>
      </c>
      <c r="M152" s="56">
        <v>0</v>
      </c>
      <c r="N152" s="92">
        <v>6000</v>
      </c>
    </row>
    <row r="153" spans="1:14">
      <c r="A153" s="91" t="s">
        <v>2225</v>
      </c>
      <c r="B153" s="4" t="s">
        <v>2227</v>
      </c>
      <c r="C153" s="5" t="s">
        <v>122</v>
      </c>
      <c r="D153" s="5" t="s">
        <v>123</v>
      </c>
      <c r="E153" s="5" t="s">
        <v>124</v>
      </c>
      <c r="F153" s="56">
        <v>7851.24</v>
      </c>
      <c r="G153" s="56">
        <v>0</v>
      </c>
      <c r="H153" s="5">
        <v>0</v>
      </c>
      <c r="I153" s="5">
        <v>0</v>
      </c>
      <c r="J153" s="5">
        <v>0</v>
      </c>
      <c r="K153" s="5">
        <v>1648.76</v>
      </c>
      <c r="L153" s="5">
        <v>0</v>
      </c>
      <c r="M153" s="56">
        <v>0</v>
      </c>
      <c r="N153" s="92">
        <v>9500</v>
      </c>
    </row>
    <row r="154" spans="1:14">
      <c r="A154" s="91" t="s">
        <v>2225</v>
      </c>
      <c r="B154" s="4" t="s">
        <v>2228</v>
      </c>
      <c r="C154" s="5" t="s">
        <v>122</v>
      </c>
      <c r="D154" s="5" t="s">
        <v>123</v>
      </c>
      <c r="E154" s="5" t="s">
        <v>124</v>
      </c>
      <c r="F154" s="56">
        <v>2727.27</v>
      </c>
      <c r="G154" s="56">
        <v>0</v>
      </c>
      <c r="H154" s="5">
        <v>0</v>
      </c>
      <c r="I154" s="5">
        <v>0</v>
      </c>
      <c r="J154" s="5">
        <v>0</v>
      </c>
      <c r="K154" s="5">
        <v>572.73</v>
      </c>
      <c r="L154" s="5">
        <v>0</v>
      </c>
      <c r="M154" s="56">
        <v>0</v>
      </c>
      <c r="N154" s="92">
        <v>3300</v>
      </c>
    </row>
    <row r="155" spans="1:14">
      <c r="A155" s="91" t="s">
        <v>2225</v>
      </c>
      <c r="B155" s="4" t="s">
        <v>2229</v>
      </c>
      <c r="C155" s="5" t="s">
        <v>122</v>
      </c>
      <c r="D155" s="5" t="s">
        <v>123</v>
      </c>
      <c r="E155" s="5" t="s">
        <v>124</v>
      </c>
      <c r="F155" s="56">
        <v>5454.55</v>
      </c>
      <c r="G155" s="56">
        <v>0</v>
      </c>
      <c r="H155" s="5">
        <v>0</v>
      </c>
      <c r="I155" s="5">
        <v>0</v>
      </c>
      <c r="J155" s="5">
        <v>0</v>
      </c>
      <c r="K155" s="5">
        <v>1145.45</v>
      </c>
      <c r="L155" s="5">
        <v>0</v>
      </c>
      <c r="M155" s="56">
        <v>0</v>
      </c>
      <c r="N155" s="92">
        <v>6600</v>
      </c>
    </row>
    <row r="156" spans="1:14">
      <c r="A156" s="91" t="s">
        <v>2225</v>
      </c>
      <c r="B156" s="4" t="s">
        <v>2230</v>
      </c>
      <c r="C156" s="5" t="s">
        <v>122</v>
      </c>
      <c r="D156" s="5" t="s">
        <v>123</v>
      </c>
      <c r="E156" s="5" t="s">
        <v>124</v>
      </c>
      <c r="F156" s="56">
        <v>7024.79</v>
      </c>
      <c r="G156" s="56">
        <v>0</v>
      </c>
      <c r="H156" s="5">
        <v>0</v>
      </c>
      <c r="I156" s="5">
        <v>0</v>
      </c>
      <c r="J156" s="5">
        <v>0</v>
      </c>
      <c r="K156" s="5">
        <v>1475.21</v>
      </c>
      <c r="L156" s="5">
        <v>0</v>
      </c>
      <c r="M156" s="56">
        <v>0</v>
      </c>
      <c r="N156" s="92">
        <v>8500</v>
      </c>
    </row>
    <row r="157" spans="1:14">
      <c r="A157" s="91" t="s">
        <v>2225</v>
      </c>
      <c r="B157" s="4" t="s">
        <v>2231</v>
      </c>
      <c r="C157" s="5" t="s">
        <v>122</v>
      </c>
      <c r="D157" s="5" t="s">
        <v>123</v>
      </c>
      <c r="E157" s="5" t="s">
        <v>124</v>
      </c>
      <c r="F157" s="56">
        <v>3925.62</v>
      </c>
      <c r="G157" s="56">
        <v>0</v>
      </c>
      <c r="H157" s="5">
        <v>0</v>
      </c>
      <c r="I157" s="5">
        <v>0</v>
      </c>
      <c r="J157" s="5">
        <v>0</v>
      </c>
      <c r="K157" s="5">
        <v>824.38</v>
      </c>
      <c r="L157" s="5">
        <v>0</v>
      </c>
      <c r="M157" s="56">
        <v>0</v>
      </c>
      <c r="N157" s="92">
        <v>4750</v>
      </c>
    </row>
    <row r="158" spans="1:14">
      <c r="A158" s="91" t="s">
        <v>2225</v>
      </c>
      <c r="B158" s="4" t="s">
        <v>2232</v>
      </c>
      <c r="C158" s="5" t="s">
        <v>122</v>
      </c>
      <c r="D158" s="5" t="s">
        <v>123</v>
      </c>
      <c r="E158" s="5" t="s">
        <v>124</v>
      </c>
      <c r="F158" s="56">
        <v>10413.219999999999</v>
      </c>
      <c r="G158" s="56">
        <v>0</v>
      </c>
      <c r="H158" s="5">
        <v>0</v>
      </c>
      <c r="I158" s="5">
        <v>0</v>
      </c>
      <c r="J158" s="5">
        <v>0</v>
      </c>
      <c r="K158" s="5">
        <v>2186.7800000000002</v>
      </c>
      <c r="L158" s="5">
        <v>0</v>
      </c>
      <c r="M158" s="56">
        <v>0</v>
      </c>
      <c r="N158" s="92">
        <v>12600</v>
      </c>
    </row>
    <row r="159" spans="1:14">
      <c r="A159" s="91" t="s">
        <v>2225</v>
      </c>
      <c r="B159" s="4" t="s">
        <v>2233</v>
      </c>
      <c r="C159" s="5" t="s">
        <v>122</v>
      </c>
      <c r="D159" s="5" t="s">
        <v>123</v>
      </c>
      <c r="E159" s="5" t="s">
        <v>124</v>
      </c>
      <c r="F159" s="56">
        <v>3012.4</v>
      </c>
      <c r="G159" s="56">
        <v>0</v>
      </c>
      <c r="H159" s="5">
        <v>0</v>
      </c>
      <c r="I159" s="5">
        <v>0</v>
      </c>
      <c r="J159" s="5">
        <v>0</v>
      </c>
      <c r="K159" s="5">
        <v>632.6</v>
      </c>
      <c r="L159" s="5">
        <v>0</v>
      </c>
      <c r="M159" s="56">
        <v>0</v>
      </c>
      <c r="N159" s="92">
        <v>3645</v>
      </c>
    </row>
    <row r="160" spans="1:14">
      <c r="A160" s="91" t="s">
        <v>2225</v>
      </c>
      <c r="B160" s="4" t="s">
        <v>2234</v>
      </c>
      <c r="C160" s="5" t="s">
        <v>122</v>
      </c>
      <c r="D160" s="5" t="s">
        <v>123</v>
      </c>
      <c r="E160" s="5" t="s">
        <v>124</v>
      </c>
      <c r="F160" s="56">
        <v>9504.130000000001</v>
      </c>
      <c r="G160" s="56">
        <v>0</v>
      </c>
      <c r="H160" s="5">
        <v>0</v>
      </c>
      <c r="I160" s="5">
        <v>0</v>
      </c>
      <c r="J160" s="5">
        <v>0</v>
      </c>
      <c r="K160" s="5">
        <v>1995.87</v>
      </c>
      <c r="L160" s="5">
        <v>0</v>
      </c>
      <c r="M160" s="56">
        <v>0</v>
      </c>
      <c r="N160" s="92">
        <v>11500</v>
      </c>
    </row>
    <row r="161" spans="1:14">
      <c r="A161" s="91" t="s">
        <v>2225</v>
      </c>
      <c r="B161" s="4" t="s">
        <v>2235</v>
      </c>
      <c r="C161" s="5" t="s">
        <v>122</v>
      </c>
      <c r="D161" s="5" t="s">
        <v>123</v>
      </c>
      <c r="E161" s="5" t="s">
        <v>124</v>
      </c>
      <c r="F161" s="56">
        <v>1322.31</v>
      </c>
      <c r="G161" s="56">
        <v>0</v>
      </c>
      <c r="H161" s="5">
        <v>0</v>
      </c>
      <c r="I161" s="5">
        <v>0</v>
      </c>
      <c r="J161" s="5">
        <v>0</v>
      </c>
      <c r="K161" s="5">
        <v>277.69</v>
      </c>
      <c r="L161" s="5">
        <v>0</v>
      </c>
      <c r="M161" s="56">
        <v>0</v>
      </c>
      <c r="N161" s="92">
        <v>1600</v>
      </c>
    </row>
    <row r="162" spans="1:14">
      <c r="A162" s="91" t="s">
        <v>2245</v>
      </c>
      <c r="B162" s="4" t="s">
        <v>2248</v>
      </c>
      <c r="C162" s="5" t="s">
        <v>122</v>
      </c>
      <c r="D162" s="5" t="s">
        <v>123</v>
      </c>
      <c r="E162" s="5" t="s">
        <v>124</v>
      </c>
      <c r="F162" s="56">
        <v>15619.83</v>
      </c>
      <c r="G162" s="56">
        <v>0</v>
      </c>
      <c r="H162" s="5">
        <v>0</v>
      </c>
      <c r="I162" s="5">
        <v>0</v>
      </c>
      <c r="J162" s="5">
        <v>0</v>
      </c>
      <c r="K162" s="5">
        <v>3280.17</v>
      </c>
      <c r="L162" s="5">
        <v>0</v>
      </c>
      <c r="M162" s="56">
        <v>0</v>
      </c>
      <c r="N162" s="92">
        <v>18900</v>
      </c>
    </row>
    <row r="163" spans="1:14">
      <c r="A163" s="91" t="s">
        <v>2245</v>
      </c>
      <c r="B163" s="4" t="s">
        <v>2249</v>
      </c>
      <c r="C163" s="5" t="s">
        <v>122</v>
      </c>
      <c r="D163" s="5" t="s">
        <v>123</v>
      </c>
      <c r="E163" s="5" t="s">
        <v>124</v>
      </c>
      <c r="F163" s="56">
        <v>4132.2300000000005</v>
      </c>
      <c r="G163" s="56">
        <v>0</v>
      </c>
      <c r="H163" s="5">
        <v>0</v>
      </c>
      <c r="I163" s="5">
        <v>0</v>
      </c>
      <c r="J163" s="5">
        <v>0</v>
      </c>
      <c r="K163" s="5">
        <v>867.77</v>
      </c>
      <c r="L163" s="5">
        <v>0</v>
      </c>
      <c r="M163" s="56">
        <v>0</v>
      </c>
      <c r="N163" s="92">
        <v>5000</v>
      </c>
    </row>
    <row r="164" spans="1:14">
      <c r="A164" s="91" t="s">
        <v>2245</v>
      </c>
      <c r="B164" s="4" t="s">
        <v>2250</v>
      </c>
      <c r="C164" s="5" t="s">
        <v>122</v>
      </c>
      <c r="D164" s="5" t="s">
        <v>123</v>
      </c>
      <c r="E164" s="5" t="s">
        <v>124</v>
      </c>
      <c r="F164" s="56">
        <v>7809.92</v>
      </c>
      <c r="G164" s="56">
        <v>0</v>
      </c>
      <c r="H164" s="5">
        <v>0</v>
      </c>
      <c r="I164" s="5">
        <v>0</v>
      </c>
      <c r="J164" s="5">
        <v>0</v>
      </c>
      <c r="K164" s="5">
        <v>1640.08</v>
      </c>
      <c r="L164" s="5">
        <v>0</v>
      </c>
      <c r="M164" s="56">
        <v>0</v>
      </c>
      <c r="N164" s="92">
        <v>9450</v>
      </c>
    </row>
    <row r="165" spans="1:14">
      <c r="A165" s="91" t="s">
        <v>2245</v>
      </c>
      <c r="B165" s="4" t="s">
        <v>2251</v>
      </c>
      <c r="C165" s="5" t="s">
        <v>122</v>
      </c>
      <c r="D165" s="5" t="s">
        <v>123</v>
      </c>
      <c r="E165" s="5" t="s">
        <v>124</v>
      </c>
      <c r="F165" s="56">
        <v>12603.31</v>
      </c>
      <c r="G165" s="56">
        <v>0</v>
      </c>
      <c r="H165" s="5">
        <v>0</v>
      </c>
      <c r="I165" s="5">
        <v>0</v>
      </c>
      <c r="J165" s="5">
        <v>0</v>
      </c>
      <c r="K165" s="5">
        <v>2646.69</v>
      </c>
      <c r="L165" s="5">
        <v>0</v>
      </c>
      <c r="M165" s="56">
        <v>0</v>
      </c>
      <c r="N165" s="92">
        <v>15250</v>
      </c>
    </row>
    <row r="166" spans="1:14">
      <c r="A166" s="91" t="s">
        <v>2245</v>
      </c>
      <c r="B166" s="4" t="s">
        <v>2252</v>
      </c>
      <c r="C166" s="5" t="s">
        <v>122</v>
      </c>
      <c r="D166" s="5" t="s">
        <v>123</v>
      </c>
      <c r="E166" s="5" t="s">
        <v>124</v>
      </c>
      <c r="F166" s="56">
        <v>6776.86</v>
      </c>
      <c r="G166" s="56">
        <v>0</v>
      </c>
      <c r="H166" s="5">
        <v>0</v>
      </c>
      <c r="I166" s="5">
        <v>0</v>
      </c>
      <c r="J166" s="5">
        <v>0</v>
      </c>
      <c r="K166" s="5">
        <v>1423.14</v>
      </c>
      <c r="L166" s="5">
        <v>0</v>
      </c>
      <c r="M166" s="56">
        <v>0</v>
      </c>
      <c r="N166" s="92">
        <v>8200</v>
      </c>
    </row>
    <row r="167" spans="1:14">
      <c r="A167" s="91" t="s">
        <v>2245</v>
      </c>
      <c r="B167" s="4" t="s">
        <v>2253</v>
      </c>
      <c r="C167" s="5" t="s">
        <v>122</v>
      </c>
      <c r="D167" s="5" t="s">
        <v>123</v>
      </c>
      <c r="E167" s="5" t="s">
        <v>124</v>
      </c>
      <c r="F167" s="56">
        <v>17355.37</v>
      </c>
      <c r="G167" s="56">
        <v>0</v>
      </c>
      <c r="H167" s="5">
        <v>0</v>
      </c>
      <c r="I167" s="5">
        <v>0</v>
      </c>
      <c r="J167" s="5">
        <v>0</v>
      </c>
      <c r="K167" s="5">
        <v>3644.63</v>
      </c>
      <c r="L167" s="5">
        <v>0</v>
      </c>
      <c r="M167" s="56">
        <v>0</v>
      </c>
      <c r="N167" s="92">
        <v>21000</v>
      </c>
    </row>
    <row r="168" spans="1:14">
      <c r="A168" s="91" t="s">
        <v>2245</v>
      </c>
      <c r="B168" s="4" t="s">
        <v>2254</v>
      </c>
      <c r="C168" s="5" t="s">
        <v>122</v>
      </c>
      <c r="D168" s="5" t="s">
        <v>123</v>
      </c>
      <c r="E168" s="5" t="s">
        <v>124</v>
      </c>
      <c r="F168" s="56">
        <v>12644.63</v>
      </c>
      <c r="G168" s="56">
        <v>0</v>
      </c>
      <c r="H168" s="5">
        <v>0</v>
      </c>
      <c r="I168" s="5">
        <v>0</v>
      </c>
      <c r="J168" s="5">
        <v>0</v>
      </c>
      <c r="K168" s="5">
        <v>2655.37</v>
      </c>
      <c r="L168" s="5">
        <v>0</v>
      </c>
      <c r="M168" s="56">
        <v>0</v>
      </c>
      <c r="N168" s="92">
        <v>15300</v>
      </c>
    </row>
    <row r="169" spans="1:14">
      <c r="A169" s="91" t="s">
        <v>2245</v>
      </c>
      <c r="B169" s="4" t="s">
        <v>2255</v>
      </c>
      <c r="C169" s="5" t="s">
        <v>122</v>
      </c>
      <c r="D169" s="5" t="s">
        <v>123</v>
      </c>
      <c r="E169" s="5" t="s">
        <v>124</v>
      </c>
      <c r="F169" s="56">
        <v>10289.26</v>
      </c>
      <c r="G169" s="56">
        <v>0</v>
      </c>
      <c r="H169" s="5">
        <v>0</v>
      </c>
      <c r="I169" s="5">
        <v>0</v>
      </c>
      <c r="J169" s="5">
        <v>0</v>
      </c>
      <c r="K169" s="5">
        <v>2160.7400000000002</v>
      </c>
      <c r="L169" s="5">
        <v>0</v>
      </c>
      <c r="M169" s="56">
        <v>0</v>
      </c>
      <c r="N169" s="92">
        <v>12450</v>
      </c>
    </row>
    <row r="170" spans="1:14">
      <c r="A170" s="91" t="s">
        <v>2245</v>
      </c>
      <c r="B170" s="4" t="s">
        <v>2256</v>
      </c>
      <c r="C170" s="5" t="s">
        <v>122</v>
      </c>
      <c r="D170" s="5" t="s">
        <v>123</v>
      </c>
      <c r="E170" s="5" t="s">
        <v>124</v>
      </c>
      <c r="F170" s="56">
        <v>7851.24</v>
      </c>
      <c r="G170" s="56">
        <v>0</v>
      </c>
      <c r="H170" s="5">
        <v>0</v>
      </c>
      <c r="I170" s="5">
        <v>0</v>
      </c>
      <c r="J170" s="5">
        <v>0</v>
      </c>
      <c r="K170" s="5">
        <v>1648.76</v>
      </c>
      <c r="L170" s="5">
        <v>0</v>
      </c>
      <c r="M170" s="56">
        <v>0</v>
      </c>
      <c r="N170" s="92">
        <v>9500</v>
      </c>
    </row>
    <row r="171" spans="1:14">
      <c r="A171" s="91" t="s">
        <v>2245</v>
      </c>
      <c r="B171" s="4" t="s">
        <v>2257</v>
      </c>
      <c r="C171" s="5" t="s">
        <v>122</v>
      </c>
      <c r="D171" s="5" t="s">
        <v>123</v>
      </c>
      <c r="E171" s="5" t="s">
        <v>124</v>
      </c>
      <c r="F171" s="56">
        <v>4132.2300000000005</v>
      </c>
      <c r="G171" s="56">
        <v>0</v>
      </c>
      <c r="H171" s="5">
        <v>0</v>
      </c>
      <c r="I171" s="5">
        <v>0</v>
      </c>
      <c r="J171" s="5">
        <v>0</v>
      </c>
      <c r="K171" s="5">
        <v>867.77</v>
      </c>
      <c r="L171" s="5">
        <v>0</v>
      </c>
      <c r="M171" s="56">
        <v>0</v>
      </c>
      <c r="N171" s="92">
        <v>5000</v>
      </c>
    </row>
    <row r="172" spans="1:14">
      <c r="A172" s="91" t="s">
        <v>2245</v>
      </c>
      <c r="B172" s="4" t="s">
        <v>2258</v>
      </c>
      <c r="C172" s="5" t="s">
        <v>122</v>
      </c>
      <c r="D172" s="5" t="s">
        <v>123</v>
      </c>
      <c r="E172" s="5" t="s">
        <v>124</v>
      </c>
      <c r="F172" s="56">
        <v>4132.2300000000005</v>
      </c>
      <c r="G172" s="56">
        <v>0</v>
      </c>
      <c r="H172" s="5">
        <v>0</v>
      </c>
      <c r="I172" s="5">
        <v>0</v>
      </c>
      <c r="J172" s="5">
        <v>0</v>
      </c>
      <c r="K172" s="5">
        <v>867.77</v>
      </c>
      <c r="L172" s="5">
        <v>0</v>
      </c>
      <c r="M172" s="56">
        <v>0</v>
      </c>
      <c r="N172" s="92">
        <v>5000</v>
      </c>
    </row>
    <row r="173" spans="1:14">
      <c r="A173" s="91" t="s">
        <v>2245</v>
      </c>
      <c r="B173" s="4" t="s">
        <v>2259</v>
      </c>
      <c r="C173" s="5" t="s">
        <v>122</v>
      </c>
      <c r="D173" s="5" t="s">
        <v>123</v>
      </c>
      <c r="E173" s="5" t="s">
        <v>124</v>
      </c>
      <c r="F173" s="56">
        <v>6033.06</v>
      </c>
      <c r="G173" s="56">
        <v>0</v>
      </c>
      <c r="H173" s="5">
        <v>0</v>
      </c>
      <c r="I173" s="5">
        <v>0</v>
      </c>
      <c r="J173" s="5">
        <v>0</v>
      </c>
      <c r="K173" s="5">
        <v>1266.94</v>
      </c>
      <c r="L173" s="5">
        <v>0</v>
      </c>
      <c r="M173" s="56">
        <v>0</v>
      </c>
      <c r="N173" s="92">
        <v>7300</v>
      </c>
    </row>
    <row r="174" spans="1:14">
      <c r="A174" s="91" t="s">
        <v>2264</v>
      </c>
      <c r="B174" s="4" t="s">
        <v>2265</v>
      </c>
      <c r="C174" s="5" t="s">
        <v>122</v>
      </c>
      <c r="D174" s="5" t="s">
        <v>123</v>
      </c>
      <c r="E174" s="5" t="s">
        <v>124</v>
      </c>
      <c r="F174" s="56">
        <v>1983.47</v>
      </c>
      <c r="G174" s="56">
        <v>0</v>
      </c>
      <c r="H174" s="5">
        <v>0</v>
      </c>
      <c r="I174" s="5">
        <v>0</v>
      </c>
      <c r="J174" s="5">
        <v>0</v>
      </c>
      <c r="K174" s="5">
        <v>416.53</v>
      </c>
      <c r="L174" s="5">
        <v>0</v>
      </c>
      <c r="M174" s="56">
        <v>0</v>
      </c>
      <c r="N174" s="92">
        <v>2400</v>
      </c>
    </row>
    <row r="175" spans="1:14">
      <c r="A175" s="91" t="s">
        <v>2264</v>
      </c>
      <c r="B175" s="4" t="s">
        <v>2266</v>
      </c>
      <c r="C175" s="5" t="s">
        <v>122</v>
      </c>
      <c r="D175" s="5" t="s">
        <v>123</v>
      </c>
      <c r="E175" s="5" t="s">
        <v>124</v>
      </c>
      <c r="F175" s="56">
        <v>4462.8100000000004</v>
      </c>
      <c r="G175" s="56">
        <v>0</v>
      </c>
      <c r="H175" s="5">
        <v>0</v>
      </c>
      <c r="I175" s="5">
        <v>0</v>
      </c>
      <c r="J175" s="5">
        <v>0</v>
      </c>
      <c r="K175" s="5">
        <v>937.19</v>
      </c>
      <c r="L175" s="5">
        <v>0</v>
      </c>
      <c r="M175" s="56">
        <v>0</v>
      </c>
      <c r="N175" s="92">
        <v>5400</v>
      </c>
    </row>
    <row r="176" spans="1:14">
      <c r="A176" s="91" t="s">
        <v>2264</v>
      </c>
      <c r="B176" s="4" t="s">
        <v>2267</v>
      </c>
      <c r="C176" s="5" t="s">
        <v>122</v>
      </c>
      <c r="D176" s="5" t="s">
        <v>123</v>
      </c>
      <c r="E176" s="5" t="s">
        <v>124</v>
      </c>
      <c r="F176" s="56">
        <v>2809.92</v>
      </c>
      <c r="G176" s="56">
        <v>0</v>
      </c>
      <c r="H176" s="5">
        <v>0</v>
      </c>
      <c r="I176" s="5">
        <v>0</v>
      </c>
      <c r="J176" s="5">
        <v>0</v>
      </c>
      <c r="K176" s="5">
        <v>590.08000000000004</v>
      </c>
      <c r="L176" s="5">
        <v>0</v>
      </c>
      <c r="M176" s="56">
        <v>0</v>
      </c>
      <c r="N176" s="92">
        <v>3400</v>
      </c>
    </row>
    <row r="177" spans="1:14">
      <c r="A177" s="91" t="s">
        <v>2264</v>
      </c>
      <c r="B177" s="4" t="s">
        <v>2268</v>
      </c>
      <c r="C177" s="5" t="s">
        <v>122</v>
      </c>
      <c r="D177" s="5" t="s">
        <v>123</v>
      </c>
      <c r="E177" s="5" t="s">
        <v>124</v>
      </c>
      <c r="F177" s="56">
        <v>7520.66</v>
      </c>
      <c r="G177" s="56">
        <v>0</v>
      </c>
      <c r="H177" s="5">
        <v>0</v>
      </c>
      <c r="I177" s="5">
        <v>0</v>
      </c>
      <c r="J177" s="5">
        <v>0</v>
      </c>
      <c r="K177" s="5">
        <v>1579.34</v>
      </c>
      <c r="L177" s="5">
        <v>0</v>
      </c>
      <c r="M177" s="56">
        <v>0</v>
      </c>
      <c r="N177" s="92">
        <v>9100</v>
      </c>
    </row>
    <row r="178" spans="1:14">
      <c r="A178" s="91" t="s">
        <v>2264</v>
      </c>
      <c r="B178" s="4" t="s">
        <v>2269</v>
      </c>
      <c r="C178" s="5" t="s">
        <v>122</v>
      </c>
      <c r="D178" s="5" t="s">
        <v>123</v>
      </c>
      <c r="E178" s="5" t="s">
        <v>124</v>
      </c>
      <c r="F178" s="56">
        <v>10710.74</v>
      </c>
      <c r="G178" s="56">
        <v>0</v>
      </c>
      <c r="H178" s="5">
        <v>0</v>
      </c>
      <c r="I178" s="5">
        <v>0</v>
      </c>
      <c r="J178" s="5">
        <v>0</v>
      </c>
      <c r="K178" s="5">
        <v>2249.2600000000002</v>
      </c>
      <c r="L178" s="5">
        <v>0</v>
      </c>
      <c r="M178" s="56">
        <v>0</v>
      </c>
      <c r="N178" s="92">
        <v>12960</v>
      </c>
    </row>
    <row r="179" spans="1:14">
      <c r="A179" s="91" t="s">
        <v>2264</v>
      </c>
      <c r="B179" s="4" t="s">
        <v>2270</v>
      </c>
      <c r="C179" s="5" t="s">
        <v>122</v>
      </c>
      <c r="D179" s="5" t="s">
        <v>123</v>
      </c>
      <c r="E179" s="5" t="s">
        <v>124</v>
      </c>
      <c r="F179" s="56">
        <v>12479.34</v>
      </c>
      <c r="G179" s="56">
        <v>0</v>
      </c>
      <c r="H179" s="5">
        <v>0</v>
      </c>
      <c r="I179" s="5">
        <v>0</v>
      </c>
      <c r="J179" s="5">
        <v>0</v>
      </c>
      <c r="K179" s="5">
        <v>2620.66</v>
      </c>
      <c r="L179" s="5">
        <v>0</v>
      </c>
      <c r="M179" s="56">
        <v>0</v>
      </c>
      <c r="N179" s="92">
        <v>15100</v>
      </c>
    </row>
    <row r="180" spans="1:14">
      <c r="A180" s="91" t="s">
        <v>2264</v>
      </c>
      <c r="B180" s="4" t="s">
        <v>2271</v>
      </c>
      <c r="C180" s="5" t="s">
        <v>122</v>
      </c>
      <c r="D180" s="5" t="s">
        <v>123</v>
      </c>
      <c r="E180" s="5" t="s">
        <v>124</v>
      </c>
      <c r="F180" s="56">
        <v>4958.68</v>
      </c>
      <c r="G180" s="56">
        <v>0</v>
      </c>
      <c r="H180" s="5">
        <v>0</v>
      </c>
      <c r="I180" s="5">
        <v>0</v>
      </c>
      <c r="J180" s="5">
        <v>0</v>
      </c>
      <c r="K180" s="5">
        <v>1041.32</v>
      </c>
      <c r="L180" s="5">
        <v>0</v>
      </c>
      <c r="M180" s="56">
        <v>0</v>
      </c>
      <c r="N180" s="92">
        <v>6000</v>
      </c>
    </row>
    <row r="181" spans="1:14">
      <c r="A181" s="91" t="s">
        <v>2264</v>
      </c>
      <c r="B181" s="4" t="s">
        <v>2272</v>
      </c>
      <c r="C181" s="5" t="s">
        <v>122</v>
      </c>
      <c r="D181" s="5" t="s">
        <v>123</v>
      </c>
      <c r="E181" s="5" t="s">
        <v>124</v>
      </c>
      <c r="F181" s="56">
        <v>4958.68</v>
      </c>
      <c r="G181" s="56">
        <v>0</v>
      </c>
      <c r="H181" s="5">
        <v>0</v>
      </c>
      <c r="I181" s="5">
        <v>0</v>
      </c>
      <c r="J181" s="5">
        <v>0</v>
      </c>
      <c r="K181" s="5">
        <v>1041.32</v>
      </c>
      <c r="L181" s="5">
        <v>0</v>
      </c>
      <c r="M181" s="56">
        <v>0</v>
      </c>
      <c r="N181" s="92">
        <v>6000</v>
      </c>
    </row>
    <row r="182" spans="1:14">
      <c r="A182" s="91" t="s">
        <v>2264</v>
      </c>
      <c r="B182" s="4" t="s">
        <v>2273</v>
      </c>
      <c r="C182" s="5" t="s">
        <v>122</v>
      </c>
      <c r="D182" s="5" t="s">
        <v>123</v>
      </c>
      <c r="E182" s="5" t="s">
        <v>124</v>
      </c>
      <c r="F182" s="56">
        <v>10743.8</v>
      </c>
      <c r="G182" s="56">
        <v>0</v>
      </c>
      <c r="H182" s="5">
        <v>0</v>
      </c>
      <c r="I182" s="5">
        <v>0</v>
      </c>
      <c r="J182" s="5">
        <v>0</v>
      </c>
      <c r="K182" s="5">
        <v>2256.2000000000003</v>
      </c>
      <c r="L182" s="5">
        <v>0</v>
      </c>
      <c r="M182" s="56">
        <v>0</v>
      </c>
      <c r="N182" s="92">
        <v>13000</v>
      </c>
    </row>
    <row r="183" spans="1:14">
      <c r="A183" s="91" t="s">
        <v>2264</v>
      </c>
      <c r="B183" s="4" t="s">
        <v>2274</v>
      </c>
      <c r="C183" s="5" t="s">
        <v>122</v>
      </c>
      <c r="D183" s="5" t="s">
        <v>123</v>
      </c>
      <c r="E183" s="5" t="s">
        <v>124</v>
      </c>
      <c r="F183" s="56">
        <v>3925.62</v>
      </c>
      <c r="G183" s="56">
        <v>0</v>
      </c>
      <c r="H183" s="5">
        <v>0</v>
      </c>
      <c r="I183" s="5">
        <v>0</v>
      </c>
      <c r="J183" s="5">
        <v>0</v>
      </c>
      <c r="K183" s="5">
        <v>824.38</v>
      </c>
      <c r="L183" s="5">
        <v>0</v>
      </c>
      <c r="M183" s="56">
        <v>0</v>
      </c>
      <c r="N183" s="92">
        <v>4750</v>
      </c>
    </row>
    <row r="184" spans="1:14">
      <c r="A184" s="91" t="s">
        <v>2264</v>
      </c>
      <c r="B184" s="4" t="s">
        <v>2275</v>
      </c>
      <c r="C184" s="5" t="s">
        <v>122</v>
      </c>
      <c r="D184" s="5" t="s">
        <v>123</v>
      </c>
      <c r="E184" s="5" t="s">
        <v>124</v>
      </c>
      <c r="F184" s="56">
        <v>6033.06</v>
      </c>
      <c r="G184" s="56">
        <v>0</v>
      </c>
      <c r="H184" s="5">
        <v>0</v>
      </c>
      <c r="I184" s="5">
        <v>0</v>
      </c>
      <c r="J184" s="5">
        <v>0</v>
      </c>
      <c r="K184" s="5">
        <v>1266.94</v>
      </c>
      <c r="L184" s="5">
        <v>0</v>
      </c>
      <c r="M184" s="56">
        <v>0</v>
      </c>
      <c r="N184" s="92">
        <v>7300</v>
      </c>
    </row>
    <row r="185" spans="1:14">
      <c r="A185" s="91" t="s">
        <v>2264</v>
      </c>
      <c r="B185" s="4" t="s">
        <v>2276</v>
      </c>
      <c r="C185" s="5" t="s">
        <v>122</v>
      </c>
      <c r="D185" s="5" t="s">
        <v>123</v>
      </c>
      <c r="E185" s="5" t="s">
        <v>124</v>
      </c>
      <c r="F185" s="56">
        <v>3305.79</v>
      </c>
      <c r="G185" s="56">
        <v>0</v>
      </c>
      <c r="H185" s="5">
        <v>0</v>
      </c>
      <c r="I185" s="5">
        <v>0</v>
      </c>
      <c r="J185" s="5">
        <v>0</v>
      </c>
      <c r="K185" s="5">
        <v>694.21</v>
      </c>
      <c r="L185" s="5">
        <v>0</v>
      </c>
      <c r="M185" s="56">
        <v>0</v>
      </c>
      <c r="N185" s="92">
        <v>4000</v>
      </c>
    </row>
    <row r="186" spans="1:14">
      <c r="A186" s="91" t="s">
        <v>2264</v>
      </c>
      <c r="B186" s="4" t="s">
        <v>2277</v>
      </c>
      <c r="C186" s="5" t="s">
        <v>122</v>
      </c>
      <c r="D186" s="5" t="s">
        <v>123</v>
      </c>
      <c r="E186" s="5" t="s">
        <v>124</v>
      </c>
      <c r="F186" s="56">
        <v>6033.06</v>
      </c>
      <c r="G186" s="56">
        <v>0</v>
      </c>
      <c r="H186" s="5">
        <v>0</v>
      </c>
      <c r="I186" s="5">
        <v>0</v>
      </c>
      <c r="J186" s="5">
        <v>0</v>
      </c>
      <c r="K186" s="5">
        <v>1266.94</v>
      </c>
      <c r="L186" s="5">
        <v>0</v>
      </c>
      <c r="M186" s="56">
        <v>0</v>
      </c>
      <c r="N186" s="92">
        <v>7300</v>
      </c>
    </row>
    <row r="187" spans="1:14">
      <c r="A187" s="91" t="s">
        <v>2264</v>
      </c>
      <c r="B187" s="4" t="s">
        <v>2278</v>
      </c>
      <c r="C187" s="5" t="s">
        <v>122</v>
      </c>
      <c r="D187" s="5" t="s">
        <v>123</v>
      </c>
      <c r="E187" s="5" t="s">
        <v>124</v>
      </c>
      <c r="F187" s="56">
        <v>12066.12</v>
      </c>
      <c r="G187" s="56">
        <v>0</v>
      </c>
      <c r="H187" s="5">
        <v>0</v>
      </c>
      <c r="I187" s="5">
        <v>0</v>
      </c>
      <c r="J187" s="5">
        <v>0</v>
      </c>
      <c r="K187" s="5">
        <v>2533.88</v>
      </c>
      <c r="L187" s="5">
        <v>0</v>
      </c>
      <c r="M187" s="56">
        <v>0</v>
      </c>
      <c r="N187" s="92">
        <v>14600</v>
      </c>
    </row>
    <row r="188" spans="1:14">
      <c r="A188" s="91" t="s">
        <v>2264</v>
      </c>
      <c r="B188" s="4" t="s">
        <v>2279</v>
      </c>
      <c r="C188" s="5" t="s">
        <v>122</v>
      </c>
      <c r="D188" s="5" t="s">
        <v>123</v>
      </c>
      <c r="E188" s="5" t="s">
        <v>124</v>
      </c>
      <c r="F188" s="56">
        <v>14049.59</v>
      </c>
      <c r="G188" s="56">
        <v>0</v>
      </c>
      <c r="H188" s="5">
        <v>0</v>
      </c>
      <c r="I188" s="5">
        <v>0</v>
      </c>
      <c r="J188" s="5">
        <v>0</v>
      </c>
      <c r="K188" s="5">
        <v>2950.41</v>
      </c>
      <c r="L188" s="5">
        <v>0</v>
      </c>
      <c r="M188" s="56">
        <v>0</v>
      </c>
      <c r="N188" s="92">
        <v>17000</v>
      </c>
    </row>
    <row r="189" spans="1:14">
      <c r="A189" s="91" t="s">
        <v>2289</v>
      </c>
      <c r="B189" s="4" t="s">
        <v>2292</v>
      </c>
      <c r="C189" s="5" t="s">
        <v>122</v>
      </c>
      <c r="D189" s="5" t="s">
        <v>123</v>
      </c>
      <c r="E189" s="5" t="s">
        <v>124</v>
      </c>
      <c r="F189" s="56">
        <v>6611.57</v>
      </c>
      <c r="G189" s="56">
        <v>0</v>
      </c>
      <c r="H189" s="5">
        <v>0</v>
      </c>
      <c r="I189" s="5">
        <v>0</v>
      </c>
      <c r="J189" s="5">
        <v>0</v>
      </c>
      <c r="K189" s="5">
        <v>1388.43</v>
      </c>
      <c r="L189" s="5">
        <v>0</v>
      </c>
      <c r="M189" s="56">
        <v>0</v>
      </c>
      <c r="N189" s="92">
        <v>8000</v>
      </c>
    </row>
    <row r="190" spans="1:14">
      <c r="A190" s="91" t="s">
        <v>2289</v>
      </c>
      <c r="B190" s="4" t="s">
        <v>2293</v>
      </c>
      <c r="C190" s="5" t="s">
        <v>122</v>
      </c>
      <c r="D190" s="5" t="s">
        <v>123</v>
      </c>
      <c r="E190" s="5" t="s">
        <v>124</v>
      </c>
      <c r="F190" s="56">
        <v>7438.02</v>
      </c>
      <c r="G190" s="56">
        <v>0</v>
      </c>
      <c r="H190" s="5">
        <v>0</v>
      </c>
      <c r="I190" s="5">
        <v>0</v>
      </c>
      <c r="J190" s="5">
        <v>0</v>
      </c>
      <c r="K190" s="5">
        <v>1561.98</v>
      </c>
      <c r="L190" s="5">
        <v>0</v>
      </c>
      <c r="M190" s="56">
        <v>0</v>
      </c>
      <c r="N190" s="92">
        <v>9000</v>
      </c>
    </row>
    <row r="191" spans="1:14">
      <c r="A191" s="91" t="s">
        <v>2289</v>
      </c>
      <c r="B191" s="4" t="s">
        <v>2294</v>
      </c>
      <c r="C191" s="5" t="s">
        <v>122</v>
      </c>
      <c r="D191" s="5" t="s">
        <v>123</v>
      </c>
      <c r="E191" s="5" t="s">
        <v>124</v>
      </c>
      <c r="F191" s="56">
        <v>6033.06</v>
      </c>
      <c r="G191" s="56">
        <v>0</v>
      </c>
      <c r="H191" s="5">
        <v>0</v>
      </c>
      <c r="I191" s="5">
        <v>0</v>
      </c>
      <c r="J191" s="5">
        <v>0</v>
      </c>
      <c r="K191" s="5">
        <v>1266.94</v>
      </c>
      <c r="L191" s="5">
        <v>0</v>
      </c>
      <c r="M191" s="56">
        <v>0</v>
      </c>
      <c r="N191" s="92">
        <v>7300</v>
      </c>
    </row>
    <row r="192" spans="1:14">
      <c r="A192" s="91" t="s">
        <v>2289</v>
      </c>
      <c r="B192" s="4" t="s">
        <v>2295</v>
      </c>
      <c r="C192" s="5" t="s">
        <v>122</v>
      </c>
      <c r="D192" s="5" t="s">
        <v>123</v>
      </c>
      <c r="E192" s="5" t="s">
        <v>124</v>
      </c>
      <c r="F192" s="56">
        <v>6033.06</v>
      </c>
      <c r="G192" s="56">
        <v>0</v>
      </c>
      <c r="H192" s="5">
        <v>0</v>
      </c>
      <c r="I192" s="5">
        <v>0</v>
      </c>
      <c r="J192" s="5">
        <v>0</v>
      </c>
      <c r="K192" s="5">
        <v>1266.94</v>
      </c>
      <c r="L192" s="5">
        <v>0</v>
      </c>
      <c r="M192" s="56">
        <v>0</v>
      </c>
      <c r="N192" s="92">
        <v>7300</v>
      </c>
    </row>
    <row r="193" spans="1:14">
      <c r="A193" s="91" t="s">
        <v>2289</v>
      </c>
      <c r="B193" s="4" t="s">
        <v>2296</v>
      </c>
      <c r="C193" s="5" t="s">
        <v>122</v>
      </c>
      <c r="D193" s="5" t="s">
        <v>123</v>
      </c>
      <c r="E193" s="5" t="s">
        <v>124</v>
      </c>
      <c r="F193" s="56">
        <v>4297.5200000000004</v>
      </c>
      <c r="G193" s="56">
        <v>0</v>
      </c>
      <c r="H193" s="5">
        <v>0</v>
      </c>
      <c r="I193" s="5">
        <v>0</v>
      </c>
      <c r="J193" s="5">
        <v>0</v>
      </c>
      <c r="K193" s="5">
        <v>902.48</v>
      </c>
      <c r="L193" s="5">
        <v>0</v>
      </c>
      <c r="M193" s="56">
        <v>0</v>
      </c>
      <c r="N193" s="92">
        <v>5200</v>
      </c>
    </row>
    <row r="194" spans="1:14">
      <c r="A194" s="91" t="s">
        <v>2289</v>
      </c>
      <c r="B194" s="4" t="s">
        <v>2297</v>
      </c>
      <c r="C194" s="5" t="s">
        <v>122</v>
      </c>
      <c r="D194" s="5" t="s">
        <v>123</v>
      </c>
      <c r="E194" s="5" t="s">
        <v>124</v>
      </c>
      <c r="F194" s="56">
        <v>7851.24</v>
      </c>
      <c r="G194" s="56">
        <v>0</v>
      </c>
      <c r="H194" s="5">
        <v>0</v>
      </c>
      <c r="I194" s="5">
        <v>0</v>
      </c>
      <c r="J194" s="5">
        <v>0</v>
      </c>
      <c r="K194" s="5">
        <v>1648.76</v>
      </c>
      <c r="L194" s="5">
        <v>0</v>
      </c>
      <c r="M194" s="56">
        <v>0</v>
      </c>
      <c r="N194" s="92">
        <v>9500</v>
      </c>
    </row>
    <row r="195" spans="1:14">
      <c r="A195" s="91" t="s">
        <v>2289</v>
      </c>
      <c r="B195" s="4" t="s">
        <v>2298</v>
      </c>
      <c r="C195" s="5" t="s">
        <v>122</v>
      </c>
      <c r="D195" s="5" t="s">
        <v>123</v>
      </c>
      <c r="E195" s="5" t="s">
        <v>124</v>
      </c>
      <c r="F195" s="56">
        <v>7851.24</v>
      </c>
      <c r="G195" s="56">
        <v>0</v>
      </c>
      <c r="H195" s="5">
        <v>0</v>
      </c>
      <c r="I195" s="5">
        <v>0</v>
      </c>
      <c r="J195" s="5">
        <v>0</v>
      </c>
      <c r="K195" s="5">
        <v>1648.76</v>
      </c>
      <c r="L195" s="5">
        <v>0</v>
      </c>
      <c r="M195" s="56">
        <v>0</v>
      </c>
      <c r="N195" s="92">
        <v>9500</v>
      </c>
    </row>
    <row r="196" spans="1:14">
      <c r="A196" s="91" t="s">
        <v>2289</v>
      </c>
      <c r="B196" s="4" t="s">
        <v>2299</v>
      </c>
      <c r="C196" s="5" t="s">
        <v>122</v>
      </c>
      <c r="D196" s="5" t="s">
        <v>123</v>
      </c>
      <c r="E196" s="5" t="s">
        <v>124</v>
      </c>
      <c r="F196" s="56">
        <v>7933.88</v>
      </c>
      <c r="G196" s="56">
        <v>0</v>
      </c>
      <c r="H196" s="5">
        <v>0</v>
      </c>
      <c r="I196" s="5">
        <v>0</v>
      </c>
      <c r="J196" s="5">
        <v>0</v>
      </c>
      <c r="K196" s="5">
        <v>1666.12</v>
      </c>
      <c r="L196" s="5">
        <v>0</v>
      </c>
      <c r="M196" s="56">
        <v>0</v>
      </c>
      <c r="N196" s="92">
        <v>9600</v>
      </c>
    </row>
    <row r="197" spans="1:14">
      <c r="A197" s="91" t="s">
        <v>2289</v>
      </c>
      <c r="B197" s="4" t="s">
        <v>2300</v>
      </c>
      <c r="C197" s="5" t="s">
        <v>122</v>
      </c>
      <c r="D197" s="5" t="s">
        <v>123</v>
      </c>
      <c r="E197" s="5" t="s">
        <v>124</v>
      </c>
      <c r="F197" s="56">
        <v>10330.58</v>
      </c>
      <c r="G197" s="56">
        <v>0</v>
      </c>
      <c r="H197" s="5">
        <v>0</v>
      </c>
      <c r="I197" s="5">
        <v>0</v>
      </c>
      <c r="J197" s="5">
        <v>0</v>
      </c>
      <c r="K197" s="5">
        <v>2169.42</v>
      </c>
      <c r="L197" s="5">
        <v>0</v>
      </c>
      <c r="M197" s="56">
        <v>0</v>
      </c>
      <c r="N197" s="92">
        <v>12500</v>
      </c>
    </row>
    <row r="198" spans="1:14">
      <c r="A198" s="91" t="s">
        <v>2306</v>
      </c>
      <c r="B198" s="4" t="s">
        <v>2307</v>
      </c>
      <c r="C198" s="5" t="s">
        <v>122</v>
      </c>
      <c r="D198" s="5" t="s">
        <v>123</v>
      </c>
      <c r="E198" s="5" t="s">
        <v>124</v>
      </c>
      <c r="F198" s="56">
        <v>4462.8100000000004</v>
      </c>
      <c r="G198" s="56">
        <v>0</v>
      </c>
      <c r="H198" s="5">
        <v>0</v>
      </c>
      <c r="I198" s="5">
        <v>0</v>
      </c>
      <c r="J198" s="5">
        <v>0</v>
      </c>
      <c r="K198" s="5">
        <v>937.19</v>
      </c>
      <c r="L198" s="5">
        <v>0</v>
      </c>
      <c r="M198" s="56">
        <v>0</v>
      </c>
      <c r="N198" s="92">
        <v>5400</v>
      </c>
    </row>
    <row r="199" spans="1:14">
      <c r="A199" s="91" t="s">
        <v>2306</v>
      </c>
      <c r="B199" s="4" t="s">
        <v>2308</v>
      </c>
      <c r="C199" s="5" t="s">
        <v>122</v>
      </c>
      <c r="D199" s="5" t="s">
        <v>123</v>
      </c>
      <c r="E199" s="5" t="s">
        <v>124</v>
      </c>
      <c r="F199" s="56">
        <v>9917.36</v>
      </c>
      <c r="G199" s="56">
        <v>0</v>
      </c>
      <c r="H199" s="5">
        <v>0</v>
      </c>
      <c r="I199" s="5">
        <v>0</v>
      </c>
      <c r="J199" s="5">
        <v>0</v>
      </c>
      <c r="K199" s="5">
        <v>2082.64</v>
      </c>
      <c r="L199" s="5">
        <v>0</v>
      </c>
      <c r="M199" s="56">
        <v>0</v>
      </c>
      <c r="N199" s="92">
        <v>12000</v>
      </c>
    </row>
    <row r="200" spans="1:14">
      <c r="A200" s="91" t="s">
        <v>2306</v>
      </c>
      <c r="B200" s="4" t="s">
        <v>2309</v>
      </c>
      <c r="C200" s="5" t="s">
        <v>122</v>
      </c>
      <c r="D200" s="5" t="s">
        <v>123</v>
      </c>
      <c r="E200" s="5" t="s">
        <v>124</v>
      </c>
      <c r="F200" s="56">
        <v>6776.86</v>
      </c>
      <c r="G200" s="56">
        <v>0</v>
      </c>
      <c r="H200" s="5">
        <v>0</v>
      </c>
      <c r="I200" s="5">
        <v>0</v>
      </c>
      <c r="J200" s="5">
        <v>0</v>
      </c>
      <c r="K200" s="5">
        <v>1423.14</v>
      </c>
      <c r="L200" s="5">
        <v>0</v>
      </c>
      <c r="M200" s="56">
        <v>0</v>
      </c>
      <c r="N200" s="92">
        <v>8200</v>
      </c>
    </row>
    <row r="201" spans="1:14">
      <c r="A201" s="91" t="s">
        <v>2306</v>
      </c>
      <c r="B201" s="4" t="s">
        <v>2310</v>
      </c>
      <c r="C201" s="5" t="s">
        <v>122</v>
      </c>
      <c r="D201" s="5" t="s">
        <v>123</v>
      </c>
      <c r="E201" s="5" t="s">
        <v>124</v>
      </c>
      <c r="F201" s="56">
        <v>6611.57</v>
      </c>
      <c r="G201" s="56">
        <v>0</v>
      </c>
      <c r="H201" s="5">
        <v>0</v>
      </c>
      <c r="I201" s="5">
        <v>0</v>
      </c>
      <c r="J201" s="5">
        <v>0</v>
      </c>
      <c r="K201" s="5">
        <v>1388.43</v>
      </c>
      <c r="L201" s="5">
        <v>0</v>
      </c>
      <c r="M201" s="56">
        <v>0</v>
      </c>
      <c r="N201" s="92">
        <v>8000</v>
      </c>
    </row>
    <row r="202" spans="1:14">
      <c r="A202" s="91" t="s">
        <v>2306</v>
      </c>
      <c r="B202" s="4" t="s">
        <v>2311</v>
      </c>
      <c r="C202" s="5" t="s">
        <v>122</v>
      </c>
      <c r="D202" s="5" t="s">
        <v>123</v>
      </c>
      <c r="E202" s="5" t="s">
        <v>124</v>
      </c>
      <c r="F202" s="56">
        <v>3016.53</v>
      </c>
      <c r="G202" s="56">
        <v>0</v>
      </c>
      <c r="H202" s="5">
        <v>0</v>
      </c>
      <c r="I202" s="5">
        <v>0</v>
      </c>
      <c r="J202" s="5">
        <v>0</v>
      </c>
      <c r="K202" s="5">
        <v>633.47</v>
      </c>
      <c r="L202" s="5">
        <v>0</v>
      </c>
      <c r="M202" s="56">
        <v>0</v>
      </c>
      <c r="N202" s="92">
        <v>3650</v>
      </c>
    </row>
    <row r="203" spans="1:14">
      <c r="A203" s="91" t="s">
        <v>2306</v>
      </c>
      <c r="B203" s="4" t="s">
        <v>2312</v>
      </c>
      <c r="C203" s="5" t="s">
        <v>122</v>
      </c>
      <c r="D203" s="5" t="s">
        <v>123</v>
      </c>
      <c r="E203" s="5" t="s">
        <v>124</v>
      </c>
      <c r="F203" s="56">
        <v>2066.12</v>
      </c>
      <c r="G203" s="56">
        <v>0</v>
      </c>
      <c r="H203" s="5">
        <v>0</v>
      </c>
      <c r="I203" s="5">
        <v>0</v>
      </c>
      <c r="J203" s="5">
        <v>0</v>
      </c>
      <c r="K203" s="5">
        <v>433.88</v>
      </c>
      <c r="L203" s="5">
        <v>0</v>
      </c>
      <c r="M203" s="56">
        <v>0</v>
      </c>
      <c r="N203" s="92">
        <v>2500</v>
      </c>
    </row>
    <row r="204" spans="1:14">
      <c r="A204" s="91" t="s">
        <v>2306</v>
      </c>
      <c r="B204" s="4" t="s">
        <v>2313</v>
      </c>
      <c r="C204" s="5" t="s">
        <v>122</v>
      </c>
      <c r="D204" s="5" t="s">
        <v>123</v>
      </c>
      <c r="E204" s="5" t="s">
        <v>124</v>
      </c>
      <c r="F204" s="56">
        <v>3471.07</v>
      </c>
      <c r="G204" s="56">
        <v>0</v>
      </c>
      <c r="H204" s="5">
        <v>0</v>
      </c>
      <c r="I204" s="5">
        <v>0</v>
      </c>
      <c r="J204" s="5">
        <v>0</v>
      </c>
      <c r="K204" s="5">
        <v>728.93</v>
      </c>
      <c r="L204" s="5">
        <v>0</v>
      </c>
      <c r="M204" s="56">
        <v>0</v>
      </c>
      <c r="N204" s="92">
        <v>4200</v>
      </c>
    </row>
    <row r="205" spans="1:14">
      <c r="A205" s="91" t="s">
        <v>2306</v>
      </c>
      <c r="B205" s="4" t="s">
        <v>2314</v>
      </c>
      <c r="C205" s="5" t="s">
        <v>122</v>
      </c>
      <c r="D205" s="5" t="s">
        <v>123</v>
      </c>
      <c r="E205" s="5" t="s">
        <v>124</v>
      </c>
      <c r="F205" s="56">
        <v>6033.06</v>
      </c>
      <c r="G205" s="56">
        <v>0</v>
      </c>
      <c r="H205" s="5">
        <v>0</v>
      </c>
      <c r="I205" s="5">
        <v>0</v>
      </c>
      <c r="J205" s="5">
        <v>0</v>
      </c>
      <c r="K205" s="5">
        <v>1266.94</v>
      </c>
      <c r="L205" s="5">
        <v>0</v>
      </c>
      <c r="M205" s="56">
        <v>0</v>
      </c>
      <c r="N205" s="92">
        <v>7300</v>
      </c>
    </row>
    <row r="206" spans="1:14">
      <c r="A206" s="91" t="s">
        <v>2306</v>
      </c>
      <c r="B206" s="4" t="s">
        <v>2315</v>
      </c>
      <c r="C206" s="5" t="s">
        <v>122</v>
      </c>
      <c r="D206" s="5" t="s">
        <v>123</v>
      </c>
      <c r="E206" s="5" t="s">
        <v>124</v>
      </c>
      <c r="F206" s="56">
        <v>7851.24</v>
      </c>
      <c r="G206" s="56">
        <v>0</v>
      </c>
      <c r="H206" s="5">
        <v>0</v>
      </c>
      <c r="I206" s="5">
        <v>0</v>
      </c>
      <c r="J206" s="5">
        <v>0</v>
      </c>
      <c r="K206" s="5">
        <v>1648.76</v>
      </c>
      <c r="L206" s="5">
        <v>0</v>
      </c>
      <c r="M206" s="56">
        <v>0</v>
      </c>
      <c r="N206" s="92">
        <v>9500</v>
      </c>
    </row>
    <row r="207" spans="1:14">
      <c r="A207" s="91" t="s">
        <v>2306</v>
      </c>
      <c r="B207" s="4" t="s">
        <v>2316</v>
      </c>
      <c r="C207" s="5" t="s">
        <v>122</v>
      </c>
      <c r="D207" s="5" t="s">
        <v>123</v>
      </c>
      <c r="E207" s="5" t="s">
        <v>124</v>
      </c>
      <c r="F207" s="56">
        <v>8925.6200000000008</v>
      </c>
      <c r="G207" s="56">
        <v>0</v>
      </c>
      <c r="H207" s="5">
        <v>0</v>
      </c>
      <c r="I207" s="5">
        <v>0</v>
      </c>
      <c r="J207" s="5">
        <v>0</v>
      </c>
      <c r="K207" s="5">
        <v>1874.38</v>
      </c>
      <c r="L207" s="5">
        <v>0</v>
      </c>
      <c r="M207" s="56">
        <v>0</v>
      </c>
      <c r="N207" s="92">
        <v>10800</v>
      </c>
    </row>
    <row r="208" spans="1:14">
      <c r="A208" s="91" t="s">
        <v>2306</v>
      </c>
      <c r="B208" s="4" t="s">
        <v>2317</v>
      </c>
      <c r="C208" s="5" t="s">
        <v>122</v>
      </c>
      <c r="D208" s="5" t="s">
        <v>123</v>
      </c>
      <c r="E208" s="5" t="s">
        <v>124</v>
      </c>
      <c r="F208" s="56">
        <v>6033.06</v>
      </c>
      <c r="G208" s="56">
        <v>0</v>
      </c>
      <c r="H208" s="5">
        <v>0</v>
      </c>
      <c r="I208" s="5">
        <v>0</v>
      </c>
      <c r="J208" s="5">
        <v>0</v>
      </c>
      <c r="K208" s="5">
        <v>1266.94</v>
      </c>
      <c r="L208" s="5">
        <v>0</v>
      </c>
      <c r="M208" s="56">
        <v>0</v>
      </c>
      <c r="N208" s="92">
        <v>7300</v>
      </c>
    </row>
    <row r="209" spans="1:14">
      <c r="A209" s="91" t="s">
        <v>2306</v>
      </c>
      <c r="B209" s="4" t="s">
        <v>2318</v>
      </c>
      <c r="C209" s="5" t="s">
        <v>122</v>
      </c>
      <c r="D209" s="5" t="s">
        <v>123</v>
      </c>
      <c r="E209" s="5" t="s">
        <v>124</v>
      </c>
      <c r="F209" s="56">
        <v>9504.130000000001</v>
      </c>
      <c r="G209" s="56">
        <v>0</v>
      </c>
      <c r="H209" s="5">
        <v>0</v>
      </c>
      <c r="I209" s="5">
        <v>0</v>
      </c>
      <c r="J209" s="5">
        <v>0</v>
      </c>
      <c r="K209" s="5">
        <v>1995.87</v>
      </c>
      <c r="L209" s="5">
        <v>0</v>
      </c>
      <c r="M209" s="56">
        <v>0</v>
      </c>
      <c r="N209" s="92">
        <v>11500</v>
      </c>
    </row>
    <row r="210" spans="1:14">
      <c r="A210" s="91" t="s">
        <v>2322</v>
      </c>
      <c r="B210" s="4" t="s">
        <v>2324</v>
      </c>
      <c r="C210" s="5" t="s">
        <v>122</v>
      </c>
      <c r="D210" s="5" t="s">
        <v>123</v>
      </c>
      <c r="E210" s="5" t="s">
        <v>124</v>
      </c>
      <c r="F210" s="56">
        <v>3925.62</v>
      </c>
      <c r="G210" s="56">
        <v>0</v>
      </c>
      <c r="H210" s="5">
        <v>0</v>
      </c>
      <c r="I210" s="5">
        <v>0</v>
      </c>
      <c r="J210" s="5">
        <v>0</v>
      </c>
      <c r="K210" s="5">
        <v>824.38</v>
      </c>
      <c r="L210" s="5">
        <v>0</v>
      </c>
      <c r="M210" s="56">
        <v>0</v>
      </c>
      <c r="N210" s="92">
        <v>4750</v>
      </c>
    </row>
    <row r="211" spans="1:14">
      <c r="A211" s="91" t="s">
        <v>2322</v>
      </c>
      <c r="B211" s="4" t="s">
        <v>2325</v>
      </c>
      <c r="C211" s="5" t="s">
        <v>122</v>
      </c>
      <c r="D211" s="5" t="s">
        <v>123</v>
      </c>
      <c r="E211" s="5" t="s">
        <v>124</v>
      </c>
      <c r="F211" s="56">
        <v>7851.24</v>
      </c>
      <c r="G211" s="56">
        <v>0</v>
      </c>
      <c r="H211" s="5">
        <v>0</v>
      </c>
      <c r="I211" s="5">
        <v>0</v>
      </c>
      <c r="J211" s="5">
        <v>0</v>
      </c>
      <c r="K211" s="5">
        <v>1648.76</v>
      </c>
      <c r="L211" s="5">
        <v>0</v>
      </c>
      <c r="M211" s="56">
        <v>0</v>
      </c>
      <c r="N211" s="92">
        <v>9500</v>
      </c>
    </row>
    <row r="212" spans="1:14">
      <c r="A212" s="91" t="s">
        <v>2322</v>
      </c>
      <c r="B212" s="4" t="s">
        <v>2326</v>
      </c>
      <c r="C212" s="5" t="s">
        <v>122</v>
      </c>
      <c r="D212" s="5" t="s">
        <v>123</v>
      </c>
      <c r="E212" s="5" t="s">
        <v>124</v>
      </c>
      <c r="F212" s="56">
        <v>4132.2300000000005</v>
      </c>
      <c r="G212" s="56">
        <v>0</v>
      </c>
      <c r="H212" s="5">
        <v>0</v>
      </c>
      <c r="I212" s="5">
        <v>0</v>
      </c>
      <c r="J212" s="5">
        <v>0</v>
      </c>
      <c r="K212" s="5">
        <v>867.77</v>
      </c>
      <c r="L212" s="5">
        <v>0</v>
      </c>
      <c r="M212" s="56">
        <v>0</v>
      </c>
      <c r="N212" s="92">
        <v>5000</v>
      </c>
    </row>
    <row r="213" spans="1:14">
      <c r="A213" s="91" t="s">
        <v>2322</v>
      </c>
      <c r="B213" s="4" t="s">
        <v>2327</v>
      </c>
      <c r="C213" s="5" t="s">
        <v>122</v>
      </c>
      <c r="D213" s="5" t="s">
        <v>123</v>
      </c>
      <c r="E213" s="5" t="s">
        <v>124</v>
      </c>
      <c r="F213" s="56">
        <v>2892.56</v>
      </c>
      <c r="G213" s="56">
        <v>0</v>
      </c>
      <c r="H213" s="5">
        <v>0</v>
      </c>
      <c r="I213" s="5">
        <v>0</v>
      </c>
      <c r="J213" s="5">
        <v>0</v>
      </c>
      <c r="K213" s="5">
        <v>607.44000000000005</v>
      </c>
      <c r="L213" s="5">
        <v>0</v>
      </c>
      <c r="M213" s="56">
        <v>0</v>
      </c>
      <c r="N213" s="92">
        <v>3500</v>
      </c>
    </row>
    <row r="214" spans="1:14">
      <c r="A214" s="91" t="s">
        <v>2322</v>
      </c>
      <c r="B214" s="4" t="s">
        <v>2328</v>
      </c>
      <c r="C214" s="5" t="s">
        <v>122</v>
      </c>
      <c r="D214" s="5" t="s">
        <v>123</v>
      </c>
      <c r="E214" s="5" t="s">
        <v>124</v>
      </c>
      <c r="F214" s="56">
        <v>1983.47</v>
      </c>
      <c r="G214" s="56">
        <v>0</v>
      </c>
      <c r="H214" s="5">
        <v>0</v>
      </c>
      <c r="I214" s="5">
        <v>0</v>
      </c>
      <c r="J214" s="5">
        <v>0</v>
      </c>
      <c r="K214" s="5">
        <v>416.53</v>
      </c>
      <c r="L214" s="5">
        <v>0</v>
      </c>
      <c r="M214" s="56">
        <v>0</v>
      </c>
      <c r="N214" s="92">
        <v>2400</v>
      </c>
    </row>
    <row r="215" spans="1:14">
      <c r="A215" s="91" t="s">
        <v>2322</v>
      </c>
      <c r="B215" s="4" t="s">
        <v>2329</v>
      </c>
      <c r="C215" s="5" t="s">
        <v>122</v>
      </c>
      <c r="D215" s="5" t="s">
        <v>123</v>
      </c>
      <c r="E215" s="5" t="s">
        <v>124</v>
      </c>
      <c r="F215" s="56">
        <v>1983.47</v>
      </c>
      <c r="G215" s="56">
        <v>0</v>
      </c>
      <c r="H215" s="5">
        <v>0</v>
      </c>
      <c r="I215" s="5">
        <v>0</v>
      </c>
      <c r="J215" s="5">
        <v>0</v>
      </c>
      <c r="K215" s="5">
        <v>416.53</v>
      </c>
      <c r="L215" s="5">
        <v>0</v>
      </c>
      <c r="M215" s="56">
        <v>0</v>
      </c>
      <c r="N215" s="92">
        <v>2400</v>
      </c>
    </row>
    <row r="216" spans="1:14">
      <c r="A216" s="91" t="s">
        <v>2322</v>
      </c>
      <c r="B216" s="4" t="s">
        <v>2330</v>
      </c>
      <c r="C216" s="5" t="s">
        <v>122</v>
      </c>
      <c r="D216" s="5" t="s">
        <v>123</v>
      </c>
      <c r="E216" s="5" t="s">
        <v>124</v>
      </c>
      <c r="F216" s="56">
        <v>1900.83</v>
      </c>
      <c r="G216" s="56">
        <v>0</v>
      </c>
      <c r="H216" s="5">
        <v>0</v>
      </c>
      <c r="I216" s="5">
        <v>0</v>
      </c>
      <c r="J216" s="5">
        <v>0</v>
      </c>
      <c r="K216" s="5">
        <v>399.17</v>
      </c>
      <c r="L216" s="5">
        <v>0</v>
      </c>
      <c r="M216" s="56">
        <v>0</v>
      </c>
      <c r="N216" s="92">
        <v>2300</v>
      </c>
    </row>
    <row r="217" spans="1:14">
      <c r="A217" s="91" t="s">
        <v>2322</v>
      </c>
      <c r="B217" s="4" t="s">
        <v>2331</v>
      </c>
      <c r="C217" s="5" t="s">
        <v>122</v>
      </c>
      <c r="D217" s="5" t="s">
        <v>123</v>
      </c>
      <c r="E217" s="5" t="s">
        <v>124</v>
      </c>
      <c r="F217" s="56">
        <v>4132.2300000000005</v>
      </c>
      <c r="G217" s="56">
        <v>0</v>
      </c>
      <c r="H217" s="5">
        <v>0</v>
      </c>
      <c r="I217" s="5">
        <v>0</v>
      </c>
      <c r="J217" s="5">
        <v>0</v>
      </c>
      <c r="K217" s="5">
        <v>867.77</v>
      </c>
      <c r="L217" s="5">
        <v>0</v>
      </c>
      <c r="M217" s="56">
        <v>0</v>
      </c>
      <c r="N217" s="92">
        <v>5000</v>
      </c>
    </row>
    <row r="218" spans="1:14">
      <c r="A218" s="91" t="s">
        <v>2322</v>
      </c>
      <c r="B218" s="4" t="s">
        <v>2332</v>
      </c>
      <c r="C218" s="5" t="s">
        <v>122</v>
      </c>
      <c r="D218" s="5" t="s">
        <v>123</v>
      </c>
      <c r="E218" s="5" t="s">
        <v>124</v>
      </c>
      <c r="F218" s="56">
        <v>4132.2300000000005</v>
      </c>
      <c r="G218" s="56">
        <v>0</v>
      </c>
      <c r="H218" s="5">
        <v>0</v>
      </c>
      <c r="I218" s="5">
        <v>0</v>
      </c>
      <c r="J218" s="5">
        <v>0</v>
      </c>
      <c r="K218" s="5">
        <v>867.77</v>
      </c>
      <c r="L218" s="5">
        <v>0</v>
      </c>
      <c r="M218" s="56">
        <v>0</v>
      </c>
      <c r="N218" s="92">
        <v>5000</v>
      </c>
    </row>
    <row r="219" spans="1:14">
      <c r="A219" s="91" t="s">
        <v>2322</v>
      </c>
      <c r="B219" s="4" t="s">
        <v>2333</v>
      </c>
      <c r="C219" s="5" t="s">
        <v>122</v>
      </c>
      <c r="D219" s="5" t="s">
        <v>123</v>
      </c>
      <c r="E219" s="5" t="s">
        <v>124</v>
      </c>
      <c r="F219" s="56">
        <v>3305.79</v>
      </c>
      <c r="G219" s="56">
        <v>0</v>
      </c>
      <c r="H219" s="5">
        <v>0</v>
      </c>
      <c r="I219" s="5">
        <v>0</v>
      </c>
      <c r="J219" s="5">
        <v>0</v>
      </c>
      <c r="K219" s="5">
        <v>694.21</v>
      </c>
      <c r="L219" s="5">
        <v>0</v>
      </c>
      <c r="M219" s="56">
        <v>0</v>
      </c>
      <c r="N219" s="92">
        <v>4000</v>
      </c>
    </row>
    <row r="220" spans="1:14">
      <c r="A220" s="91" t="s">
        <v>2322</v>
      </c>
      <c r="B220" s="4" t="s">
        <v>2334</v>
      </c>
      <c r="C220" s="5" t="s">
        <v>122</v>
      </c>
      <c r="D220" s="5" t="s">
        <v>123</v>
      </c>
      <c r="E220" s="5" t="s">
        <v>124</v>
      </c>
      <c r="F220" s="56">
        <v>7851.24</v>
      </c>
      <c r="G220" s="56">
        <v>0</v>
      </c>
      <c r="H220" s="5">
        <v>0</v>
      </c>
      <c r="I220" s="5">
        <v>0</v>
      </c>
      <c r="J220" s="5">
        <v>0</v>
      </c>
      <c r="K220" s="5">
        <v>1648.76</v>
      </c>
      <c r="L220" s="5">
        <v>0</v>
      </c>
      <c r="M220" s="56">
        <v>0</v>
      </c>
      <c r="N220" s="92">
        <v>9500</v>
      </c>
    </row>
    <row r="221" spans="1:14">
      <c r="A221" s="91" t="s">
        <v>2322</v>
      </c>
      <c r="B221" s="4" t="s">
        <v>2335</v>
      </c>
      <c r="C221" s="5" t="s">
        <v>122</v>
      </c>
      <c r="D221" s="5" t="s">
        <v>123</v>
      </c>
      <c r="E221" s="5" t="s">
        <v>124</v>
      </c>
      <c r="F221" s="56">
        <v>6280.99</v>
      </c>
      <c r="G221" s="56">
        <v>0</v>
      </c>
      <c r="H221" s="5">
        <v>0</v>
      </c>
      <c r="I221" s="5">
        <v>0</v>
      </c>
      <c r="J221" s="5">
        <v>0</v>
      </c>
      <c r="K221" s="5">
        <v>1319.01</v>
      </c>
      <c r="L221" s="5">
        <v>0</v>
      </c>
      <c r="M221" s="56">
        <v>0</v>
      </c>
      <c r="N221" s="92">
        <v>7600</v>
      </c>
    </row>
    <row r="222" spans="1:14">
      <c r="A222" s="91" t="s">
        <v>2322</v>
      </c>
      <c r="B222" s="4" t="s">
        <v>2336</v>
      </c>
      <c r="C222" s="5" t="s">
        <v>122</v>
      </c>
      <c r="D222" s="5" t="s">
        <v>123</v>
      </c>
      <c r="E222" s="5" t="s">
        <v>124</v>
      </c>
      <c r="F222" s="56">
        <v>7107.44</v>
      </c>
      <c r="G222" s="56">
        <v>0</v>
      </c>
      <c r="H222" s="5">
        <v>0</v>
      </c>
      <c r="I222" s="5">
        <v>0</v>
      </c>
      <c r="J222" s="5">
        <v>0</v>
      </c>
      <c r="K222" s="5">
        <v>1492.56</v>
      </c>
      <c r="L222" s="5">
        <v>0</v>
      </c>
      <c r="M222" s="56">
        <v>0</v>
      </c>
      <c r="N222" s="92">
        <v>8600</v>
      </c>
    </row>
    <row r="223" spans="1:14">
      <c r="A223" s="91" t="s">
        <v>2322</v>
      </c>
      <c r="B223" s="4" t="s">
        <v>2337</v>
      </c>
      <c r="C223" s="5" t="s">
        <v>122</v>
      </c>
      <c r="D223" s="5" t="s">
        <v>123</v>
      </c>
      <c r="E223" s="5" t="s">
        <v>124</v>
      </c>
      <c r="F223" s="56">
        <v>3966.94</v>
      </c>
      <c r="G223" s="56">
        <v>0</v>
      </c>
      <c r="H223" s="5">
        <v>0</v>
      </c>
      <c r="I223" s="5">
        <v>0</v>
      </c>
      <c r="J223" s="5">
        <v>0</v>
      </c>
      <c r="K223" s="5">
        <v>833.06</v>
      </c>
      <c r="L223" s="5">
        <v>0</v>
      </c>
      <c r="M223" s="56">
        <v>0</v>
      </c>
      <c r="N223" s="92">
        <v>4800</v>
      </c>
    </row>
    <row r="224" spans="1:14">
      <c r="A224" s="91" t="s">
        <v>2322</v>
      </c>
      <c r="B224" s="4" t="s">
        <v>2338</v>
      </c>
      <c r="C224" s="5" t="s">
        <v>122</v>
      </c>
      <c r="D224" s="5" t="s">
        <v>123</v>
      </c>
      <c r="E224" s="5" t="s">
        <v>124</v>
      </c>
      <c r="F224" s="56">
        <v>8677.69</v>
      </c>
      <c r="G224" s="56">
        <v>0</v>
      </c>
      <c r="H224" s="5">
        <v>0</v>
      </c>
      <c r="I224" s="5">
        <v>0</v>
      </c>
      <c r="J224" s="5">
        <v>0</v>
      </c>
      <c r="K224" s="5">
        <v>1822.31</v>
      </c>
      <c r="L224" s="5">
        <v>0</v>
      </c>
      <c r="M224" s="56">
        <v>0</v>
      </c>
      <c r="N224" s="92">
        <v>10500</v>
      </c>
    </row>
    <row r="225" spans="1:14">
      <c r="A225" s="91" t="s">
        <v>2355</v>
      </c>
      <c r="B225" s="4" t="s">
        <v>2356</v>
      </c>
      <c r="C225" s="5" t="s">
        <v>122</v>
      </c>
      <c r="D225" s="5" t="s">
        <v>123</v>
      </c>
      <c r="E225" s="5" t="s">
        <v>124</v>
      </c>
      <c r="F225" s="56">
        <v>10743.8</v>
      </c>
      <c r="G225" s="56">
        <v>0</v>
      </c>
      <c r="H225" s="5">
        <v>0</v>
      </c>
      <c r="I225" s="5">
        <v>0</v>
      </c>
      <c r="J225" s="5">
        <v>0</v>
      </c>
      <c r="K225" s="5">
        <v>2256.2000000000003</v>
      </c>
      <c r="L225" s="5">
        <v>0</v>
      </c>
      <c r="M225" s="56">
        <v>0</v>
      </c>
      <c r="N225" s="92">
        <v>13000</v>
      </c>
    </row>
    <row r="226" spans="1:14">
      <c r="A226" s="91" t="s">
        <v>2355</v>
      </c>
      <c r="B226" s="4" t="s">
        <v>2357</v>
      </c>
      <c r="C226" s="5" t="s">
        <v>122</v>
      </c>
      <c r="D226" s="5" t="s">
        <v>123</v>
      </c>
      <c r="E226" s="5" t="s">
        <v>124</v>
      </c>
      <c r="F226" s="56">
        <v>4876.03</v>
      </c>
      <c r="G226" s="56">
        <v>0</v>
      </c>
      <c r="H226" s="5">
        <v>0</v>
      </c>
      <c r="I226" s="5">
        <v>0</v>
      </c>
      <c r="J226" s="5">
        <v>0</v>
      </c>
      <c r="K226" s="5">
        <v>1023.97</v>
      </c>
      <c r="L226" s="5">
        <v>0</v>
      </c>
      <c r="M226" s="56">
        <v>0</v>
      </c>
      <c r="N226" s="92">
        <v>5900</v>
      </c>
    </row>
    <row r="227" spans="1:14">
      <c r="A227" s="91" t="s">
        <v>2355</v>
      </c>
      <c r="B227" s="4" t="s">
        <v>2358</v>
      </c>
      <c r="C227" s="5" t="s">
        <v>122</v>
      </c>
      <c r="D227" s="5" t="s">
        <v>123</v>
      </c>
      <c r="E227" s="5" t="s">
        <v>124</v>
      </c>
      <c r="F227" s="56">
        <v>3719.01</v>
      </c>
      <c r="G227" s="56">
        <v>0</v>
      </c>
      <c r="H227" s="5">
        <v>0</v>
      </c>
      <c r="I227" s="5">
        <v>0</v>
      </c>
      <c r="J227" s="5">
        <v>0</v>
      </c>
      <c r="K227" s="5">
        <v>780.99</v>
      </c>
      <c r="L227" s="5">
        <v>0</v>
      </c>
      <c r="M227" s="56">
        <v>0</v>
      </c>
      <c r="N227" s="92">
        <v>4500</v>
      </c>
    </row>
    <row r="228" spans="1:14">
      <c r="A228" s="91" t="s">
        <v>2355</v>
      </c>
      <c r="B228" s="4" t="s">
        <v>2359</v>
      </c>
      <c r="C228" s="5" t="s">
        <v>122</v>
      </c>
      <c r="D228" s="5" t="s">
        <v>123</v>
      </c>
      <c r="E228" s="5" t="s">
        <v>124</v>
      </c>
      <c r="F228" s="56">
        <v>1900.83</v>
      </c>
      <c r="G228" s="56">
        <v>0</v>
      </c>
      <c r="H228" s="5">
        <v>0</v>
      </c>
      <c r="I228" s="5">
        <v>0</v>
      </c>
      <c r="J228" s="5">
        <v>0</v>
      </c>
      <c r="K228" s="5">
        <v>399.17</v>
      </c>
      <c r="L228" s="5">
        <v>0</v>
      </c>
      <c r="M228" s="56">
        <v>0</v>
      </c>
      <c r="N228" s="92">
        <v>2300</v>
      </c>
    </row>
    <row r="229" spans="1:14">
      <c r="A229" s="91" t="s">
        <v>2355</v>
      </c>
      <c r="B229" s="4" t="s">
        <v>2360</v>
      </c>
      <c r="C229" s="5" t="s">
        <v>122</v>
      </c>
      <c r="D229" s="5" t="s">
        <v>123</v>
      </c>
      <c r="E229" s="5" t="s">
        <v>124</v>
      </c>
      <c r="F229" s="56">
        <v>4132.2300000000005</v>
      </c>
      <c r="G229" s="56">
        <v>0</v>
      </c>
      <c r="H229" s="5">
        <v>0</v>
      </c>
      <c r="I229" s="5">
        <v>0</v>
      </c>
      <c r="J229" s="5">
        <v>0</v>
      </c>
      <c r="K229" s="5">
        <v>867.77</v>
      </c>
      <c r="L229" s="5">
        <v>0</v>
      </c>
      <c r="M229" s="56">
        <v>0</v>
      </c>
      <c r="N229" s="92">
        <v>5000</v>
      </c>
    </row>
    <row r="230" spans="1:14">
      <c r="A230" s="91" t="s">
        <v>2355</v>
      </c>
      <c r="B230" s="4" t="s">
        <v>2361</v>
      </c>
      <c r="C230" s="5" t="s">
        <v>122</v>
      </c>
      <c r="D230" s="5" t="s">
        <v>123</v>
      </c>
      <c r="E230" s="5" t="s">
        <v>124</v>
      </c>
      <c r="F230" s="56">
        <v>4380.17</v>
      </c>
      <c r="G230" s="56">
        <v>0</v>
      </c>
      <c r="H230" s="5">
        <v>0</v>
      </c>
      <c r="I230" s="5">
        <v>0</v>
      </c>
      <c r="J230" s="5">
        <v>0</v>
      </c>
      <c r="K230" s="5">
        <v>919.83</v>
      </c>
      <c r="L230" s="5">
        <v>0</v>
      </c>
      <c r="M230" s="56">
        <v>0</v>
      </c>
      <c r="N230" s="92">
        <v>5300</v>
      </c>
    </row>
    <row r="231" spans="1:14">
      <c r="A231" s="91" t="s">
        <v>2369</v>
      </c>
      <c r="B231" s="4" t="s">
        <v>2370</v>
      </c>
      <c r="C231" s="5" t="s">
        <v>122</v>
      </c>
      <c r="D231" s="5" t="s">
        <v>123</v>
      </c>
      <c r="E231" s="5" t="s">
        <v>124</v>
      </c>
      <c r="F231" s="56">
        <v>6942.15</v>
      </c>
      <c r="G231" s="56">
        <v>0</v>
      </c>
      <c r="H231" s="5">
        <v>0</v>
      </c>
      <c r="I231" s="5">
        <v>0</v>
      </c>
      <c r="J231" s="5">
        <v>0</v>
      </c>
      <c r="K231" s="5">
        <v>1457.85</v>
      </c>
      <c r="L231" s="5">
        <v>0</v>
      </c>
      <c r="M231" s="56">
        <v>0</v>
      </c>
      <c r="N231" s="92">
        <v>8400</v>
      </c>
    </row>
    <row r="232" spans="1:14">
      <c r="A232" s="91" t="s">
        <v>2369</v>
      </c>
      <c r="B232" s="4" t="s">
        <v>2371</v>
      </c>
      <c r="C232" s="5" t="s">
        <v>122</v>
      </c>
      <c r="D232" s="5" t="s">
        <v>123</v>
      </c>
      <c r="E232" s="5" t="s">
        <v>124</v>
      </c>
      <c r="F232" s="56">
        <v>4132.2300000000005</v>
      </c>
      <c r="G232" s="56">
        <v>0</v>
      </c>
      <c r="H232" s="5">
        <v>0</v>
      </c>
      <c r="I232" s="5">
        <v>0</v>
      </c>
      <c r="J232" s="5">
        <v>0</v>
      </c>
      <c r="K232" s="5">
        <v>867.77</v>
      </c>
      <c r="L232" s="5">
        <v>0</v>
      </c>
      <c r="M232" s="56">
        <v>0</v>
      </c>
      <c r="N232" s="92">
        <v>5000</v>
      </c>
    </row>
    <row r="233" spans="1:14">
      <c r="A233" s="91" t="s">
        <v>2369</v>
      </c>
      <c r="B233" s="4" t="s">
        <v>2372</v>
      </c>
      <c r="C233" s="5" t="s">
        <v>122</v>
      </c>
      <c r="D233" s="5" t="s">
        <v>123</v>
      </c>
      <c r="E233" s="5" t="s">
        <v>124</v>
      </c>
      <c r="F233" s="56">
        <v>20826.45</v>
      </c>
      <c r="G233" s="56">
        <v>0</v>
      </c>
      <c r="H233" s="5">
        <v>0</v>
      </c>
      <c r="I233" s="5">
        <v>0</v>
      </c>
      <c r="J233" s="5">
        <v>0</v>
      </c>
      <c r="K233" s="5">
        <v>4373.55</v>
      </c>
      <c r="L233" s="5">
        <v>0</v>
      </c>
      <c r="M233" s="56">
        <v>0</v>
      </c>
      <c r="N233" s="92">
        <v>25200</v>
      </c>
    </row>
    <row r="234" spans="1:14">
      <c r="A234" s="91" t="s">
        <v>2369</v>
      </c>
      <c r="B234" s="4" t="s">
        <v>2373</v>
      </c>
      <c r="C234" s="5" t="s">
        <v>122</v>
      </c>
      <c r="D234" s="5" t="s">
        <v>123</v>
      </c>
      <c r="E234" s="5" t="s">
        <v>124</v>
      </c>
      <c r="F234" s="56">
        <v>9917.36</v>
      </c>
      <c r="G234" s="56">
        <v>0</v>
      </c>
      <c r="H234" s="5">
        <v>0</v>
      </c>
      <c r="I234" s="5">
        <v>0</v>
      </c>
      <c r="J234" s="5">
        <v>0</v>
      </c>
      <c r="K234" s="5">
        <v>2082.64</v>
      </c>
      <c r="L234" s="5">
        <v>0</v>
      </c>
      <c r="M234" s="56">
        <v>0</v>
      </c>
      <c r="N234" s="92">
        <v>12000</v>
      </c>
    </row>
    <row r="235" spans="1:14">
      <c r="A235" s="91" t="s">
        <v>2369</v>
      </c>
      <c r="B235" s="4" t="s">
        <v>2374</v>
      </c>
      <c r="C235" s="5" t="s">
        <v>122</v>
      </c>
      <c r="D235" s="5" t="s">
        <v>123</v>
      </c>
      <c r="E235" s="5" t="s">
        <v>124</v>
      </c>
      <c r="F235" s="56">
        <v>3925.62</v>
      </c>
      <c r="G235" s="56">
        <v>0</v>
      </c>
      <c r="H235" s="5">
        <v>0</v>
      </c>
      <c r="I235" s="5">
        <v>0</v>
      </c>
      <c r="J235" s="5">
        <v>0</v>
      </c>
      <c r="K235" s="5">
        <v>824.38</v>
      </c>
      <c r="L235" s="5">
        <v>0</v>
      </c>
      <c r="M235" s="56">
        <v>0</v>
      </c>
      <c r="N235" s="92">
        <v>4750</v>
      </c>
    </row>
    <row r="236" spans="1:14">
      <c r="A236" s="91" t="s">
        <v>2369</v>
      </c>
      <c r="B236" s="4" t="s">
        <v>2375</v>
      </c>
      <c r="C236" s="5" t="s">
        <v>122</v>
      </c>
      <c r="D236" s="5" t="s">
        <v>123</v>
      </c>
      <c r="E236" s="5" t="s">
        <v>124</v>
      </c>
      <c r="F236" s="56">
        <v>14876.03</v>
      </c>
      <c r="G236" s="56">
        <v>0</v>
      </c>
      <c r="H236" s="5">
        <v>0</v>
      </c>
      <c r="I236" s="5">
        <v>0</v>
      </c>
      <c r="J236" s="5">
        <v>0</v>
      </c>
      <c r="K236" s="5">
        <v>3123.97</v>
      </c>
      <c r="L236" s="5">
        <v>0</v>
      </c>
      <c r="M236" s="56">
        <v>0</v>
      </c>
      <c r="N236" s="92">
        <v>18000</v>
      </c>
    </row>
    <row r="237" spans="1:14">
      <c r="A237" s="91" t="s">
        <v>2369</v>
      </c>
      <c r="B237" s="4" t="s">
        <v>2376</v>
      </c>
      <c r="C237" s="5" t="s">
        <v>122</v>
      </c>
      <c r="D237" s="5" t="s">
        <v>123</v>
      </c>
      <c r="E237" s="5" t="s">
        <v>124</v>
      </c>
      <c r="F237" s="56">
        <v>17355.37</v>
      </c>
      <c r="G237" s="56">
        <v>0</v>
      </c>
      <c r="H237" s="5">
        <v>0</v>
      </c>
      <c r="I237" s="5">
        <v>0</v>
      </c>
      <c r="J237" s="5">
        <v>0</v>
      </c>
      <c r="K237" s="5">
        <v>3644.63</v>
      </c>
      <c r="L237" s="5">
        <v>0</v>
      </c>
      <c r="M237" s="56">
        <v>0</v>
      </c>
      <c r="N237" s="92">
        <v>21000</v>
      </c>
    </row>
    <row r="238" spans="1:14">
      <c r="A238" s="91" t="s">
        <v>2369</v>
      </c>
      <c r="B238" s="4" t="s">
        <v>2377</v>
      </c>
      <c r="C238" s="5" t="s">
        <v>122</v>
      </c>
      <c r="D238" s="5" t="s">
        <v>123</v>
      </c>
      <c r="E238" s="5" t="s">
        <v>124</v>
      </c>
      <c r="F238" s="56">
        <v>3140.5</v>
      </c>
      <c r="G238" s="56">
        <v>0</v>
      </c>
      <c r="H238" s="5">
        <v>0</v>
      </c>
      <c r="I238" s="5">
        <v>0</v>
      </c>
      <c r="J238" s="5">
        <v>0</v>
      </c>
      <c r="K238" s="5">
        <v>659.5</v>
      </c>
      <c r="L238" s="5">
        <v>0</v>
      </c>
      <c r="M238" s="56">
        <v>0</v>
      </c>
      <c r="N238" s="92">
        <v>3800</v>
      </c>
    </row>
    <row r="239" spans="1:14">
      <c r="A239" s="91" t="s">
        <v>2369</v>
      </c>
      <c r="B239" s="4" t="s">
        <v>2378</v>
      </c>
      <c r="C239" s="5" t="s">
        <v>122</v>
      </c>
      <c r="D239" s="5" t="s">
        <v>123</v>
      </c>
      <c r="E239" s="5" t="s">
        <v>124</v>
      </c>
      <c r="F239" s="56">
        <v>7851.24</v>
      </c>
      <c r="G239" s="56">
        <v>0</v>
      </c>
      <c r="H239" s="5">
        <v>0</v>
      </c>
      <c r="I239" s="5">
        <v>0</v>
      </c>
      <c r="J239" s="5">
        <v>0</v>
      </c>
      <c r="K239" s="5">
        <v>1648.76</v>
      </c>
      <c r="L239" s="5">
        <v>0</v>
      </c>
      <c r="M239" s="56">
        <v>0</v>
      </c>
      <c r="N239" s="92">
        <v>9500</v>
      </c>
    </row>
    <row r="240" spans="1:14">
      <c r="A240" s="91" t="s">
        <v>2369</v>
      </c>
      <c r="B240" s="4" t="s">
        <v>2379</v>
      </c>
      <c r="C240" s="5" t="s">
        <v>122</v>
      </c>
      <c r="D240" s="5" t="s">
        <v>123</v>
      </c>
      <c r="E240" s="5" t="s">
        <v>124</v>
      </c>
      <c r="F240" s="56">
        <v>2479.34</v>
      </c>
      <c r="G240" s="56">
        <v>0</v>
      </c>
      <c r="H240" s="5">
        <v>0</v>
      </c>
      <c r="I240" s="5">
        <v>0</v>
      </c>
      <c r="J240" s="5">
        <v>0</v>
      </c>
      <c r="K240" s="5">
        <v>520.66</v>
      </c>
      <c r="L240" s="5">
        <v>0</v>
      </c>
      <c r="M240" s="56">
        <v>0</v>
      </c>
      <c r="N240" s="92">
        <v>3000</v>
      </c>
    </row>
    <row r="241" spans="1:14">
      <c r="A241" s="91" t="s">
        <v>2393</v>
      </c>
      <c r="B241" s="4" t="s">
        <v>2394</v>
      </c>
      <c r="C241" s="5" t="s">
        <v>122</v>
      </c>
      <c r="D241" s="5" t="s">
        <v>123</v>
      </c>
      <c r="E241" s="5" t="s">
        <v>124</v>
      </c>
      <c r="F241" s="56">
        <v>17090.91</v>
      </c>
      <c r="G241" s="56">
        <v>0</v>
      </c>
      <c r="H241" s="5">
        <v>0</v>
      </c>
      <c r="I241" s="5">
        <v>0</v>
      </c>
      <c r="J241" s="5">
        <v>0</v>
      </c>
      <c r="K241" s="5">
        <v>3589.09</v>
      </c>
      <c r="L241" s="5">
        <v>0</v>
      </c>
      <c r="M241" s="56">
        <v>0</v>
      </c>
      <c r="N241" s="92">
        <v>20680</v>
      </c>
    </row>
    <row r="242" spans="1:14">
      <c r="A242" s="91" t="s">
        <v>2393</v>
      </c>
      <c r="B242" s="4" t="s">
        <v>2395</v>
      </c>
      <c r="C242" s="5" t="s">
        <v>122</v>
      </c>
      <c r="D242" s="5" t="s">
        <v>123</v>
      </c>
      <c r="E242" s="5" t="s">
        <v>124</v>
      </c>
      <c r="F242" s="56">
        <v>3925.62</v>
      </c>
      <c r="G242" s="56">
        <v>0</v>
      </c>
      <c r="H242" s="5">
        <v>0</v>
      </c>
      <c r="I242" s="5">
        <v>0</v>
      </c>
      <c r="J242" s="5">
        <v>0</v>
      </c>
      <c r="K242" s="5">
        <v>824.38</v>
      </c>
      <c r="L242" s="5">
        <v>0</v>
      </c>
      <c r="M242" s="56">
        <v>0</v>
      </c>
      <c r="N242" s="92">
        <v>4750</v>
      </c>
    </row>
    <row r="243" spans="1:14">
      <c r="A243" s="91" t="s">
        <v>2393</v>
      </c>
      <c r="B243" s="4" t="s">
        <v>2396</v>
      </c>
      <c r="C243" s="5" t="s">
        <v>122</v>
      </c>
      <c r="D243" s="5" t="s">
        <v>123</v>
      </c>
      <c r="E243" s="5" t="s">
        <v>124</v>
      </c>
      <c r="F243" s="56">
        <v>5371.9</v>
      </c>
      <c r="G243" s="56">
        <v>0</v>
      </c>
      <c r="H243" s="5">
        <v>0</v>
      </c>
      <c r="I243" s="5">
        <v>0</v>
      </c>
      <c r="J243" s="5">
        <v>0</v>
      </c>
      <c r="K243" s="5">
        <v>1128.1000000000001</v>
      </c>
      <c r="L243" s="5">
        <v>0</v>
      </c>
      <c r="M243" s="56">
        <v>0</v>
      </c>
      <c r="N243" s="92">
        <v>6500</v>
      </c>
    </row>
    <row r="244" spans="1:14">
      <c r="A244" s="91" t="s">
        <v>2393</v>
      </c>
      <c r="B244" s="4" t="s">
        <v>2397</v>
      </c>
      <c r="C244" s="5" t="s">
        <v>2398</v>
      </c>
      <c r="D244" s="5" t="s">
        <v>123</v>
      </c>
      <c r="E244" s="5">
        <v>13655230</v>
      </c>
      <c r="F244" s="56">
        <v>19008.260000000002</v>
      </c>
      <c r="G244" s="56">
        <v>0</v>
      </c>
      <c r="H244" s="5">
        <v>0</v>
      </c>
      <c r="I244" s="5">
        <v>0</v>
      </c>
      <c r="J244" s="5">
        <v>0</v>
      </c>
      <c r="K244" s="5">
        <v>3991.74</v>
      </c>
      <c r="L244" s="5">
        <v>0</v>
      </c>
      <c r="M244" s="56">
        <v>0</v>
      </c>
      <c r="N244" s="92">
        <v>23000</v>
      </c>
    </row>
    <row r="245" spans="1:14">
      <c r="A245" s="91" t="s">
        <v>2393</v>
      </c>
      <c r="B245" s="4" t="s">
        <v>2399</v>
      </c>
      <c r="C245" s="5" t="s">
        <v>122</v>
      </c>
      <c r="D245" s="5" t="s">
        <v>123</v>
      </c>
      <c r="E245" s="5" t="s">
        <v>124</v>
      </c>
      <c r="F245" s="56">
        <v>14214.88</v>
      </c>
      <c r="G245" s="56">
        <v>0</v>
      </c>
      <c r="H245" s="5">
        <v>0</v>
      </c>
      <c r="I245" s="5">
        <v>0</v>
      </c>
      <c r="J245" s="5">
        <v>0</v>
      </c>
      <c r="K245" s="5">
        <v>2985.12</v>
      </c>
      <c r="L245" s="5">
        <v>0</v>
      </c>
      <c r="M245" s="56">
        <v>0</v>
      </c>
      <c r="N245" s="92">
        <v>17200</v>
      </c>
    </row>
    <row r="246" spans="1:14">
      <c r="A246" s="91" t="s">
        <v>2393</v>
      </c>
      <c r="B246" s="4" t="s">
        <v>2400</v>
      </c>
      <c r="C246" s="5" t="s">
        <v>122</v>
      </c>
      <c r="D246" s="5" t="s">
        <v>123</v>
      </c>
      <c r="E246" s="5" t="s">
        <v>124</v>
      </c>
      <c r="F246" s="56">
        <v>3628.1</v>
      </c>
      <c r="G246" s="56">
        <v>0</v>
      </c>
      <c r="H246" s="5">
        <v>0</v>
      </c>
      <c r="I246" s="5">
        <v>0</v>
      </c>
      <c r="J246" s="5">
        <v>0</v>
      </c>
      <c r="K246" s="5">
        <v>761.9</v>
      </c>
      <c r="L246" s="5">
        <v>0</v>
      </c>
      <c r="M246" s="56">
        <v>0</v>
      </c>
      <c r="N246" s="92">
        <v>4390</v>
      </c>
    </row>
    <row r="247" spans="1:14">
      <c r="A247" s="91" t="s">
        <v>2393</v>
      </c>
      <c r="B247" s="4" t="s">
        <v>2401</v>
      </c>
      <c r="C247" s="5" t="s">
        <v>122</v>
      </c>
      <c r="D247" s="5" t="s">
        <v>123</v>
      </c>
      <c r="E247" s="5" t="s">
        <v>124</v>
      </c>
      <c r="F247" s="56">
        <v>3553.72</v>
      </c>
      <c r="G247" s="56">
        <v>0</v>
      </c>
      <c r="H247" s="5">
        <v>0</v>
      </c>
      <c r="I247" s="5">
        <v>0</v>
      </c>
      <c r="J247" s="5">
        <v>0</v>
      </c>
      <c r="K247" s="5">
        <v>746.28</v>
      </c>
      <c r="L247" s="5">
        <v>0</v>
      </c>
      <c r="M247" s="56">
        <v>0</v>
      </c>
      <c r="N247" s="92">
        <v>4300</v>
      </c>
    </row>
    <row r="248" spans="1:14">
      <c r="A248" s="91" t="s">
        <v>2393</v>
      </c>
      <c r="B248" s="4" t="s">
        <v>2402</v>
      </c>
      <c r="C248" s="5" t="s">
        <v>122</v>
      </c>
      <c r="D248" s="5" t="s">
        <v>123</v>
      </c>
      <c r="E248" s="5" t="s">
        <v>124</v>
      </c>
      <c r="F248" s="56">
        <v>1652.89</v>
      </c>
      <c r="G248" s="56">
        <v>0</v>
      </c>
      <c r="H248" s="5">
        <v>0</v>
      </c>
      <c r="I248" s="5">
        <v>0</v>
      </c>
      <c r="J248" s="5">
        <v>0</v>
      </c>
      <c r="K248" s="5">
        <v>347.11</v>
      </c>
      <c r="L248" s="5">
        <v>0</v>
      </c>
      <c r="M248" s="56">
        <v>0</v>
      </c>
      <c r="N248" s="92">
        <v>2000</v>
      </c>
    </row>
    <row r="249" spans="1:14">
      <c r="A249" s="91" t="s">
        <v>2393</v>
      </c>
      <c r="B249" s="4" t="s">
        <v>2403</v>
      </c>
      <c r="C249" s="5" t="s">
        <v>122</v>
      </c>
      <c r="D249" s="5" t="s">
        <v>123</v>
      </c>
      <c r="E249" s="5" t="s">
        <v>124</v>
      </c>
      <c r="F249" s="56">
        <v>3628.1</v>
      </c>
      <c r="G249" s="56">
        <v>0</v>
      </c>
      <c r="H249" s="5">
        <v>0</v>
      </c>
      <c r="I249" s="5">
        <v>0</v>
      </c>
      <c r="J249" s="5">
        <v>0</v>
      </c>
      <c r="K249" s="5">
        <v>761.9</v>
      </c>
      <c r="L249" s="5">
        <v>0</v>
      </c>
      <c r="M249" s="56">
        <v>0</v>
      </c>
      <c r="N249" s="92">
        <v>4390</v>
      </c>
    </row>
    <row r="250" spans="1:14">
      <c r="A250" s="91" t="s">
        <v>2393</v>
      </c>
      <c r="B250" s="4" t="s">
        <v>2404</v>
      </c>
      <c r="C250" s="5" t="s">
        <v>122</v>
      </c>
      <c r="D250" s="5" t="s">
        <v>123</v>
      </c>
      <c r="E250" s="5" t="s">
        <v>124</v>
      </c>
      <c r="F250" s="56">
        <v>12396.69</v>
      </c>
      <c r="G250" s="56">
        <v>0</v>
      </c>
      <c r="H250" s="5">
        <v>0</v>
      </c>
      <c r="I250" s="5">
        <v>0</v>
      </c>
      <c r="J250" s="5">
        <v>0</v>
      </c>
      <c r="K250" s="5">
        <v>2603.31</v>
      </c>
      <c r="L250" s="5">
        <v>0</v>
      </c>
      <c r="M250" s="56">
        <v>0</v>
      </c>
      <c r="N250" s="92">
        <v>15000</v>
      </c>
    </row>
    <row r="251" spans="1:14">
      <c r="A251" s="91" t="s">
        <v>2393</v>
      </c>
      <c r="B251" s="4" t="s">
        <v>2405</v>
      </c>
      <c r="C251" s="5" t="s">
        <v>122</v>
      </c>
      <c r="D251" s="5" t="s">
        <v>123</v>
      </c>
      <c r="E251" s="5" t="s">
        <v>124</v>
      </c>
      <c r="F251" s="56">
        <v>3305.79</v>
      </c>
      <c r="G251" s="56">
        <v>0</v>
      </c>
      <c r="H251" s="5">
        <v>0</v>
      </c>
      <c r="I251" s="5">
        <v>0</v>
      </c>
      <c r="J251" s="5">
        <v>0</v>
      </c>
      <c r="K251" s="5">
        <v>694.21</v>
      </c>
      <c r="L251" s="5">
        <v>0</v>
      </c>
      <c r="M251" s="56">
        <v>0</v>
      </c>
      <c r="N251" s="92">
        <v>4000</v>
      </c>
    </row>
    <row r="252" spans="1:14">
      <c r="A252" s="91" t="s">
        <v>2393</v>
      </c>
      <c r="B252" s="4" t="s">
        <v>2406</v>
      </c>
      <c r="C252" s="5" t="s">
        <v>122</v>
      </c>
      <c r="D252" s="5" t="s">
        <v>123</v>
      </c>
      <c r="E252" s="5" t="s">
        <v>124</v>
      </c>
      <c r="F252" s="56">
        <v>3214.88</v>
      </c>
      <c r="G252" s="56">
        <v>0</v>
      </c>
      <c r="H252" s="5">
        <v>0</v>
      </c>
      <c r="I252" s="5">
        <v>0</v>
      </c>
      <c r="J252" s="5">
        <v>0</v>
      </c>
      <c r="K252" s="5">
        <v>675.12</v>
      </c>
      <c r="L252" s="5">
        <v>0</v>
      </c>
      <c r="M252" s="56">
        <v>0</v>
      </c>
      <c r="N252" s="92">
        <v>3890</v>
      </c>
    </row>
    <row r="253" spans="1:14">
      <c r="A253" s="91" t="s">
        <v>2393</v>
      </c>
      <c r="B253" s="4" t="s">
        <v>2407</v>
      </c>
      <c r="C253" s="5" t="s">
        <v>122</v>
      </c>
      <c r="D253" s="5" t="s">
        <v>123</v>
      </c>
      <c r="E253" s="5" t="s">
        <v>124</v>
      </c>
      <c r="F253" s="56">
        <v>6611.57</v>
      </c>
      <c r="G253" s="56">
        <v>0</v>
      </c>
      <c r="H253" s="5">
        <v>0</v>
      </c>
      <c r="I253" s="5">
        <v>0</v>
      </c>
      <c r="J253" s="5">
        <v>0</v>
      </c>
      <c r="K253" s="5">
        <v>1388.43</v>
      </c>
      <c r="L253" s="5">
        <v>0</v>
      </c>
      <c r="M253" s="56">
        <v>0</v>
      </c>
      <c r="N253" s="92">
        <v>8000</v>
      </c>
    </row>
    <row r="254" spans="1:14">
      <c r="A254" s="91" t="s">
        <v>2393</v>
      </c>
      <c r="B254" s="4" t="s">
        <v>2408</v>
      </c>
      <c r="C254" s="5" t="s">
        <v>122</v>
      </c>
      <c r="D254" s="5" t="s">
        <v>123</v>
      </c>
      <c r="E254" s="5" t="s">
        <v>124</v>
      </c>
      <c r="F254" s="56">
        <v>5785.12</v>
      </c>
      <c r="G254" s="56">
        <v>0</v>
      </c>
      <c r="H254" s="5">
        <v>0</v>
      </c>
      <c r="I254" s="5">
        <v>0</v>
      </c>
      <c r="J254" s="5">
        <v>0</v>
      </c>
      <c r="K254" s="5">
        <v>1214.8800000000001</v>
      </c>
      <c r="L254" s="5">
        <v>0</v>
      </c>
      <c r="M254" s="56">
        <v>0</v>
      </c>
      <c r="N254" s="92">
        <v>7000</v>
      </c>
    </row>
    <row r="255" spans="1:14">
      <c r="A255" s="91" t="s">
        <v>2412</v>
      </c>
      <c r="B255" s="4" t="s">
        <v>2413</v>
      </c>
      <c r="C255" s="5" t="s">
        <v>122</v>
      </c>
      <c r="D255" s="5" t="s">
        <v>123</v>
      </c>
      <c r="E255" s="5" t="s">
        <v>124</v>
      </c>
      <c r="F255" s="56">
        <v>3012.4</v>
      </c>
      <c r="G255" s="56">
        <v>0</v>
      </c>
      <c r="H255" s="5">
        <v>0</v>
      </c>
      <c r="I255" s="5">
        <v>0</v>
      </c>
      <c r="J255" s="5">
        <v>0</v>
      </c>
      <c r="K255" s="5">
        <v>632.6</v>
      </c>
      <c r="L255" s="5">
        <v>0</v>
      </c>
      <c r="M255" s="56">
        <v>0</v>
      </c>
      <c r="N255" s="92">
        <v>3645</v>
      </c>
    </row>
    <row r="256" spans="1:14">
      <c r="A256" s="91" t="s">
        <v>2412</v>
      </c>
      <c r="B256" s="4" t="s">
        <v>2414</v>
      </c>
      <c r="C256" s="5" t="s">
        <v>122</v>
      </c>
      <c r="D256" s="5" t="s">
        <v>123</v>
      </c>
      <c r="E256" s="5" t="s">
        <v>124</v>
      </c>
      <c r="F256" s="56">
        <v>7520.66</v>
      </c>
      <c r="G256" s="56">
        <v>0</v>
      </c>
      <c r="H256" s="5">
        <v>0</v>
      </c>
      <c r="I256" s="5">
        <v>0</v>
      </c>
      <c r="J256" s="5">
        <v>0</v>
      </c>
      <c r="K256" s="5">
        <v>1579.34</v>
      </c>
      <c r="L256" s="5">
        <v>0</v>
      </c>
      <c r="M256" s="56">
        <v>0</v>
      </c>
      <c r="N256" s="92">
        <v>9100</v>
      </c>
    </row>
    <row r="257" spans="1:14">
      <c r="A257" s="91" t="s">
        <v>2412</v>
      </c>
      <c r="B257" s="4" t="s">
        <v>2415</v>
      </c>
      <c r="C257" s="5" t="s">
        <v>122</v>
      </c>
      <c r="D257" s="5" t="s">
        <v>123</v>
      </c>
      <c r="E257" s="5" t="s">
        <v>124</v>
      </c>
      <c r="F257" s="56">
        <v>12198.35</v>
      </c>
      <c r="G257" s="56">
        <v>0</v>
      </c>
      <c r="H257" s="5">
        <v>0</v>
      </c>
      <c r="I257" s="5">
        <v>0</v>
      </c>
      <c r="J257" s="5">
        <v>0</v>
      </c>
      <c r="K257" s="5">
        <v>2561.65</v>
      </c>
      <c r="L257" s="5">
        <v>0</v>
      </c>
      <c r="M257" s="56">
        <v>0</v>
      </c>
      <c r="N257" s="92">
        <v>14760</v>
      </c>
    </row>
    <row r="258" spans="1:14">
      <c r="A258" s="91" t="s">
        <v>2412</v>
      </c>
      <c r="B258" s="4" t="s">
        <v>2416</v>
      </c>
      <c r="C258" s="5" t="s">
        <v>122</v>
      </c>
      <c r="D258" s="5" t="s">
        <v>123</v>
      </c>
      <c r="E258" s="5" t="s">
        <v>124</v>
      </c>
      <c r="F258" s="56">
        <v>26995.040000000001</v>
      </c>
      <c r="G258" s="56">
        <v>0</v>
      </c>
      <c r="H258" s="5">
        <v>0</v>
      </c>
      <c r="I258" s="5">
        <v>0</v>
      </c>
      <c r="J258" s="5">
        <v>0</v>
      </c>
      <c r="K258" s="5">
        <v>5668.96</v>
      </c>
      <c r="L258" s="5">
        <v>0</v>
      </c>
      <c r="M258" s="56">
        <v>0</v>
      </c>
      <c r="N258" s="92">
        <v>32664</v>
      </c>
    </row>
    <row r="259" spans="1:14">
      <c r="A259" s="91" t="s">
        <v>2412</v>
      </c>
      <c r="B259" s="4" t="s">
        <v>2417</v>
      </c>
      <c r="C259" s="5" t="s">
        <v>122</v>
      </c>
      <c r="D259" s="5" t="s">
        <v>123</v>
      </c>
      <c r="E259" s="5" t="s">
        <v>124</v>
      </c>
      <c r="F259" s="56">
        <v>12198.35</v>
      </c>
      <c r="G259" s="56">
        <v>0</v>
      </c>
      <c r="H259" s="5">
        <v>0</v>
      </c>
      <c r="I259" s="5">
        <v>0</v>
      </c>
      <c r="J259" s="5">
        <v>0</v>
      </c>
      <c r="K259" s="5">
        <v>2561.65</v>
      </c>
      <c r="L259" s="5">
        <v>0</v>
      </c>
      <c r="M259" s="56">
        <v>0</v>
      </c>
      <c r="N259" s="92">
        <v>14760</v>
      </c>
    </row>
    <row r="260" spans="1:14">
      <c r="A260" s="91" t="s">
        <v>2412</v>
      </c>
      <c r="B260" s="4" t="s">
        <v>2418</v>
      </c>
      <c r="C260" s="5" t="s">
        <v>122</v>
      </c>
      <c r="D260" s="5" t="s">
        <v>123</v>
      </c>
      <c r="E260" s="5" t="s">
        <v>124</v>
      </c>
      <c r="F260" s="56">
        <v>10826.45</v>
      </c>
      <c r="G260" s="56">
        <v>0</v>
      </c>
      <c r="H260" s="5">
        <v>0</v>
      </c>
      <c r="I260" s="5">
        <v>0</v>
      </c>
      <c r="J260" s="5">
        <v>0</v>
      </c>
      <c r="K260" s="5">
        <v>2273.5500000000002</v>
      </c>
      <c r="L260" s="5">
        <v>0</v>
      </c>
      <c r="M260" s="56">
        <v>0</v>
      </c>
      <c r="N260" s="92">
        <v>13100</v>
      </c>
    </row>
    <row r="261" spans="1:14">
      <c r="A261" s="91" t="s">
        <v>2412</v>
      </c>
      <c r="B261" s="4" t="s">
        <v>2419</v>
      </c>
      <c r="C261" s="5" t="s">
        <v>122</v>
      </c>
      <c r="D261" s="5" t="s">
        <v>123</v>
      </c>
      <c r="E261" s="5" t="s">
        <v>124</v>
      </c>
      <c r="F261" s="56">
        <v>3925.62</v>
      </c>
      <c r="G261" s="56">
        <v>0</v>
      </c>
      <c r="H261" s="5">
        <v>0</v>
      </c>
      <c r="I261" s="5">
        <v>0</v>
      </c>
      <c r="J261" s="5">
        <v>0</v>
      </c>
      <c r="K261" s="5">
        <v>824.38</v>
      </c>
      <c r="L261" s="5">
        <v>0</v>
      </c>
      <c r="M261" s="56">
        <v>0</v>
      </c>
      <c r="N261" s="92">
        <v>4750</v>
      </c>
    </row>
    <row r="262" spans="1:14">
      <c r="A262" s="91" t="s">
        <v>2412</v>
      </c>
      <c r="B262" s="4" t="s">
        <v>2420</v>
      </c>
      <c r="C262" s="5" t="s">
        <v>122</v>
      </c>
      <c r="D262" s="5" t="s">
        <v>123</v>
      </c>
      <c r="E262" s="5" t="s">
        <v>124</v>
      </c>
      <c r="F262" s="56">
        <v>15950.41</v>
      </c>
      <c r="G262" s="56">
        <v>0</v>
      </c>
      <c r="H262" s="5">
        <v>0</v>
      </c>
      <c r="I262" s="5">
        <v>0</v>
      </c>
      <c r="J262" s="5">
        <v>0</v>
      </c>
      <c r="K262" s="5">
        <v>3349.59</v>
      </c>
      <c r="L262" s="5">
        <v>0</v>
      </c>
      <c r="M262" s="56">
        <v>0</v>
      </c>
      <c r="N262" s="92">
        <v>19300</v>
      </c>
    </row>
    <row r="263" spans="1:14">
      <c r="A263" s="91" t="s">
        <v>2412</v>
      </c>
      <c r="B263" s="4" t="s">
        <v>2421</v>
      </c>
      <c r="C263" s="5" t="s">
        <v>122</v>
      </c>
      <c r="D263" s="5" t="s">
        <v>123</v>
      </c>
      <c r="E263" s="5" t="s">
        <v>124</v>
      </c>
      <c r="F263" s="56">
        <v>4132.2300000000005</v>
      </c>
      <c r="G263" s="56">
        <v>0</v>
      </c>
      <c r="H263" s="5">
        <v>0</v>
      </c>
      <c r="I263" s="5">
        <v>0</v>
      </c>
      <c r="J263" s="5">
        <v>0</v>
      </c>
      <c r="K263" s="5">
        <v>867.77</v>
      </c>
      <c r="L263" s="5">
        <v>0</v>
      </c>
      <c r="M263" s="56">
        <v>0</v>
      </c>
      <c r="N263" s="92">
        <v>5000</v>
      </c>
    </row>
    <row r="264" spans="1:14">
      <c r="A264" s="91" t="s">
        <v>2412</v>
      </c>
      <c r="B264" s="4" t="s">
        <v>2422</v>
      </c>
      <c r="C264" s="5" t="s">
        <v>122</v>
      </c>
      <c r="D264" s="5" t="s">
        <v>123</v>
      </c>
      <c r="E264" s="5" t="s">
        <v>124</v>
      </c>
      <c r="F264" s="56">
        <v>3012.4</v>
      </c>
      <c r="G264" s="56">
        <v>0</v>
      </c>
      <c r="H264" s="5">
        <v>0</v>
      </c>
      <c r="I264" s="5">
        <v>0</v>
      </c>
      <c r="J264" s="5">
        <v>0</v>
      </c>
      <c r="K264" s="5">
        <v>632.6</v>
      </c>
      <c r="L264" s="5">
        <v>0</v>
      </c>
      <c r="M264" s="56">
        <v>0</v>
      </c>
      <c r="N264" s="92">
        <v>3645</v>
      </c>
    </row>
    <row r="265" spans="1:14">
      <c r="A265" s="91" t="s">
        <v>2412</v>
      </c>
      <c r="B265" s="4" t="s">
        <v>2423</v>
      </c>
      <c r="C265" s="5" t="s">
        <v>122</v>
      </c>
      <c r="D265" s="5" t="s">
        <v>123</v>
      </c>
      <c r="E265" s="5" t="s">
        <v>124</v>
      </c>
      <c r="F265" s="56">
        <v>12644.63</v>
      </c>
      <c r="G265" s="56">
        <v>0</v>
      </c>
      <c r="H265" s="5">
        <v>0</v>
      </c>
      <c r="I265" s="5">
        <v>0</v>
      </c>
      <c r="J265" s="5">
        <v>0</v>
      </c>
      <c r="K265" s="5">
        <v>2655.37</v>
      </c>
      <c r="L265" s="5">
        <v>0</v>
      </c>
      <c r="M265" s="56">
        <v>0</v>
      </c>
      <c r="N265" s="92">
        <v>15300</v>
      </c>
    </row>
    <row r="266" spans="1:14">
      <c r="A266" s="91" t="s">
        <v>2412</v>
      </c>
      <c r="B266" s="4" t="s">
        <v>2424</v>
      </c>
      <c r="C266" s="5" t="s">
        <v>122</v>
      </c>
      <c r="D266" s="5" t="s">
        <v>123</v>
      </c>
      <c r="E266" s="5" t="s">
        <v>124</v>
      </c>
      <c r="F266" s="56">
        <v>16528.93</v>
      </c>
      <c r="G266" s="56">
        <v>0</v>
      </c>
      <c r="H266" s="5">
        <v>0</v>
      </c>
      <c r="I266" s="5">
        <v>0</v>
      </c>
      <c r="J266" s="5">
        <v>0</v>
      </c>
      <c r="K266" s="5">
        <v>3471.07</v>
      </c>
      <c r="L266" s="5">
        <v>0</v>
      </c>
      <c r="M266" s="56">
        <v>0</v>
      </c>
      <c r="N266" s="92">
        <v>20000</v>
      </c>
    </row>
    <row r="267" spans="1:14">
      <c r="A267" s="91" t="s">
        <v>2412</v>
      </c>
      <c r="B267" s="4" t="s">
        <v>2425</v>
      </c>
      <c r="C267" s="5" t="s">
        <v>122</v>
      </c>
      <c r="D267" s="5" t="s">
        <v>123</v>
      </c>
      <c r="E267" s="5" t="s">
        <v>124</v>
      </c>
      <c r="F267" s="56">
        <v>10743.8</v>
      </c>
      <c r="G267" s="56">
        <v>0</v>
      </c>
      <c r="H267" s="5">
        <v>0</v>
      </c>
      <c r="I267" s="5">
        <v>0</v>
      </c>
      <c r="J267" s="5">
        <v>0</v>
      </c>
      <c r="K267" s="5">
        <v>2256.2000000000003</v>
      </c>
      <c r="L267" s="5">
        <v>0</v>
      </c>
      <c r="M267" s="56">
        <v>0</v>
      </c>
      <c r="N267" s="92">
        <v>13000</v>
      </c>
    </row>
    <row r="268" spans="1:14">
      <c r="A268" s="91" t="s">
        <v>2434</v>
      </c>
      <c r="B268" s="4" t="s">
        <v>2435</v>
      </c>
      <c r="C268" s="5" t="s">
        <v>122</v>
      </c>
      <c r="D268" s="5" t="s">
        <v>123</v>
      </c>
      <c r="E268" s="5" t="s">
        <v>124</v>
      </c>
      <c r="F268" s="56">
        <v>3388.43</v>
      </c>
      <c r="G268" s="56">
        <v>0</v>
      </c>
      <c r="H268" s="5">
        <v>0</v>
      </c>
      <c r="I268" s="5">
        <v>0</v>
      </c>
      <c r="J268" s="5">
        <v>0</v>
      </c>
      <c r="K268" s="5">
        <v>711.57</v>
      </c>
      <c r="L268" s="5">
        <v>0</v>
      </c>
      <c r="M268" s="56">
        <v>0</v>
      </c>
      <c r="N268" s="92">
        <v>4100</v>
      </c>
    </row>
    <row r="269" spans="1:14">
      <c r="A269" s="91" t="s">
        <v>2434</v>
      </c>
      <c r="B269" s="4" t="s">
        <v>2436</v>
      </c>
      <c r="C269" s="5" t="s">
        <v>122</v>
      </c>
      <c r="D269" s="5" t="s">
        <v>123</v>
      </c>
      <c r="E269" s="5" t="s">
        <v>124</v>
      </c>
      <c r="F269" s="56">
        <v>4132.2300000000005</v>
      </c>
      <c r="G269" s="56">
        <v>0</v>
      </c>
      <c r="H269" s="5">
        <v>0</v>
      </c>
      <c r="I269" s="5">
        <v>0</v>
      </c>
      <c r="J269" s="5">
        <v>0</v>
      </c>
      <c r="K269" s="5">
        <v>867.77</v>
      </c>
      <c r="L269" s="5">
        <v>0</v>
      </c>
      <c r="M269" s="56">
        <v>0</v>
      </c>
      <c r="N269" s="92">
        <v>5000</v>
      </c>
    </row>
    <row r="270" spans="1:14">
      <c r="A270" s="91" t="s">
        <v>2434</v>
      </c>
      <c r="B270" s="4" t="s">
        <v>2437</v>
      </c>
      <c r="C270" s="5" t="s">
        <v>122</v>
      </c>
      <c r="D270" s="5" t="s">
        <v>123</v>
      </c>
      <c r="E270" s="5" t="s">
        <v>124</v>
      </c>
      <c r="F270" s="56">
        <v>8553.7199999999993</v>
      </c>
      <c r="G270" s="56">
        <v>0</v>
      </c>
      <c r="H270" s="5">
        <v>0</v>
      </c>
      <c r="I270" s="5">
        <v>0</v>
      </c>
      <c r="J270" s="5">
        <v>0</v>
      </c>
      <c r="K270" s="5">
        <v>1796.28</v>
      </c>
      <c r="L270" s="5">
        <v>0</v>
      </c>
      <c r="M270" s="56">
        <v>0</v>
      </c>
      <c r="N270" s="92">
        <v>10350</v>
      </c>
    </row>
    <row r="271" spans="1:14">
      <c r="A271" s="91" t="s">
        <v>2434</v>
      </c>
      <c r="B271" s="4" t="s">
        <v>2438</v>
      </c>
      <c r="C271" s="5" t="s">
        <v>122</v>
      </c>
      <c r="D271" s="5" t="s">
        <v>123</v>
      </c>
      <c r="E271" s="5" t="s">
        <v>124</v>
      </c>
      <c r="F271" s="56">
        <v>4132.2300000000005</v>
      </c>
      <c r="G271" s="56">
        <v>0</v>
      </c>
      <c r="H271" s="5">
        <v>0</v>
      </c>
      <c r="I271" s="5">
        <v>0</v>
      </c>
      <c r="J271" s="5">
        <v>0</v>
      </c>
      <c r="K271" s="5">
        <v>867.77</v>
      </c>
      <c r="L271" s="5">
        <v>0</v>
      </c>
      <c r="M271" s="56">
        <v>0</v>
      </c>
      <c r="N271" s="92">
        <v>5000</v>
      </c>
    </row>
    <row r="272" spans="1:14">
      <c r="A272" s="91" t="s">
        <v>2434</v>
      </c>
      <c r="B272" s="4" t="s">
        <v>2439</v>
      </c>
      <c r="C272" s="5" t="s">
        <v>122</v>
      </c>
      <c r="D272" s="5" t="s">
        <v>123</v>
      </c>
      <c r="E272" s="5" t="s">
        <v>124</v>
      </c>
      <c r="F272" s="56">
        <v>4132.2300000000005</v>
      </c>
      <c r="G272" s="56">
        <v>0</v>
      </c>
      <c r="H272" s="5">
        <v>0</v>
      </c>
      <c r="I272" s="5">
        <v>0</v>
      </c>
      <c r="J272" s="5">
        <v>0</v>
      </c>
      <c r="K272" s="5">
        <v>867.77</v>
      </c>
      <c r="L272" s="5">
        <v>0</v>
      </c>
      <c r="M272" s="56">
        <v>0</v>
      </c>
      <c r="N272" s="92">
        <v>5000</v>
      </c>
    </row>
    <row r="273" spans="1:14">
      <c r="A273" s="91" t="s">
        <v>2434</v>
      </c>
      <c r="B273" s="4" t="s">
        <v>2440</v>
      </c>
      <c r="C273" s="5" t="s">
        <v>122</v>
      </c>
      <c r="D273" s="5" t="s">
        <v>123</v>
      </c>
      <c r="E273" s="5" t="s">
        <v>124</v>
      </c>
      <c r="F273" s="56">
        <v>3719.01</v>
      </c>
      <c r="G273" s="56">
        <v>0</v>
      </c>
      <c r="H273" s="5">
        <v>0</v>
      </c>
      <c r="I273" s="5">
        <v>0</v>
      </c>
      <c r="J273" s="5">
        <v>0</v>
      </c>
      <c r="K273" s="5">
        <v>780.99</v>
      </c>
      <c r="L273" s="5">
        <v>0</v>
      </c>
      <c r="M273" s="56">
        <v>0</v>
      </c>
      <c r="N273" s="92">
        <v>4500</v>
      </c>
    </row>
    <row r="274" spans="1:14">
      <c r="A274" s="91" t="s">
        <v>2434</v>
      </c>
      <c r="B274" s="4" t="s">
        <v>2441</v>
      </c>
      <c r="C274" s="5" t="s">
        <v>122</v>
      </c>
      <c r="D274" s="5" t="s">
        <v>123</v>
      </c>
      <c r="E274" s="5" t="s">
        <v>124</v>
      </c>
      <c r="F274" s="56">
        <v>5537.19</v>
      </c>
      <c r="G274" s="56">
        <v>0</v>
      </c>
      <c r="H274" s="5">
        <v>0</v>
      </c>
      <c r="I274" s="5">
        <v>0</v>
      </c>
      <c r="J274" s="5">
        <v>0</v>
      </c>
      <c r="K274" s="5">
        <v>1162.81</v>
      </c>
      <c r="L274" s="5">
        <v>0</v>
      </c>
      <c r="M274" s="56">
        <v>0</v>
      </c>
      <c r="N274" s="92">
        <v>6700</v>
      </c>
    </row>
    <row r="275" spans="1:14">
      <c r="A275" s="91" t="s">
        <v>2434</v>
      </c>
      <c r="B275" s="4" t="s">
        <v>2442</v>
      </c>
      <c r="C275" s="5" t="s">
        <v>122</v>
      </c>
      <c r="D275" s="5" t="s">
        <v>123</v>
      </c>
      <c r="E275" s="5" t="s">
        <v>124</v>
      </c>
      <c r="F275" s="56">
        <v>4793.3900000000003</v>
      </c>
      <c r="G275" s="56">
        <v>0</v>
      </c>
      <c r="H275" s="5">
        <v>0</v>
      </c>
      <c r="I275" s="5">
        <v>0</v>
      </c>
      <c r="J275" s="5">
        <v>0</v>
      </c>
      <c r="K275" s="5">
        <v>1006.61</v>
      </c>
      <c r="L275" s="5">
        <v>0</v>
      </c>
      <c r="M275" s="56">
        <v>0</v>
      </c>
      <c r="N275" s="92">
        <v>5800</v>
      </c>
    </row>
    <row r="276" spans="1:14">
      <c r="A276" s="91" t="s">
        <v>2434</v>
      </c>
      <c r="B276" s="4" t="s">
        <v>2443</v>
      </c>
      <c r="C276" s="5" t="s">
        <v>122</v>
      </c>
      <c r="D276" s="5" t="s">
        <v>123</v>
      </c>
      <c r="E276" s="5" t="s">
        <v>124</v>
      </c>
      <c r="F276" s="56">
        <v>36363.64</v>
      </c>
      <c r="G276" s="56">
        <v>0</v>
      </c>
      <c r="H276" s="5">
        <v>0</v>
      </c>
      <c r="I276" s="5">
        <v>0</v>
      </c>
      <c r="J276" s="5">
        <v>0</v>
      </c>
      <c r="K276" s="5">
        <v>7636.36</v>
      </c>
      <c r="L276" s="5">
        <v>0</v>
      </c>
      <c r="M276" s="56">
        <v>0</v>
      </c>
      <c r="N276" s="92">
        <v>44000</v>
      </c>
    </row>
    <row r="277" spans="1:14">
      <c r="A277" s="91" t="s">
        <v>2434</v>
      </c>
      <c r="B277" s="4" t="s">
        <v>2444</v>
      </c>
      <c r="C277" s="5" t="s">
        <v>122</v>
      </c>
      <c r="D277" s="5" t="s">
        <v>123</v>
      </c>
      <c r="E277" s="5" t="s">
        <v>124</v>
      </c>
      <c r="F277" s="56">
        <v>6280.99</v>
      </c>
      <c r="G277" s="56">
        <v>0</v>
      </c>
      <c r="H277" s="5">
        <v>0</v>
      </c>
      <c r="I277" s="5">
        <v>0</v>
      </c>
      <c r="J277" s="5">
        <v>0</v>
      </c>
      <c r="K277" s="5">
        <v>1319.01</v>
      </c>
      <c r="L277" s="5">
        <v>0</v>
      </c>
      <c r="M277" s="56">
        <v>0</v>
      </c>
      <c r="N277" s="92">
        <v>7600</v>
      </c>
    </row>
    <row r="278" spans="1:14">
      <c r="A278" s="91" t="s">
        <v>2434</v>
      </c>
      <c r="B278" s="4" t="s">
        <v>2445</v>
      </c>
      <c r="C278" s="5" t="s">
        <v>122</v>
      </c>
      <c r="D278" s="5" t="s">
        <v>123</v>
      </c>
      <c r="E278" s="5" t="s">
        <v>124</v>
      </c>
      <c r="F278" s="56">
        <v>14462.81</v>
      </c>
      <c r="G278" s="56">
        <v>0</v>
      </c>
      <c r="H278" s="5">
        <v>0</v>
      </c>
      <c r="I278" s="5">
        <v>0</v>
      </c>
      <c r="J278" s="5">
        <v>0</v>
      </c>
      <c r="K278" s="5">
        <v>3037.19</v>
      </c>
      <c r="L278" s="5">
        <v>0</v>
      </c>
      <c r="M278" s="56">
        <v>0</v>
      </c>
      <c r="N278" s="92">
        <v>17500</v>
      </c>
    </row>
    <row r="279" spans="1:14">
      <c r="A279" s="91" t="s">
        <v>2434</v>
      </c>
      <c r="B279" s="4" t="s">
        <v>2446</v>
      </c>
      <c r="C279" s="5" t="s">
        <v>122</v>
      </c>
      <c r="D279" s="5" t="s">
        <v>123</v>
      </c>
      <c r="E279" s="5" t="s">
        <v>124</v>
      </c>
      <c r="F279" s="56">
        <v>6942.15</v>
      </c>
      <c r="G279" s="56">
        <v>0</v>
      </c>
      <c r="H279" s="5">
        <v>0</v>
      </c>
      <c r="I279" s="5">
        <v>0</v>
      </c>
      <c r="J279" s="5">
        <v>0</v>
      </c>
      <c r="K279" s="5">
        <v>1457.85</v>
      </c>
      <c r="L279" s="5">
        <v>0</v>
      </c>
      <c r="M279" s="56">
        <v>0</v>
      </c>
      <c r="N279" s="92">
        <v>8400</v>
      </c>
    </row>
    <row r="280" spans="1:14">
      <c r="A280" s="91" t="s">
        <v>2434</v>
      </c>
      <c r="B280" s="4" t="s">
        <v>2447</v>
      </c>
      <c r="C280" s="5" t="s">
        <v>122</v>
      </c>
      <c r="D280" s="5" t="s">
        <v>123</v>
      </c>
      <c r="E280" s="5" t="s">
        <v>124</v>
      </c>
      <c r="F280" s="56">
        <v>6033.06</v>
      </c>
      <c r="G280" s="56">
        <v>0</v>
      </c>
      <c r="H280" s="5">
        <v>0</v>
      </c>
      <c r="I280" s="5">
        <v>0</v>
      </c>
      <c r="J280" s="5">
        <v>0</v>
      </c>
      <c r="K280" s="5">
        <v>1266.94</v>
      </c>
      <c r="L280" s="5">
        <v>0</v>
      </c>
      <c r="M280" s="56">
        <v>0</v>
      </c>
      <c r="N280" s="92">
        <v>7300</v>
      </c>
    </row>
    <row r="281" spans="1:14">
      <c r="A281" s="91" t="s">
        <v>2434</v>
      </c>
      <c r="B281" s="4" t="s">
        <v>2448</v>
      </c>
      <c r="C281" s="5" t="s">
        <v>122</v>
      </c>
      <c r="D281" s="5" t="s">
        <v>123</v>
      </c>
      <c r="E281" s="5" t="s">
        <v>124</v>
      </c>
      <c r="F281" s="56">
        <v>14049.59</v>
      </c>
      <c r="G281" s="56">
        <v>0</v>
      </c>
      <c r="H281" s="5">
        <v>0</v>
      </c>
      <c r="I281" s="5">
        <v>0</v>
      </c>
      <c r="J281" s="5">
        <v>0</v>
      </c>
      <c r="K281" s="5">
        <v>2950.41</v>
      </c>
      <c r="L281" s="5">
        <v>0</v>
      </c>
      <c r="M281" s="56">
        <v>0</v>
      </c>
      <c r="N281" s="92">
        <v>17000</v>
      </c>
    </row>
    <row r="282" spans="1:14">
      <c r="A282" s="91" t="s">
        <v>2434</v>
      </c>
      <c r="B282" s="4" t="s">
        <v>2449</v>
      </c>
      <c r="C282" s="5" t="s">
        <v>122</v>
      </c>
      <c r="D282" s="5" t="s">
        <v>123</v>
      </c>
      <c r="E282" s="5" t="s">
        <v>124</v>
      </c>
      <c r="F282" s="56">
        <v>3925.62</v>
      </c>
      <c r="G282" s="56">
        <v>0</v>
      </c>
      <c r="H282" s="5">
        <v>0</v>
      </c>
      <c r="I282" s="5">
        <v>0</v>
      </c>
      <c r="J282" s="5">
        <v>0</v>
      </c>
      <c r="K282" s="5">
        <v>824.38</v>
      </c>
      <c r="L282" s="5">
        <v>0</v>
      </c>
      <c r="M282" s="56">
        <v>0</v>
      </c>
      <c r="N282" s="92">
        <v>4750</v>
      </c>
    </row>
    <row r="283" spans="1:14">
      <c r="A283" s="91" t="s">
        <v>2434</v>
      </c>
      <c r="B283" s="4" t="s">
        <v>2450</v>
      </c>
      <c r="C283" s="5" t="s">
        <v>122</v>
      </c>
      <c r="D283" s="5" t="s">
        <v>123</v>
      </c>
      <c r="E283" s="5" t="s">
        <v>124</v>
      </c>
      <c r="F283" s="56">
        <v>2842.98</v>
      </c>
      <c r="G283" s="56">
        <v>0</v>
      </c>
      <c r="H283" s="5">
        <v>0</v>
      </c>
      <c r="I283" s="5">
        <v>0</v>
      </c>
      <c r="J283" s="5">
        <v>0</v>
      </c>
      <c r="K283" s="5">
        <v>597.02</v>
      </c>
      <c r="L283" s="5">
        <v>0</v>
      </c>
      <c r="M283" s="56">
        <v>0</v>
      </c>
      <c r="N283" s="92">
        <v>3440</v>
      </c>
    </row>
    <row r="284" spans="1:14">
      <c r="A284" s="91" t="s">
        <v>2463</v>
      </c>
      <c r="B284" s="4" t="s">
        <v>2464</v>
      </c>
      <c r="C284" s="5" t="s">
        <v>122</v>
      </c>
      <c r="D284" s="5" t="s">
        <v>123</v>
      </c>
      <c r="E284" s="5" t="s">
        <v>124</v>
      </c>
      <c r="F284" s="56">
        <v>7851.24</v>
      </c>
      <c r="G284" s="56">
        <v>0</v>
      </c>
      <c r="H284" s="5">
        <v>0</v>
      </c>
      <c r="I284" s="5">
        <v>0</v>
      </c>
      <c r="J284" s="5">
        <v>0</v>
      </c>
      <c r="K284" s="5">
        <v>1648.76</v>
      </c>
      <c r="L284" s="5">
        <v>0</v>
      </c>
      <c r="M284" s="56">
        <v>0</v>
      </c>
      <c r="N284" s="92">
        <v>9500</v>
      </c>
    </row>
    <row r="285" spans="1:14">
      <c r="A285" s="91" t="s">
        <v>2463</v>
      </c>
      <c r="B285" s="4" t="s">
        <v>2465</v>
      </c>
      <c r="C285" s="5" t="s">
        <v>2466</v>
      </c>
      <c r="D285" s="5" t="s">
        <v>123</v>
      </c>
      <c r="E285" s="5">
        <v>38622353</v>
      </c>
      <c r="F285" s="56">
        <v>13884.3</v>
      </c>
      <c r="G285" s="56">
        <v>0</v>
      </c>
      <c r="H285" s="5">
        <v>0</v>
      </c>
      <c r="I285" s="5">
        <v>0</v>
      </c>
      <c r="J285" s="5">
        <v>0</v>
      </c>
      <c r="K285" s="5">
        <v>2915.7</v>
      </c>
      <c r="L285" s="5">
        <v>0</v>
      </c>
      <c r="M285" s="56">
        <v>0</v>
      </c>
      <c r="N285" s="92">
        <v>16800</v>
      </c>
    </row>
    <row r="286" spans="1:14">
      <c r="A286" s="91" t="s">
        <v>2463</v>
      </c>
      <c r="B286" s="4" t="s">
        <v>2467</v>
      </c>
      <c r="C286" s="5" t="s">
        <v>122</v>
      </c>
      <c r="D286" s="5" t="s">
        <v>123</v>
      </c>
      <c r="E286" s="5" t="s">
        <v>124</v>
      </c>
      <c r="F286" s="56">
        <v>4132.2300000000005</v>
      </c>
      <c r="G286" s="56">
        <v>0</v>
      </c>
      <c r="H286" s="5">
        <v>0</v>
      </c>
      <c r="I286" s="5">
        <v>0</v>
      </c>
      <c r="J286" s="5">
        <v>0</v>
      </c>
      <c r="K286" s="5">
        <v>867.77</v>
      </c>
      <c r="L286" s="5">
        <v>0</v>
      </c>
      <c r="M286" s="56">
        <v>0</v>
      </c>
      <c r="N286" s="92">
        <v>5000</v>
      </c>
    </row>
    <row r="287" spans="1:14">
      <c r="A287" s="91" t="s">
        <v>2463</v>
      </c>
      <c r="B287" s="4" t="s">
        <v>2468</v>
      </c>
      <c r="C287" s="5" t="s">
        <v>122</v>
      </c>
      <c r="D287" s="5" t="s">
        <v>123</v>
      </c>
      <c r="E287" s="5" t="s">
        <v>124</v>
      </c>
      <c r="F287" s="56">
        <v>8264.4600000000009</v>
      </c>
      <c r="G287" s="56">
        <v>0</v>
      </c>
      <c r="H287" s="5">
        <v>0</v>
      </c>
      <c r="I287" s="5">
        <v>0</v>
      </c>
      <c r="J287" s="5">
        <v>0</v>
      </c>
      <c r="K287" s="5">
        <v>1735.54</v>
      </c>
      <c r="L287" s="5">
        <v>0</v>
      </c>
      <c r="M287" s="56">
        <v>0</v>
      </c>
      <c r="N287" s="92">
        <v>10000</v>
      </c>
    </row>
    <row r="288" spans="1:14">
      <c r="A288" s="91" t="s">
        <v>2463</v>
      </c>
      <c r="B288" s="4" t="s">
        <v>2469</v>
      </c>
      <c r="C288" s="5" t="s">
        <v>122</v>
      </c>
      <c r="D288" s="5" t="s">
        <v>123</v>
      </c>
      <c r="E288" s="5" t="s">
        <v>124</v>
      </c>
      <c r="F288" s="56">
        <v>1074.3800000000001</v>
      </c>
      <c r="G288" s="56">
        <v>0</v>
      </c>
      <c r="H288" s="5">
        <v>0</v>
      </c>
      <c r="I288" s="5">
        <v>0</v>
      </c>
      <c r="J288" s="5">
        <v>0</v>
      </c>
      <c r="K288" s="5">
        <v>225.62</v>
      </c>
      <c r="L288" s="5">
        <v>0</v>
      </c>
      <c r="M288" s="56">
        <v>0</v>
      </c>
      <c r="N288" s="92">
        <v>1300</v>
      </c>
    </row>
    <row r="289" spans="1:14">
      <c r="A289" s="91" t="s">
        <v>2463</v>
      </c>
      <c r="B289" s="4" t="s">
        <v>2470</v>
      </c>
      <c r="C289" s="5" t="s">
        <v>122</v>
      </c>
      <c r="D289" s="5" t="s">
        <v>123</v>
      </c>
      <c r="E289" s="5" t="s">
        <v>124</v>
      </c>
      <c r="F289" s="56">
        <v>3884.3</v>
      </c>
      <c r="G289" s="56">
        <v>0</v>
      </c>
      <c r="H289" s="5">
        <v>0</v>
      </c>
      <c r="I289" s="5">
        <v>0</v>
      </c>
      <c r="J289" s="5">
        <v>0</v>
      </c>
      <c r="K289" s="5">
        <v>815.7</v>
      </c>
      <c r="L289" s="5">
        <v>0</v>
      </c>
      <c r="M289" s="56">
        <v>0</v>
      </c>
      <c r="N289" s="92">
        <v>4700</v>
      </c>
    </row>
    <row r="290" spans="1:14">
      <c r="A290" s="91" t="s">
        <v>2463</v>
      </c>
      <c r="B290" s="4" t="s">
        <v>2471</v>
      </c>
      <c r="C290" s="5" t="s">
        <v>122</v>
      </c>
      <c r="D290" s="5" t="s">
        <v>123</v>
      </c>
      <c r="E290" s="5" t="s">
        <v>124</v>
      </c>
      <c r="F290" s="56">
        <v>3719.01</v>
      </c>
      <c r="G290" s="56">
        <v>0</v>
      </c>
      <c r="H290" s="5">
        <v>0</v>
      </c>
      <c r="I290" s="5">
        <v>0</v>
      </c>
      <c r="J290" s="5">
        <v>0</v>
      </c>
      <c r="K290" s="5">
        <v>780.99</v>
      </c>
      <c r="L290" s="5">
        <v>0</v>
      </c>
      <c r="M290" s="56">
        <v>0</v>
      </c>
      <c r="N290" s="92">
        <v>4500</v>
      </c>
    </row>
    <row r="291" spans="1:14">
      <c r="A291" s="91" t="s">
        <v>2463</v>
      </c>
      <c r="B291" s="4" t="s">
        <v>2472</v>
      </c>
      <c r="C291" s="5" t="s">
        <v>122</v>
      </c>
      <c r="D291" s="5" t="s">
        <v>123</v>
      </c>
      <c r="E291" s="5" t="s">
        <v>124</v>
      </c>
      <c r="F291" s="56">
        <v>29404.959999999999</v>
      </c>
      <c r="G291" s="56">
        <v>0</v>
      </c>
      <c r="H291" s="5">
        <v>0</v>
      </c>
      <c r="I291" s="5">
        <v>0</v>
      </c>
      <c r="J291" s="5">
        <v>0</v>
      </c>
      <c r="K291" s="5">
        <v>6175.04</v>
      </c>
      <c r="L291" s="5">
        <v>0</v>
      </c>
      <c r="M291" s="56">
        <v>0</v>
      </c>
      <c r="N291" s="92">
        <v>35580</v>
      </c>
    </row>
    <row r="292" spans="1:14">
      <c r="A292" s="91" t="s">
        <v>2463</v>
      </c>
      <c r="B292" s="4" t="s">
        <v>2473</v>
      </c>
      <c r="C292" s="5" t="s">
        <v>122</v>
      </c>
      <c r="D292" s="5" t="s">
        <v>123</v>
      </c>
      <c r="E292" s="5" t="s">
        <v>124</v>
      </c>
      <c r="F292" s="56">
        <v>7851.24</v>
      </c>
      <c r="G292" s="56">
        <v>0</v>
      </c>
      <c r="H292" s="5">
        <v>0</v>
      </c>
      <c r="I292" s="5">
        <v>0</v>
      </c>
      <c r="J292" s="5">
        <v>0</v>
      </c>
      <c r="K292" s="5">
        <v>1648.76</v>
      </c>
      <c r="L292" s="5">
        <v>0</v>
      </c>
      <c r="M292" s="56">
        <v>0</v>
      </c>
      <c r="N292" s="92">
        <v>9500</v>
      </c>
    </row>
    <row r="293" spans="1:14">
      <c r="A293" s="91" t="s">
        <v>2463</v>
      </c>
      <c r="B293" s="4" t="s">
        <v>2474</v>
      </c>
      <c r="C293" s="5" t="s">
        <v>2475</v>
      </c>
      <c r="D293" s="5" t="s">
        <v>123</v>
      </c>
      <c r="E293" s="5">
        <v>14247119</v>
      </c>
      <c r="F293" s="56">
        <v>9421.49</v>
      </c>
      <c r="G293" s="56">
        <v>0</v>
      </c>
      <c r="H293" s="5">
        <v>0</v>
      </c>
      <c r="I293" s="5">
        <v>0</v>
      </c>
      <c r="J293" s="5">
        <v>0</v>
      </c>
      <c r="K293" s="5">
        <v>1978.51</v>
      </c>
      <c r="L293" s="5">
        <v>0</v>
      </c>
      <c r="M293" s="56">
        <v>0</v>
      </c>
      <c r="N293" s="92">
        <v>11400</v>
      </c>
    </row>
    <row r="294" spans="1:14">
      <c r="A294" s="91" t="s">
        <v>2463</v>
      </c>
      <c r="B294" s="4" t="s">
        <v>2476</v>
      </c>
      <c r="C294" s="5" t="s">
        <v>122</v>
      </c>
      <c r="D294" s="5" t="s">
        <v>123</v>
      </c>
      <c r="E294" s="5" t="s">
        <v>124</v>
      </c>
      <c r="F294" s="56">
        <v>3925.62</v>
      </c>
      <c r="G294" s="56">
        <v>0</v>
      </c>
      <c r="H294" s="5">
        <v>0</v>
      </c>
      <c r="I294" s="5">
        <v>0</v>
      </c>
      <c r="J294" s="5">
        <v>0</v>
      </c>
      <c r="K294" s="5">
        <v>824.38</v>
      </c>
      <c r="L294" s="5">
        <v>0</v>
      </c>
      <c r="M294" s="56">
        <v>0</v>
      </c>
      <c r="N294" s="92">
        <v>4750</v>
      </c>
    </row>
    <row r="295" spans="1:14">
      <c r="A295" s="91" t="s">
        <v>2463</v>
      </c>
      <c r="B295" s="4" t="s">
        <v>2477</v>
      </c>
      <c r="C295" s="5" t="s">
        <v>122</v>
      </c>
      <c r="D295" s="5" t="s">
        <v>123</v>
      </c>
      <c r="E295" s="5" t="s">
        <v>124</v>
      </c>
      <c r="F295" s="56">
        <v>4132.2300000000005</v>
      </c>
      <c r="G295" s="56">
        <v>0</v>
      </c>
      <c r="H295" s="5">
        <v>0</v>
      </c>
      <c r="I295" s="5">
        <v>0</v>
      </c>
      <c r="J295" s="5">
        <v>0</v>
      </c>
      <c r="K295" s="5">
        <v>867.77</v>
      </c>
      <c r="L295" s="5">
        <v>0</v>
      </c>
      <c r="M295" s="56">
        <v>0</v>
      </c>
      <c r="N295" s="92">
        <v>5000</v>
      </c>
    </row>
    <row r="296" spans="1:14">
      <c r="A296" s="91" t="s">
        <v>2463</v>
      </c>
      <c r="B296" s="4" t="s">
        <v>2478</v>
      </c>
      <c r="C296" s="5" t="s">
        <v>122</v>
      </c>
      <c r="D296" s="5" t="s">
        <v>123</v>
      </c>
      <c r="E296" s="5" t="s">
        <v>124</v>
      </c>
      <c r="F296" s="56">
        <v>6938.02</v>
      </c>
      <c r="G296" s="56">
        <v>0</v>
      </c>
      <c r="H296" s="5">
        <v>0</v>
      </c>
      <c r="I296" s="5">
        <v>0</v>
      </c>
      <c r="J296" s="5">
        <v>0</v>
      </c>
      <c r="K296" s="5">
        <v>1456.98</v>
      </c>
      <c r="L296" s="5">
        <v>0</v>
      </c>
      <c r="M296" s="56">
        <v>0</v>
      </c>
      <c r="N296" s="92">
        <v>8395</v>
      </c>
    </row>
    <row r="297" spans="1:14">
      <c r="A297" s="91" t="s">
        <v>2463</v>
      </c>
      <c r="B297" s="4" t="s">
        <v>2479</v>
      </c>
      <c r="C297" s="5" t="s">
        <v>122</v>
      </c>
      <c r="D297" s="5" t="s">
        <v>123</v>
      </c>
      <c r="E297" s="5" t="s">
        <v>124</v>
      </c>
      <c r="F297" s="56">
        <v>19115.7</v>
      </c>
      <c r="G297" s="56">
        <v>0</v>
      </c>
      <c r="H297" s="5">
        <v>0</v>
      </c>
      <c r="I297" s="5">
        <v>0</v>
      </c>
      <c r="J297" s="5">
        <v>0</v>
      </c>
      <c r="K297" s="5">
        <v>4014.3</v>
      </c>
      <c r="L297" s="5">
        <v>0</v>
      </c>
      <c r="M297" s="56">
        <v>0</v>
      </c>
      <c r="N297" s="92">
        <v>23130</v>
      </c>
    </row>
    <row r="298" spans="1:14">
      <c r="A298" s="91" t="s">
        <v>2463</v>
      </c>
      <c r="B298" s="4" t="s">
        <v>2480</v>
      </c>
      <c r="C298" s="5" t="s">
        <v>122</v>
      </c>
      <c r="D298" s="5" t="s">
        <v>123</v>
      </c>
      <c r="E298" s="5" t="s">
        <v>124</v>
      </c>
      <c r="F298" s="56">
        <v>5785.12</v>
      </c>
      <c r="G298" s="56">
        <v>0</v>
      </c>
      <c r="H298" s="5">
        <v>0</v>
      </c>
      <c r="I298" s="5">
        <v>0</v>
      </c>
      <c r="J298" s="5">
        <v>0</v>
      </c>
      <c r="K298" s="5">
        <v>1214.8800000000001</v>
      </c>
      <c r="L298" s="5">
        <v>0</v>
      </c>
      <c r="M298" s="56">
        <v>0</v>
      </c>
      <c r="N298" s="92">
        <v>7000</v>
      </c>
    </row>
    <row r="299" spans="1:14">
      <c r="A299" s="91" t="s">
        <v>2463</v>
      </c>
      <c r="B299" s="4" t="s">
        <v>2481</v>
      </c>
      <c r="C299" s="5" t="s">
        <v>122</v>
      </c>
      <c r="D299" s="5" t="s">
        <v>123</v>
      </c>
      <c r="E299" s="5" t="s">
        <v>124</v>
      </c>
      <c r="F299" s="56">
        <v>9917.36</v>
      </c>
      <c r="G299" s="56">
        <v>0</v>
      </c>
      <c r="H299" s="5">
        <v>0</v>
      </c>
      <c r="I299" s="5">
        <v>0</v>
      </c>
      <c r="J299" s="5">
        <v>0</v>
      </c>
      <c r="K299" s="5">
        <v>2082.64</v>
      </c>
      <c r="L299" s="5">
        <v>0</v>
      </c>
      <c r="M299" s="56">
        <v>0</v>
      </c>
      <c r="N299" s="92">
        <v>12000</v>
      </c>
    </row>
    <row r="300" spans="1:14">
      <c r="A300" s="91" t="s">
        <v>2463</v>
      </c>
      <c r="B300" s="4" t="s">
        <v>2482</v>
      </c>
      <c r="C300" s="5" t="s">
        <v>122</v>
      </c>
      <c r="D300" s="5" t="s">
        <v>123</v>
      </c>
      <c r="E300" s="5" t="s">
        <v>124</v>
      </c>
      <c r="F300" s="56">
        <v>14462.81</v>
      </c>
      <c r="G300" s="56">
        <v>0</v>
      </c>
      <c r="H300" s="5">
        <v>0</v>
      </c>
      <c r="I300" s="5">
        <v>0</v>
      </c>
      <c r="J300" s="5">
        <v>0</v>
      </c>
      <c r="K300" s="5">
        <v>3037.19</v>
      </c>
      <c r="L300" s="5">
        <v>0</v>
      </c>
      <c r="M300" s="56">
        <v>0</v>
      </c>
      <c r="N300" s="92">
        <v>17500</v>
      </c>
    </row>
    <row r="301" spans="1:14">
      <c r="A301" s="91" t="s">
        <v>2463</v>
      </c>
      <c r="B301" s="4" t="s">
        <v>2483</v>
      </c>
      <c r="C301" s="5" t="s">
        <v>122</v>
      </c>
      <c r="D301" s="5" t="s">
        <v>123</v>
      </c>
      <c r="E301" s="5" t="s">
        <v>124</v>
      </c>
      <c r="F301" s="56">
        <v>3305.79</v>
      </c>
      <c r="G301" s="56">
        <v>0</v>
      </c>
      <c r="H301" s="5">
        <v>0</v>
      </c>
      <c r="I301" s="5">
        <v>0</v>
      </c>
      <c r="J301" s="5">
        <v>0</v>
      </c>
      <c r="K301" s="5">
        <v>694.21</v>
      </c>
      <c r="L301" s="5">
        <v>0</v>
      </c>
      <c r="M301" s="56">
        <v>0</v>
      </c>
      <c r="N301" s="92">
        <v>4000</v>
      </c>
    </row>
    <row r="302" spans="1:14">
      <c r="A302" s="91" t="s">
        <v>2463</v>
      </c>
      <c r="B302" s="4" t="s">
        <v>2484</v>
      </c>
      <c r="C302" s="5" t="s">
        <v>122</v>
      </c>
      <c r="D302" s="5" t="s">
        <v>123</v>
      </c>
      <c r="E302" s="5" t="s">
        <v>124</v>
      </c>
      <c r="F302" s="56">
        <v>9917.36</v>
      </c>
      <c r="G302" s="56">
        <v>0</v>
      </c>
      <c r="H302" s="5">
        <v>0</v>
      </c>
      <c r="I302" s="5">
        <v>0</v>
      </c>
      <c r="J302" s="5">
        <v>0</v>
      </c>
      <c r="K302" s="5">
        <v>2082.64</v>
      </c>
      <c r="L302" s="5">
        <v>0</v>
      </c>
      <c r="M302" s="56">
        <v>0</v>
      </c>
      <c r="N302" s="92">
        <v>12000</v>
      </c>
    </row>
    <row r="303" spans="1:14">
      <c r="A303" s="91" t="s">
        <v>2463</v>
      </c>
      <c r="B303" s="4" t="s">
        <v>2485</v>
      </c>
      <c r="C303" s="5" t="s">
        <v>122</v>
      </c>
      <c r="D303" s="5" t="s">
        <v>123</v>
      </c>
      <c r="E303" s="5" t="s">
        <v>124</v>
      </c>
      <c r="F303" s="56">
        <v>6938.02</v>
      </c>
      <c r="G303" s="56">
        <v>0</v>
      </c>
      <c r="H303" s="5">
        <v>0</v>
      </c>
      <c r="I303" s="5">
        <v>0</v>
      </c>
      <c r="J303" s="5">
        <v>0</v>
      </c>
      <c r="K303" s="5">
        <v>1456.98</v>
      </c>
      <c r="L303" s="5">
        <v>0</v>
      </c>
      <c r="M303" s="56">
        <v>0</v>
      </c>
      <c r="N303" s="92">
        <v>8395</v>
      </c>
    </row>
    <row r="304" spans="1:14">
      <c r="A304" s="91" t="s">
        <v>2463</v>
      </c>
      <c r="B304" s="4" t="s">
        <v>2486</v>
      </c>
      <c r="C304" s="5" t="s">
        <v>122</v>
      </c>
      <c r="D304" s="5" t="s">
        <v>123</v>
      </c>
      <c r="E304" s="5" t="s">
        <v>124</v>
      </c>
      <c r="F304" s="56">
        <v>6033.06</v>
      </c>
      <c r="G304" s="56">
        <v>0</v>
      </c>
      <c r="H304" s="5">
        <v>0</v>
      </c>
      <c r="I304" s="5">
        <v>0</v>
      </c>
      <c r="J304" s="5">
        <v>0</v>
      </c>
      <c r="K304" s="5">
        <v>1266.94</v>
      </c>
      <c r="L304" s="5">
        <v>0</v>
      </c>
      <c r="M304" s="56">
        <v>0</v>
      </c>
      <c r="N304" s="92">
        <v>7300</v>
      </c>
    </row>
    <row r="305" spans="1:14">
      <c r="A305" s="91" t="s">
        <v>2463</v>
      </c>
      <c r="B305" s="4" t="s">
        <v>2487</v>
      </c>
      <c r="C305" s="5" t="s">
        <v>122</v>
      </c>
      <c r="D305" s="5" t="s">
        <v>123</v>
      </c>
      <c r="E305" s="5" t="s">
        <v>124</v>
      </c>
      <c r="F305" s="56">
        <v>7851.24</v>
      </c>
      <c r="G305" s="56">
        <v>0</v>
      </c>
      <c r="H305" s="5">
        <v>0</v>
      </c>
      <c r="I305" s="5">
        <v>0</v>
      </c>
      <c r="J305" s="5">
        <v>0</v>
      </c>
      <c r="K305" s="5">
        <v>1648.76</v>
      </c>
      <c r="L305" s="5">
        <v>0</v>
      </c>
      <c r="M305" s="56">
        <v>0</v>
      </c>
      <c r="N305" s="92">
        <v>9500</v>
      </c>
    </row>
    <row r="306" spans="1:14">
      <c r="A306" s="91" t="s">
        <v>2463</v>
      </c>
      <c r="B306" s="4" t="s">
        <v>2488</v>
      </c>
      <c r="C306" s="5" t="s">
        <v>122</v>
      </c>
      <c r="D306" s="5" t="s">
        <v>123</v>
      </c>
      <c r="E306" s="5" t="s">
        <v>124</v>
      </c>
      <c r="F306" s="56">
        <v>4132.2300000000005</v>
      </c>
      <c r="G306" s="56">
        <v>0</v>
      </c>
      <c r="H306" s="5">
        <v>0</v>
      </c>
      <c r="I306" s="5">
        <v>0</v>
      </c>
      <c r="J306" s="5">
        <v>0</v>
      </c>
      <c r="K306" s="5">
        <v>867.77</v>
      </c>
      <c r="L306" s="5">
        <v>0</v>
      </c>
      <c r="M306" s="56">
        <v>0</v>
      </c>
      <c r="N306" s="92">
        <v>5000</v>
      </c>
    </row>
    <row r="307" spans="1:14">
      <c r="A307" s="91" t="s">
        <v>2489</v>
      </c>
      <c r="B307" s="4" t="s">
        <v>2490</v>
      </c>
      <c r="C307" s="5" t="s">
        <v>122</v>
      </c>
      <c r="D307" s="5" t="s">
        <v>123</v>
      </c>
      <c r="E307" s="5" t="s">
        <v>124</v>
      </c>
      <c r="F307" s="56">
        <v>8148.76</v>
      </c>
      <c r="G307" s="56">
        <v>0</v>
      </c>
      <c r="H307" s="5">
        <v>0</v>
      </c>
      <c r="I307" s="5">
        <v>0</v>
      </c>
      <c r="J307" s="5">
        <v>0</v>
      </c>
      <c r="K307" s="5">
        <v>1711.24</v>
      </c>
      <c r="L307" s="5">
        <v>0</v>
      </c>
      <c r="M307" s="56">
        <v>0</v>
      </c>
      <c r="N307" s="92">
        <v>9860</v>
      </c>
    </row>
    <row r="308" spans="1:14">
      <c r="A308" s="91" t="s">
        <v>2489</v>
      </c>
      <c r="B308" s="4" t="s">
        <v>2491</v>
      </c>
      <c r="C308" s="5" t="s">
        <v>122</v>
      </c>
      <c r="D308" s="5" t="s">
        <v>123</v>
      </c>
      <c r="E308" s="5" t="s">
        <v>124</v>
      </c>
      <c r="F308" s="56">
        <v>6033.06</v>
      </c>
      <c r="G308" s="56">
        <v>0</v>
      </c>
      <c r="H308" s="5">
        <v>0</v>
      </c>
      <c r="I308" s="5">
        <v>0</v>
      </c>
      <c r="J308" s="5">
        <v>0</v>
      </c>
      <c r="K308" s="5">
        <v>1266.94</v>
      </c>
      <c r="L308" s="5">
        <v>0</v>
      </c>
      <c r="M308" s="56">
        <v>0</v>
      </c>
      <c r="N308" s="92">
        <v>7300</v>
      </c>
    </row>
    <row r="309" spans="1:14">
      <c r="A309" s="91" t="s">
        <v>2489</v>
      </c>
      <c r="B309" s="4" t="s">
        <v>2492</v>
      </c>
      <c r="C309" s="5" t="s">
        <v>122</v>
      </c>
      <c r="D309" s="5" t="s">
        <v>123</v>
      </c>
      <c r="E309" s="5" t="s">
        <v>124</v>
      </c>
      <c r="F309" s="56">
        <v>7272.73</v>
      </c>
      <c r="G309" s="56">
        <v>0</v>
      </c>
      <c r="H309" s="5">
        <v>0</v>
      </c>
      <c r="I309" s="5">
        <v>0</v>
      </c>
      <c r="J309" s="5">
        <v>0</v>
      </c>
      <c r="K309" s="5">
        <v>1527.27</v>
      </c>
      <c r="L309" s="5">
        <v>0</v>
      </c>
      <c r="M309" s="56">
        <v>0</v>
      </c>
      <c r="N309" s="92">
        <v>8800</v>
      </c>
    </row>
    <row r="310" spans="1:14">
      <c r="A310" s="91" t="s">
        <v>2489</v>
      </c>
      <c r="B310" s="4" t="s">
        <v>2493</v>
      </c>
      <c r="C310" s="5" t="s">
        <v>122</v>
      </c>
      <c r="D310" s="5" t="s">
        <v>123</v>
      </c>
      <c r="E310" s="5" t="s">
        <v>124</v>
      </c>
      <c r="F310" s="56">
        <v>11363.64</v>
      </c>
      <c r="G310" s="56">
        <v>0</v>
      </c>
      <c r="H310" s="5">
        <v>0</v>
      </c>
      <c r="I310" s="5">
        <v>0</v>
      </c>
      <c r="J310" s="5">
        <v>0</v>
      </c>
      <c r="K310" s="5">
        <v>2386.36</v>
      </c>
      <c r="L310" s="5">
        <v>0</v>
      </c>
      <c r="M310" s="56">
        <v>0</v>
      </c>
      <c r="N310" s="92">
        <v>13750</v>
      </c>
    </row>
    <row r="311" spans="1:14">
      <c r="A311" s="91" t="s">
        <v>2489</v>
      </c>
      <c r="B311" s="4" t="s">
        <v>2494</v>
      </c>
      <c r="C311" s="5" t="s">
        <v>122</v>
      </c>
      <c r="D311" s="5" t="s">
        <v>123</v>
      </c>
      <c r="E311" s="5" t="s">
        <v>124</v>
      </c>
      <c r="F311" s="56">
        <v>1239.67</v>
      </c>
      <c r="G311" s="56">
        <v>0</v>
      </c>
      <c r="H311" s="5">
        <v>0</v>
      </c>
      <c r="I311" s="5">
        <v>0</v>
      </c>
      <c r="J311" s="5">
        <v>0</v>
      </c>
      <c r="K311" s="5">
        <v>260.33</v>
      </c>
      <c r="L311" s="5">
        <v>0</v>
      </c>
      <c r="M311" s="56">
        <v>0</v>
      </c>
      <c r="N311" s="92">
        <v>1500</v>
      </c>
    </row>
    <row r="312" spans="1:14">
      <c r="A312" s="91" t="s">
        <v>2489</v>
      </c>
      <c r="B312" s="4" t="s">
        <v>2495</v>
      </c>
      <c r="C312" s="5" t="s">
        <v>122</v>
      </c>
      <c r="D312" s="5" t="s">
        <v>123</v>
      </c>
      <c r="E312" s="5" t="s">
        <v>124</v>
      </c>
      <c r="F312" s="56">
        <v>9586.7800000000007</v>
      </c>
      <c r="G312" s="56">
        <v>0</v>
      </c>
      <c r="H312" s="5">
        <v>0</v>
      </c>
      <c r="I312" s="5">
        <v>0</v>
      </c>
      <c r="J312" s="5">
        <v>0</v>
      </c>
      <c r="K312" s="5">
        <v>2013.22</v>
      </c>
      <c r="L312" s="5">
        <v>0</v>
      </c>
      <c r="M312" s="56">
        <v>0</v>
      </c>
      <c r="N312" s="92">
        <v>11600</v>
      </c>
    </row>
    <row r="313" spans="1:14">
      <c r="A313" s="91" t="s">
        <v>2489</v>
      </c>
      <c r="B313" s="4" t="s">
        <v>2496</v>
      </c>
      <c r="C313" s="5" t="s">
        <v>122</v>
      </c>
      <c r="D313" s="5" t="s">
        <v>123</v>
      </c>
      <c r="E313" s="5" t="s">
        <v>124</v>
      </c>
      <c r="F313" s="56">
        <v>7140.5</v>
      </c>
      <c r="G313" s="56">
        <v>0</v>
      </c>
      <c r="H313" s="5">
        <v>0</v>
      </c>
      <c r="I313" s="5">
        <v>0</v>
      </c>
      <c r="J313" s="5">
        <v>0</v>
      </c>
      <c r="K313" s="5">
        <v>1499.5</v>
      </c>
      <c r="L313" s="5">
        <v>0</v>
      </c>
      <c r="M313" s="56">
        <v>0</v>
      </c>
      <c r="N313" s="92">
        <v>8640</v>
      </c>
    </row>
    <row r="314" spans="1:14">
      <c r="A314" s="91" t="s">
        <v>2489</v>
      </c>
      <c r="B314" s="4" t="s">
        <v>2497</v>
      </c>
      <c r="C314" s="5" t="s">
        <v>122</v>
      </c>
      <c r="D314" s="5" t="s">
        <v>123</v>
      </c>
      <c r="E314" s="5" t="s">
        <v>124</v>
      </c>
      <c r="F314" s="56">
        <v>3388.43</v>
      </c>
      <c r="G314" s="56">
        <v>0</v>
      </c>
      <c r="H314" s="5">
        <v>0</v>
      </c>
      <c r="I314" s="5">
        <v>0</v>
      </c>
      <c r="J314" s="5">
        <v>0</v>
      </c>
      <c r="K314" s="5">
        <v>711.57</v>
      </c>
      <c r="L314" s="5">
        <v>0</v>
      </c>
      <c r="M314" s="56">
        <v>0</v>
      </c>
      <c r="N314" s="92">
        <v>4100</v>
      </c>
    </row>
    <row r="315" spans="1:14">
      <c r="A315" s="91" t="s">
        <v>2489</v>
      </c>
      <c r="B315" s="4" t="s">
        <v>2498</v>
      </c>
      <c r="C315" s="5" t="s">
        <v>122</v>
      </c>
      <c r="D315" s="5" t="s">
        <v>123</v>
      </c>
      <c r="E315" s="5" t="s">
        <v>124</v>
      </c>
      <c r="F315" s="56">
        <v>22975.21</v>
      </c>
      <c r="G315" s="56">
        <v>0</v>
      </c>
      <c r="H315" s="5">
        <v>0</v>
      </c>
      <c r="I315" s="5">
        <v>0</v>
      </c>
      <c r="J315" s="5">
        <v>0</v>
      </c>
      <c r="K315" s="5">
        <v>4824.79</v>
      </c>
      <c r="L315" s="5">
        <v>0</v>
      </c>
      <c r="M315" s="56">
        <v>0</v>
      </c>
      <c r="N315" s="92">
        <v>27800</v>
      </c>
    </row>
    <row r="316" spans="1:14">
      <c r="A316" s="91" t="s">
        <v>2489</v>
      </c>
      <c r="B316" s="4" t="s">
        <v>2499</v>
      </c>
      <c r="C316" s="5" t="s">
        <v>122</v>
      </c>
      <c r="D316" s="5" t="s">
        <v>123</v>
      </c>
      <c r="E316" s="5" t="s">
        <v>124</v>
      </c>
      <c r="F316" s="56">
        <v>5239.67</v>
      </c>
      <c r="G316" s="56">
        <v>0</v>
      </c>
      <c r="H316" s="5">
        <v>0</v>
      </c>
      <c r="I316" s="5">
        <v>0</v>
      </c>
      <c r="J316" s="5">
        <v>0</v>
      </c>
      <c r="K316" s="5">
        <v>1100.33</v>
      </c>
      <c r="L316" s="5">
        <v>0</v>
      </c>
      <c r="M316" s="56">
        <v>0</v>
      </c>
      <c r="N316" s="92">
        <v>6340</v>
      </c>
    </row>
    <row r="317" spans="1:14">
      <c r="A317" s="91" t="s">
        <v>2489</v>
      </c>
      <c r="B317" s="4" t="s">
        <v>2500</v>
      </c>
      <c r="C317" s="5" t="s">
        <v>122</v>
      </c>
      <c r="D317" s="5" t="s">
        <v>123</v>
      </c>
      <c r="E317" s="5" t="s">
        <v>124</v>
      </c>
      <c r="F317" s="56">
        <v>2231.41</v>
      </c>
      <c r="G317" s="56">
        <v>0</v>
      </c>
      <c r="H317" s="5">
        <v>0</v>
      </c>
      <c r="I317" s="5">
        <v>0</v>
      </c>
      <c r="J317" s="5">
        <v>0</v>
      </c>
      <c r="K317" s="5">
        <v>468.59</v>
      </c>
      <c r="L317" s="5">
        <v>0</v>
      </c>
      <c r="M317" s="56">
        <v>0</v>
      </c>
      <c r="N317" s="92">
        <v>2700</v>
      </c>
    </row>
    <row r="318" spans="1:14">
      <c r="A318" s="91" t="s">
        <v>2489</v>
      </c>
      <c r="B318" s="4" t="s">
        <v>2501</v>
      </c>
      <c r="C318" s="5" t="s">
        <v>122</v>
      </c>
      <c r="D318" s="5" t="s">
        <v>123</v>
      </c>
      <c r="E318" s="5" t="s">
        <v>124</v>
      </c>
      <c r="F318" s="56">
        <v>11239.67</v>
      </c>
      <c r="G318" s="56">
        <v>0</v>
      </c>
      <c r="H318" s="5">
        <v>0</v>
      </c>
      <c r="I318" s="5">
        <v>0</v>
      </c>
      <c r="J318" s="5">
        <v>0</v>
      </c>
      <c r="K318" s="5">
        <v>2360.33</v>
      </c>
      <c r="L318" s="5">
        <v>0</v>
      </c>
      <c r="M318" s="56">
        <v>0</v>
      </c>
      <c r="N318" s="92">
        <v>13600</v>
      </c>
    </row>
    <row r="319" spans="1:14">
      <c r="A319" s="91" t="s">
        <v>2489</v>
      </c>
      <c r="B319" s="4" t="s">
        <v>2502</v>
      </c>
      <c r="C319" s="5" t="s">
        <v>122</v>
      </c>
      <c r="D319" s="5" t="s">
        <v>123</v>
      </c>
      <c r="E319" s="5" t="s">
        <v>124</v>
      </c>
      <c r="F319" s="56">
        <v>4380.17</v>
      </c>
      <c r="G319" s="56">
        <v>0</v>
      </c>
      <c r="H319" s="5">
        <v>0</v>
      </c>
      <c r="I319" s="5">
        <v>0</v>
      </c>
      <c r="J319" s="5">
        <v>0</v>
      </c>
      <c r="K319" s="5">
        <v>919.83</v>
      </c>
      <c r="L319" s="5">
        <v>0</v>
      </c>
      <c r="M319" s="56">
        <v>0</v>
      </c>
      <c r="N319" s="92">
        <v>5300</v>
      </c>
    </row>
    <row r="320" spans="1:14">
      <c r="A320" s="91" t="s">
        <v>2489</v>
      </c>
      <c r="B320" s="4" t="s">
        <v>2503</v>
      </c>
      <c r="C320" s="5" t="s">
        <v>122</v>
      </c>
      <c r="D320" s="5" t="s">
        <v>123</v>
      </c>
      <c r="E320" s="5" t="s">
        <v>124</v>
      </c>
      <c r="F320" s="56">
        <v>14876.03</v>
      </c>
      <c r="G320" s="56">
        <v>0</v>
      </c>
      <c r="H320" s="5">
        <v>0</v>
      </c>
      <c r="I320" s="5">
        <v>0</v>
      </c>
      <c r="J320" s="5">
        <v>0</v>
      </c>
      <c r="K320" s="5">
        <v>3123.97</v>
      </c>
      <c r="L320" s="5">
        <v>0</v>
      </c>
      <c r="M320" s="56">
        <v>0</v>
      </c>
      <c r="N320" s="92">
        <v>18000</v>
      </c>
    </row>
    <row r="321" spans="1:14">
      <c r="A321" s="91" t="s">
        <v>2489</v>
      </c>
      <c r="B321" s="4" t="s">
        <v>2504</v>
      </c>
      <c r="C321" s="5" t="s">
        <v>122</v>
      </c>
      <c r="D321" s="5" t="s">
        <v>123</v>
      </c>
      <c r="E321" s="5" t="s">
        <v>124</v>
      </c>
      <c r="F321" s="56">
        <v>2727.27</v>
      </c>
      <c r="G321" s="56">
        <v>0</v>
      </c>
      <c r="H321" s="5">
        <v>0</v>
      </c>
      <c r="I321" s="5">
        <v>0</v>
      </c>
      <c r="J321" s="5">
        <v>0</v>
      </c>
      <c r="K321" s="5">
        <v>572.73</v>
      </c>
      <c r="L321" s="5">
        <v>0</v>
      </c>
      <c r="M321" s="56">
        <v>0</v>
      </c>
      <c r="N321" s="92">
        <v>3300</v>
      </c>
    </row>
    <row r="322" spans="1:14">
      <c r="A322" s="91" t="s">
        <v>2489</v>
      </c>
      <c r="B322" s="4" t="s">
        <v>2505</v>
      </c>
      <c r="C322" s="5" t="s">
        <v>122</v>
      </c>
      <c r="D322" s="5" t="s">
        <v>123</v>
      </c>
      <c r="E322" s="5" t="s">
        <v>124</v>
      </c>
      <c r="F322" s="56">
        <v>12892.56</v>
      </c>
      <c r="G322" s="56">
        <v>0</v>
      </c>
      <c r="H322" s="5">
        <v>0</v>
      </c>
      <c r="I322" s="5">
        <v>0</v>
      </c>
      <c r="J322" s="5">
        <v>0</v>
      </c>
      <c r="K322" s="5">
        <v>2707.44</v>
      </c>
      <c r="L322" s="5">
        <v>0</v>
      </c>
      <c r="M322" s="56">
        <v>0</v>
      </c>
      <c r="N322" s="92">
        <v>15600</v>
      </c>
    </row>
    <row r="323" spans="1:14">
      <c r="A323" s="91" t="s">
        <v>2489</v>
      </c>
      <c r="B323" s="4" t="s">
        <v>2506</v>
      </c>
      <c r="C323" s="5" t="s">
        <v>122</v>
      </c>
      <c r="D323" s="5" t="s">
        <v>123</v>
      </c>
      <c r="E323" s="5" t="s">
        <v>124</v>
      </c>
      <c r="F323" s="56">
        <v>8264.4600000000009</v>
      </c>
      <c r="G323" s="56">
        <v>0</v>
      </c>
      <c r="H323" s="5">
        <v>0</v>
      </c>
      <c r="I323" s="5">
        <v>0</v>
      </c>
      <c r="J323" s="5">
        <v>0</v>
      </c>
      <c r="K323" s="5">
        <v>1735.54</v>
      </c>
      <c r="L323" s="5">
        <v>0</v>
      </c>
      <c r="M323" s="56">
        <v>0</v>
      </c>
      <c r="N323" s="92">
        <v>10000</v>
      </c>
    </row>
    <row r="324" spans="1:14">
      <c r="A324" s="91" t="s">
        <v>2489</v>
      </c>
      <c r="B324" s="4" t="s">
        <v>2507</v>
      </c>
      <c r="C324" s="5" t="s">
        <v>122</v>
      </c>
      <c r="D324" s="5" t="s">
        <v>123</v>
      </c>
      <c r="E324" s="5" t="s">
        <v>124</v>
      </c>
      <c r="F324" s="56">
        <v>3719.01</v>
      </c>
      <c r="G324" s="56">
        <v>0</v>
      </c>
      <c r="H324" s="5">
        <v>0</v>
      </c>
      <c r="I324" s="5">
        <v>0</v>
      </c>
      <c r="J324" s="5">
        <v>0</v>
      </c>
      <c r="K324" s="5">
        <v>780.99</v>
      </c>
      <c r="L324" s="5">
        <v>0</v>
      </c>
      <c r="M324" s="56">
        <v>0</v>
      </c>
      <c r="N324" s="92">
        <v>4500</v>
      </c>
    </row>
    <row r="325" spans="1:14">
      <c r="A325" s="91" t="s">
        <v>2489</v>
      </c>
      <c r="B325" s="4" t="s">
        <v>2508</v>
      </c>
      <c r="C325" s="5" t="s">
        <v>122</v>
      </c>
      <c r="D325" s="5" t="s">
        <v>123</v>
      </c>
      <c r="E325" s="5" t="s">
        <v>124</v>
      </c>
      <c r="F325" s="56">
        <v>6942.15</v>
      </c>
      <c r="G325" s="56">
        <v>0</v>
      </c>
      <c r="H325" s="5">
        <v>0</v>
      </c>
      <c r="I325" s="5">
        <v>0</v>
      </c>
      <c r="J325" s="5">
        <v>0</v>
      </c>
      <c r="K325" s="5">
        <v>1457.85</v>
      </c>
      <c r="L325" s="5">
        <v>0</v>
      </c>
      <c r="M325" s="56">
        <v>0</v>
      </c>
      <c r="N325" s="92">
        <v>8400</v>
      </c>
    </row>
    <row r="326" spans="1:14">
      <c r="A326" s="91" t="s">
        <v>2489</v>
      </c>
      <c r="B326" s="4" t="s">
        <v>2509</v>
      </c>
      <c r="C326" s="5" t="s">
        <v>122</v>
      </c>
      <c r="D326" s="5" t="s">
        <v>123</v>
      </c>
      <c r="E326" s="5" t="s">
        <v>124</v>
      </c>
      <c r="F326" s="56">
        <v>2479.34</v>
      </c>
      <c r="G326" s="56">
        <v>0</v>
      </c>
      <c r="H326" s="5">
        <v>0</v>
      </c>
      <c r="I326" s="5">
        <v>0</v>
      </c>
      <c r="J326" s="5">
        <v>0</v>
      </c>
      <c r="K326" s="5">
        <v>520.66</v>
      </c>
      <c r="L326" s="5">
        <v>0</v>
      </c>
      <c r="M326" s="56">
        <v>0</v>
      </c>
      <c r="N326" s="92">
        <v>3000</v>
      </c>
    </row>
    <row r="327" spans="1:14">
      <c r="A327" s="91" t="s">
        <v>2489</v>
      </c>
      <c r="B327" s="4" t="s">
        <v>2510</v>
      </c>
      <c r="C327" s="5" t="s">
        <v>122</v>
      </c>
      <c r="D327" s="5" t="s">
        <v>123</v>
      </c>
      <c r="E327" s="5" t="s">
        <v>124</v>
      </c>
      <c r="F327" s="56">
        <v>3090.91</v>
      </c>
      <c r="G327" s="56">
        <v>0</v>
      </c>
      <c r="H327" s="5">
        <v>0</v>
      </c>
      <c r="I327" s="5">
        <v>0</v>
      </c>
      <c r="J327" s="5">
        <v>0</v>
      </c>
      <c r="K327" s="5">
        <v>649.09</v>
      </c>
      <c r="L327" s="5">
        <v>0</v>
      </c>
      <c r="M327" s="56">
        <v>0</v>
      </c>
      <c r="N327" s="92">
        <v>3740</v>
      </c>
    </row>
    <row r="328" spans="1:14">
      <c r="A328" s="91" t="s">
        <v>2489</v>
      </c>
      <c r="B328" s="4" t="s">
        <v>2511</v>
      </c>
      <c r="C328" s="5" t="s">
        <v>122</v>
      </c>
      <c r="D328" s="5" t="s">
        <v>123</v>
      </c>
      <c r="E328" s="5" t="s">
        <v>124</v>
      </c>
      <c r="F328" s="56">
        <v>4132.2300000000005</v>
      </c>
      <c r="G328" s="56">
        <v>0</v>
      </c>
      <c r="H328" s="5">
        <v>0</v>
      </c>
      <c r="I328" s="5">
        <v>0</v>
      </c>
      <c r="J328" s="5">
        <v>0</v>
      </c>
      <c r="K328" s="5">
        <v>867.77</v>
      </c>
      <c r="L328" s="5">
        <v>0</v>
      </c>
      <c r="M328" s="56">
        <v>0</v>
      </c>
      <c r="N328" s="92">
        <v>5000</v>
      </c>
    </row>
    <row r="329" spans="1:14">
      <c r="A329" s="91" t="s">
        <v>2512</v>
      </c>
      <c r="B329" s="4" t="s">
        <v>2513</v>
      </c>
      <c r="C329" s="5" t="s">
        <v>122</v>
      </c>
      <c r="D329" s="5" t="s">
        <v>123</v>
      </c>
      <c r="E329" s="5" t="s">
        <v>124</v>
      </c>
      <c r="F329" s="56">
        <v>7851.24</v>
      </c>
      <c r="G329" s="56">
        <v>0</v>
      </c>
      <c r="H329" s="5">
        <v>0</v>
      </c>
      <c r="I329" s="5">
        <v>0</v>
      </c>
      <c r="J329" s="5">
        <v>0</v>
      </c>
      <c r="K329" s="5">
        <v>1648.76</v>
      </c>
      <c r="L329" s="5">
        <v>0</v>
      </c>
      <c r="M329" s="56">
        <v>0</v>
      </c>
      <c r="N329" s="92">
        <v>9500</v>
      </c>
    </row>
    <row r="330" spans="1:14">
      <c r="A330" s="91" t="s">
        <v>2512</v>
      </c>
      <c r="B330" s="4" t="s">
        <v>2514</v>
      </c>
      <c r="C330" s="5" t="s">
        <v>122</v>
      </c>
      <c r="D330" s="5" t="s">
        <v>123</v>
      </c>
      <c r="E330" s="5" t="s">
        <v>124</v>
      </c>
      <c r="F330" s="56">
        <v>3925.62</v>
      </c>
      <c r="G330" s="56">
        <v>0</v>
      </c>
      <c r="H330" s="5">
        <v>0</v>
      </c>
      <c r="I330" s="5">
        <v>0</v>
      </c>
      <c r="J330" s="5">
        <v>0</v>
      </c>
      <c r="K330" s="5">
        <v>824.38</v>
      </c>
      <c r="L330" s="5">
        <v>0</v>
      </c>
      <c r="M330" s="56">
        <v>0</v>
      </c>
      <c r="N330" s="92">
        <v>4750</v>
      </c>
    </row>
    <row r="331" spans="1:14">
      <c r="A331" s="91" t="s">
        <v>2512</v>
      </c>
      <c r="B331" s="4" t="s">
        <v>2515</v>
      </c>
      <c r="C331" s="5" t="s">
        <v>122</v>
      </c>
      <c r="D331" s="5" t="s">
        <v>123</v>
      </c>
      <c r="E331" s="5" t="s">
        <v>124</v>
      </c>
      <c r="F331" s="56">
        <v>6942.15</v>
      </c>
      <c r="G331" s="56">
        <v>0</v>
      </c>
      <c r="H331" s="5">
        <v>0</v>
      </c>
      <c r="I331" s="5">
        <v>0</v>
      </c>
      <c r="J331" s="5">
        <v>0</v>
      </c>
      <c r="K331" s="5">
        <v>1457.85</v>
      </c>
      <c r="L331" s="5">
        <v>0</v>
      </c>
      <c r="M331" s="56">
        <v>0</v>
      </c>
      <c r="N331" s="92">
        <v>8400</v>
      </c>
    </row>
    <row r="332" spans="1:14">
      <c r="A332" s="91" t="s">
        <v>2512</v>
      </c>
      <c r="B332" s="4" t="s">
        <v>2516</v>
      </c>
      <c r="C332" s="5" t="s">
        <v>122</v>
      </c>
      <c r="D332" s="5" t="s">
        <v>123</v>
      </c>
      <c r="E332" s="5" t="s">
        <v>124</v>
      </c>
      <c r="F332" s="56">
        <v>3016.53</v>
      </c>
      <c r="G332" s="56">
        <v>0</v>
      </c>
      <c r="H332" s="5">
        <v>0</v>
      </c>
      <c r="I332" s="5">
        <v>0</v>
      </c>
      <c r="J332" s="5">
        <v>0</v>
      </c>
      <c r="K332" s="5">
        <v>633.47</v>
      </c>
      <c r="L332" s="5">
        <v>0</v>
      </c>
      <c r="M332" s="56">
        <v>0</v>
      </c>
      <c r="N332" s="92">
        <v>3650</v>
      </c>
    </row>
    <row r="333" spans="1:14">
      <c r="A333" s="91" t="s">
        <v>2512</v>
      </c>
      <c r="B333" s="4" t="s">
        <v>2517</v>
      </c>
      <c r="C333" s="5" t="s">
        <v>122</v>
      </c>
      <c r="D333" s="5" t="s">
        <v>123</v>
      </c>
      <c r="E333" s="5" t="s">
        <v>124</v>
      </c>
      <c r="F333" s="56">
        <v>7851.24</v>
      </c>
      <c r="G333" s="56">
        <v>0</v>
      </c>
      <c r="H333" s="5">
        <v>0</v>
      </c>
      <c r="I333" s="5">
        <v>0</v>
      </c>
      <c r="J333" s="5">
        <v>0</v>
      </c>
      <c r="K333" s="5">
        <v>1648.76</v>
      </c>
      <c r="L333" s="5">
        <v>0</v>
      </c>
      <c r="M333" s="56">
        <v>0</v>
      </c>
      <c r="N333" s="92">
        <v>9500</v>
      </c>
    </row>
    <row r="334" spans="1:14">
      <c r="A334" s="91" t="s">
        <v>2512</v>
      </c>
      <c r="B334" s="4" t="s">
        <v>2518</v>
      </c>
      <c r="C334" s="5" t="s">
        <v>122</v>
      </c>
      <c r="D334" s="5" t="s">
        <v>123</v>
      </c>
      <c r="E334" s="5" t="s">
        <v>124</v>
      </c>
      <c r="F334" s="56">
        <v>6942.15</v>
      </c>
      <c r="G334" s="56">
        <v>0</v>
      </c>
      <c r="H334" s="5">
        <v>0</v>
      </c>
      <c r="I334" s="5">
        <v>0</v>
      </c>
      <c r="J334" s="5">
        <v>0</v>
      </c>
      <c r="K334" s="5">
        <v>1457.85</v>
      </c>
      <c r="L334" s="5">
        <v>0</v>
      </c>
      <c r="M334" s="56">
        <v>0</v>
      </c>
      <c r="N334" s="92">
        <v>8400</v>
      </c>
    </row>
    <row r="335" spans="1:14">
      <c r="A335" s="91" t="s">
        <v>2512</v>
      </c>
      <c r="B335" s="4" t="s">
        <v>2519</v>
      </c>
      <c r="C335" s="5" t="s">
        <v>122</v>
      </c>
      <c r="D335" s="5" t="s">
        <v>123</v>
      </c>
      <c r="E335" s="5" t="s">
        <v>124</v>
      </c>
      <c r="F335" s="56">
        <v>6942.15</v>
      </c>
      <c r="G335" s="56">
        <v>0</v>
      </c>
      <c r="H335" s="5">
        <v>0</v>
      </c>
      <c r="I335" s="5">
        <v>0</v>
      </c>
      <c r="J335" s="5">
        <v>0</v>
      </c>
      <c r="K335" s="5">
        <v>1457.85</v>
      </c>
      <c r="L335" s="5">
        <v>0</v>
      </c>
      <c r="M335" s="56">
        <v>0</v>
      </c>
      <c r="N335" s="92">
        <v>8400</v>
      </c>
    </row>
    <row r="336" spans="1:14">
      <c r="A336" s="91" t="s">
        <v>2512</v>
      </c>
      <c r="B336" s="4" t="s">
        <v>2520</v>
      </c>
      <c r="C336" s="5" t="s">
        <v>122</v>
      </c>
      <c r="D336" s="5" t="s">
        <v>123</v>
      </c>
      <c r="E336" s="5" t="s">
        <v>124</v>
      </c>
      <c r="F336" s="56">
        <v>2892.56</v>
      </c>
      <c r="G336" s="56">
        <v>0</v>
      </c>
      <c r="H336" s="5">
        <v>0</v>
      </c>
      <c r="I336" s="5">
        <v>0</v>
      </c>
      <c r="J336" s="5">
        <v>0</v>
      </c>
      <c r="K336" s="5">
        <v>607.44000000000005</v>
      </c>
      <c r="L336" s="5">
        <v>0</v>
      </c>
      <c r="M336" s="56">
        <v>0</v>
      </c>
      <c r="N336" s="92">
        <v>3500</v>
      </c>
    </row>
    <row r="337" spans="1:14">
      <c r="A337" s="91" t="s">
        <v>2512</v>
      </c>
      <c r="B337" s="4" t="s">
        <v>2521</v>
      </c>
      <c r="C337" s="5" t="s">
        <v>122</v>
      </c>
      <c r="D337" s="5" t="s">
        <v>123</v>
      </c>
      <c r="E337" s="5" t="s">
        <v>124</v>
      </c>
      <c r="F337" s="56">
        <v>13553.72</v>
      </c>
      <c r="G337" s="56">
        <v>0</v>
      </c>
      <c r="H337" s="5">
        <v>0</v>
      </c>
      <c r="I337" s="5">
        <v>0</v>
      </c>
      <c r="J337" s="5">
        <v>0</v>
      </c>
      <c r="K337" s="5">
        <v>2846.28</v>
      </c>
      <c r="L337" s="5">
        <v>0</v>
      </c>
      <c r="M337" s="56">
        <v>0</v>
      </c>
      <c r="N337" s="92">
        <v>16400</v>
      </c>
    </row>
    <row r="338" spans="1:14">
      <c r="A338" s="91" t="s">
        <v>2512</v>
      </c>
      <c r="B338" s="4" t="s">
        <v>2522</v>
      </c>
      <c r="C338" s="5" t="s">
        <v>122</v>
      </c>
      <c r="D338" s="5" t="s">
        <v>123</v>
      </c>
      <c r="E338" s="5" t="s">
        <v>124</v>
      </c>
      <c r="F338" s="56">
        <v>6611.57</v>
      </c>
      <c r="G338" s="56">
        <v>0</v>
      </c>
      <c r="H338" s="5">
        <v>0</v>
      </c>
      <c r="I338" s="5">
        <v>0</v>
      </c>
      <c r="J338" s="5">
        <v>0</v>
      </c>
      <c r="K338" s="5">
        <v>1388.43</v>
      </c>
      <c r="L338" s="5">
        <v>0</v>
      </c>
      <c r="M338" s="56">
        <v>0</v>
      </c>
      <c r="N338" s="92">
        <v>8000</v>
      </c>
    </row>
    <row r="339" spans="1:14">
      <c r="A339" s="91" t="s">
        <v>2512</v>
      </c>
      <c r="B339" s="4" t="s">
        <v>2523</v>
      </c>
      <c r="C339" s="5" t="s">
        <v>122</v>
      </c>
      <c r="D339" s="5" t="s">
        <v>123</v>
      </c>
      <c r="E339" s="5" t="s">
        <v>124</v>
      </c>
      <c r="F339" s="56">
        <v>11363.64</v>
      </c>
      <c r="G339" s="56">
        <v>0</v>
      </c>
      <c r="H339" s="5">
        <v>0</v>
      </c>
      <c r="I339" s="5">
        <v>0</v>
      </c>
      <c r="J339" s="5">
        <v>0</v>
      </c>
      <c r="K339" s="5">
        <v>2386.36</v>
      </c>
      <c r="L339" s="5">
        <v>0</v>
      </c>
      <c r="M339" s="56">
        <v>0</v>
      </c>
      <c r="N339" s="92">
        <v>13750</v>
      </c>
    </row>
    <row r="340" spans="1:14">
      <c r="A340" s="91" t="s">
        <v>2512</v>
      </c>
      <c r="B340" s="4" t="s">
        <v>2524</v>
      </c>
      <c r="C340" s="5" t="s">
        <v>122</v>
      </c>
      <c r="D340" s="5" t="s">
        <v>123</v>
      </c>
      <c r="E340" s="5" t="s">
        <v>124</v>
      </c>
      <c r="F340" s="56">
        <v>9917.36</v>
      </c>
      <c r="G340" s="56">
        <v>0</v>
      </c>
      <c r="H340" s="5">
        <v>0</v>
      </c>
      <c r="I340" s="5">
        <v>0</v>
      </c>
      <c r="J340" s="5">
        <v>0</v>
      </c>
      <c r="K340" s="5">
        <v>2082.64</v>
      </c>
      <c r="L340" s="5">
        <v>0</v>
      </c>
      <c r="M340" s="56">
        <v>0</v>
      </c>
      <c r="N340" s="92">
        <v>12000</v>
      </c>
    </row>
    <row r="341" spans="1:14">
      <c r="A341" s="91" t="s">
        <v>2512</v>
      </c>
      <c r="B341" s="4" t="s">
        <v>2525</v>
      </c>
      <c r="C341" s="5" t="s">
        <v>122</v>
      </c>
      <c r="D341" s="5" t="s">
        <v>123</v>
      </c>
      <c r="E341" s="5" t="s">
        <v>124</v>
      </c>
      <c r="F341" s="56">
        <v>39867.770000000004</v>
      </c>
      <c r="G341" s="56">
        <v>0</v>
      </c>
      <c r="H341" s="5">
        <v>0</v>
      </c>
      <c r="I341" s="5">
        <v>0</v>
      </c>
      <c r="J341" s="5">
        <v>0</v>
      </c>
      <c r="K341" s="5">
        <v>8372.23</v>
      </c>
      <c r="L341" s="5">
        <v>0</v>
      </c>
      <c r="M341" s="56">
        <v>0</v>
      </c>
      <c r="N341" s="92">
        <v>48240</v>
      </c>
    </row>
    <row r="342" spans="1:14">
      <c r="A342" s="91" t="s">
        <v>2531</v>
      </c>
      <c r="B342" s="4" t="s">
        <v>2534</v>
      </c>
      <c r="C342" s="5" t="s">
        <v>122</v>
      </c>
      <c r="D342" s="5" t="s">
        <v>123</v>
      </c>
      <c r="E342" s="5" t="s">
        <v>124</v>
      </c>
      <c r="F342" s="56">
        <v>7024.79</v>
      </c>
      <c r="G342" s="56">
        <v>0</v>
      </c>
      <c r="H342" s="5">
        <v>0</v>
      </c>
      <c r="I342" s="5">
        <v>0</v>
      </c>
      <c r="J342" s="5">
        <v>0</v>
      </c>
      <c r="K342" s="5">
        <v>1475.21</v>
      </c>
      <c r="L342" s="5">
        <v>0</v>
      </c>
      <c r="M342" s="56">
        <v>0</v>
      </c>
      <c r="N342" s="92">
        <v>8500</v>
      </c>
    </row>
    <row r="343" spans="1:14">
      <c r="A343" s="91" t="s">
        <v>2531</v>
      </c>
      <c r="B343" s="4" t="s">
        <v>2535</v>
      </c>
      <c r="C343" s="5" t="s">
        <v>122</v>
      </c>
      <c r="D343" s="5" t="s">
        <v>123</v>
      </c>
      <c r="E343" s="5" t="s">
        <v>124</v>
      </c>
      <c r="F343" s="56">
        <v>2314.0500000000002</v>
      </c>
      <c r="G343" s="56">
        <v>0</v>
      </c>
      <c r="H343" s="5">
        <v>0</v>
      </c>
      <c r="I343" s="5">
        <v>0</v>
      </c>
      <c r="J343" s="5">
        <v>0</v>
      </c>
      <c r="K343" s="5">
        <v>485.95</v>
      </c>
      <c r="L343" s="5">
        <v>0</v>
      </c>
      <c r="M343" s="56">
        <v>0</v>
      </c>
      <c r="N343" s="92">
        <v>2800</v>
      </c>
    </row>
    <row r="344" spans="1:14">
      <c r="A344" s="91" t="s">
        <v>2531</v>
      </c>
      <c r="B344" s="4" t="s">
        <v>2536</v>
      </c>
      <c r="C344" s="5" t="s">
        <v>122</v>
      </c>
      <c r="D344" s="5" t="s">
        <v>123</v>
      </c>
      <c r="E344" s="5" t="s">
        <v>124</v>
      </c>
      <c r="F344" s="56">
        <v>3628.1</v>
      </c>
      <c r="G344" s="56">
        <v>0</v>
      </c>
      <c r="H344" s="5">
        <v>0</v>
      </c>
      <c r="I344" s="5">
        <v>0</v>
      </c>
      <c r="J344" s="5">
        <v>0</v>
      </c>
      <c r="K344" s="5">
        <v>761.9</v>
      </c>
      <c r="L344" s="5">
        <v>0</v>
      </c>
      <c r="M344" s="56">
        <v>0</v>
      </c>
      <c r="N344" s="92">
        <v>4390</v>
      </c>
    </row>
    <row r="345" spans="1:14">
      <c r="A345" s="91" t="s">
        <v>2531</v>
      </c>
      <c r="B345" s="4" t="s">
        <v>2537</v>
      </c>
      <c r="C345" s="5" t="s">
        <v>122</v>
      </c>
      <c r="D345" s="5" t="s">
        <v>123</v>
      </c>
      <c r="E345" s="5" t="s">
        <v>124</v>
      </c>
      <c r="F345" s="56">
        <v>4132.2300000000005</v>
      </c>
      <c r="G345" s="56">
        <v>0</v>
      </c>
      <c r="H345" s="5">
        <v>0</v>
      </c>
      <c r="I345" s="5">
        <v>0</v>
      </c>
      <c r="J345" s="5">
        <v>0</v>
      </c>
      <c r="K345" s="5">
        <v>867.77</v>
      </c>
      <c r="L345" s="5">
        <v>0</v>
      </c>
      <c r="M345" s="56">
        <v>0</v>
      </c>
      <c r="N345" s="92">
        <v>5000</v>
      </c>
    </row>
    <row r="346" spans="1:14">
      <c r="A346" s="91" t="s">
        <v>2531</v>
      </c>
      <c r="B346" s="4" t="s">
        <v>2538</v>
      </c>
      <c r="C346" s="5" t="s">
        <v>122</v>
      </c>
      <c r="D346" s="5" t="s">
        <v>123</v>
      </c>
      <c r="E346" s="5" t="s">
        <v>124</v>
      </c>
      <c r="F346" s="56">
        <v>10826.45</v>
      </c>
      <c r="G346" s="56">
        <v>0</v>
      </c>
      <c r="H346" s="5">
        <v>0</v>
      </c>
      <c r="I346" s="5">
        <v>0</v>
      </c>
      <c r="J346" s="5">
        <v>0</v>
      </c>
      <c r="K346" s="5">
        <v>2273.5500000000002</v>
      </c>
      <c r="L346" s="5">
        <v>0</v>
      </c>
      <c r="M346" s="56">
        <v>0</v>
      </c>
      <c r="N346" s="92">
        <v>13100</v>
      </c>
    </row>
    <row r="347" spans="1:14">
      <c r="A347" s="91" t="s">
        <v>2531</v>
      </c>
      <c r="B347" s="4" t="s">
        <v>2539</v>
      </c>
      <c r="C347" s="5" t="s">
        <v>122</v>
      </c>
      <c r="D347" s="5" t="s">
        <v>123</v>
      </c>
      <c r="E347" s="5" t="s">
        <v>124</v>
      </c>
      <c r="F347" s="56">
        <v>9462.81</v>
      </c>
      <c r="G347" s="56">
        <v>0</v>
      </c>
      <c r="H347" s="5">
        <v>0</v>
      </c>
      <c r="I347" s="5">
        <v>0</v>
      </c>
      <c r="J347" s="5">
        <v>0</v>
      </c>
      <c r="K347" s="5">
        <v>1987.19</v>
      </c>
      <c r="L347" s="5">
        <v>0</v>
      </c>
      <c r="M347" s="56">
        <v>0</v>
      </c>
      <c r="N347" s="92">
        <v>11450</v>
      </c>
    </row>
    <row r="348" spans="1:14">
      <c r="A348" s="91" t="s">
        <v>2531</v>
      </c>
      <c r="B348" s="4" t="s">
        <v>2540</v>
      </c>
      <c r="C348" s="5" t="s">
        <v>122</v>
      </c>
      <c r="D348" s="5" t="s">
        <v>123</v>
      </c>
      <c r="E348" s="5" t="s">
        <v>124</v>
      </c>
      <c r="F348" s="56">
        <v>15123.97</v>
      </c>
      <c r="G348" s="56">
        <v>0</v>
      </c>
      <c r="H348" s="5">
        <v>0</v>
      </c>
      <c r="I348" s="5">
        <v>0</v>
      </c>
      <c r="J348" s="5">
        <v>0</v>
      </c>
      <c r="K348" s="5">
        <v>3176.03</v>
      </c>
      <c r="L348" s="5">
        <v>0</v>
      </c>
      <c r="M348" s="56">
        <v>0</v>
      </c>
      <c r="N348" s="92">
        <v>18300</v>
      </c>
    </row>
    <row r="349" spans="1:14">
      <c r="A349" s="91" t="s">
        <v>2531</v>
      </c>
      <c r="B349" s="4" t="s">
        <v>2541</v>
      </c>
      <c r="C349" s="5" t="s">
        <v>122</v>
      </c>
      <c r="D349" s="5" t="s">
        <v>123</v>
      </c>
      <c r="E349" s="5" t="s">
        <v>124</v>
      </c>
      <c r="F349" s="56">
        <v>3388.43</v>
      </c>
      <c r="G349" s="56">
        <v>0</v>
      </c>
      <c r="H349" s="5">
        <v>0</v>
      </c>
      <c r="I349" s="5">
        <v>0</v>
      </c>
      <c r="J349" s="5">
        <v>0</v>
      </c>
      <c r="K349" s="5">
        <v>711.57</v>
      </c>
      <c r="L349" s="5">
        <v>0</v>
      </c>
      <c r="M349" s="56">
        <v>0</v>
      </c>
      <c r="N349" s="92">
        <v>4100</v>
      </c>
    </row>
    <row r="350" spans="1:14">
      <c r="A350" s="91" t="s">
        <v>2531</v>
      </c>
      <c r="B350" s="4" t="s">
        <v>2542</v>
      </c>
      <c r="C350" s="5" t="s">
        <v>122</v>
      </c>
      <c r="D350" s="5" t="s">
        <v>123</v>
      </c>
      <c r="E350" s="5" t="s">
        <v>124</v>
      </c>
      <c r="F350" s="56">
        <v>3719.01</v>
      </c>
      <c r="G350" s="56">
        <v>0</v>
      </c>
      <c r="H350" s="5">
        <v>0</v>
      </c>
      <c r="I350" s="5">
        <v>0</v>
      </c>
      <c r="J350" s="5">
        <v>0</v>
      </c>
      <c r="K350" s="5">
        <v>780.99</v>
      </c>
      <c r="L350" s="5">
        <v>0</v>
      </c>
      <c r="M350" s="56">
        <v>0</v>
      </c>
      <c r="N350" s="92">
        <v>4500</v>
      </c>
    </row>
    <row r="351" spans="1:14">
      <c r="A351" s="91" t="s">
        <v>2531</v>
      </c>
      <c r="B351" s="4" t="s">
        <v>2543</v>
      </c>
      <c r="C351" s="5" t="s">
        <v>122</v>
      </c>
      <c r="D351" s="5" t="s">
        <v>123</v>
      </c>
      <c r="E351" s="5" t="s">
        <v>124</v>
      </c>
      <c r="F351" s="56">
        <v>3388.43</v>
      </c>
      <c r="G351" s="56">
        <v>0</v>
      </c>
      <c r="H351" s="5">
        <v>0</v>
      </c>
      <c r="I351" s="5">
        <v>0</v>
      </c>
      <c r="J351" s="5">
        <v>0</v>
      </c>
      <c r="K351" s="5">
        <v>711.57</v>
      </c>
      <c r="L351" s="5">
        <v>0</v>
      </c>
      <c r="M351" s="56">
        <v>0</v>
      </c>
      <c r="N351" s="92">
        <v>4100</v>
      </c>
    </row>
    <row r="352" spans="1:14">
      <c r="A352" s="91" t="s">
        <v>2531</v>
      </c>
      <c r="B352" s="4" t="s">
        <v>2544</v>
      </c>
      <c r="C352" s="5" t="s">
        <v>122</v>
      </c>
      <c r="D352" s="5" t="s">
        <v>123</v>
      </c>
      <c r="E352" s="5" t="s">
        <v>124</v>
      </c>
      <c r="F352" s="56">
        <v>9421.49</v>
      </c>
      <c r="G352" s="56">
        <v>0</v>
      </c>
      <c r="H352" s="5">
        <v>0</v>
      </c>
      <c r="I352" s="5">
        <v>0</v>
      </c>
      <c r="J352" s="5">
        <v>0</v>
      </c>
      <c r="K352" s="5">
        <v>1978.51</v>
      </c>
      <c r="L352" s="5">
        <v>0</v>
      </c>
      <c r="M352" s="56">
        <v>0</v>
      </c>
      <c r="N352" s="92">
        <v>11400</v>
      </c>
    </row>
    <row r="353" spans="1:14">
      <c r="A353" s="91" t="s">
        <v>2551</v>
      </c>
      <c r="B353" s="4" t="s">
        <v>2553</v>
      </c>
      <c r="C353" s="5" t="s">
        <v>122</v>
      </c>
      <c r="D353" s="5" t="s">
        <v>123</v>
      </c>
      <c r="E353" s="5" t="s">
        <v>124</v>
      </c>
      <c r="F353" s="56">
        <v>20495.87</v>
      </c>
      <c r="G353" s="56">
        <v>0</v>
      </c>
      <c r="H353" s="5">
        <v>0</v>
      </c>
      <c r="I353" s="5">
        <v>0</v>
      </c>
      <c r="J353" s="5">
        <v>0</v>
      </c>
      <c r="K353" s="5">
        <v>4304.13</v>
      </c>
      <c r="L353" s="5">
        <v>0</v>
      </c>
      <c r="M353" s="56">
        <v>0</v>
      </c>
      <c r="N353" s="92">
        <v>24800</v>
      </c>
    </row>
    <row r="354" spans="1:14">
      <c r="A354" s="91" t="s">
        <v>2551</v>
      </c>
      <c r="B354" s="4" t="s">
        <v>2554</v>
      </c>
      <c r="C354" s="5" t="s">
        <v>122</v>
      </c>
      <c r="D354" s="5" t="s">
        <v>123</v>
      </c>
      <c r="E354" s="5" t="s">
        <v>124</v>
      </c>
      <c r="F354" s="56">
        <v>13884.3</v>
      </c>
      <c r="G354" s="56">
        <v>0</v>
      </c>
      <c r="H354" s="5">
        <v>0</v>
      </c>
      <c r="I354" s="5">
        <v>0</v>
      </c>
      <c r="J354" s="5">
        <v>0</v>
      </c>
      <c r="K354" s="5">
        <v>2915.7</v>
      </c>
      <c r="L354" s="5">
        <v>0</v>
      </c>
      <c r="M354" s="56">
        <v>0</v>
      </c>
      <c r="N354" s="92">
        <v>16800</v>
      </c>
    </row>
    <row r="355" spans="1:14">
      <c r="A355" s="91" t="s">
        <v>2551</v>
      </c>
      <c r="B355" s="4" t="s">
        <v>2555</v>
      </c>
      <c r="C355" s="5" t="s">
        <v>122</v>
      </c>
      <c r="D355" s="5" t="s">
        <v>123</v>
      </c>
      <c r="E355" s="5" t="s">
        <v>124</v>
      </c>
      <c r="F355" s="56">
        <v>1553.72</v>
      </c>
      <c r="G355" s="56">
        <v>0</v>
      </c>
      <c r="H355" s="5">
        <v>0</v>
      </c>
      <c r="I355" s="5">
        <v>0</v>
      </c>
      <c r="J355" s="5">
        <v>0</v>
      </c>
      <c r="K355" s="5">
        <v>326.28000000000003</v>
      </c>
      <c r="L355" s="5">
        <v>0</v>
      </c>
      <c r="M355" s="56">
        <v>0</v>
      </c>
      <c r="N355" s="92">
        <v>1880</v>
      </c>
    </row>
    <row r="356" spans="1:14">
      <c r="A356" s="91" t="s">
        <v>2551</v>
      </c>
      <c r="B356" s="4" t="s">
        <v>2556</v>
      </c>
      <c r="C356" s="5" t="s">
        <v>122</v>
      </c>
      <c r="D356" s="5" t="s">
        <v>123</v>
      </c>
      <c r="E356" s="5" t="s">
        <v>124</v>
      </c>
      <c r="F356" s="56">
        <v>6033.06</v>
      </c>
      <c r="G356" s="56">
        <v>0</v>
      </c>
      <c r="H356" s="5">
        <v>0</v>
      </c>
      <c r="I356" s="5">
        <v>0</v>
      </c>
      <c r="J356" s="5">
        <v>0</v>
      </c>
      <c r="K356" s="5">
        <v>1266.94</v>
      </c>
      <c r="L356" s="5">
        <v>0</v>
      </c>
      <c r="M356" s="56">
        <v>0</v>
      </c>
      <c r="N356" s="92">
        <v>7300</v>
      </c>
    </row>
    <row r="357" spans="1:14">
      <c r="A357" s="91" t="s">
        <v>2551</v>
      </c>
      <c r="B357" s="4" t="s">
        <v>2557</v>
      </c>
      <c r="C357" s="5" t="s">
        <v>122</v>
      </c>
      <c r="D357" s="5" t="s">
        <v>123</v>
      </c>
      <c r="E357" s="5" t="s">
        <v>124</v>
      </c>
      <c r="F357" s="56">
        <v>13884.3</v>
      </c>
      <c r="G357" s="56">
        <v>0</v>
      </c>
      <c r="H357" s="5">
        <v>0</v>
      </c>
      <c r="I357" s="5">
        <v>0</v>
      </c>
      <c r="J357" s="5">
        <v>0</v>
      </c>
      <c r="K357" s="5">
        <v>2915.7</v>
      </c>
      <c r="L357" s="5">
        <v>0</v>
      </c>
      <c r="M357" s="56">
        <v>0</v>
      </c>
      <c r="N357" s="92">
        <v>16800</v>
      </c>
    </row>
    <row r="358" spans="1:14">
      <c r="A358" s="91" t="s">
        <v>2551</v>
      </c>
      <c r="B358" s="4" t="s">
        <v>2558</v>
      </c>
      <c r="C358" s="5" t="s">
        <v>122</v>
      </c>
      <c r="D358" s="5" t="s">
        <v>123</v>
      </c>
      <c r="E358" s="5" t="s">
        <v>124</v>
      </c>
      <c r="F358" s="56">
        <v>826.45</v>
      </c>
      <c r="G358" s="56">
        <v>0</v>
      </c>
      <c r="H358" s="5">
        <v>0</v>
      </c>
      <c r="I358" s="5">
        <v>0</v>
      </c>
      <c r="J358" s="5">
        <v>0</v>
      </c>
      <c r="K358" s="5">
        <v>173.55</v>
      </c>
      <c r="L358" s="5">
        <v>0</v>
      </c>
      <c r="M358" s="56">
        <v>0</v>
      </c>
      <c r="N358" s="92">
        <v>1000</v>
      </c>
    </row>
    <row r="359" spans="1:14">
      <c r="A359" s="91" t="s">
        <v>2551</v>
      </c>
      <c r="B359" s="4" t="s">
        <v>2559</v>
      </c>
      <c r="C359" s="5" t="s">
        <v>122</v>
      </c>
      <c r="D359" s="5" t="s">
        <v>123</v>
      </c>
      <c r="E359" s="5" t="s">
        <v>124</v>
      </c>
      <c r="F359" s="56">
        <v>6942.15</v>
      </c>
      <c r="G359" s="56">
        <v>0</v>
      </c>
      <c r="H359" s="5">
        <v>0</v>
      </c>
      <c r="I359" s="5">
        <v>0</v>
      </c>
      <c r="J359" s="5">
        <v>0</v>
      </c>
      <c r="K359" s="5">
        <v>1457.85</v>
      </c>
      <c r="L359" s="5">
        <v>0</v>
      </c>
      <c r="M359" s="56">
        <v>0</v>
      </c>
      <c r="N359" s="92">
        <v>8400</v>
      </c>
    </row>
    <row r="360" spans="1:14">
      <c r="A360" s="91" t="s">
        <v>2551</v>
      </c>
      <c r="B360" s="4" t="s">
        <v>2560</v>
      </c>
      <c r="C360" s="5" t="s">
        <v>122</v>
      </c>
      <c r="D360" s="5" t="s">
        <v>123</v>
      </c>
      <c r="E360" s="5" t="s">
        <v>124</v>
      </c>
      <c r="F360" s="56">
        <v>21123.97</v>
      </c>
      <c r="G360" s="56">
        <v>0</v>
      </c>
      <c r="H360" s="5">
        <v>0</v>
      </c>
      <c r="I360" s="5">
        <v>0</v>
      </c>
      <c r="J360" s="5">
        <v>0</v>
      </c>
      <c r="K360" s="5">
        <v>4436.03</v>
      </c>
      <c r="L360" s="5">
        <v>0</v>
      </c>
      <c r="M360" s="56">
        <v>0</v>
      </c>
      <c r="N360" s="92">
        <v>25560</v>
      </c>
    </row>
    <row r="361" spans="1:14">
      <c r="A361" s="91" t="s">
        <v>2551</v>
      </c>
      <c r="B361" s="4" t="s">
        <v>2561</v>
      </c>
      <c r="C361" s="5" t="s">
        <v>122</v>
      </c>
      <c r="D361" s="5" t="s">
        <v>123</v>
      </c>
      <c r="E361" s="5" t="s">
        <v>124</v>
      </c>
      <c r="F361" s="56">
        <v>12066.12</v>
      </c>
      <c r="G361" s="56">
        <v>0</v>
      </c>
      <c r="H361" s="5">
        <v>0</v>
      </c>
      <c r="I361" s="5">
        <v>0</v>
      </c>
      <c r="J361" s="5">
        <v>0</v>
      </c>
      <c r="K361" s="5">
        <v>2533.88</v>
      </c>
      <c r="L361" s="5">
        <v>0</v>
      </c>
      <c r="M361" s="56">
        <v>0</v>
      </c>
      <c r="N361" s="92">
        <v>14600</v>
      </c>
    </row>
    <row r="362" spans="1:14">
      <c r="A362" s="91" t="s">
        <v>2551</v>
      </c>
      <c r="B362" s="4" t="s">
        <v>2562</v>
      </c>
      <c r="C362" s="5" t="s">
        <v>122</v>
      </c>
      <c r="D362" s="5" t="s">
        <v>123</v>
      </c>
      <c r="E362" s="5" t="s">
        <v>124</v>
      </c>
      <c r="F362" s="56">
        <v>2479.34</v>
      </c>
      <c r="G362" s="56">
        <v>0</v>
      </c>
      <c r="H362" s="5">
        <v>0</v>
      </c>
      <c r="I362" s="5">
        <v>0</v>
      </c>
      <c r="J362" s="5">
        <v>0</v>
      </c>
      <c r="K362" s="5">
        <v>520.66</v>
      </c>
      <c r="L362" s="5">
        <v>0</v>
      </c>
      <c r="M362" s="56">
        <v>0</v>
      </c>
      <c r="N362" s="92">
        <v>3000</v>
      </c>
    </row>
    <row r="363" spans="1:14">
      <c r="A363" s="91" t="s">
        <v>2551</v>
      </c>
      <c r="B363" s="4" t="s">
        <v>2563</v>
      </c>
      <c r="C363" s="5" t="s">
        <v>122</v>
      </c>
      <c r="D363" s="5" t="s">
        <v>123</v>
      </c>
      <c r="E363" s="5" t="s">
        <v>124</v>
      </c>
      <c r="F363" s="56">
        <v>6694.21</v>
      </c>
      <c r="G363" s="56">
        <v>0</v>
      </c>
      <c r="H363" s="5">
        <v>0</v>
      </c>
      <c r="I363" s="5">
        <v>0</v>
      </c>
      <c r="J363" s="5">
        <v>0</v>
      </c>
      <c r="K363" s="5">
        <v>1405.79</v>
      </c>
      <c r="L363" s="5">
        <v>0</v>
      </c>
      <c r="M363" s="56">
        <v>0</v>
      </c>
      <c r="N363" s="92">
        <v>8100</v>
      </c>
    </row>
    <row r="364" spans="1:14">
      <c r="A364" s="91" t="s">
        <v>2551</v>
      </c>
      <c r="B364" s="4" t="s">
        <v>2564</v>
      </c>
      <c r="C364" s="5" t="s">
        <v>122</v>
      </c>
      <c r="D364" s="5" t="s">
        <v>123</v>
      </c>
      <c r="E364" s="5" t="s">
        <v>124</v>
      </c>
      <c r="F364" s="56">
        <v>18752.07</v>
      </c>
      <c r="G364" s="56">
        <v>0</v>
      </c>
      <c r="H364" s="5">
        <v>0</v>
      </c>
      <c r="I364" s="5">
        <v>0</v>
      </c>
      <c r="J364" s="5">
        <v>0</v>
      </c>
      <c r="K364" s="5">
        <v>3937.93</v>
      </c>
      <c r="L364" s="5">
        <v>0</v>
      </c>
      <c r="M364" s="56">
        <v>0</v>
      </c>
      <c r="N364" s="92">
        <v>22690</v>
      </c>
    </row>
    <row r="365" spans="1:14">
      <c r="A365" s="91" t="s">
        <v>2551</v>
      </c>
      <c r="B365" s="4" t="s">
        <v>2565</v>
      </c>
      <c r="C365" s="5" t="s">
        <v>122</v>
      </c>
      <c r="D365" s="5" t="s">
        <v>123</v>
      </c>
      <c r="E365" s="5" t="s">
        <v>124</v>
      </c>
      <c r="F365" s="56">
        <v>7851.24</v>
      </c>
      <c r="G365" s="56">
        <v>0</v>
      </c>
      <c r="H365" s="5">
        <v>0</v>
      </c>
      <c r="I365" s="5">
        <v>0</v>
      </c>
      <c r="J365" s="5">
        <v>0</v>
      </c>
      <c r="K365" s="5">
        <v>1648.76</v>
      </c>
      <c r="L365" s="5">
        <v>0</v>
      </c>
      <c r="M365" s="56">
        <v>0</v>
      </c>
      <c r="N365" s="92">
        <v>9500</v>
      </c>
    </row>
    <row r="366" spans="1:14">
      <c r="A366" s="91" t="s">
        <v>2551</v>
      </c>
      <c r="B366" s="4" t="s">
        <v>2566</v>
      </c>
      <c r="C366" s="5" t="s">
        <v>122</v>
      </c>
      <c r="D366" s="5" t="s">
        <v>123</v>
      </c>
      <c r="E366" s="5" t="s">
        <v>124</v>
      </c>
      <c r="F366" s="56">
        <v>2892.56</v>
      </c>
      <c r="G366" s="56">
        <v>0</v>
      </c>
      <c r="H366" s="5">
        <v>0</v>
      </c>
      <c r="I366" s="5">
        <v>0</v>
      </c>
      <c r="J366" s="5">
        <v>0</v>
      </c>
      <c r="K366" s="5">
        <v>607.44000000000005</v>
      </c>
      <c r="L366" s="5">
        <v>0</v>
      </c>
      <c r="M366" s="56">
        <v>0</v>
      </c>
      <c r="N366" s="92">
        <v>3500</v>
      </c>
    </row>
    <row r="367" spans="1:14">
      <c r="A367" s="91" t="s">
        <v>2551</v>
      </c>
      <c r="B367" s="4" t="s">
        <v>2567</v>
      </c>
      <c r="C367" s="5" t="s">
        <v>122</v>
      </c>
      <c r="D367" s="5" t="s">
        <v>123</v>
      </c>
      <c r="E367" s="5" t="s">
        <v>124</v>
      </c>
      <c r="F367" s="56">
        <v>4876.03</v>
      </c>
      <c r="G367" s="56">
        <v>0</v>
      </c>
      <c r="H367" s="5">
        <v>0</v>
      </c>
      <c r="I367" s="5">
        <v>0</v>
      </c>
      <c r="J367" s="5">
        <v>0</v>
      </c>
      <c r="K367" s="5">
        <v>1023.97</v>
      </c>
      <c r="L367" s="5">
        <v>0</v>
      </c>
      <c r="M367" s="56">
        <v>0</v>
      </c>
      <c r="N367" s="92">
        <v>5900</v>
      </c>
    </row>
    <row r="368" spans="1:14">
      <c r="A368" s="91" t="s">
        <v>2551</v>
      </c>
      <c r="B368" s="4" t="s">
        <v>2568</v>
      </c>
      <c r="C368" s="5" t="s">
        <v>122</v>
      </c>
      <c r="D368" s="5" t="s">
        <v>123</v>
      </c>
      <c r="E368" s="5" t="s">
        <v>124</v>
      </c>
      <c r="F368" s="56">
        <v>6280.99</v>
      </c>
      <c r="G368" s="56">
        <v>0</v>
      </c>
      <c r="H368" s="5">
        <v>0</v>
      </c>
      <c r="I368" s="5">
        <v>0</v>
      </c>
      <c r="J368" s="5">
        <v>0</v>
      </c>
      <c r="K368" s="5">
        <v>1319.01</v>
      </c>
      <c r="L368" s="5">
        <v>0</v>
      </c>
      <c r="M368" s="56">
        <v>0</v>
      </c>
      <c r="N368" s="92">
        <v>7600</v>
      </c>
    </row>
    <row r="369" spans="1:14">
      <c r="A369" s="91" t="s">
        <v>2551</v>
      </c>
      <c r="B369" s="4" t="s">
        <v>2569</v>
      </c>
      <c r="C369" s="5" t="s">
        <v>122</v>
      </c>
      <c r="D369" s="5" t="s">
        <v>123</v>
      </c>
      <c r="E369" s="5" t="s">
        <v>124</v>
      </c>
      <c r="F369" s="56">
        <v>3925.62</v>
      </c>
      <c r="G369" s="56">
        <v>0</v>
      </c>
      <c r="H369" s="5">
        <v>0</v>
      </c>
      <c r="I369" s="5">
        <v>0</v>
      </c>
      <c r="J369" s="5">
        <v>0</v>
      </c>
      <c r="K369" s="5">
        <v>824.38</v>
      </c>
      <c r="L369" s="5">
        <v>0</v>
      </c>
      <c r="M369" s="56">
        <v>0</v>
      </c>
      <c r="N369" s="92">
        <v>4750</v>
      </c>
    </row>
    <row r="370" spans="1:14">
      <c r="A370" s="91" t="s">
        <v>2551</v>
      </c>
      <c r="B370" s="4" t="s">
        <v>2570</v>
      </c>
      <c r="C370" s="5" t="s">
        <v>122</v>
      </c>
      <c r="D370" s="5" t="s">
        <v>123</v>
      </c>
      <c r="E370" s="5" t="s">
        <v>124</v>
      </c>
      <c r="F370" s="56">
        <v>2380.17</v>
      </c>
      <c r="G370" s="56">
        <v>0</v>
      </c>
      <c r="H370" s="5">
        <v>0</v>
      </c>
      <c r="I370" s="5">
        <v>0</v>
      </c>
      <c r="J370" s="5">
        <v>0</v>
      </c>
      <c r="K370" s="5">
        <v>499.83</v>
      </c>
      <c r="L370" s="5">
        <v>0</v>
      </c>
      <c r="M370" s="56">
        <v>0</v>
      </c>
      <c r="N370" s="92">
        <v>2880</v>
      </c>
    </row>
    <row r="371" spans="1:14">
      <c r="A371" s="91" t="s">
        <v>2551</v>
      </c>
      <c r="B371" s="4" t="s">
        <v>2571</v>
      </c>
      <c r="C371" s="5" t="s">
        <v>122</v>
      </c>
      <c r="D371" s="5" t="s">
        <v>123</v>
      </c>
      <c r="E371" s="5" t="s">
        <v>124</v>
      </c>
      <c r="F371" s="56">
        <v>7148.76</v>
      </c>
      <c r="G371" s="56">
        <v>0</v>
      </c>
      <c r="H371" s="5">
        <v>0</v>
      </c>
      <c r="I371" s="5">
        <v>0</v>
      </c>
      <c r="J371" s="5">
        <v>0</v>
      </c>
      <c r="K371" s="5">
        <v>1501.24</v>
      </c>
      <c r="L371" s="5">
        <v>0</v>
      </c>
      <c r="M371" s="56">
        <v>0</v>
      </c>
      <c r="N371" s="92">
        <v>8650</v>
      </c>
    </row>
    <row r="372" spans="1:14">
      <c r="A372" s="91" t="s">
        <v>2551</v>
      </c>
      <c r="B372" s="4" t="s">
        <v>2572</v>
      </c>
      <c r="C372" s="5" t="s">
        <v>122</v>
      </c>
      <c r="D372" s="5" t="s">
        <v>123</v>
      </c>
      <c r="E372" s="5" t="s">
        <v>124</v>
      </c>
      <c r="F372" s="56">
        <v>3016.53</v>
      </c>
      <c r="G372" s="56">
        <v>0</v>
      </c>
      <c r="H372" s="5">
        <v>0</v>
      </c>
      <c r="I372" s="5">
        <v>0</v>
      </c>
      <c r="J372" s="5">
        <v>0</v>
      </c>
      <c r="K372" s="5">
        <v>633.47</v>
      </c>
      <c r="L372" s="5">
        <v>0</v>
      </c>
      <c r="M372" s="56">
        <v>0</v>
      </c>
      <c r="N372" s="92">
        <v>3650</v>
      </c>
    </row>
    <row r="373" spans="1:14">
      <c r="A373" s="91" t="s">
        <v>2087</v>
      </c>
      <c r="B373" s="4" t="s">
        <v>2099</v>
      </c>
      <c r="C373" s="5" t="s">
        <v>1666</v>
      </c>
      <c r="D373" s="5" t="s">
        <v>123</v>
      </c>
      <c r="E373" s="5">
        <v>16124424</v>
      </c>
      <c r="F373" s="56">
        <v>11157.02</v>
      </c>
      <c r="G373" s="56">
        <v>0</v>
      </c>
      <c r="H373" s="5">
        <v>0</v>
      </c>
      <c r="I373" s="5">
        <v>0</v>
      </c>
      <c r="J373" s="5">
        <v>0</v>
      </c>
      <c r="K373" s="5">
        <v>2342.98</v>
      </c>
      <c r="L373" s="5">
        <v>0</v>
      </c>
      <c r="M373" s="56">
        <v>0</v>
      </c>
      <c r="N373" s="92">
        <v>13500</v>
      </c>
    </row>
    <row r="374" spans="1:14">
      <c r="A374" s="91" t="s">
        <v>2087</v>
      </c>
      <c r="B374" s="4" t="s">
        <v>2100</v>
      </c>
      <c r="C374" s="5" t="s">
        <v>318</v>
      </c>
      <c r="D374" s="5" t="s">
        <v>123</v>
      </c>
      <c r="E374" s="5">
        <v>17968654</v>
      </c>
      <c r="F374" s="56">
        <v>46115.7</v>
      </c>
      <c r="G374" s="56">
        <v>0</v>
      </c>
      <c r="H374" s="5">
        <v>0</v>
      </c>
      <c r="I374" s="5">
        <v>0</v>
      </c>
      <c r="J374" s="5">
        <v>0</v>
      </c>
      <c r="K374" s="5">
        <v>9684.3000000000011</v>
      </c>
      <c r="L374" s="5">
        <v>0</v>
      </c>
      <c r="M374" s="56">
        <v>0</v>
      </c>
      <c r="N374" s="92">
        <v>55800</v>
      </c>
    </row>
    <row r="375" spans="1:14">
      <c r="A375" s="91" t="s">
        <v>2101</v>
      </c>
      <c r="B375" s="4" t="s">
        <v>2118</v>
      </c>
      <c r="C375" s="5" t="s">
        <v>393</v>
      </c>
      <c r="D375" s="5" t="s">
        <v>123</v>
      </c>
      <c r="E375" s="5" t="s">
        <v>124</v>
      </c>
      <c r="F375" s="56">
        <v>15619.83</v>
      </c>
      <c r="G375" s="56">
        <v>0</v>
      </c>
      <c r="H375" s="5">
        <v>0</v>
      </c>
      <c r="I375" s="5">
        <v>0</v>
      </c>
      <c r="J375" s="5">
        <v>0</v>
      </c>
      <c r="K375" s="5">
        <v>3280.17</v>
      </c>
      <c r="L375" s="5">
        <v>0</v>
      </c>
      <c r="M375" s="56">
        <v>0</v>
      </c>
      <c r="N375" s="92">
        <v>18900</v>
      </c>
    </row>
    <row r="376" spans="1:14">
      <c r="A376" s="91" t="s">
        <v>2101</v>
      </c>
      <c r="B376" s="4" t="s">
        <v>2119</v>
      </c>
      <c r="C376" s="5" t="s">
        <v>360</v>
      </c>
      <c r="D376" s="5" t="s">
        <v>123</v>
      </c>
      <c r="E376" s="5">
        <v>5804480</v>
      </c>
      <c r="F376" s="56">
        <v>5785.12</v>
      </c>
      <c r="G376" s="56">
        <v>0</v>
      </c>
      <c r="H376" s="5">
        <v>0</v>
      </c>
      <c r="I376" s="5">
        <v>0</v>
      </c>
      <c r="J376" s="5">
        <v>0</v>
      </c>
      <c r="K376" s="5">
        <v>1214.8800000000001</v>
      </c>
      <c r="L376" s="5">
        <v>0</v>
      </c>
      <c r="M376" s="56">
        <v>0</v>
      </c>
      <c r="N376" s="92">
        <v>7000</v>
      </c>
    </row>
    <row r="377" spans="1:14">
      <c r="A377" s="91" t="s">
        <v>2101</v>
      </c>
      <c r="B377" s="4" t="s">
        <v>2120</v>
      </c>
      <c r="C377" s="5" t="s">
        <v>348</v>
      </c>
      <c r="D377" s="5" t="s">
        <v>123</v>
      </c>
      <c r="E377" s="5">
        <v>26542077</v>
      </c>
      <c r="F377" s="56">
        <v>12644.62</v>
      </c>
      <c r="G377" s="56">
        <v>0</v>
      </c>
      <c r="H377" s="5">
        <v>0</v>
      </c>
      <c r="I377" s="5">
        <v>0</v>
      </c>
      <c r="J377" s="5">
        <v>0</v>
      </c>
      <c r="K377" s="5">
        <v>2655.38</v>
      </c>
      <c r="L377" s="5">
        <v>0</v>
      </c>
      <c r="M377" s="56">
        <v>0</v>
      </c>
      <c r="N377" s="92">
        <v>15300</v>
      </c>
    </row>
    <row r="378" spans="1:14">
      <c r="A378" s="91" t="s">
        <v>2101</v>
      </c>
      <c r="B378" s="4" t="s">
        <v>2121</v>
      </c>
      <c r="C378" s="5" t="s">
        <v>354</v>
      </c>
      <c r="D378" s="5" t="s">
        <v>123</v>
      </c>
      <c r="E378" s="5">
        <v>382591</v>
      </c>
      <c r="F378" s="56">
        <v>6611.57</v>
      </c>
      <c r="G378" s="56">
        <v>0</v>
      </c>
      <c r="H378" s="5">
        <v>0</v>
      </c>
      <c r="I378" s="5">
        <v>0</v>
      </c>
      <c r="J378" s="5">
        <v>0</v>
      </c>
      <c r="K378" s="5">
        <v>1388.43</v>
      </c>
      <c r="L378" s="5">
        <v>0</v>
      </c>
      <c r="M378" s="56">
        <v>0</v>
      </c>
      <c r="N378" s="92">
        <v>8000</v>
      </c>
    </row>
    <row r="379" spans="1:14">
      <c r="A379" s="91" t="s">
        <v>2101</v>
      </c>
      <c r="B379" s="4" t="s">
        <v>2122</v>
      </c>
      <c r="C379" s="5" t="s">
        <v>362</v>
      </c>
      <c r="D379" s="5" t="s">
        <v>123</v>
      </c>
      <c r="E379" s="5">
        <v>3192296</v>
      </c>
      <c r="F379" s="56">
        <v>4958.68</v>
      </c>
      <c r="G379" s="56">
        <v>0</v>
      </c>
      <c r="H379" s="5">
        <v>0</v>
      </c>
      <c r="I379" s="5">
        <v>0</v>
      </c>
      <c r="J379" s="5">
        <v>0</v>
      </c>
      <c r="K379" s="5">
        <v>1041.32</v>
      </c>
      <c r="L379" s="5">
        <v>0</v>
      </c>
      <c r="M379" s="56">
        <v>0</v>
      </c>
      <c r="N379" s="92">
        <v>6000</v>
      </c>
    </row>
    <row r="380" spans="1:14">
      <c r="A380" s="91" t="s">
        <v>2123</v>
      </c>
      <c r="B380" s="4" t="s">
        <v>2146</v>
      </c>
      <c r="C380" s="5" t="s">
        <v>1547</v>
      </c>
      <c r="D380" s="5" t="s">
        <v>123</v>
      </c>
      <c r="E380" s="5">
        <v>14547747</v>
      </c>
      <c r="F380" s="56">
        <v>8181.81</v>
      </c>
      <c r="G380" s="56">
        <v>0</v>
      </c>
      <c r="H380" s="5">
        <v>0</v>
      </c>
      <c r="I380" s="5">
        <v>0</v>
      </c>
      <c r="J380" s="5">
        <v>0</v>
      </c>
      <c r="K380" s="5">
        <v>1718.19</v>
      </c>
      <c r="L380" s="5">
        <v>0</v>
      </c>
      <c r="M380" s="56">
        <v>0</v>
      </c>
      <c r="N380" s="92">
        <v>9900</v>
      </c>
    </row>
    <row r="381" spans="1:14">
      <c r="A381" s="91" t="s">
        <v>2123</v>
      </c>
      <c r="B381" s="4" t="s">
        <v>2147</v>
      </c>
      <c r="C381" s="5" t="s">
        <v>364</v>
      </c>
      <c r="D381" s="5" t="s">
        <v>123</v>
      </c>
      <c r="E381" s="5">
        <v>13211322</v>
      </c>
      <c r="F381" s="56">
        <v>4380.16</v>
      </c>
      <c r="G381" s="56">
        <v>0</v>
      </c>
      <c r="H381" s="5">
        <v>0</v>
      </c>
      <c r="I381" s="5">
        <v>0</v>
      </c>
      <c r="J381" s="5">
        <v>0</v>
      </c>
      <c r="K381" s="5">
        <v>919.84</v>
      </c>
      <c r="L381" s="5">
        <v>0</v>
      </c>
      <c r="M381" s="56">
        <v>0</v>
      </c>
      <c r="N381" s="92">
        <v>5300</v>
      </c>
    </row>
    <row r="382" spans="1:14">
      <c r="A382" s="91" t="s">
        <v>2148</v>
      </c>
      <c r="B382" s="4" t="s">
        <v>2167</v>
      </c>
      <c r="C382" s="5" t="s">
        <v>350</v>
      </c>
      <c r="D382" s="5" t="s">
        <v>123</v>
      </c>
      <c r="E382" s="5">
        <v>21645724</v>
      </c>
      <c r="F382" s="56">
        <v>8677.69</v>
      </c>
      <c r="G382" s="56">
        <v>0</v>
      </c>
      <c r="H382" s="5">
        <v>0</v>
      </c>
      <c r="I382" s="5">
        <v>0</v>
      </c>
      <c r="J382" s="5">
        <v>0</v>
      </c>
      <c r="K382" s="5">
        <v>1822.31</v>
      </c>
      <c r="L382" s="5">
        <v>0</v>
      </c>
      <c r="M382" s="56">
        <v>0</v>
      </c>
      <c r="N382" s="92">
        <v>10500</v>
      </c>
    </row>
    <row r="383" spans="1:14">
      <c r="A383" s="91" t="s">
        <v>2148</v>
      </c>
      <c r="B383" s="4" t="s">
        <v>2168</v>
      </c>
      <c r="C383" s="5" t="s">
        <v>884</v>
      </c>
      <c r="D383" s="5" t="s">
        <v>123</v>
      </c>
      <c r="E383" s="5">
        <v>17198648</v>
      </c>
      <c r="F383" s="56">
        <v>7438.02</v>
      </c>
      <c r="G383" s="56">
        <v>0</v>
      </c>
      <c r="H383" s="5">
        <v>0</v>
      </c>
      <c r="I383" s="5">
        <v>0</v>
      </c>
      <c r="J383" s="5">
        <v>0</v>
      </c>
      <c r="K383" s="5">
        <v>1561.98</v>
      </c>
      <c r="L383" s="5">
        <v>0</v>
      </c>
      <c r="M383" s="56">
        <v>0</v>
      </c>
      <c r="N383" s="92">
        <v>9000</v>
      </c>
    </row>
    <row r="384" spans="1:14">
      <c r="A384" s="91" t="s">
        <v>2148</v>
      </c>
      <c r="B384" s="4" t="s">
        <v>2169</v>
      </c>
      <c r="C384" s="5" t="s">
        <v>348</v>
      </c>
      <c r="D384" s="5" t="s">
        <v>123</v>
      </c>
      <c r="E384" s="5">
        <v>26542077</v>
      </c>
      <c r="F384" s="56">
        <v>12644.63</v>
      </c>
      <c r="G384" s="56">
        <v>0</v>
      </c>
      <c r="H384" s="5">
        <v>0</v>
      </c>
      <c r="I384" s="5">
        <v>0</v>
      </c>
      <c r="J384" s="5">
        <v>0</v>
      </c>
      <c r="K384" s="5">
        <v>2655.37</v>
      </c>
      <c r="L384" s="5">
        <v>0</v>
      </c>
      <c r="M384" s="56">
        <v>0</v>
      </c>
      <c r="N384" s="92">
        <v>15300</v>
      </c>
    </row>
    <row r="385" spans="1:14">
      <c r="A385" s="91" t="s">
        <v>2148</v>
      </c>
      <c r="B385" s="4" t="s">
        <v>2170</v>
      </c>
      <c r="C385" s="5" t="s">
        <v>769</v>
      </c>
      <c r="D385" s="5" t="s">
        <v>123</v>
      </c>
      <c r="E385" s="5">
        <v>21363216</v>
      </c>
      <c r="F385" s="56">
        <v>6611.57</v>
      </c>
      <c r="G385" s="56">
        <v>0</v>
      </c>
      <c r="H385" s="5">
        <v>0</v>
      </c>
      <c r="I385" s="5">
        <v>0</v>
      </c>
      <c r="J385" s="5">
        <v>0</v>
      </c>
      <c r="K385" s="5">
        <v>1388.43</v>
      </c>
      <c r="L385" s="5">
        <v>0</v>
      </c>
      <c r="M385" s="56">
        <v>0</v>
      </c>
      <c r="N385" s="92">
        <v>8000</v>
      </c>
    </row>
    <row r="386" spans="1:14">
      <c r="A386" s="91" t="s">
        <v>2171</v>
      </c>
      <c r="B386" s="4" t="s">
        <v>2193</v>
      </c>
      <c r="C386" s="5" t="s">
        <v>822</v>
      </c>
      <c r="D386" s="5" t="s">
        <v>123</v>
      </c>
      <c r="E386" s="5">
        <v>22608522</v>
      </c>
      <c r="F386" s="56">
        <v>16115.71</v>
      </c>
      <c r="G386" s="56">
        <v>0</v>
      </c>
      <c r="H386" s="5">
        <v>0</v>
      </c>
      <c r="I386" s="5">
        <v>0</v>
      </c>
      <c r="J386" s="5">
        <v>0</v>
      </c>
      <c r="K386" s="5">
        <v>3384.29</v>
      </c>
      <c r="L386" s="5">
        <v>0</v>
      </c>
      <c r="M386" s="56">
        <v>0</v>
      </c>
      <c r="N386" s="92">
        <v>19500</v>
      </c>
    </row>
    <row r="387" spans="1:14">
      <c r="A387" s="91" t="s">
        <v>2171</v>
      </c>
      <c r="B387" s="4" t="s">
        <v>2194</v>
      </c>
      <c r="C387" s="5" t="s">
        <v>275</v>
      </c>
      <c r="D387" s="5" t="s">
        <v>276</v>
      </c>
      <c r="E387" s="5">
        <v>30590354798</v>
      </c>
      <c r="F387" s="56">
        <v>353616.28</v>
      </c>
      <c r="G387" s="56">
        <v>0</v>
      </c>
      <c r="H387" s="5">
        <v>0</v>
      </c>
      <c r="I387" s="5">
        <v>0</v>
      </c>
      <c r="J387" s="5">
        <v>0</v>
      </c>
      <c r="K387" s="5">
        <v>74259.42</v>
      </c>
      <c r="L387" s="5">
        <v>0</v>
      </c>
      <c r="M387" s="56">
        <v>0</v>
      </c>
      <c r="N387" s="92">
        <v>427875.7</v>
      </c>
    </row>
    <row r="388" spans="1:14">
      <c r="A388" s="91" t="s">
        <v>2171</v>
      </c>
      <c r="B388" s="4" t="s">
        <v>2195</v>
      </c>
      <c r="C388" s="5" t="s">
        <v>2196</v>
      </c>
      <c r="D388" s="5" t="s">
        <v>123</v>
      </c>
      <c r="E388" s="5">
        <v>20435515</v>
      </c>
      <c r="F388" s="56">
        <v>72727.27</v>
      </c>
      <c r="G388" s="56">
        <v>0</v>
      </c>
      <c r="H388" s="5">
        <v>0</v>
      </c>
      <c r="I388" s="5">
        <v>0</v>
      </c>
      <c r="J388" s="5">
        <v>0</v>
      </c>
      <c r="K388" s="5">
        <v>15272.73</v>
      </c>
      <c r="L388" s="5">
        <v>0</v>
      </c>
      <c r="M388" s="56">
        <v>0</v>
      </c>
      <c r="N388" s="92">
        <v>88000</v>
      </c>
    </row>
    <row r="389" spans="1:14">
      <c r="A389" s="91" t="s">
        <v>2171</v>
      </c>
      <c r="B389" s="4" t="s">
        <v>2197</v>
      </c>
      <c r="C389" s="5" t="s">
        <v>307</v>
      </c>
      <c r="D389" s="5" t="s">
        <v>276</v>
      </c>
      <c r="E389" s="5">
        <v>30571766287</v>
      </c>
      <c r="F389" s="56">
        <v>25557.02</v>
      </c>
      <c r="G389" s="56">
        <v>0</v>
      </c>
      <c r="H389" s="5">
        <v>0</v>
      </c>
      <c r="I389" s="5">
        <v>0</v>
      </c>
      <c r="J389" s="5">
        <v>0</v>
      </c>
      <c r="K389" s="5">
        <v>5366.98</v>
      </c>
      <c r="L389" s="5">
        <v>0</v>
      </c>
      <c r="M389" s="56">
        <v>0</v>
      </c>
      <c r="N389" s="92">
        <v>30924</v>
      </c>
    </row>
    <row r="390" spans="1:14">
      <c r="A390" s="91" t="s">
        <v>2171</v>
      </c>
      <c r="B390" s="4" t="s">
        <v>2198</v>
      </c>
      <c r="C390" s="5" t="s">
        <v>314</v>
      </c>
      <c r="D390" s="5" t="s">
        <v>276</v>
      </c>
      <c r="E390" s="5">
        <v>30658137642</v>
      </c>
      <c r="F390" s="56">
        <v>62036.36</v>
      </c>
      <c r="G390" s="56">
        <v>0</v>
      </c>
      <c r="H390" s="5">
        <v>0</v>
      </c>
      <c r="I390" s="5">
        <v>0</v>
      </c>
      <c r="J390" s="5">
        <v>0</v>
      </c>
      <c r="K390" s="5">
        <v>13027.64</v>
      </c>
      <c r="L390" s="5">
        <v>0</v>
      </c>
      <c r="M390" s="56">
        <v>0</v>
      </c>
      <c r="N390" s="92">
        <v>75064</v>
      </c>
    </row>
    <row r="391" spans="1:14">
      <c r="A391" s="91" t="s">
        <v>2171</v>
      </c>
      <c r="B391" s="4" t="s">
        <v>2199</v>
      </c>
      <c r="C391" s="5" t="s">
        <v>314</v>
      </c>
      <c r="D391" s="5" t="s">
        <v>276</v>
      </c>
      <c r="E391" s="5">
        <v>30658137642</v>
      </c>
      <c r="F391" s="56">
        <v>8846.2800000000007</v>
      </c>
      <c r="G391" s="56">
        <v>0</v>
      </c>
      <c r="H391" s="5">
        <v>0</v>
      </c>
      <c r="I391" s="5">
        <v>0</v>
      </c>
      <c r="J391" s="5">
        <v>0</v>
      </c>
      <c r="K391" s="5">
        <v>1857.72</v>
      </c>
      <c r="L391" s="5">
        <v>0</v>
      </c>
      <c r="M391" s="56">
        <v>0</v>
      </c>
      <c r="N391" s="92">
        <v>10704</v>
      </c>
    </row>
    <row r="392" spans="1:14">
      <c r="A392" s="91" t="s">
        <v>2200</v>
      </c>
      <c r="B392" s="4" t="s">
        <v>2218</v>
      </c>
      <c r="C392" s="5" t="s">
        <v>765</v>
      </c>
      <c r="D392" s="5" t="s">
        <v>123</v>
      </c>
      <c r="E392" s="5">
        <v>56980</v>
      </c>
      <c r="F392" s="56">
        <v>4545.45</v>
      </c>
      <c r="G392" s="56">
        <v>0</v>
      </c>
      <c r="H392" s="5">
        <v>0</v>
      </c>
      <c r="I392" s="5">
        <v>0</v>
      </c>
      <c r="J392" s="5">
        <v>0</v>
      </c>
      <c r="K392" s="5">
        <v>954.55</v>
      </c>
      <c r="L392" s="5">
        <v>0</v>
      </c>
      <c r="M392" s="56">
        <v>0</v>
      </c>
      <c r="N392" s="92">
        <v>5500</v>
      </c>
    </row>
    <row r="393" spans="1:14">
      <c r="A393" s="91" t="s">
        <v>2200</v>
      </c>
      <c r="B393" s="4" t="s">
        <v>2219</v>
      </c>
      <c r="C393" s="5" t="s">
        <v>304</v>
      </c>
      <c r="D393" s="5" t="s">
        <v>123</v>
      </c>
      <c r="E393" s="5">
        <v>93354584</v>
      </c>
      <c r="F393" s="56">
        <v>5785.12</v>
      </c>
      <c r="G393" s="56">
        <v>0</v>
      </c>
      <c r="H393" s="5">
        <v>0</v>
      </c>
      <c r="I393" s="5">
        <v>0</v>
      </c>
      <c r="J393" s="5">
        <v>0</v>
      </c>
      <c r="K393" s="5">
        <v>1214.8800000000001</v>
      </c>
      <c r="L393" s="5">
        <v>0</v>
      </c>
      <c r="M393" s="56">
        <v>0</v>
      </c>
      <c r="N393" s="92">
        <v>7000</v>
      </c>
    </row>
    <row r="394" spans="1:14">
      <c r="A394" s="91" t="s">
        <v>2200</v>
      </c>
      <c r="B394" s="4" t="s">
        <v>2220</v>
      </c>
      <c r="C394" s="5" t="s">
        <v>302</v>
      </c>
      <c r="D394" s="5" t="s">
        <v>123</v>
      </c>
      <c r="E394" s="5">
        <v>4648296</v>
      </c>
      <c r="F394" s="56">
        <v>12892.56</v>
      </c>
      <c r="G394" s="56">
        <v>0</v>
      </c>
      <c r="H394" s="5">
        <v>0</v>
      </c>
      <c r="I394" s="5">
        <v>0</v>
      </c>
      <c r="J394" s="5">
        <v>0</v>
      </c>
      <c r="K394" s="5">
        <v>2707.44</v>
      </c>
      <c r="L394" s="5">
        <v>0</v>
      </c>
      <c r="M394" s="56">
        <v>0</v>
      </c>
      <c r="N394" s="92">
        <v>15600</v>
      </c>
    </row>
    <row r="395" spans="1:14">
      <c r="A395" s="91" t="s">
        <v>2200</v>
      </c>
      <c r="B395" s="4" t="s">
        <v>2221</v>
      </c>
      <c r="C395" s="5" t="s">
        <v>775</v>
      </c>
      <c r="D395" s="5" t="s">
        <v>123</v>
      </c>
      <c r="E395" s="5">
        <v>20404430</v>
      </c>
      <c r="F395" s="56">
        <v>7438.02</v>
      </c>
      <c r="G395" s="56">
        <v>0</v>
      </c>
      <c r="H395" s="5">
        <v>0</v>
      </c>
      <c r="I395" s="5">
        <v>0</v>
      </c>
      <c r="J395" s="5">
        <v>0</v>
      </c>
      <c r="K395" s="5">
        <v>1561.98</v>
      </c>
      <c r="L395" s="5">
        <v>0</v>
      </c>
      <c r="M395" s="56">
        <v>0</v>
      </c>
      <c r="N395" s="92">
        <v>9000</v>
      </c>
    </row>
    <row r="396" spans="1:14">
      <c r="A396" s="91" t="s">
        <v>2200</v>
      </c>
      <c r="B396" s="4" t="s">
        <v>2222</v>
      </c>
      <c r="C396" s="5" t="s">
        <v>304</v>
      </c>
      <c r="D396" s="5" t="s">
        <v>123</v>
      </c>
      <c r="E396" s="5">
        <v>93354584</v>
      </c>
      <c r="F396" s="56">
        <v>5785.12</v>
      </c>
      <c r="G396" s="56">
        <v>0</v>
      </c>
      <c r="H396" s="5">
        <v>0</v>
      </c>
      <c r="I396" s="5">
        <v>0</v>
      </c>
      <c r="J396" s="5">
        <v>0</v>
      </c>
      <c r="K396" s="5">
        <v>1214.8800000000001</v>
      </c>
      <c r="L396" s="5">
        <v>0</v>
      </c>
      <c r="M396" s="56">
        <v>0</v>
      </c>
      <c r="N396" s="92">
        <v>7000</v>
      </c>
    </row>
    <row r="397" spans="1:14">
      <c r="A397" s="91" t="s">
        <v>2200</v>
      </c>
      <c r="B397" s="4" t="s">
        <v>2223</v>
      </c>
      <c r="C397" s="5" t="s">
        <v>379</v>
      </c>
      <c r="D397" s="5" t="s">
        <v>123</v>
      </c>
      <c r="E397" s="5">
        <v>14123802</v>
      </c>
      <c r="F397" s="56">
        <v>11322.31</v>
      </c>
      <c r="G397" s="56">
        <v>0</v>
      </c>
      <c r="H397" s="5">
        <v>0</v>
      </c>
      <c r="I397" s="5">
        <v>0</v>
      </c>
      <c r="J397" s="5">
        <v>0</v>
      </c>
      <c r="K397" s="5">
        <v>2377.69</v>
      </c>
      <c r="L397" s="5">
        <v>0</v>
      </c>
      <c r="M397" s="56">
        <v>0</v>
      </c>
      <c r="N397" s="92">
        <v>13700</v>
      </c>
    </row>
    <row r="398" spans="1:14">
      <c r="A398" s="91" t="s">
        <v>2200</v>
      </c>
      <c r="B398" s="4" t="s">
        <v>2224</v>
      </c>
      <c r="C398" s="5" t="s">
        <v>424</v>
      </c>
      <c r="D398" s="5" t="s">
        <v>123</v>
      </c>
      <c r="E398" s="5">
        <v>29654556</v>
      </c>
      <c r="F398" s="56">
        <v>7024.79</v>
      </c>
      <c r="G398" s="56">
        <v>0</v>
      </c>
      <c r="H398" s="5">
        <v>0</v>
      </c>
      <c r="I398" s="5">
        <v>0</v>
      </c>
      <c r="J398" s="5">
        <v>0</v>
      </c>
      <c r="K398" s="5">
        <v>1475.21</v>
      </c>
      <c r="L398" s="5">
        <v>0</v>
      </c>
      <c r="M398" s="56">
        <v>0</v>
      </c>
      <c r="N398" s="92">
        <v>8500</v>
      </c>
    </row>
    <row r="399" spans="1:14">
      <c r="A399" s="91" t="s">
        <v>2225</v>
      </c>
      <c r="B399" s="4" t="s">
        <v>2236</v>
      </c>
      <c r="C399" s="5" t="s">
        <v>2237</v>
      </c>
      <c r="D399" s="5" t="s">
        <v>123</v>
      </c>
      <c r="E399" s="5">
        <v>5092348</v>
      </c>
      <c r="F399" s="56">
        <v>7272.73</v>
      </c>
      <c r="G399" s="56">
        <v>0</v>
      </c>
      <c r="H399" s="5">
        <v>0</v>
      </c>
      <c r="I399" s="5">
        <v>0</v>
      </c>
      <c r="J399" s="5">
        <v>0</v>
      </c>
      <c r="K399" s="5">
        <v>1527.27</v>
      </c>
      <c r="L399" s="5">
        <v>0</v>
      </c>
      <c r="M399" s="56">
        <v>0</v>
      </c>
      <c r="N399" s="92">
        <v>8800</v>
      </c>
    </row>
    <row r="400" spans="1:14">
      <c r="A400" s="91" t="s">
        <v>2225</v>
      </c>
      <c r="B400" s="4" t="s">
        <v>2238</v>
      </c>
      <c r="C400" s="5" t="s">
        <v>2239</v>
      </c>
      <c r="D400" s="5" t="s">
        <v>123</v>
      </c>
      <c r="E400" s="5">
        <v>32381391</v>
      </c>
      <c r="F400" s="56">
        <v>4958.67</v>
      </c>
      <c r="G400" s="56">
        <v>0</v>
      </c>
      <c r="H400" s="5">
        <v>0</v>
      </c>
      <c r="I400" s="5">
        <v>0</v>
      </c>
      <c r="J400" s="5">
        <v>0</v>
      </c>
      <c r="K400" s="5">
        <v>1041.33</v>
      </c>
      <c r="L400" s="5">
        <v>0</v>
      </c>
      <c r="M400" s="56">
        <v>0</v>
      </c>
      <c r="N400" s="92">
        <v>6000</v>
      </c>
    </row>
    <row r="401" spans="1:14">
      <c r="A401" s="91" t="s">
        <v>2225</v>
      </c>
      <c r="B401" s="4" t="s">
        <v>2240</v>
      </c>
      <c r="C401" s="5" t="s">
        <v>2241</v>
      </c>
      <c r="D401" s="5" t="s">
        <v>123</v>
      </c>
      <c r="E401" s="5">
        <v>25744054</v>
      </c>
      <c r="F401" s="56">
        <v>4462.8100000000004</v>
      </c>
      <c r="G401" s="56">
        <v>0</v>
      </c>
      <c r="H401" s="5">
        <v>0</v>
      </c>
      <c r="I401" s="5">
        <v>0</v>
      </c>
      <c r="J401" s="5">
        <v>0</v>
      </c>
      <c r="K401" s="5">
        <v>937.19</v>
      </c>
      <c r="L401" s="5">
        <v>0</v>
      </c>
      <c r="M401" s="56">
        <v>0</v>
      </c>
      <c r="N401" s="92">
        <v>5400</v>
      </c>
    </row>
    <row r="402" spans="1:14">
      <c r="A402" s="91" t="s">
        <v>2225</v>
      </c>
      <c r="B402" s="4" t="s">
        <v>2242</v>
      </c>
      <c r="C402" s="5" t="s">
        <v>2243</v>
      </c>
      <c r="D402" s="5" t="s">
        <v>123</v>
      </c>
      <c r="E402" s="5">
        <v>17275405</v>
      </c>
      <c r="F402" s="56">
        <v>11570.24</v>
      </c>
      <c r="G402" s="56">
        <v>0</v>
      </c>
      <c r="H402" s="5">
        <v>0</v>
      </c>
      <c r="I402" s="5">
        <v>0</v>
      </c>
      <c r="J402" s="5">
        <v>0</v>
      </c>
      <c r="K402" s="5">
        <v>2429.7600000000002</v>
      </c>
      <c r="L402" s="5">
        <v>0</v>
      </c>
      <c r="M402" s="56">
        <v>0</v>
      </c>
      <c r="N402" s="92">
        <v>14000</v>
      </c>
    </row>
    <row r="403" spans="1:14">
      <c r="A403" s="91" t="s">
        <v>2225</v>
      </c>
      <c r="B403" s="4" t="s">
        <v>2244</v>
      </c>
      <c r="C403" s="5" t="s">
        <v>358</v>
      </c>
      <c r="D403" s="5" t="s">
        <v>123</v>
      </c>
      <c r="E403" s="5">
        <v>93195134</v>
      </c>
      <c r="F403" s="56">
        <v>3636.36</v>
      </c>
      <c r="G403" s="56">
        <v>0</v>
      </c>
      <c r="H403" s="5">
        <v>0</v>
      </c>
      <c r="I403" s="5">
        <v>0</v>
      </c>
      <c r="J403" s="5">
        <v>0</v>
      </c>
      <c r="K403" s="5">
        <v>763.64</v>
      </c>
      <c r="L403" s="5">
        <v>0</v>
      </c>
      <c r="M403" s="56">
        <v>0</v>
      </c>
      <c r="N403" s="92">
        <v>4400</v>
      </c>
    </row>
    <row r="404" spans="1:14">
      <c r="A404" s="91" t="s">
        <v>2245</v>
      </c>
      <c r="B404" s="4" t="s">
        <v>2262</v>
      </c>
      <c r="C404" s="5" t="s">
        <v>2196</v>
      </c>
      <c r="D404" s="5" t="s">
        <v>123</v>
      </c>
      <c r="E404" s="5">
        <v>20435515</v>
      </c>
      <c r="F404" s="56">
        <v>9090.91</v>
      </c>
      <c r="G404" s="56">
        <v>0</v>
      </c>
      <c r="H404" s="5">
        <v>0</v>
      </c>
      <c r="I404" s="5">
        <v>0</v>
      </c>
      <c r="J404" s="5">
        <v>0</v>
      </c>
      <c r="K404" s="5">
        <v>1909.09</v>
      </c>
      <c r="L404" s="5">
        <v>0</v>
      </c>
      <c r="M404" s="56">
        <v>0</v>
      </c>
      <c r="N404" s="92">
        <v>11000</v>
      </c>
    </row>
    <row r="405" spans="1:14">
      <c r="A405" s="91" t="s">
        <v>2245</v>
      </c>
      <c r="B405" s="4" t="s">
        <v>2263</v>
      </c>
      <c r="C405" s="5" t="s">
        <v>275</v>
      </c>
      <c r="D405" s="5" t="s">
        <v>276</v>
      </c>
      <c r="E405" s="5">
        <v>30590354798</v>
      </c>
      <c r="F405" s="56">
        <v>100000</v>
      </c>
      <c r="G405" s="56">
        <v>0</v>
      </c>
      <c r="H405" s="5">
        <v>0</v>
      </c>
      <c r="I405" s="5">
        <v>0</v>
      </c>
      <c r="J405" s="5">
        <v>0</v>
      </c>
      <c r="K405" s="5">
        <v>21000</v>
      </c>
      <c r="L405" s="5">
        <v>0</v>
      </c>
      <c r="M405" s="56">
        <v>0</v>
      </c>
      <c r="N405" s="92">
        <v>121000</v>
      </c>
    </row>
    <row r="406" spans="1:14">
      <c r="A406" s="91" t="s">
        <v>2264</v>
      </c>
      <c r="B406" s="4" t="s">
        <v>2281</v>
      </c>
      <c r="C406" s="5" t="s">
        <v>286</v>
      </c>
      <c r="D406" s="5" t="s">
        <v>123</v>
      </c>
      <c r="E406" s="5">
        <v>10138957</v>
      </c>
      <c r="F406" s="56">
        <v>5371.9</v>
      </c>
      <c r="G406" s="56">
        <v>0</v>
      </c>
      <c r="H406" s="5">
        <v>0</v>
      </c>
      <c r="I406" s="5">
        <v>0</v>
      </c>
      <c r="J406" s="5">
        <v>0</v>
      </c>
      <c r="K406" s="5">
        <v>1128.1000000000001</v>
      </c>
      <c r="L406" s="5">
        <v>0</v>
      </c>
      <c r="M406" s="56">
        <v>0</v>
      </c>
      <c r="N406" s="92">
        <v>6500</v>
      </c>
    </row>
    <row r="407" spans="1:14">
      <c r="A407" s="91" t="s">
        <v>2264</v>
      </c>
      <c r="B407" s="4" t="s">
        <v>2282</v>
      </c>
      <c r="C407" s="5" t="s">
        <v>854</v>
      </c>
      <c r="D407" s="5" t="s">
        <v>123</v>
      </c>
      <c r="E407" s="5">
        <v>24699538</v>
      </c>
      <c r="F407" s="56">
        <v>7851.24</v>
      </c>
      <c r="G407" s="56">
        <v>0</v>
      </c>
      <c r="H407" s="5">
        <v>0</v>
      </c>
      <c r="I407" s="5">
        <v>0</v>
      </c>
      <c r="J407" s="5">
        <v>0</v>
      </c>
      <c r="K407" s="5">
        <v>1648.76</v>
      </c>
      <c r="L407" s="5">
        <v>0</v>
      </c>
      <c r="M407" s="56">
        <v>0</v>
      </c>
      <c r="N407" s="92">
        <v>9500</v>
      </c>
    </row>
    <row r="408" spans="1:14">
      <c r="A408" s="91" t="s">
        <v>2264</v>
      </c>
      <c r="B408" s="4" t="s">
        <v>2283</v>
      </c>
      <c r="C408" s="5" t="s">
        <v>2284</v>
      </c>
      <c r="D408" s="5" t="s">
        <v>123</v>
      </c>
      <c r="E408" s="5">
        <v>16607533</v>
      </c>
      <c r="F408" s="56">
        <v>4462.8100000000004</v>
      </c>
      <c r="G408" s="56">
        <v>0</v>
      </c>
      <c r="H408" s="5">
        <v>0</v>
      </c>
      <c r="I408" s="5">
        <v>0</v>
      </c>
      <c r="J408" s="5">
        <v>0</v>
      </c>
      <c r="K408" s="5">
        <v>937.19</v>
      </c>
      <c r="L408" s="5">
        <v>0</v>
      </c>
      <c r="M408" s="56">
        <v>0</v>
      </c>
      <c r="N408" s="92">
        <v>5400</v>
      </c>
    </row>
    <row r="409" spans="1:14">
      <c r="A409" s="91" t="s">
        <v>2264</v>
      </c>
      <c r="B409" s="4" t="s">
        <v>2285</v>
      </c>
      <c r="C409" s="5" t="s">
        <v>772</v>
      </c>
      <c r="D409" s="5" t="s">
        <v>123</v>
      </c>
      <c r="E409" s="5">
        <v>705467</v>
      </c>
      <c r="F409" s="56">
        <v>5785.12</v>
      </c>
      <c r="G409" s="56">
        <v>0</v>
      </c>
      <c r="H409" s="5">
        <v>0</v>
      </c>
      <c r="I409" s="5">
        <v>0</v>
      </c>
      <c r="J409" s="5">
        <v>0</v>
      </c>
      <c r="K409" s="5">
        <v>1214.8800000000001</v>
      </c>
      <c r="L409" s="5">
        <v>0</v>
      </c>
      <c r="M409" s="56">
        <v>0</v>
      </c>
      <c r="N409" s="92">
        <v>7000</v>
      </c>
    </row>
    <row r="410" spans="1:14">
      <c r="A410" s="91" t="s">
        <v>2264</v>
      </c>
      <c r="B410" s="4" t="s">
        <v>2286</v>
      </c>
      <c r="C410" s="5" t="s">
        <v>335</v>
      </c>
      <c r="D410" s="5" t="s">
        <v>123</v>
      </c>
      <c r="E410" s="5">
        <v>902191</v>
      </c>
      <c r="F410" s="56">
        <v>4958.68</v>
      </c>
      <c r="G410" s="56">
        <v>0</v>
      </c>
      <c r="H410" s="5">
        <v>0</v>
      </c>
      <c r="I410" s="5">
        <v>0</v>
      </c>
      <c r="J410" s="5">
        <v>0</v>
      </c>
      <c r="K410" s="5">
        <v>1041.32</v>
      </c>
      <c r="L410" s="5">
        <v>0</v>
      </c>
      <c r="M410" s="56">
        <v>0</v>
      </c>
      <c r="N410" s="92">
        <v>6000</v>
      </c>
    </row>
    <row r="411" spans="1:14">
      <c r="A411" s="91" t="s">
        <v>2264</v>
      </c>
      <c r="B411" s="4" t="s">
        <v>2287</v>
      </c>
      <c r="C411" s="5" t="s">
        <v>2288</v>
      </c>
      <c r="D411" s="5" t="s">
        <v>123</v>
      </c>
      <c r="E411" s="5">
        <v>8389228</v>
      </c>
      <c r="F411" s="56">
        <v>7851.24</v>
      </c>
      <c r="G411" s="56">
        <v>0</v>
      </c>
      <c r="H411" s="5">
        <v>0</v>
      </c>
      <c r="I411" s="5">
        <v>0</v>
      </c>
      <c r="J411" s="5">
        <v>0</v>
      </c>
      <c r="K411" s="5">
        <v>1648.76</v>
      </c>
      <c r="L411" s="5">
        <v>0</v>
      </c>
      <c r="M411" s="56">
        <v>0</v>
      </c>
      <c r="N411" s="92">
        <v>9500</v>
      </c>
    </row>
    <row r="412" spans="1:14">
      <c r="A412" s="91" t="s">
        <v>2289</v>
      </c>
      <c r="B412" s="4" t="s">
        <v>2303</v>
      </c>
      <c r="C412" s="5" t="s">
        <v>406</v>
      </c>
      <c r="D412" s="5" t="s">
        <v>123</v>
      </c>
      <c r="E412" s="5">
        <v>12791306</v>
      </c>
      <c r="F412" s="56">
        <v>8677.68</v>
      </c>
      <c r="G412" s="56">
        <v>0</v>
      </c>
      <c r="H412" s="5">
        <v>0</v>
      </c>
      <c r="I412" s="5">
        <v>0</v>
      </c>
      <c r="J412" s="5">
        <v>0</v>
      </c>
      <c r="K412" s="5">
        <v>1822.32</v>
      </c>
      <c r="L412" s="5">
        <v>0</v>
      </c>
      <c r="M412" s="56">
        <v>0</v>
      </c>
      <c r="N412" s="92">
        <v>10500</v>
      </c>
    </row>
    <row r="413" spans="1:14">
      <c r="A413" s="91" t="s">
        <v>2289</v>
      </c>
      <c r="B413" s="4" t="s">
        <v>2304</v>
      </c>
      <c r="C413" s="5" t="s">
        <v>411</v>
      </c>
      <c r="D413" s="5" t="s">
        <v>123</v>
      </c>
      <c r="E413" s="5">
        <v>13699449</v>
      </c>
      <c r="F413" s="56">
        <v>33057.85</v>
      </c>
      <c r="G413" s="56">
        <v>0</v>
      </c>
      <c r="H413" s="5">
        <v>0</v>
      </c>
      <c r="I413" s="5">
        <v>0</v>
      </c>
      <c r="J413" s="5">
        <v>0</v>
      </c>
      <c r="K413" s="5">
        <v>6942.15</v>
      </c>
      <c r="L413" s="5">
        <v>0</v>
      </c>
      <c r="M413" s="56">
        <v>0</v>
      </c>
      <c r="N413" s="92">
        <v>40000</v>
      </c>
    </row>
    <row r="414" spans="1:14">
      <c r="A414" s="91" t="s">
        <v>2289</v>
      </c>
      <c r="B414" s="4" t="s">
        <v>2305</v>
      </c>
      <c r="C414" s="5" t="s">
        <v>375</v>
      </c>
      <c r="D414" s="5" t="s">
        <v>123</v>
      </c>
      <c r="E414" s="5">
        <v>22990821</v>
      </c>
      <c r="F414" s="56">
        <v>8264.4699999999993</v>
      </c>
      <c r="G414" s="56">
        <v>0</v>
      </c>
      <c r="H414" s="5">
        <v>0</v>
      </c>
      <c r="I414" s="5">
        <v>0</v>
      </c>
      <c r="J414" s="5">
        <v>0</v>
      </c>
      <c r="K414" s="5">
        <v>1735.53</v>
      </c>
      <c r="L414" s="5">
        <v>0</v>
      </c>
      <c r="M414" s="56">
        <v>0</v>
      </c>
      <c r="N414" s="92">
        <v>10000</v>
      </c>
    </row>
    <row r="415" spans="1:14">
      <c r="A415" s="91" t="s">
        <v>2322</v>
      </c>
      <c r="B415" s="4" t="s">
        <v>2346</v>
      </c>
      <c r="C415" s="5" t="s">
        <v>122</v>
      </c>
      <c r="D415" s="5" t="s">
        <v>123</v>
      </c>
      <c r="E415" s="5" t="s">
        <v>124</v>
      </c>
      <c r="F415" s="56">
        <v>29669.42</v>
      </c>
      <c r="G415" s="56">
        <v>0</v>
      </c>
      <c r="H415" s="5">
        <v>0</v>
      </c>
      <c r="I415" s="5">
        <v>0</v>
      </c>
      <c r="J415" s="5">
        <v>0</v>
      </c>
      <c r="K415" s="5">
        <v>6230.58</v>
      </c>
      <c r="L415" s="5">
        <v>0</v>
      </c>
      <c r="M415" s="56">
        <v>0</v>
      </c>
      <c r="N415" s="92">
        <v>35900</v>
      </c>
    </row>
    <row r="416" spans="1:14">
      <c r="A416" s="91" t="s">
        <v>2322</v>
      </c>
      <c r="B416" s="4" t="s">
        <v>2347</v>
      </c>
      <c r="C416" s="5" t="s">
        <v>2348</v>
      </c>
      <c r="D416" s="5" t="s">
        <v>123</v>
      </c>
      <c r="E416" s="5">
        <v>4826012</v>
      </c>
      <c r="F416" s="56">
        <v>798.34</v>
      </c>
      <c r="G416" s="56">
        <v>0</v>
      </c>
      <c r="H416" s="5">
        <v>0</v>
      </c>
      <c r="I416" s="5">
        <v>0</v>
      </c>
      <c r="J416" s="5">
        <v>0</v>
      </c>
      <c r="K416" s="5">
        <v>167.66</v>
      </c>
      <c r="L416" s="5">
        <v>0</v>
      </c>
      <c r="M416" s="56">
        <v>0</v>
      </c>
      <c r="N416" s="92">
        <v>966</v>
      </c>
    </row>
    <row r="417" spans="1:14">
      <c r="A417" s="91" t="s">
        <v>2322</v>
      </c>
      <c r="B417" s="4" t="s">
        <v>2349</v>
      </c>
      <c r="C417" s="5" t="s">
        <v>2350</v>
      </c>
      <c r="D417" s="5" t="s">
        <v>123</v>
      </c>
      <c r="E417" s="5">
        <v>24554063</v>
      </c>
      <c r="F417" s="56">
        <v>8677.68</v>
      </c>
      <c r="G417" s="56">
        <v>0</v>
      </c>
      <c r="H417" s="5">
        <v>0</v>
      </c>
      <c r="I417" s="5">
        <v>0</v>
      </c>
      <c r="J417" s="5">
        <v>0</v>
      </c>
      <c r="K417" s="5">
        <v>1822.32</v>
      </c>
      <c r="L417" s="5">
        <v>0</v>
      </c>
      <c r="M417" s="56">
        <v>0</v>
      </c>
      <c r="N417" s="92">
        <v>10500</v>
      </c>
    </row>
    <row r="418" spans="1:14">
      <c r="A418" s="91" t="s">
        <v>2322</v>
      </c>
      <c r="B418" s="4" t="s">
        <v>2351</v>
      </c>
      <c r="C418" s="5" t="s">
        <v>2352</v>
      </c>
      <c r="D418" s="5" t="s">
        <v>123</v>
      </c>
      <c r="E418" s="5">
        <v>93332052</v>
      </c>
      <c r="F418" s="56">
        <v>1072.72</v>
      </c>
      <c r="G418" s="56">
        <v>0</v>
      </c>
      <c r="H418" s="5">
        <v>0</v>
      </c>
      <c r="I418" s="5">
        <v>0</v>
      </c>
      <c r="J418" s="5">
        <v>0</v>
      </c>
      <c r="K418" s="5">
        <v>225.28</v>
      </c>
      <c r="L418" s="5">
        <v>0</v>
      </c>
      <c r="M418" s="56">
        <v>0</v>
      </c>
      <c r="N418" s="92">
        <v>1298</v>
      </c>
    </row>
    <row r="419" spans="1:14">
      <c r="A419" s="91" t="s">
        <v>2322</v>
      </c>
      <c r="B419" s="4" t="s">
        <v>2353</v>
      </c>
      <c r="C419" s="5" t="s">
        <v>2354</v>
      </c>
      <c r="D419" s="5" t="s">
        <v>123</v>
      </c>
      <c r="E419" s="5">
        <v>11802503</v>
      </c>
      <c r="F419" s="56">
        <v>4462.8100000000004</v>
      </c>
      <c r="G419" s="56">
        <v>0</v>
      </c>
      <c r="H419" s="5">
        <v>0</v>
      </c>
      <c r="I419" s="5">
        <v>0</v>
      </c>
      <c r="J419" s="5">
        <v>0</v>
      </c>
      <c r="K419" s="5">
        <v>937.19</v>
      </c>
      <c r="L419" s="5">
        <v>0</v>
      </c>
      <c r="M419" s="56">
        <v>0</v>
      </c>
      <c r="N419" s="92">
        <v>5400</v>
      </c>
    </row>
    <row r="420" spans="1:14">
      <c r="A420" s="91" t="s">
        <v>2355</v>
      </c>
      <c r="B420" s="4" t="s">
        <v>2364</v>
      </c>
      <c r="C420" s="5" t="s">
        <v>375</v>
      </c>
      <c r="D420" s="5" t="s">
        <v>123</v>
      </c>
      <c r="E420" s="5">
        <v>22990821</v>
      </c>
      <c r="F420" s="56">
        <v>8264.4699999999993</v>
      </c>
      <c r="G420" s="56">
        <v>0</v>
      </c>
      <c r="H420" s="5">
        <v>0</v>
      </c>
      <c r="I420" s="5">
        <v>0</v>
      </c>
      <c r="J420" s="5">
        <v>0</v>
      </c>
      <c r="K420" s="5">
        <v>1735.53</v>
      </c>
      <c r="L420" s="5">
        <v>0</v>
      </c>
      <c r="M420" s="56">
        <v>0</v>
      </c>
      <c r="N420" s="92">
        <v>10000</v>
      </c>
    </row>
    <row r="421" spans="1:14">
      <c r="A421" s="91" t="s">
        <v>2355</v>
      </c>
      <c r="B421" s="4" t="s">
        <v>2365</v>
      </c>
      <c r="C421" s="5" t="s">
        <v>1979</v>
      </c>
      <c r="D421" s="5" t="s">
        <v>123</v>
      </c>
      <c r="E421" s="5">
        <v>6412590</v>
      </c>
      <c r="F421" s="56">
        <v>991.73</v>
      </c>
      <c r="G421" s="56">
        <v>0</v>
      </c>
      <c r="H421" s="5">
        <v>0</v>
      </c>
      <c r="I421" s="5">
        <v>0</v>
      </c>
      <c r="J421" s="5">
        <v>0</v>
      </c>
      <c r="K421" s="5">
        <v>208.27</v>
      </c>
      <c r="L421" s="5">
        <v>0</v>
      </c>
      <c r="M421" s="56">
        <v>0</v>
      </c>
      <c r="N421" s="92">
        <v>1200</v>
      </c>
    </row>
    <row r="422" spans="1:14">
      <c r="A422" s="91" t="s">
        <v>2355</v>
      </c>
      <c r="B422" s="4" t="s">
        <v>2366</v>
      </c>
      <c r="C422" s="5" t="s">
        <v>1882</v>
      </c>
      <c r="D422" s="5" t="s">
        <v>123</v>
      </c>
      <c r="E422" s="5">
        <v>25864351</v>
      </c>
      <c r="F422" s="56">
        <v>7024.79</v>
      </c>
      <c r="G422" s="56">
        <v>0</v>
      </c>
      <c r="H422" s="5">
        <v>0</v>
      </c>
      <c r="I422" s="5">
        <v>0</v>
      </c>
      <c r="J422" s="5">
        <v>0</v>
      </c>
      <c r="K422" s="5">
        <v>1475.21</v>
      </c>
      <c r="L422" s="5">
        <v>0</v>
      </c>
      <c r="M422" s="56">
        <v>0</v>
      </c>
      <c r="N422" s="92">
        <v>8500</v>
      </c>
    </row>
    <row r="423" spans="1:14">
      <c r="A423" s="91" t="s">
        <v>2355</v>
      </c>
      <c r="B423" s="4" t="s">
        <v>2367</v>
      </c>
      <c r="C423" s="5" t="s">
        <v>1747</v>
      </c>
      <c r="D423" s="5" t="s">
        <v>123</v>
      </c>
      <c r="E423" s="5">
        <v>5274861</v>
      </c>
      <c r="F423" s="56">
        <v>8677.68</v>
      </c>
      <c r="G423" s="56">
        <v>0</v>
      </c>
      <c r="H423" s="5">
        <v>0</v>
      </c>
      <c r="I423" s="5">
        <v>0</v>
      </c>
      <c r="J423" s="5">
        <v>0</v>
      </c>
      <c r="K423" s="5">
        <v>1822.32</v>
      </c>
      <c r="L423" s="5">
        <v>0</v>
      </c>
      <c r="M423" s="56">
        <v>0</v>
      </c>
      <c r="N423" s="92">
        <v>10500</v>
      </c>
    </row>
    <row r="424" spans="1:14">
      <c r="A424" s="91" t="s">
        <v>2355</v>
      </c>
      <c r="B424" s="4" t="s">
        <v>2368</v>
      </c>
      <c r="C424" s="5" t="s">
        <v>1670</v>
      </c>
      <c r="D424" s="5" t="s">
        <v>123</v>
      </c>
      <c r="E424" s="5">
        <v>32594734</v>
      </c>
      <c r="F424" s="56">
        <v>4214.88</v>
      </c>
      <c r="G424" s="56">
        <v>0</v>
      </c>
      <c r="H424" s="5">
        <v>0</v>
      </c>
      <c r="I424" s="5">
        <v>0</v>
      </c>
      <c r="J424" s="5">
        <v>0</v>
      </c>
      <c r="K424" s="5">
        <v>885.12</v>
      </c>
      <c r="L424" s="5">
        <v>0</v>
      </c>
      <c r="M424" s="56">
        <v>0</v>
      </c>
      <c r="N424" s="92">
        <v>5100</v>
      </c>
    </row>
    <row r="425" spans="1:14">
      <c r="A425" s="91" t="s">
        <v>2369</v>
      </c>
      <c r="B425" s="4" t="s">
        <v>2388</v>
      </c>
      <c r="C425" s="5" t="s">
        <v>1772</v>
      </c>
      <c r="D425" s="5" t="s">
        <v>123</v>
      </c>
      <c r="E425" s="5">
        <v>92859461</v>
      </c>
      <c r="F425" s="56">
        <v>8760.33</v>
      </c>
      <c r="G425" s="56">
        <v>0</v>
      </c>
      <c r="H425" s="5">
        <v>0</v>
      </c>
      <c r="I425" s="5">
        <v>0</v>
      </c>
      <c r="J425" s="5">
        <v>0</v>
      </c>
      <c r="K425" s="5">
        <v>1839.67</v>
      </c>
      <c r="L425" s="5">
        <v>0</v>
      </c>
      <c r="M425" s="56">
        <v>0</v>
      </c>
      <c r="N425" s="92">
        <v>10600</v>
      </c>
    </row>
    <row r="426" spans="1:14">
      <c r="A426" s="91" t="s">
        <v>2369</v>
      </c>
      <c r="B426" s="4" t="s">
        <v>2389</v>
      </c>
      <c r="C426" s="5" t="s">
        <v>1125</v>
      </c>
      <c r="D426" s="5" t="s">
        <v>123</v>
      </c>
      <c r="E426" s="5">
        <v>8607637</v>
      </c>
      <c r="F426" s="56">
        <v>16528.920000000002</v>
      </c>
      <c r="G426" s="56">
        <v>0</v>
      </c>
      <c r="H426" s="5">
        <v>0</v>
      </c>
      <c r="I426" s="5">
        <v>0</v>
      </c>
      <c r="J426" s="5">
        <v>0</v>
      </c>
      <c r="K426" s="5">
        <v>3471.08</v>
      </c>
      <c r="L426" s="5">
        <v>0</v>
      </c>
      <c r="M426" s="56">
        <v>0</v>
      </c>
      <c r="N426" s="92">
        <v>20000</v>
      </c>
    </row>
    <row r="427" spans="1:14">
      <c r="A427" s="91" t="s">
        <v>2369</v>
      </c>
      <c r="B427" s="4" t="s">
        <v>2390</v>
      </c>
      <c r="C427" s="5" t="s">
        <v>802</v>
      </c>
      <c r="D427" s="5" t="s">
        <v>123</v>
      </c>
      <c r="E427" s="5">
        <v>37904748</v>
      </c>
      <c r="F427" s="56">
        <v>7851.24</v>
      </c>
      <c r="G427" s="56">
        <v>0</v>
      </c>
      <c r="H427" s="5">
        <v>0</v>
      </c>
      <c r="I427" s="5">
        <v>0</v>
      </c>
      <c r="J427" s="5">
        <v>0</v>
      </c>
      <c r="K427" s="5">
        <v>1648.76</v>
      </c>
      <c r="L427" s="5">
        <v>0</v>
      </c>
      <c r="M427" s="56">
        <v>0</v>
      </c>
      <c r="N427" s="92">
        <v>9500</v>
      </c>
    </row>
    <row r="428" spans="1:14">
      <c r="A428" s="91" t="s">
        <v>2369</v>
      </c>
      <c r="B428" s="4" t="s">
        <v>2391</v>
      </c>
      <c r="C428" s="5" t="s">
        <v>367</v>
      </c>
      <c r="D428" s="5" t="s">
        <v>123</v>
      </c>
      <c r="E428" s="5">
        <v>17855620</v>
      </c>
      <c r="F428" s="56">
        <v>6611.57</v>
      </c>
      <c r="G428" s="56">
        <v>0</v>
      </c>
      <c r="H428" s="5">
        <v>0</v>
      </c>
      <c r="I428" s="5">
        <v>0</v>
      </c>
      <c r="J428" s="5">
        <v>0</v>
      </c>
      <c r="K428" s="5">
        <v>1388.43</v>
      </c>
      <c r="L428" s="5">
        <v>0</v>
      </c>
      <c r="M428" s="56">
        <v>0</v>
      </c>
      <c r="N428" s="92">
        <v>8000</v>
      </c>
    </row>
    <row r="429" spans="1:14">
      <c r="A429" s="91" t="s">
        <v>2369</v>
      </c>
      <c r="B429" s="4" t="s">
        <v>2392</v>
      </c>
      <c r="C429" s="5" t="s">
        <v>275</v>
      </c>
      <c r="D429" s="5" t="s">
        <v>276</v>
      </c>
      <c r="E429" s="5">
        <v>30590354798</v>
      </c>
      <c r="F429" s="56">
        <v>13575.21</v>
      </c>
      <c r="G429" s="56">
        <v>0</v>
      </c>
      <c r="H429" s="5">
        <v>0</v>
      </c>
      <c r="I429" s="5">
        <v>0</v>
      </c>
      <c r="J429" s="5">
        <v>0</v>
      </c>
      <c r="K429" s="5">
        <v>2850.79</v>
      </c>
      <c r="L429" s="5">
        <v>0</v>
      </c>
      <c r="M429" s="56">
        <v>0</v>
      </c>
      <c r="N429" s="92">
        <v>16426</v>
      </c>
    </row>
    <row r="430" spans="1:14">
      <c r="A430" s="91" t="s">
        <v>2412</v>
      </c>
      <c r="B430" s="4" t="s">
        <v>2430</v>
      </c>
      <c r="C430" s="5" t="s">
        <v>379</v>
      </c>
      <c r="D430" s="5" t="s">
        <v>123</v>
      </c>
      <c r="E430" s="5">
        <v>14123802</v>
      </c>
      <c r="F430" s="56">
        <v>6033.06</v>
      </c>
      <c r="G430" s="56">
        <v>0</v>
      </c>
      <c r="H430" s="5">
        <v>0</v>
      </c>
      <c r="I430" s="5">
        <v>0</v>
      </c>
      <c r="J430" s="5">
        <v>0</v>
      </c>
      <c r="K430" s="5">
        <v>1266.94</v>
      </c>
      <c r="L430" s="5">
        <v>0</v>
      </c>
      <c r="M430" s="56">
        <v>0</v>
      </c>
      <c r="N430" s="92">
        <v>7300</v>
      </c>
    </row>
    <row r="431" spans="1:14">
      <c r="A431" s="91" t="s">
        <v>2412</v>
      </c>
      <c r="B431" s="4" t="s">
        <v>2431</v>
      </c>
      <c r="C431" s="5" t="s">
        <v>2432</v>
      </c>
      <c r="D431" s="5" t="s">
        <v>123</v>
      </c>
      <c r="E431" s="5">
        <v>20370805</v>
      </c>
      <c r="F431" s="56">
        <v>22561.99</v>
      </c>
      <c r="G431" s="56">
        <v>0</v>
      </c>
      <c r="H431" s="5">
        <v>0</v>
      </c>
      <c r="I431" s="5">
        <v>0</v>
      </c>
      <c r="J431" s="5">
        <v>0</v>
      </c>
      <c r="K431" s="5">
        <v>4738.01</v>
      </c>
      <c r="L431" s="5">
        <v>0</v>
      </c>
      <c r="M431" s="56">
        <v>0</v>
      </c>
      <c r="N431" s="92">
        <v>27300</v>
      </c>
    </row>
    <row r="432" spans="1:14">
      <c r="A432" s="91" t="s">
        <v>2412</v>
      </c>
      <c r="B432" s="4" t="s">
        <v>2433</v>
      </c>
      <c r="C432" s="5" t="s">
        <v>354</v>
      </c>
      <c r="D432" s="5" t="s">
        <v>123</v>
      </c>
      <c r="E432" s="5">
        <v>382591</v>
      </c>
      <c r="F432" s="56">
        <v>6446.28</v>
      </c>
      <c r="G432" s="56">
        <v>0</v>
      </c>
      <c r="H432" s="5">
        <v>0</v>
      </c>
      <c r="I432" s="5">
        <v>0</v>
      </c>
      <c r="J432" s="5">
        <v>0</v>
      </c>
      <c r="K432" s="5">
        <v>1353.72</v>
      </c>
      <c r="L432" s="5">
        <v>0</v>
      </c>
      <c r="M432" s="56">
        <v>0</v>
      </c>
      <c r="N432" s="92">
        <v>7800</v>
      </c>
    </row>
    <row r="433" spans="1:14">
      <c r="A433" s="91" t="s">
        <v>2434</v>
      </c>
      <c r="B433" s="4" t="s">
        <v>2451</v>
      </c>
      <c r="C433" s="5" t="s">
        <v>2452</v>
      </c>
      <c r="D433" s="5" t="s">
        <v>123</v>
      </c>
      <c r="E433" s="5">
        <v>12453213</v>
      </c>
      <c r="F433" s="56">
        <v>9917.36</v>
      </c>
      <c r="G433" s="56">
        <v>0</v>
      </c>
      <c r="H433" s="5">
        <v>0</v>
      </c>
      <c r="I433" s="5">
        <v>0</v>
      </c>
      <c r="J433" s="5">
        <v>0</v>
      </c>
      <c r="K433" s="5">
        <v>2082.64</v>
      </c>
      <c r="L433" s="5">
        <v>0</v>
      </c>
      <c r="M433" s="56">
        <v>0</v>
      </c>
      <c r="N433" s="92">
        <v>12000</v>
      </c>
    </row>
    <row r="434" spans="1:14">
      <c r="A434" s="91" t="s">
        <v>2434</v>
      </c>
      <c r="B434" s="4" t="s">
        <v>2453</v>
      </c>
      <c r="C434" s="5" t="s">
        <v>298</v>
      </c>
      <c r="D434" s="5" t="s">
        <v>123</v>
      </c>
      <c r="E434" s="5">
        <v>24448662</v>
      </c>
      <c r="F434" s="56">
        <v>7685.95</v>
      </c>
      <c r="G434" s="56">
        <v>0</v>
      </c>
      <c r="H434" s="5">
        <v>0</v>
      </c>
      <c r="I434" s="5">
        <v>0</v>
      </c>
      <c r="J434" s="5">
        <v>0</v>
      </c>
      <c r="K434" s="5">
        <v>1614.05</v>
      </c>
      <c r="L434" s="5">
        <v>0</v>
      </c>
      <c r="M434" s="56">
        <v>0</v>
      </c>
      <c r="N434" s="92">
        <v>9300</v>
      </c>
    </row>
    <row r="435" spans="1:14">
      <c r="A435" s="91" t="s">
        <v>2434</v>
      </c>
      <c r="B435" s="4" t="s">
        <v>2454</v>
      </c>
      <c r="C435" s="5" t="s">
        <v>2455</v>
      </c>
      <c r="D435" s="5" t="s">
        <v>123</v>
      </c>
      <c r="E435" s="5">
        <v>11383159</v>
      </c>
      <c r="F435" s="56">
        <v>19834.7</v>
      </c>
      <c r="G435" s="56">
        <v>0</v>
      </c>
      <c r="H435" s="5">
        <v>0</v>
      </c>
      <c r="I435" s="5">
        <v>0</v>
      </c>
      <c r="J435" s="5">
        <v>0</v>
      </c>
      <c r="K435" s="5">
        <v>4165.3</v>
      </c>
      <c r="L435" s="5">
        <v>0</v>
      </c>
      <c r="M435" s="56">
        <v>0</v>
      </c>
      <c r="N435" s="92">
        <v>24000</v>
      </c>
    </row>
    <row r="436" spans="1:14">
      <c r="A436" s="91" t="s">
        <v>2434</v>
      </c>
      <c r="B436" s="4" t="s">
        <v>2456</v>
      </c>
      <c r="C436" s="5" t="s">
        <v>420</v>
      </c>
      <c r="D436" s="5" t="s">
        <v>123</v>
      </c>
      <c r="E436" s="5">
        <v>3955768</v>
      </c>
      <c r="F436" s="56">
        <v>3677.69</v>
      </c>
      <c r="G436" s="56">
        <v>0</v>
      </c>
      <c r="H436" s="5">
        <v>0</v>
      </c>
      <c r="I436" s="5">
        <v>0</v>
      </c>
      <c r="J436" s="5">
        <v>0</v>
      </c>
      <c r="K436" s="5">
        <v>772.31</v>
      </c>
      <c r="L436" s="5">
        <v>0</v>
      </c>
      <c r="M436" s="56">
        <v>0</v>
      </c>
      <c r="N436" s="92">
        <v>4450</v>
      </c>
    </row>
    <row r="437" spans="1:14">
      <c r="A437" s="91" t="s">
        <v>2434</v>
      </c>
      <c r="B437" s="4" t="s">
        <v>2457</v>
      </c>
      <c r="C437" s="5" t="s">
        <v>420</v>
      </c>
      <c r="D437" s="5" t="s">
        <v>123</v>
      </c>
      <c r="E437" s="5">
        <v>3955768</v>
      </c>
      <c r="F437" s="56">
        <v>1487.6</v>
      </c>
      <c r="G437" s="56">
        <v>0</v>
      </c>
      <c r="H437" s="5">
        <v>0</v>
      </c>
      <c r="I437" s="5">
        <v>0</v>
      </c>
      <c r="J437" s="5">
        <v>0</v>
      </c>
      <c r="K437" s="5">
        <v>312.40000000000003</v>
      </c>
      <c r="L437" s="5">
        <v>0</v>
      </c>
      <c r="M437" s="56">
        <v>0</v>
      </c>
      <c r="N437" s="92">
        <v>1800</v>
      </c>
    </row>
    <row r="438" spans="1:14">
      <c r="A438" s="91" t="s">
        <v>2434</v>
      </c>
      <c r="B438" s="4" t="s">
        <v>2458</v>
      </c>
      <c r="C438" s="5" t="s">
        <v>426</v>
      </c>
      <c r="D438" s="5" t="s">
        <v>123</v>
      </c>
      <c r="E438" s="5">
        <v>28692323</v>
      </c>
      <c r="F438" s="56">
        <v>12727.27</v>
      </c>
      <c r="G438" s="56">
        <v>0</v>
      </c>
      <c r="H438" s="5">
        <v>0</v>
      </c>
      <c r="I438" s="5">
        <v>0</v>
      </c>
      <c r="J438" s="5">
        <v>0</v>
      </c>
      <c r="K438" s="5">
        <v>2672.73</v>
      </c>
      <c r="L438" s="5">
        <v>0</v>
      </c>
      <c r="M438" s="56">
        <v>0</v>
      </c>
      <c r="N438" s="92">
        <v>15400</v>
      </c>
    </row>
    <row r="439" spans="1:14">
      <c r="A439" s="91" t="s">
        <v>2434</v>
      </c>
      <c r="B439" s="4" t="s">
        <v>2459</v>
      </c>
      <c r="C439" s="5" t="s">
        <v>2460</v>
      </c>
      <c r="D439" s="5" t="s">
        <v>123</v>
      </c>
      <c r="E439" s="5">
        <v>3633986</v>
      </c>
      <c r="F439" s="56">
        <v>5537.19</v>
      </c>
      <c r="G439" s="56">
        <v>0</v>
      </c>
      <c r="H439" s="5">
        <v>0</v>
      </c>
      <c r="I439" s="5">
        <v>0</v>
      </c>
      <c r="J439" s="5">
        <v>0</v>
      </c>
      <c r="K439" s="5">
        <v>1162.81</v>
      </c>
      <c r="L439" s="5">
        <v>0</v>
      </c>
      <c r="M439" s="56">
        <v>0</v>
      </c>
      <c r="N439" s="92">
        <v>6700</v>
      </c>
    </row>
    <row r="440" spans="1:14">
      <c r="A440" s="91" t="s">
        <v>2434</v>
      </c>
      <c r="B440" s="4" t="s">
        <v>2461</v>
      </c>
      <c r="C440" s="5" t="s">
        <v>428</v>
      </c>
      <c r="D440" s="5" t="s">
        <v>123</v>
      </c>
      <c r="E440" s="5">
        <v>30206585</v>
      </c>
      <c r="F440" s="56">
        <v>5950.41</v>
      </c>
      <c r="G440" s="56">
        <v>0</v>
      </c>
      <c r="H440" s="5">
        <v>0</v>
      </c>
      <c r="I440" s="5">
        <v>0</v>
      </c>
      <c r="J440" s="5">
        <v>0</v>
      </c>
      <c r="K440" s="5">
        <v>1249.5899999999999</v>
      </c>
      <c r="L440" s="5">
        <v>0</v>
      </c>
      <c r="M440" s="56">
        <v>0</v>
      </c>
      <c r="N440" s="92">
        <v>7200</v>
      </c>
    </row>
    <row r="441" spans="1:14">
      <c r="A441" s="91" t="s">
        <v>2434</v>
      </c>
      <c r="B441" s="4" t="s">
        <v>2462</v>
      </c>
      <c r="C441" s="5" t="s">
        <v>752</v>
      </c>
      <c r="D441" s="5" t="s">
        <v>123</v>
      </c>
      <c r="E441" s="5">
        <v>16481086</v>
      </c>
      <c r="F441" s="56">
        <v>8099.18</v>
      </c>
      <c r="G441" s="56">
        <v>0</v>
      </c>
      <c r="H441" s="5">
        <v>0</v>
      </c>
      <c r="I441" s="5">
        <v>0</v>
      </c>
      <c r="J441" s="5">
        <v>0</v>
      </c>
      <c r="K441" s="5">
        <v>1700.82</v>
      </c>
      <c r="L441" s="5">
        <v>0</v>
      </c>
      <c r="M441" s="56">
        <v>0</v>
      </c>
      <c r="N441" s="92">
        <v>9800</v>
      </c>
    </row>
    <row r="442" spans="1:14">
      <c r="A442" s="91" t="s">
        <v>2512</v>
      </c>
      <c r="B442" s="4" t="s">
        <v>2529</v>
      </c>
      <c r="C442" s="5" t="s">
        <v>2530</v>
      </c>
      <c r="D442" s="5" t="s">
        <v>123</v>
      </c>
      <c r="E442" s="5" t="s">
        <v>124</v>
      </c>
      <c r="F442" s="56">
        <v>11570.24</v>
      </c>
      <c r="G442" s="56">
        <v>0</v>
      </c>
      <c r="H442" s="5">
        <v>0</v>
      </c>
      <c r="I442" s="5">
        <v>0</v>
      </c>
      <c r="J442" s="5">
        <v>0</v>
      </c>
      <c r="K442" s="5">
        <v>2429.7600000000002</v>
      </c>
      <c r="L442" s="5">
        <v>0</v>
      </c>
      <c r="M442" s="56">
        <v>0</v>
      </c>
      <c r="N442" s="92">
        <v>14000</v>
      </c>
    </row>
    <row r="443" spans="1:14">
      <c r="A443" s="91" t="s">
        <v>2531</v>
      </c>
      <c r="B443" s="4" t="s">
        <v>2546</v>
      </c>
      <c r="C443" s="5" t="s">
        <v>1622</v>
      </c>
      <c r="D443" s="5" t="s">
        <v>123</v>
      </c>
      <c r="E443" s="5">
        <v>16994318</v>
      </c>
      <c r="F443" s="56">
        <v>13553.72</v>
      </c>
      <c r="G443" s="56">
        <v>0</v>
      </c>
      <c r="H443" s="5">
        <v>0</v>
      </c>
      <c r="I443" s="5">
        <v>0</v>
      </c>
      <c r="J443" s="5">
        <v>0</v>
      </c>
      <c r="K443" s="5">
        <v>2846.28</v>
      </c>
      <c r="L443" s="5">
        <v>0</v>
      </c>
      <c r="M443" s="56">
        <v>0</v>
      </c>
      <c r="N443" s="92">
        <v>16400</v>
      </c>
    </row>
    <row r="444" spans="1:14">
      <c r="A444" s="91" t="s">
        <v>2531</v>
      </c>
      <c r="B444" s="4" t="s">
        <v>2547</v>
      </c>
      <c r="C444" s="5" t="s">
        <v>802</v>
      </c>
      <c r="D444" s="5" t="s">
        <v>123</v>
      </c>
      <c r="E444" s="5">
        <v>37904748</v>
      </c>
      <c r="F444" s="56">
        <v>7851.24</v>
      </c>
      <c r="G444" s="56">
        <v>0</v>
      </c>
      <c r="H444" s="5">
        <v>0</v>
      </c>
      <c r="I444" s="5">
        <v>0</v>
      </c>
      <c r="J444" s="5">
        <v>0</v>
      </c>
      <c r="K444" s="5">
        <v>1648.76</v>
      </c>
      <c r="L444" s="5">
        <v>0</v>
      </c>
      <c r="M444" s="56">
        <v>0</v>
      </c>
      <c r="N444" s="92">
        <v>9500</v>
      </c>
    </row>
    <row r="445" spans="1:14">
      <c r="A445" s="91" t="s">
        <v>2531</v>
      </c>
      <c r="B445" s="4" t="s">
        <v>2548</v>
      </c>
      <c r="C445" s="5" t="s">
        <v>302</v>
      </c>
      <c r="D445" s="5" t="s">
        <v>123</v>
      </c>
      <c r="E445" s="5">
        <v>4648296</v>
      </c>
      <c r="F445" s="56">
        <v>7438.02</v>
      </c>
      <c r="G445" s="56">
        <v>0</v>
      </c>
      <c r="H445" s="5">
        <v>0</v>
      </c>
      <c r="I445" s="5">
        <v>0</v>
      </c>
      <c r="J445" s="5">
        <v>0</v>
      </c>
      <c r="K445" s="5">
        <v>1561.98</v>
      </c>
      <c r="L445" s="5">
        <v>0</v>
      </c>
      <c r="M445" s="56">
        <v>0</v>
      </c>
      <c r="N445" s="92">
        <v>9000</v>
      </c>
    </row>
    <row r="446" spans="1:14">
      <c r="A446" s="91" t="s">
        <v>2531</v>
      </c>
      <c r="B446" s="4" t="s">
        <v>2549</v>
      </c>
      <c r="C446" s="5" t="s">
        <v>2550</v>
      </c>
      <c r="D446" s="5" t="s">
        <v>123</v>
      </c>
      <c r="E446" s="5">
        <v>643000</v>
      </c>
      <c r="F446" s="56">
        <v>867.76</v>
      </c>
      <c r="G446" s="56">
        <v>0</v>
      </c>
      <c r="H446" s="5">
        <v>0</v>
      </c>
      <c r="I446" s="5">
        <v>0</v>
      </c>
      <c r="J446" s="5">
        <v>0</v>
      </c>
      <c r="K446" s="5">
        <v>182.24</v>
      </c>
      <c r="L446" s="5">
        <v>0</v>
      </c>
      <c r="M446" s="56">
        <v>0</v>
      </c>
      <c r="N446" s="92">
        <v>1050</v>
      </c>
    </row>
    <row r="447" spans="1:14">
      <c r="A447" s="91" t="s">
        <v>2551</v>
      </c>
      <c r="B447" s="4" t="s">
        <v>2577</v>
      </c>
      <c r="C447" s="5" t="s">
        <v>399</v>
      </c>
      <c r="D447" s="5" t="s">
        <v>123</v>
      </c>
      <c r="E447" s="5" t="s">
        <v>124</v>
      </c>
      <c r="F447" s="56">
        <v>20578.510000000002</v>
      </c>
      <c r="G447" s="56">
        <v>0</v>
      </c>
      <c r="H447" s="5">
        <v>0</v>
      </c>
      <c r="I447" s="5">
        <v>0</v>
      </c>
      <c r="J447" s="5">
        <v>0</v>
      </c>
      <c r="K447" s="5">
        <v>4321.49</v>
      </c>
      <c r="L447" s="5">
        <v>0</v>
      </c>
      <c r="M447" s="56">
        <v>0</v>
      </c>
      <c r="N447" s="92">
        <v>24900</v>
      </c>
    </row>
    <row r="448" spans="1:14">
      <c r="A448" s="91" t="s">
        <v>2551</v>
      </c>
      <c r="B448" s="4" t="s">
        <v>2578</v>
      </c>
      <c r="C448" s="5" t="s">
        <v>420</v>
      </c>
      <c r="D448" s="5" t="s">
        <v>123</v>
      </c>
      <c r="E448" s="5">
        <v>3955768</v>
      </c>
      <c r="F448" s="56">
        <v>6511.57</v>
      </c>
      <c r="G448" s="56">
        <v>0</v>
      </c>
      <c r="H448" s="5">
        <v>0</v>
      </c>
      <c r="I448" s="5">
        <v>0</v>
      </c>
      <c r="J448" s="5">
        <v>0</v>
      </c>
      <c r="K448" s="5">
        <v>1367.43</v>
      </c>
      <c r="L448" s="5">
        <v>0</v>
      </c>
      <c r="M448" s="56">
        <v>0</v>
      </c>
      <c r="N448" s="92">
        <v>7879</v>
      </c>
    </row>
    <row r="449" spans="1:14">
      <c r="A449" s="91" t="s">
        <v>2551</v>
      </c>
      <c r="B449" s="4" t="s">
        <v>2579</v>
      </c>
      <c r="C449" s="5" t="s">
        <v>281</v>
      </c>
      <c r="D449" s="5" t="s">
        <v>123</v>
      </c>
      <c r="E449" s="5">
        <v>16246667</v>
      </c>
      <c r="F449" s="56">
        <v>11983.47</v>
      </c>
      <c r="G449" s="56">
        <v>0</v>
      </c>
      <c r="H449" s="5">
        <v>0</v>
      </c>
      <c r="I449" s="5">
        <v>0</v>
      </c>
      <c r="J449" s="5">
        <v>0</v>
      </c>
      <c r="K449" s="5">
        <v>2516.5300000000002</v>
      </c>
      <c r="L449" s="5">
        <v>0</v>
      </c>
      <c r="M449" s="56">
        <v>0</v>
      </c>
      <c r="N449" s="92">
        <v>14500</v>
      </c>
    </row>
    <row r="450" spans="1:14">
      <c r="A450" s="91" t="s">
        <v>2551</v>
      </c>
      <c r="B450" s="4" t="s">
        <v>2580</v>
      </c>
      <c r="C450" s="5" t="s">
        <v>1795</v>
      </c>
      <c r="D450" s="5" t="s">
        <v>123</v>
      </c>
      <c r="E450" s="5">
        <v>42470342</v>
      </c>
      <c r="F450" s="56">
        <v>4214.88</v>
      </c>
      <c r="G450" s="56">
        <v>0</v>
      </c>
      <c r="H450" s="5">
        <v>0</v>
      </c>
      <c r="I450" s="5">
        <v>0</v>
      </c>
      <c r="J450" s="5">
        <v>0</v>
      </c>
      <c r="K450" s="5">
        <v>885.12</v>
      </c>
      <c r="L450" s="5">
        <v>0</v>
      </c>
      <c r="M450" s="56">
        <v>0</v>
      </c>
      <c r="N450" s="92">
        <v>5100</v>
      </c>
    </row>
    <row r="451" spans="1:14">
      <c r="A451" s="91" t="s">
        <v>2225</v>
      </c>
      <c r="B451" s="4" t="s">
        <v>2226</v>
      </c>
      <c r="C451" s="5" t="s">
        <v>122</v>
      </c>
      <c r="D451" s="5" t="s">
        <v>123</v>
      </c>
      <c r="E451" s="5" t="s">
        <v>124</v>
      </c>
      <c r="F451" s="56">
        <v>-8429.75</v>
      </c>
      <c r="G451" s="56">
        <v>0</v>
      </c>
      <c r="H451" s="5">
        <v>0</v>
      </c>
      <c r="I451" s="5">
        <v>0</v>
      </c>
      <c r="J451" s="5">
        <v>0</v>
      </c>
      <c r="K451" s="5">
        <v>-1770.25</v>
      </c>
      <c r="L451" s="5">
        <v>0</v>
      </c>
      <c r="M451" s="56">
        <v>0</v>
      </c>
      <c r="N451" s="92">
        <v>-10200</v>
      </c>
    </row>
    <row r="452" spans="1:14">
      <c r="A452" s="91" t="s">
        <v>2322</v>
      </c>
      <c r="B452" s="4" t="s">
        <v>2323</v>
      </c>
      <c r="C452" s="5" t="s">
        <v>122</v>
      </c>
      <c r="D452" s="5" t="s">
        <v>123</v>
      </c>
      <c r="E452" s="5" t="s">
        <v>124</v>
      </c>
      <c r="F452" s="56">
        <v>-17355.37</v>
      </c>
      <c r="G452" s="56">
        <v>0</v>
      </c>
      <c r="H452" s="5">
        <v>0</v>
      </c>
      <c r="I452" s="5">
        <v>0</v>
      </c>
      <c r="J452" s="5">
        <v>0</v>
      </c>
      <c r="K452" s="5">
        <v>-3644.63</v>
      </c>
      <c r="L452" s="5">
        <v>0</v>
      </c>
      <c r="M452" s="56">
        <v>0</v>
      </c>
      <c r="N452" s="92">
        <v>-21000</v>
      </c>
    </row>
    <row r="453" spans="1:14">
      <c r="A453" s="96" t="s">
        <v>2551</v>
      </c>
      <c r="B453" s="97" t="s">
        <v>2552</v>
      </c>
      <c r="C453" s="98" t="s">
        <v>122</v>
      </c>
      <c r="D453" s="98" t="s">
        <v>123</v>
      </c>
      <c r="E453" s="98" t="s">
        <v>124</v>
      </c>
      <c r="F453" s="99">
        <v>-5239.67</v>
      </c>
      <c r="G453" s="99">
        <v>0</v>
      </c>
      <c r="H453" s="98">
        <v>0</v>
      </c>
      <c r="I453" s="98">
        <v>0</v>
      </c>
      <c r="J453" s="98">
        <v>0</v>
      </c>
      <c r="K453" s="98">
        <v>-1100.33</v>
      </c>
      <c r="L453" s="98">
        <v>0</v>
      </c>
      <c r="M453" s="99">
        <v>0</v>
      </c>
      <c r="N453" s="100">
        <v>-6340</v>
      </c>
    </row>
    <row r="454" spans="1:14">
      <c r="A454" s="96"/>
      <c r="B454" s="97"/>
      <c r="C454" s="98"/>
      <c r="D454" s="98"/>
      <c r="E454" s="98"/>
      <c r="F454" s="90">
        <f>SUBTOTAL(109,Tabla2[Gravado])</f>
        <v>3383620.4800000028</v>
      </c>
      <c r="G454" s="90"/>
      <c r="H454" s="90"/>
      <c r="I454" s="90"/>
      <c r="J454" s="90"/>
      <c r="K454" s="90">
        <f>SUBTOTAL(109,Tabla2[IVA 21%])+0.08</f>
        <v>710560.29999999993</v>
      </c>
      <c r="L454" s="90"/>
      <c r="M454" s="90"/>
      <c r="N454" s="90"/>
    </row>
    <row r="456" spans="1:14" ht="22.5" customHeight="1">
      <c r="H456" s="166" t="s">
        <v>2583</v>
      </c>
      <c r="I456" s="102" t="s">
        <v>2581</v>
      </c>
      <c r="J456" s="103">
        <f>SUM(Tabla2[[#Totals],[Gravado]]+F79)</f>
        <v>51679690.370000027</v>
      </c>
    </row>
    <row r="457" spans="1:14" ht="24" customHeight="1">
      <c r="H457" s="166"/>
      <c r="I457" s="104" t="s">
        <v>2582</v>
      </c>
      <c r="J457" s="111">
        <f>Tabla2[[#Totals],[IVA 21%]]+K79</f>
        <v>10852734.980000004</v>
      </c>
    </row>
  </sheetData>
  <mergeCells count="1">
    <mergeCell ref="H456:H457"/>
  </mergeCells>
  <pageMargins left="0.7" right="0.7" top="0.75" bottom="0.75" header="0.3" footer="0.3"/>
  <pageSetup orientation="portrait" horizontalDpi="0" verticalDpi="0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9"/>
  <sheetViews>
    <sheetView topLeftCell="B450" zoomScaleNormal="100" workbookViewId="0">
      <selection activeCell="E457" sqref="E457:H459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7" customWidth="1"/>
    <col min="6" max="8" width="15.5703125" style="116" bestFit="1" customWidth="1"/>
  </cols>
  <sheetData>
    <row r="1" spans="1:8">
      <c r="A1" s="112" t="s">
        <v>124</v>
      </c>
    </row>
    <row r="2" spans="1:8" ht="18.75">
      <c r="A2" s="113" t="s">
        <v>2586</v>
      </c>
      <c r="B2" s="113"/>
      <c r="C2" s="113"/>
    </row>
    <row r="3" spans="1:8" ht="18.75">
      <c r="A3" s="114" t="s">
        <v>2587</v>
      </c>
      <c r="B3" s="113"/>
      <c r="C3" s="113"/>
    </row>
    <row r="5" spans="1:8">
      <c r="A5" s="167" t="s">
        <v>2023</v>
      </c>
      <c r="B5" s="167"/>
    </row>
    <row r="6" spans="1:8">
      <c r="A6" s="115" t="s">
        <v>0</v>
      </c>
      <c r="B6" s="115" t="s">
        <v>1</v>
      </c>
      <c r="C6" s="115" t="s">
        <v>2</v>
      </c>
      <c r="D6" s="115" t="s">
        <v>3</v>
      </c>
      <c r="E6" s="115" t="s">
        <v>4</v>
      </c>
      <c r="F6" s="117" t="s">
        <v>5</v>
      </c>
      <c r="G6" s="117" t="s">
        <v>10</v>
      </c>
      <c r="H6" s="117" t="s">
        <v>3076</v>
      </c>
    </row>
    <row r="7" spans="1:8">
      <c r="A7" s="43" t="s">
        <v>2656</v>
      </c>
      <c r="B7" s="44" t="s">
        <v>2657</v>
      </c>
      <c r="C7" s="45" t="s">
        <v>2658</v>
      </c>
      <c r="D7" s="45" t="s">
        <v>17</v>
      </c>
      <c r="E7" s="45">
        <v>20224251387</v>
      </c>
      <c r="F7" s="118">
        <v>7851.24</v>
      </c>
      <c r="G7" s="119">
        <v>1648.76</v>
      </c>
      <c r="H7" s="118">
        <v>9500</v>
      </c>
    </row>
    <row r="8" spans="1:8">
      <c r="A8" s="43" t="s">
        <v>2927</v>
      </c>
      <c r="B8" s="44" t="s">
        <v>2928</v>
      </c>
      <c r="C8" s="45" t="s">
        <v>2929</v>
      </c>
      <c r="D8" s="45" t="s">
        <v>17</v>
      </c>
      <c r="E8" s="45">
        <v>20206763419</v>
      </c>
      <c r="F8" s="118">
        <v>13057.85</v>
      </c>
      <c r="G8" s="119">
        <v>2742.15</v>
      </c>
      <c r="H8" s="118">
        <v>15800</v>
      </c>
    </row>
    <row r="9" spans="1:8">
      <c r="A9" s="43" t="s">
        <v>2588</v>
      </c>
      <c r="B9" s="44" t="s">
        <v>2605</v>
      </c>
      <c r="C9" s="45" t="s">
        <v>16</v>
      </c>
      <c r="D9" s="45" t="s">
        <v>17</v>
      </c>
      <c r="E9" s="45">
        <v>30522428163</v>
      </c>
      <c r="F9" s="118">
        <v>4976033.05</v>
      </c>
      <c r="G9" s="119">
        <v>1044966.93</v>
      </c>
      <c r="H9" s="118">
        <v>6020999.9800000004</v>
      </c>
    </row>
    <row r="10" spans="1:8">
      <c r="A10" s="43" t="s">
        <v>2686</v>
      </c>
      <c r="B10" s="44" t="s">
        <v>2697</v>
      </c>
      <c r="C10" s="45" t="s">
        <v>16</v>
      </c>
      <c r="D10" s="45" t="s">
        <v>17</v>
      </c>
      <c r="E10" s="45">
        <v>30522428163</v>
      </c>
      <c r="F10" s="118">
        <v>4090082.65</v>
      </c>
      <c r="G10" s="119">
        <v>858917.35</v>
      </c>
      <c r="H10" s="118">
        <v>4949000</v>
      </c>
    </row>
    <row r="11" spans="1:8">
      <c r="A11" s="43" t="s">
        <v>2686</v>
      </c>
      <c r="B11" s="44" t="s">
        <v>2698</v>
      </c>
      <c r="C11" s="45" t="s">
        <v>16</v>
      </c>
      <c r="D11" s="45" t="s">
        <v>17</v>
      </c>
      <c r="E11" s="45">
        <v>30522428163</v>
      </c>
      <c r="F11" s="118">
        <v>1216942.1500000001</v>
      </c>
      <c r="G11" s="119">
        <v>255557.85</v>
      </c>
      <c r="H11" s="118">
        <v>1472500</v>
      </c>
    </row>
    <row r="12" spans="1:8">
      <c r="A12" s="43" t="s">
        <v>2708</v>
      </c>
      <c r="B12" s="44" t="s">
        <v>2728</v>
      </c>
      <c r="C12" s="45" t="s">
        <v>16</v>
      </c>
      <c r="D12" s="45" t="s">
        <v>17</v>
      </c>
      <c r="E12" s="45">
        <v>30522428163</v>
      </c>
      <c r="F12" s="118">
        <v>3005869.18</v>
      </c>
      <c r="G12" s="119">
        <v>631232.53</v>
      </c>
      <c r="H12" s="118">
        <v>3637101.71</v>
      </c>
    </row>
    <row r="13" spans="1:8">
      <c r="A13" s="43" t="s">
        <v>2708</v>
      </c>
      <c r="B13" s="44" t="s">
        <v>2729</v>
      </c>
      <c r="C13" s="45" t="s">
        <v>16</v>
      </c>
      <c r="D13" s="45" t="s">
        <v>17</v>
      </c>
      <c r="E13" s="45">
        <v>30522428163</v>
      </c>
      <c r="F13" s="118">
        <v>1877272.71</v>
      </c>
      <c r="G13" s="119">
        <v>394227.26</v>
      </c>
      <c r="H13" s="118">
        <v>2271499.9700000002</v>
      </c>
    </row>
    <row r="14" spans="1:8">
      <c r="A14" s="43" t="s">
        <v>2797</v>
      </c>
      <c r="B14" s="44" t="s">
        <v>2820</v>
      </c>
      <c r="C14" s="45" t="s">
        <v>16</v>
      </c>
      <c r="D14" s="45" t="s">
        <v>17</v>
      </c>
      <c r="E14" s="45">
        <v>30522428163</v>
      </c>
      <c r="F14" s="118">
        <v>6382231.4000000004</v>
      </c>
      <c r="G14" s="119">
        <v>1340268.5900000001</v>
      </c>
      <c r="H14" s="118">
        <v>7722499.9900000002</v>
      </c>
    </row>
    <row r="15" spans="1:8">
      <c r="A15" s="43" t="s">
        <v>2827</v>
      </c>
      <c r="B15" s="44" t="s">
        <v>2843</v>
      </c>
      <c r="C15" s="45" t="s">
        <v>16</v>
      </c>
      <c r="D15" s="45" t="s">
        <v>17</v>
      </c>
      <c r="E15" s="45">
        <v>30522428163</v>
      </c>
      <c r="F15" s="118">
        <v>1977520.66</v>
      </c>
      <c r="G15" s="119">
        <v>415279.34</v>
      </c>
      <c r="H15" s="118">
        <v>2392800</v>
      </c>
    </row>
    <row r="16" spans="1:8">
      <c r="A16" s="43" t="s">
        <v>2859</v>
      </c>
      <c r="B16" s="44" t="s">
        <v>2882</v>
      </c>
      <c r="C16" s="45" t="s">
        <v>16</v>
      </c>
      <c r="D16" s="45" t="s">
        <v>17</v>
      </c>
      <c r="E16" s="45">
        <v>30522428163</v>
      </c>
      <c r="F16" s="118">
        <v>3460000</v>
      </c>
      <c r="G16" s="119">
        <v>726600</v>
      </c>
      <c r="H16" s="118">
        <v>4186600</v>
      </c>
    </row>
    <row r="17" spans="1:8">
      <c r="A17" s="43" t="s">
        <v>2859</v>
      </c>
      <c r="B17" s="44" t="s">
        <v>2883</v>
      </c>
      <c r="C17" s="45" t="s">
        <v>16</v>
      </c>
      <c r="D17" s="45" t="s">
        <v>17</v>
      </c>
      <c r="E17" s="45">
        <v>30522428163</v>
      </c>
      <c r="F17" s="118">
        <v>3460000</v>
      </c>
      <c r="G17" s="119">
        <v>726600</v>
      </c>
      <c r="H17" s="118">
        <v>4186600</v>
      </c>
    </row>
    <row r="18" spans="1:8">
      <c r="A18" s="43" t="s">
        <v>2927</v>
      </c>
      <c r="B18" s="44" t="s">
        <v>2942</v>
      </c>
      <c r="C18" s="45" t="s">
        <v>16</v>
      </c>
      <c r="D18" s="45" t="s">
        <v>17</v>
      </c>
      <c r="E18" s="45">
        <v>30522428163</v>
      </c>
      <c r="F18" s="118">
        <v>8392847.9299999997</v>
      </c>
      <c r="G18" s="119">
        <v>1762498.04</v>
      </c>
      <c r="H18" s="118">
        <v>10155345.970000001</v>
      </c>
    </row>
    <row r="19" spans="1:8">
      <c r="A19" s="43" t="s">
        <v>2984</v>
      </c>
      <c r="B19" s="44" t="s">
        <v>2996</v>
      </c>
      <c r="C19" s="45" t="s">
        <v>16</v>
      </c>
      <c r="D19" s="45" t="s">
        <v>17</v>
      </c>
      <c r="E19" s="45">
        <v>30522428163</v>
      </c>
      <c r="F19" s="118">
        <v>5383190.0800000001</v>
      </c>
      <c r="G19" s="119">
        <v>1130469.9099999999</v>
      </c>
      <c r="H19" s="118">
        <v>6513659.9900000002</v>
      </c>
    </row>
    <row r="20" spans="1:8">
      <c r="A20" s="43" t="s">
        <v>3000</v>
      </c>
      <c r="B20" s="44" t="s">
        <v>3014</v>
      </c>
      <c r="C20" s="45" t="s">
        <v>16</v>
      </c>
      <c r="D20" s="45" t="s">
        <v>17</v>
      </c>
      <c r="E20" s="45">
        <v>30522428163</v>
      </c>
      <c r="F20" s="118">
        <v>2469547.9300000002</v>
      </c>
      <c r="G20" s="119">
        <v>518605.06</v>
      </c>
      <c r="H20" s="118">
        <v>2988152.99</v>
      </c>
    </row>
    <row r="21" spans="1:8">
      <c r="A21" s="43" t="s">
        <v>3019</v>
      </c>
      <c r="B21" s="44" t="s">
        <v>3046</v>
      </c>
      <c r="C21" s="45" t="s">
        <v>16</v>
      </c>
      <c r="D21" s="45" t="s">
        <v>17</v>
      </c>
      <c r="E21" s="45">
        <v>30522428163</v>
      </c>
      <c r="F21" s="118">
        <v>3700661.14</v>
      </c>
      <c r="G21" s="119">
        <v>777138.84</v>
      </c>
      <c r="H21" s="118">
        <v>4477799.9800000004</v>
      </c>
    </row>
    <row r="22" spans="1:8">
      <c r="A22" s="43" t="s">
        <v>2588</v>
      </c>
      <c r="B22" s="44" t="s">
        <v>2606</v>
      </c>
      <c r="C22" s="45" t="s">
        <v>60</v>
      </c>
      <c r="D22" s="45" t="s">
        <v>17</v>
      </c>
      <c r="E22" s="45">
        <v>30710538014</v>
      </c>
      <c r="F22" s="118">
        <v>22412.23</v>
      </c>
      <c r="G22" s="119">
        <v>4706.57</v>
      </c>
      <c r="H22" s="118">
        <v>27118.799999999999</v>
      </c>
    </row>
    <row r="23" spans="1:8">
      <c r="A23" s="43" t="s">
        <v>2588</v>
      </c>
      <c r="B23" s="44" t="s">
        <v>2607</v>
      </c>
      <c r="C23" s="45" t="s">
        <v>60</v>
      </c>
      <c r="D23" s="45" t="s">
        <v>17</v>
      </c>
      <c r="E23" s="45">
        <v>30710538014</v>
      </c>
      <c r="F23" s="118">
        <v>6585.95</v>
      </c>
      <c r="G23" s="119">
        <v>1383.05</v>
      </c>
      <c r="H23" s="118">
        <v>7969</v>
      </c>
    </row>
    <row r="24" spans="1:8">
      <c r="A24" s="43" t="s">
        <v>2611</v>
      </c>
      <c r="B24" s="44" t="s">
        <v>2630</v>
      </c>
      <c r="C24" s="45" t="s">
        <v>33</v>
      </c>
      <c r="D24" s="45" t="s">
        <v>17</v>
      </c>
      <c r="E24" s="45">
        <v>30683032227</v>
      </c>
      <c r="F24" s="118">
        <v>204958.68</v>
      </c>
      <c r="G24" s="119">
        <v>43041.32</v>
      </c>
      <c r="H24" s="118">
        <v>248000</v>
      </c>
    </row>
    <row r="25" spans="1:8">
      <c r="A25" s="43" t="s">
        <v>2611</v>
      </c>
      <c r="B25" s="44" t="s">
        <v>2631</v>
      </c>
      <c r="C25" s="45" t="s">
        <v>1872</v>
      </c>
      <c r="D25" s="45" t="s">
        <v>17</v>
      </c>
      <c r="E25" s="45">
        <v>30606274161</v>
      </c>
      <c r="F25" s="118">
        <v>42157.02</v>
      </c>
      <c r="G25" s="119">
        <v>8852.9699999999993</v>
      </c>
      <c r="H25" s="118">
        <v>51009.99</v>
      </c>
    </row>
    <row r="26" spans="1:8">
      <c r="A26" s="43" t="s">
        <v>2611</v>
      </c>
      <c r="B26" s="44" t="s">
        <v>2632</v>
      </c>
      <c r="C26" s="45" t="s">
        <v>74</v>
      </c>
      <c r="D26" s="45" t="s">
        <v>17</v>
      </c>
      <c r="E26" s="45">
        <v>30707612971</v>
      </c>
      <c r="F26" s="118">
        <v>18266.12</v>
      </c>
      <c r="G26" s="119">
        <v>3835.89</v>
      </c>
      <c r="H26" s="118">
        <v>22102.01</v>
      </c>
    </row>
    <row r="27" spans="1:8">
      <c r="A27" s="43" t="s">
        <v>2611</v>
      </c>
      <c r="B27" s="44" t="s">
        <v>2633</v>
      </c>
      <c r="C27" s="45" t="s">
        <v>68</v>
      </c>
      <c r="D27" s="45" t="s">
        <v>17</v>
      </c>
      <c r="E27" s="45">
        <v>30711244383</v>
      </c>
      <c r="F27" s="118">
        <v>7519.77</v>
      </c>
      <c r="G27" s="119">
        <v>1579.15</v>
      </c>
      <c r="H27" s="118">
        <v>9098.92</v>
      </c>
    </row>
    <row r="28" spans="1:8">
      <c r="A28" s="43" t="s">
        <v>2611</v>
      </c>
      <c r="B28" s="44" t="s">
        <v>2634</v>
      </c>
      <c r="C28" s="45" t="s">
        <v>70</v>
      </c>
      <c r="D28" s="45" t="s">
        <v>17</v>
      </c>
      <c r="E28" s="45">
        <v>30645337979</v>
      </c>
      <c r="F28" s="118">
        <v>14382.12</v>
      </c>
      <c r="G28" s="119">
        <v>3020.25</v>
      </c>
      <c r="H28" s="118">
        <v>17402.37</v>
      </c>
    </row>
    <row r="29" spans="1:8">
      <c r="A29" s="43" t="s">
        <v>2642</v>
      </c>
      <c r="B29" s="44" t="s">
        <v>2655</v>
      </c>
      <c r="C29" s="45" t="s">
        <v>80</v>
      </c>
      <c r="D29" s="45" t="s">
        <v>17</v>
      </c>
      <c r="E29" s="45">
        <v>30608716390</v>
      </c>
      <c r="F29" s="118">
        <v>2145.46</v>
      </c>
      <c r="G29" s="119">
        <v>450.54</v>
      </c>
      <c r="H29" s="118">
        <v>2596</v>
      </c>
    </row>
    <row r="30" spans="1:8">
      <c r="A30" s="43" t="s">
        <v>2656</v>
      </c>
      <c r="B30" s="44" t="s">
        <v>2677</v>
      </c>
      <c r="C30" s="45" t="s">
        <v>80</v>
      </c>
      <c r="D30" s="45" t="s">
        <v>17</v>
      </c>
      <c r="E30" s="45">
        <v>30608716390</v>
      </c>
      <c r="F30" s="118">
        <v>7035.53</v>
      </c>
      <c r="G30" s="119">
        <v>1477.46</v>
      </c>
      <c r="H30" s="118">
        <v>8512.99</v>
      </c>
    </row>
    <row r="31" spans="1:8">
      <c r="A31" s="43" t="s">
        <v>2656</v>
      </c>
      <c r="B31" s="44" t="s">
        <v>2678</v>
      </c>
      <c r="C31" s="45" t="s">
        <v>80</v>
      </c>
      <c r="D31" s="45" t="s">
        <v>17</v>
      </c>
      <c r="E31" s="45">
        <v>30608716390</v>
      </c>
      <c r="F31" s="118">
        <v>1166.1200000000001</v>
      </c>
      <c r="G31" s="119">
        <v>244.89</v>
      </c>
      <c r="H31" s="118">
        <v>1411.01</v>
      </c>
    </row>
    <row r="32" spans="1:8">
      <c r="A32" s="43" t="s">
        <v>2656</v>
      </c>
      <c r="B32" s="44" t="s">
        <v>2679</v>
      </c>
      <c r="C32" s="45" t="s">
        <v>80</v>
      </c>
      <c r="D32" s="45" t="s">
        <v>17</v>
      </c>
      <c r="E32" s="45">
        <v>30608716390</v>
      </c>
      <c r="F32" s="118">
        <v>7672.72</v>
      </c>
      <c r="G32" s="119">
        <v>1611.27</v>
      </c>
      <c r="H32" s="118">
        <v>9283.99</v>
      </c>
    </row>
    <row r="33" spans="1:8">
      <c r="A33" s="43" t="s">
        <v>2656</v>
      </c>
      <c r="B33" s="44" t="s">
        <v>2680</v>
      </c>
      <c r="C33" s="45" t="s">
        <v>80</v>
      </c>
      <c r="D33" s="45" t="s">
        <v>17</v>
      </c>
      <c r="E33" s="45">
        <v>30608716390</v>
      </c>
      <c r="F33" s="118">
        <v>11052.89</v>
      </c>
      <c r="G33" s="119">
        <v>2321.11</v>
      </c>
      <c r="H33" s="118">
        <v>13374</v>
      </c>
    </row>
    <row r="34" spans="1:8">
      <c r="A34" s="43" t="s">
        <v>2656</v>
      </c>
      <c r="B34" s="44" t="s">
        <v>2681</v>
      </c>
      <c r="C34" s="45" t="s">
        <v>16</v>
      </c>
      <c r="D34" s="45" t="s">
        <v>17</v>
      </c>
      <c r="E34" s="45">
        <v>30522428163</v>
      </c>
      <c r="F34" s="118">
        <v>17354.7</v>
      </c>
      <c r="G34" s="119">
        <v>3644.49</v>
      </c>
      <c r="H34" s="118">
        <v>20999.19</v>
      </c>
    </row>
    <row r="35" spans="1:8">
      <c r="A35" s="43" t="s">
        <v>2686</v>
      </c>
      <c r="B35" s="44" t="s">
        <v>2700</v>
      </c>
      <c r="C35" s="45" t="s">
        <v>16</v>
      </c>
      <c r="D35" s="45" t="s">
        <v>17</v>
      </c>
      <c r="E35" s="45">
        <v>30522428163</v>
      </c>
      <c r="F35" s="118">
        <v>262102.5</v>
      </c>
      <c r="G35" s="119">
        <v>55041.53</v>
      </c>
      <c r="H35" s="118">
        <v>317144.03000000003</v>
      </c>
    </row>
    <row r="36" spans="1:8">
      <c r="A36" s="43" t="s">
        <v>2708</v>
      </c>
      <c r="B36" s="44" t="s">
        <v>2730</v>
      </c>
      <c r="C36" s="45" t="s">
        <v>16</v>
      </c>
      <c r="D36" s="45" t="s">
        <v>17</v>
      </c>
      <c r="E36" s="45">
        <v>30522428163</v>
      </c>
      <c r="F36" s="118">
        <v>427462.67</v>
      </c>
      <c r="G36" s="119">
        <v>89767.16</v>
      </c>
      <c r="H36" s="118">
        <v>517229.83</v>
      </c>
    </row>
    <row r="37" spans="1:8">
      <c r="A37" s="43" t="s">
        <v>2708</v>
      </c>
      <c r="B37" s="44" t="s">
        <v>2731</v>
      </c>
      <c r="C37" s="45" t="s">
        <v>16</v>
      </c>
      <c r="D37" s="45" t="s">
        <v>17</v>
      </c>
      <c r="E37" s="45">
        <v>30522428163</v>
      </c>
      <c r="F37" s="118">
        <v>35758.78</v>
      </c>
      <c r="G37" s="119">
        <v>7509.34</v>
      </c>
      <c r="H37" s="118">
        <v>43268.12</v>
      </c>
    </row>
    <row r="38" spans="1:8">
      <c r="A38" s="43" t="s">
        <v>2708</v>
      </c>
      <c r="B38" s="44" t="s">
        <v>2732</v>
      </c>
      <c r="C38" s="45" t="s">
        <v>16</v>
      </c>
      <c r="D38" s="45" t="s">
        <v>17</v>
      </c>
      <c r="E38" s="45">
        <v>30522428163</v>
      </c>
      <c r="F38" s="118">
        <v>244526.07999999999</v>
      </c>
      <c r="G38" s="119">
        <v>51350.48</v>
      </c>
      <c r="H38" s="118">
        <v>295876.56</v>
      </c>
    </row>
    <row r="39" spans="1:8">
      <c r="A39" s="43" t="s">
        <v>2708</v>
      </c>
      <c r="B39" s="44" t="s">
        <v>2733</v>
      </c>
      <c r="C39" s="45" t="s">
        <v>57</v>
      </c>
      <c r="D39" s="45" t="s">
        <v>17</v>
      </c>
      <c r="E39" s="45">
        <v>30715186655</v>
      </c>
      <c r="F39" s="118">
        <v>90276.86</v>
      </c>
      <c r="G39" s="119">
        <v>18958.14</v>
      </c>
      <c r="H39" s="118">
        <v>109235</v>
      </c>
    </row>
    <row r="40" spans="1:8">
      <c r="A40" s="43" t="s">
        <v>2708</v>
      </c>
      <c r="B40" s="44" t="s">
        <v>2734</v>
      </c>
      <c r="C40" s="45" t="s">
        <v>57</v>
      </c>
      <c r="D40" s="45" t="s">
        <v>17</v>
      </c>
      <c r="E40" s="45">
        <v>30715186655</v>
      </c>
      <c r="F40" s="118">
        <v>4809.09</v>
      </c>
      <c r="G40" s="119">
        <v>1009.91</v>
      </c>
      <c r="H40" s="118">
        <v>5819</v>
      </c>
    </row>
    <row r="41" spans="1:8">
      <c r="A41" s="43" t="s">
        <v>2708</v>
      </c>
      <c r="B41" s="44" t="s">
        <v>2735</v>
      </c>
      <c r="C41" s="45" t="s">
        <v>66</v>
      </c>
      <c r="D41" s="45" t="s">
        <v>17</v>
      </c>
      <c r="E41" s="45">
        <v>30710961790</v>
      </c>
      <c r="F41" s="118">
        <v>45989.09</v>
      </c>
      <c r="G41" s="119">
        <v>9657.7100000000009</v>
      </c>
      <c r="H41" s="118">
        <v>55646.8</v>
      </c>
    </row>
    <row r="42" spans="1:8">
      <c r="A42" s="43" t="s">
        <v>2708</v>
      </c>
      <c r="B42" s="44" t="s">
        <v>2736</v>
      </c>
      <c r="C42" s="45" t="s">
        <v>62</v>
      </c>
      <c r="D42" s="45" t="s">
        <v>17</v>
      </c>
      <c r="E42" s="45">
        <v>30713669004</v>
      </c>
      <c r="F42" s="118">
        <v>11092.56</v>
      </c>
      <c r="G42" s="119">
        <v>2329.44</v>
      </c>
      <c r="H42" s="118">
        <v>13422</v>
      </c>
    </row>
    <row r="43" spans="1:8">
      <c r="A43" s="43" t="s">
        <v>2708</v>
      </c>
      <c r="B43" s="44" t="s">
        <v>2737</v>
      </c>
      <c r="C43" s="45" t="s">
        <v>72</v>
      </c>
      <c r="D43" s="45" t="s">
        <v>17</v>
      </c>
      <c r="E43" s="45">
        <v>30657418877</v>
      </c>
      <c r="F43" s="118">
        <v>3615.51</v>
      </c>
      <c r="G43" s="119">
        <v>759.25</v>
      </c>
      <c r="H43" s="118">
        <v>4374.76</v>
      </c>
    </row>
    <row r="44" spans="1:8">
      <c r="A44" s="43" t="s">
        <v>2708</v>
      </c>
      <c r="B44" s="44" t="s">
        <v>2738</v>
      </c>
      <c r="C44" s="45" t="s">
        <v>84</v>
      </c>
      <c r="D44" s="45" t="s">
        <v>17</v>
      </c>
      <c r="E44" s="45">
        <v>30709016012</v>
      </c>
      <c r="F44" s="118">
        <v>12946.28</v>
      </c>
      <c r="G44" s="119">
        <v>2718.72</v>
      </c>
      <c r="H44" s="118">
        <v>15665</v>
      </c>
    </row>
    <row r="45" spans="1:8">
      <c r="A45" s="43" t="s">
        <v>2708</v>
      </c>
      <c r="B45" s="44" t="s">
        <v>2739</v>
      </c>
      <c r="C45" s="45" t="s">
        <v>84</v>
      </c>
      <c r="D45" s="45" t="s">
        <v>17</v>
      </c>
      <c r="E45" s="45">
        <v>30709016012</v>
      </c>
      <c r="F45" s="118">
        <v>74991.75</v>
      </c>
      <c r="G45" s="119">
        <v>15748.26</v>
      </c>
      <c r="H45" s="118">
        <v>90740.01</v>
      </c>
    </row>
    <row r="46" spans="1:8">
      <c r="A46" s="43" t="s">
        <v>2708</v>
      </c>
      <c r="B46" s="44" t="s">
        <v>2740</v>
      </c>
      <c r="C46" s="45" t="s">
        <v>64</v>
      </c>
      <c r="D46" s="45" t="s">
        <v>17</v>
      </c>
      <c r="E46" s="45">
        <v>30546771314</v>
      </c>
      <c r="F46" s="118">
        <v>5211.57</v>
      </c>
      <c r="G46" s="119">
        <v>1094.43</v>
      </c>
      <c r="H46" s="118">
        <v>6306</v>
      </c>
    </row>
    <row r="47" spans="1:8">
      <c r="A47" s="43" t="s">
        <v>2750</v>
      </c>
      <c r="B47" s="44" t="s">
        <v>2767</v>
      </c>
      <c r="C47" s="45" t="s">
        <v>1872</v>
      </c>
      <c r="D47" s="45" t="s">
        <v>17</v>
      </c>
      <c r="E47" s="45">
        <v>30606274161</v>
      </c>
      <c r="F47" s="118">
        <v>6249.7</v>
      </c>
      <c r="G47" s="119">
        <v>1312.44</v>
      </c>
      <c r="H47" s="118">
        <v>7562.14</v>
      </c>
    </row>
    <row r="48" spans="1:8">
      <c r="A48" s="43" t="s">
        <v>2750</v>
      </c>
      <c r="B48" s="44" t="s">
        <v>2768</v>
      </c>
      <c r="C48" s="45" t="s">
        <v>1872</v>
      </c>
      <c r="D48" s="45" t="s">
        <v>17</v>
      </c>
      <c r="E48" s="45">
        <v>30606274161</v>
      </c>
      <c r="F48" s="118">
        <v>7812.12</v>
      </c>
      <c r="G48" s="119">
        <v>1640.55</v>
      </c>
      <c r="H48" s="118">
        <v>9452.67</v>
      </c>
    </row>
    <row r="49" spans="1:8">
      <c r="A49" s="43" t="s">
        <v>2776</v>
      </c>
      <c r="B49" s="44" t="s">
        <v>2788</v>
      </c>
      <c r="C49" s="45" t="s">
        <v>33</v>
      </c>
      <c r="D49" s="45" t="s">
        <v>17</v>
      </c>
      <c r="E49" s="45">
        <v>30683032227</v>
      </c>
      <c r="F49" s="118">
        <v>89175.87</v>
      </c>
      <c r="G49" s="119">
        <v>18726.93</v>
      </c>
      <c r="H49" s="118">
        <v>107902.8</v>
      </c>
    </row>
    <row r="50" spans="1:8">
      <c r="A50" s="43" t="s">
        <v>2776</v>
      </c>
      <c r="B50" s="44" t="s">
        <v>2789</v>
      </c>
      <c r="C50" s="45" t="s">
        <v>33</v>
      </c>
      <c r="D50" s="45" t="s">
        <v>17</v>
      </c>
      <c r="E50" s="45">
        <v>30683032227</v>
      </c>
      <c r="F50" s="118">
        <v>405022.66</v>
      </c>
      <c r="G50" s="119">
        <v>85054.76</v>
      </c>
      <c r="H50" s="118">
        <v>490077.42</v>
      </c>
    </row>
    <row r="51" spans="1:8">
      <c r="A51" s="43" t="s">
        <v>2827</v>
      </c>
      <c r="B51" s="44" t="s">
        <v>2844</v>
      </c>
      <c r="C51" s="45" t="s">
        <v>80</v>
      </c>
      <c r="D51" s="45" t="s">
        <v>17</v>
      </c>
      <c r="E51" s="45">
        <v>30608716390</v>
      </c>
      <c r="F51" s="118">
        <v>2145.4499999999998</v>
      </c>
      <c r="G51" s="119">
        <v>450.54</v>
      </c>
      <c r="H51" s="118">
        <v>2595.9900000000002</v>
      </c>
    </row>
    <row r="52" spans="1:8">
      <c r="A52" s="43" t="s">
        <v>2827</v>
      </c>
      <c r="B52" s="44" t="s">
        <v>2845</v>
      </c>
      <c r="C52" s="45" t="s">
        <v>80</v>
      </c>
      <c r="D52" s="45" t="s">
        <v>17</v>
      </c>
      <c r="E52" s="45">
        <v>30608716390</v>
      </c>
      <c r="F52" s="118">
        <v>2145.4499999999998</v>
      </c>
      <c r="G52" s="119">
        <v>450.54</v>
      </c>
      <c r="H52" s="118">
        <v>2595.9900000000002</v>
      </c>
    </row>
    <row r="53" spans="1:8">
      <c r="A53" s="43" t="s">
        <v>2827</v>
      </c>
      <c r="B53" s="44" t="s">
        <v>2846</v>
      </c>
      <c r="C53" s="45" t="s">
        <v>80</v>
      </c>
      <c r="D53" s="45" t="s">
        <v>17</v>
      </c>
      <c r="E53" s="45">
        <v>30608716390</v>
      </c>
      <c r="F53" s="118">
        <v>6328.92</v>
      </c>
      <c r="G53" s="119">
        <v>1329.07</v>
      </c>
      <c r="H53" s="118">
        <v>7657.99</v>
      </c>
    </row>
    <row r="54" spans="1:8">
      <c r="A54" s="43" t="s">
        <v>2827</v>
      </c>
      <c r="B54" s="44" t="s">
        <v>2847</v>
      </c>
      <c r="C54" s="45" t="s">
        <v>80</v>
      </c>
      <c r="D54" s="45" t="s">
        <v>17</v>
      </c>
      <c r="E54" s="45">
        <v>30608716390</v>
      </c>
      <c r="F54" s="118">
        <v>4663.2300000000005</v>
      </c>
      <c r="G54" s="119">
        <v>979.28</v>
      </c>
      <c r="H54" s="118">
        <v>5642.51</v>
      </c>
    </row>
    <row r="55" spans="1:8">
      <c r="A55" s="43" t="s">
        <v>2827</v>
      </c>
      <c r="B55" s="44" t="s">
        <v>2848</v>
      </c>
      <c r="C55" s="45" t="s">
        <v>80</v>
      </c>
      <c r="D55" s="45" t="s">
        <v>17</v>
      </c>
      <c r="E55" s="45">
        <v>30608716390</v>
      </c>
      <c r="F55" s="118">
        <v>9326.4500000000007</v>
      </c>
      <c r="G55" s="119">
        <v>1958.55</v>
      </c>
      <c r="H55" s="118">
        <v>11285</v>
      </c>
    </row>
    <row r="56" spans="1:8">
      <c r="A56" s="43" t="s">
        <v>2827</v>
      </c>
      <c r="B56" s="44" t="s">
        <v>2849</v>
      </c>
      <c r="C56" s="45" t="s">
        <v>68</v>
      </c>
      <c r="D56" s="45" t="s">
        <v>17</v>
      </c>
      <c r="E56" s="45">
        <v>30711244383</v>
      </c>
      <c r="F56" s="118">
        <v>4958.68</v>
      </c>
      <c r="G56" s="119">
        <v>1041.32</v>
      </c>
      <c r="H56" s="118">
        <v>6000</v>
      </c>
    </row>
    <row r="57" spans="1:8">
      <c r="A57" s="43" t="s">
        <v>2859</v>
      </c>
      <c r="B57" s="44" t="s">
        <v>2884</v>
      </c>
      <c r="C57" s="45" t="s">
        <v>80</v>
      </c>
      <c r="D57" s="45" t="s">
        <v>17</v>
      </c>
      <c r="E57" s="45">
        <v>30608716390</v>
      </c>
      <c r="F57" s="118">
        <v>13636.36</v>
      </c>
      <c r="G57" s="119">
        <v>2863.64</v>
      </c>
      <c r="H57" s="118">
        <v>16500</v>
      </c>
    </row>
    <row r="58" spans="1:8">
      <c r="A58" s="43" t="s">
        <v>2887</v>
      </c>
      <c r="B58" s="44" t="s">
        <v>2905</v>
      </c>
      <c r="C58" s="45" t="s">
        <v>2383</v>
      </c>
      <c r="D58" s="45" t="s">
        <v>17</v>
      </c>
      <c r="E58" s="45">
        <v>20223256393</v>
      </c>
      <c r="F58" s="118">
        <v>9917.36</v>
      </c>
      <c r="G58" s="119">
        <v>2082.64</v>
      </c>
      <c r="H58" s="118">
        <v>12000</v>
      </c>
    </row>
    <row r="59" spans="1:8">
      <c r="A59" s="43" t="s">
        <v>2887</v>
      </c>
      <c r="B59" s="44" t="s">
        <v>2906</v>
      </c>
      <c r="C59" s="45" t="s">
        <v>80</v>
      </c>
      <c r="D59" s="45" t="s">
        <v>17</v>
      </c>
      <c r="E59" s="45">
        <v>30608716390</v>
      </c>
      <c r="F59" s="118">
        <v>1166.1200000000001</v>
      </c>
      <c r="G59" s="119">
        <v>244.89</v>
      </c>
      <c r="H59" s="118">
        <v>1411.01</v>
      </c>
    </row>
    <row r="60" spans="1:8">
      <c r="A60" s="43" t="s">
        <v>2912</v>
      </c>
      <c r="B60" s="44" t="s">
        <v>2923</v>
      </c>
      <c r="C60" s="45" t="s">
        <v>16</v>
      </c>
      <c r="D60" s="45" t="s">
        <v>17</v>
      </c>
      <c r="E60" s="45">
        <v>30522428163</v>
      </c>
      <c r="F60" s="118">
        <v>113279.4</v>
      </c>
      <c r="G60" s="119">
        <v>23788.67</v>
      </c>
      <c r="H60" s="118">
        <v>137068.07</v>
      </c>
    </row>
    <row r="61" spans="1:8">
      <c r="A61" s="43" t="s">
        <v>2912</v>
      </c>
      <c r="B61" s="44" t="s">
        <v>2924</v>
      </c>
      <c r="C61" s="45" t="s">
        <v>16</v>
      </c>
      <c r="D61" s="45" t="s">
        <v>17</v>
      </c>
      <c r="E61" s="45">
        <v>30522428163</v>
      </c>
      <c r="F61" s="118">
        <v>155975.4</v>
      </c>
      <c r="G61" s="119">
        <v>32754.83</v>
      </c>
      <c r="H61" s="118">
        <v>188730.23</v>
      </c>
    </row>
    <row r="62" spans="1:8">
      <c r="A62" s="43" t="s">
        <v>2946</v>
      </c>
      <c r="B62" s="44" t="s">
        <v>2961</v>
      </c>
      <c r="C62" s="45" t="s">
        <v>80</v>
      </c>
      <c r="D62" s="45" t="s">
        <v>17</v>
      </c>
      <c r="E62" s="45">
        <v>30608716390</v>
      </c>
      <c r="F62" s="118">
        <v>6075.22</v>
      </c>
      <c r="G62" s="119">
        <v>1275.79</v>
      </c>
      <c r="H62" s="118">
        <v>7351.01</v>
      </c>
    </row>
    <row r="63" spans="1:8">
      <c r="A63" s="43" t="s">
        <v>2946</v>
      </c>
      <c r="B63" s="44" t="s">
        <v>2962</v>
      </c>
      <c r="C63" s="45" t="s">
        <v>80</v>
      </c>
      <c r="D63" s="45" t="s">
        <v>17</v>
      </c>
      <c r="E63" s="45">
        <v>30608716390</v>
      </c>
      <c r="F63" s="118">
        <v>2332.23</v>
      </c>
      <c r="G63" s="119">
        <v>489.77</v>
      </c>
      <c r="H63" s="118">
        <v>2822</v>
      </c>
    </row>
    <row r="64" spans="1:8">
      <c r="A64" s="43" t="s">
        <v>2984</v>
      </c>
      <c r="B64" s="44" t="s">
        <v>2997</v>
      </c>
      <c r="C64" s="45" t="s">
        <v>80</v>
      </c>
      <c r="D64" s="45" t="s">
        <v>17</v>
      </c>
      <c r="E64" s="45">
        <v>30608716390</v>
      </c>
      <c r="F64" s="118">
        <v>3996.69</v>
      </c>
      <c r="G64" s="119">
        <v>839.3</v>
      </c>
      <c r="H64" s="118">
        <v>4835.99</v>
      </c>
    </row>
    <row r="65" spans="1:8">
      <c r="A65" s="43" t="s">
        <v>2984</v>
      </c>
      <c r="B65" s="44" t="s">
        <v>2998</v>
      </c>
      <c r="C65" s="45" t="s">
        <v>80</v>
      </c>
      <c r="D65" s="45" t="s">
        <v>17</v>
      </c>
      <c r="E65" s="45">
        <v>30608716390</v>
      </c>
      <c r="F65" s="118">
        <v>2140.5</v>
      </c>
      <c r="G65" s="119">
        <v>449.51</v>
      </c>
      <c r="H65" s="118">
        <v>2590.0100000000002</v>
      </c>
    </row>
    <row r="66" spans="1:8">
      <c r="A66" s="43" t="s">
        <v>3019</v>
      </c>
      <c r="B66" s="44" t="s">
        <v>3047</v>
      </c>
      <c r="C66" s="45" t="s">
        <v>16</v>
      </c>
      <c r="D66" s="45" t="s">
        <v>17</v>
      </c>
      <c r="E66" s="45">
        <v>30522428163</v>
      </c>
      <c r="F66" s="118">
        <v>56022</v>
      </c>
      <c r="G66" s="119">
        <v>11764.62</v>
      </c>
      <c r="H66" s="118">
        <v>67786.62</v>
      </c>
    </row>
    <row r="67" spans="1:8">
      <c r="A67" s="43" t="s">
        <v>3019</v>
      </c>
      <c r="B67" s="44" t="s">
        <v>3048</v>
      </c>
      <c r="C67" s="45" t="s">
        <v>80</v>
      </c>
      <c r="D67" s="45" t="s">
        <v>17</v>
      </c>
      <c r="E67" s="45">
        <v>30608716390</v>
      </c>
      <c r="F67" s="118">
        <v>942.15</v>
      </c>
      <c r="G67" s="119">
        <v>197.85</v>
      </c>
      <c r="H67" s="118">
        <v>1140</v>
      </c>
    </row>
    <row r="68" spans="1:8">
      <c r="A68" s="43" t="s">
        <v>3060</v>
      </c>
      <c r="B68" s="44" t="s">
        <v>3073</v>
      </c>
      <c r="C68" s="45" t="s">
        <v>80</v>
      </c>
      <c r="D68" s="45" t="s">
        <v>17</v>
      </c>
      <c r="E68" s="45">
        <v>30608716390</v>
      </c>
      <c r="F68" s="118">
        <v>3164.47</v>
      </c>
      <c r="G68" s="119">
        <v>664.54</v>
      </c>
      <c r="H68" s="118">
        <v>3829.01</v>
      </c>
    </row>
    <row r="69" spans="1:8">
      <c r="A69" s="43" t="s">
        <v>2859</v>
      </c>
      <c r="B69" s="44" t="s">
        <v>2881</v>
      </c>
      <c r="C69" s="45" t="s">
        <v>16</v>
      </c>
      <c r="D69" s="45" t="s">
        <v>17</v>
      </c>
      <c r="E69" s="45">
        <v>30522428163</v>
      </c>
      <c r="F69" s="118">
        <v>-3460000</v>
      </c>
      <c r="G69" s="119">
        <v>-726600</v>
      </c>
      <c r="H69" s="118">
        <v>-4186600</v>
      </c>
    </row>
    <row r="70" spans="1:8">
      <c r="A70" s="43" t="s">
        <v>3000</v>
      </c>
      <c r="B70" s="44" t="s">
        <v>3013</v>
      </c>
      <c r="C70" s="45" t="s">
        <v>16</v>
      </c>
      <c r="D70" s="45" t="s">
        <v>17</v>
      </c>
      <c r="E70" s="45">
        <v>30522428163</v>
      </c>
      <c r="F70" s="118">
        <v>-85256.6</v>
      </c>
      <c r="G70" s="119">
        <v>-17903.89</v>
      </c>
      <c r="H70" s="118">
        <v>-103160.49</v>
      </c>
    </row>
    <row r="71" spans="1:8">
      <c r="A71" s="43" t="s">
        <v>2611</v>
      </c>
      <c r="B71" s="44" t="s">
        <v>2626</v>
      </c>
      <c r="C71" s="45" t="s">
        <v>16</v>
      </c>
      <c r="D71" s="45" t="s">
        <v>17</v>
      </c>
      <c r="E71" s="45">
        <v>30522428163</v>
      </c>
      <c r="F71" s="118">
        <v>-1509.6</v>
      </c>
      <c r="G71" s="119">
        <v>-317.02</v>
      </c>
      <c r="H71" s="118">
        <v>-1826.62</v>
      </c>
    </row>
    <row r="72" spans="1:8">
      <c r="A72" s="43" t="s">
        <v>2611</v>
      </c>
      <c r="B72" s="44" t="s">
        <v>2627</v>
      </c>
      <c r="C72" s="45" t="s">
        <v>16</v>
      </c>
      <c r="D72" s="45" t="s">
        <v>17</v>
      </c>
      <c r="E72" s="45">
        <v>30522428163</v>
      </c>
      <c r="F72" s="118">
        <v>-6624.6</v>
      </c>
      <c r="G72" s="119">
        <v>-1391.17</v>
      </c>
      <c r="H72" s="118">
        <v>-8015.77</v>
      </c>
    </row>
    <row r="73" spans="1:8">
      <c r="A73" s="43" t="s">
        <v>2611</v>
      </c>
      <c r="B73" s="44" t="s">
        <v>2628</v>
      </c>
      <c r="C73" s="45" t="s">
        <v>16</v>
      </c>
      <c r="D73" s="45" t="s">
        <v>17</v>
      </c>
      <c r="E73" s="45">
        <v>30522428163</v>
      </c>
      <c r="F73" s="118">
        <v>-6266.4</v>
      </c>
      <c r="G73" s="119">
        <v>-1315.94</v>
      </c>
      <c r="H73" s="118">
        <v>-7582.34</v>
      </c>
    </row>
    <row r="74" spans="1:8">
      <c r="A74" s="43" t="s">
        <v>2611</v>
      </c>
      <c r="B74" s="44" t="s">
        <v>2629</v>
      </c>
      <c r="C74" s="45" t="s">
        <v>16</v>
      </c>
      <c r="D74" s="45" t="s">
        <v>17</v>
      </c>
      <c r="E74" s="45">
        <v>30522428163</v>
      </c>
      <c r="F74" s="118">
        <v>-75213.69</v>
      </c>
      <c r="G74" s="119">
        <v>-15794.87</v>
      </c>
      <c r="H74" s="118">
        <v>-91008.56</v>
      </c>
    </row>
    <row r="75" spans="1:8">
      <c r="A75" s="43" t="s">
        <v>2656</v>
      </c>
      <c r="B75" s="44" t="s">
        <v>2676</v>
      </c>
      <c r="C75" s="45" t="s">
        <v>80</v>
      </c>
      <c r="D75" s="45" t="s">
        <v>17</v>
      </c>
      <c r="E75" s="45">
        <v>30608716390</v>
      </c>
      <c r="F75" s="118">
        <v>-7672.72</v>
      </c>
      <c r="G75" s="119">
        <v>-1611.27</v>
      </c>
      <c r="H75" s="118">
        <v>-9283.99</v>
      </c>
    </row>
    <row r="76" spans="1:8">
      <c r="A76" s="43" t="s">
        <v>2750</v>
      </c>
      <c r="B76" s="44" t="s">
        <v>2766</v>
      </c>
      <c r="C76" s="45" t="s">
        <v>1872</v>
      </c>
      <c r="D76" s="45" t="s">
        <v>17</v>
      </c>
      <c r="E76" s="45">
        <v>30606274161</v>
      </c>
      <c r="F76" s="118">
        <v>-6249.7</v>
      </c>
      <c r="G76" s="119">
        <v>-1312.44</v>
      </c>
      <c r="H76" s="118">
        <v>-7562.14</v>
      </c>
    </row>
    <row r="77" spans="1:8">
      <c r="A77" s="43" t="s">
        <v>2946</v>
      </c>
      <c r="B77" s="44" t="s">
        <v>2960</v>
      </c>
      <c r="C77" s="45" t="s">
        <v>80</v>
      </c>
      <c r="D77" s="45" t="s">
        <v>17</v>
      </c>
      <c r="E77" s="45">
        <v>30608716390</v>
      </c>
      <c r="F77" s="118">
        <v>-2238.85</v>
      </c>
      <c r="G77" s="119">
        <v>-470.16</v>
      </c>
      <c r="H77" s="118">
        <v>-2709.01</v>
      </c>
    </row>
    <row r="78" spans="1:8">
      <c r="A78" s="43" t="s">
        <v>3000</v>
      </c>
      <c r="B78" s="44" t="s">
        <v>3015</v>
      </c>
      <c r="C78" s="45" t="s">
        <v>16</v>
      </c>
      <c r="D78" s="45" t="s">
        <v>17</v>
      </c>
      <c r="E78" s="45">
        <v>30522428163</v>
      </c>
      <c r="F78" s="118">
        <v>-5695.2</v>
      </c>
      <c r="G78" s="119">
        <v>-1195.99</v>
      </c>
      <c r="H78" s="118">
        <v>-6891.19</v>
      </c>
    </row>
    <row r="79" spans="1:8">
      <c r="A79" s="43" t="s">
        <v>3000</v>
      </c>
      <c r="B79" s="44" t="s">
        <v>3016</v>
      </c>
      <c r="C79" s="45" t="s">
        <v>16</v>
      </c>
      <c r="D79" s="45" t="s">
        <v>17</v>
      </c>
      <c r="E79" s="45">
        <v>30522428163</v>
      </c>
      <c r="F79" s="118">
        <v>-7037.31</v>
      </c>
      <c r="G79" s="119">
        <v>-1477.84</v>
      </c>
      <c r="H79" s="118">
        <v>-8515.15</v>
      </c>
    </row>
    <row r="80" spans="1:8">
      <c r="A80" s="43" t="s">
        <v>3000</v>
      </c>
      <c r="B80" s="44" t="s">
        <v>3017</v>
      </c>
      <c r="C80" s="45" t="s">
        <v>16</v>
      </c>
      <c r="D80" s="45" t="s">
        <v>17</v>
      </c>
      <c r="E80" s="45">
        <v>30522428163</v>
      </c>
      <c r="F80" s="118">
        <v>-18861</v>
      </c>
      <c r="G80" s="119">
        <v>-3960.81</v>
      </c>
      <c r="H80" s="118">
        <v>-22821.81</v>
      </c>
    </row>
    <row r="81" spans="1:8">
      <c r="A81" s="43" t="s">
        <v>3000</v>
      </c>
      <c r="B81" s="44" t="s">
        <v>3018</v>
      </c>
      <c r="C81" s="45" t="s">
        <v>16</v>
      </c>
      <c r="D81" s="45" t="s">
        <v>17</v>
      </c>
      <c r="E81" s="45">
        <v>30522428163</v>
      </c>
      <c r="F81" s="118">
        <v>-9889.5300000000007</v>
      </c>
      <c r="G81" s="119">
        <v>-2076.8000000000002</v>
      </c>
      <c r="H81" s="118">
        <v>-11966.33</v>
      </c>
    </row>
    <row r="82" spans="1:8">
      <c r="A82" s="43"/>
      <c r="B82" s="44"/>
      <c r="C82" s="45"/>
      <c r="D82" s="45"/>
      <c r="E82" s="45"/>
      <c r="F82" s="121">
        <f>SUM(F7:F81)</f>
        <v>49208561.249999978</v>
      </c>
      <c r="G82" s="121">
        <f t="shared" ref="G82:H82" si="0">SUM(G7:G81)</f>
        <v>10333797.770000001</v>
      </c>
      <c r="H82" s="121">
        <f t="shared" si="0"/>
        <v>59542359.019999973</v>
      </c>
    </row>
    <row r="83" spans="1:8">
      <c r="A83" s="40"/>
      <c r="B83" s="51"/>
      <c r="C83" s="41"/>
      <c r="D83" s="41"/>
      <c r="E83" s="41"/>
      <c r="F83" s="120"/>
      <c r="G83" s="120"/>
      <c r="H83" s="120"/>
    </row>
    <row r="84" spans="1:8">
      <c r="A84" s="167" t="s">
        <v>2022</v>
      </c>
      <c r="B84" s="167"/>
    </row>
    <row r="85" spans="1:8">
      <c r="A85" s="115" t="s">
        <v>0</v>
      </c>
      <c r="B85" s="115" t="s">
        <v>1</v>
      </c>
      <c r="C85" s="115" t="s">
        <v>2</v>
      </c>
      <c r="D85" s="115" t="s">
        <v>3</v>
      </c>
      <c r="E85" s="115" t="s">
        <v>4</v>
      </c>
      <c r="F85" s="117" t="s">
        <v>5</v>
      </c>
      <c r="G85" s="117" t="s">
        <v>10</v>
      </c>
      <c r="H85" s="117" t="s">
        <v>13</v>
      </c>
    </row>
    <row r="86" spans="1:8">
      <c r="A86" s="43" t="s">
        <v>2588</v>
      </c>
      <c r="B86" s="44" t="s">
        <v>2589</v>
      </c>
      <c r="C86" s="45" t="s">
        <v>122</v>
      </c>
      <c r="D86" s="45" t="s">
        <v>123</v>
      </c>
      <c r="E86" s="45" t="s">
        <v>124</v>
      </c>
      <c r="F86" s="118">
        <v>3925.62</v>
      </c>
      <c r="G86" s="119">
        <v>824.38</v>
      </c>
      <c r="H86" s="118">
        <v>4750</v>
      </c>
    </row>
    <row r="87" spans="1:8">
      <c r="A87" s="43" t="s">
        <v>2588</v>
      </c>
      <c r="B87" s="44" t="s">
        <v>2590</v>
      </c>
      <c r="C87" s="45" t="s">
        <v>122</v>
      </c>
      <c r="D87" s="45" t="s">
        <v>123</v>
      </c>
      <c r="E87" s="45" t="s">
        <v>124</v>
      </c>
      <c r="F87" s="118">
        <v>12975.21</v>
      </c>
      <c r="G87" s="119">
        <v>2724.79</v>
      </c>
      <c r="H87" s="118">
        <v>15700</v>
      </c>
    </row>
    <row r="88" spans="1:8">
      <c r="A88" s="43" t="s">
        <v>2588</v>
      </c>
      <c r="B88" s="44" t="s">
        <v>2591</v>
      </c>
      <c r="C88" s="45" t="s">
        <v>122</v>
      </c>
      <c r="D88" s="45" t="s">
        <v>123</v>
      </c>
      <c r="E88" s="45" t="s">
        <v>124</v>
      </c>
      <c r="F88" s="118">
        <v>17272.73</v>
      </c>
      <c r="G88" s="119">
        <v>3627.27</v>
      </c>
      <c r="H88" s="118">
        <v>20900</v>
      </c>
    </row>
    <row r="89" spans="1:8">
      <c r="A89" s="43" t="s">
        <v>2588</v>
      </c>
      <c r="B89" s="44" t="s">
        <v>2592</v>
      </c>
      <c r="C89" s="45" t="s">
        <v>122</v>
      </c>
      <c r="D89" s="45" t="s">
        <v>123</v>
      </c>
      <c r="E89" s="45" t="s">
        <v>124</v>
      </c>
      <c r="F89" s="118">
        <v>7851.24</v>
      </c>
      <c r="G89" s="119">
        <v>1648.76</v>
      </c>
      <c r="H89" s="118">
        <v>9500</v>
      </c>
    </row>
    <row r="90" spans="1:8">
      <c r="A90" s="43" t="s">
        <v>2588</v>
      </c>
      <c r="B90" s="44" t="s">
        <v>2593</v>
      </c>
      <c r="C90" s="45" t="s">
        <v>122</v>
      </c>
      <c r="D90" s="45" t="s">
        <v>123</v>
      </c>
      <c r="E90" s="45" t="s">
        <v>124</v>
      </c>
      <c r="F90" s="118">
        <v>6611.57</v>
      </c>
      <c r="G90" s="119">
        <v>1388.43</v>
      </c>
      <c r="H90" s="118">
        <v>8000</v>
      </c>
    </row>
    <row r="91" spans="1:8">
      <c r="A91" s="43" t="s">
        <v>2588</v>
      </c>
      <c r="B91" s="44" t="s">
        <v>2594</v>
      </c>
      <c r="C91" s="45" t="s">
        <v>122</v>
      </c>
      <c r="D91" s="45" t="s">
        <v>123</v>
      </c>
      <c r="E91" s="45" t="s">
        <v>124</v>
      </c>
      <c r="F91" s="118">
        <v>7851.24</v>
      </c>
      <c r="G91" s="119">
        <v>1648.76</v>
      </c>
      <c r="H91" s="118">
        <v>9500</v>
      </c>
    </row>
    <row r="92" spans="1:8">
      <c r="A92" s="43" t="s">
        <v>2588</v>
      </c>
      <c r="B92" s="44" t="s">
        <v>2595</v>
      </c>
      <c r="C92" s="45" t="s">
        <v>122</v>
      </c>
      <c r="D92" s="45" t="s">
        <v>123</v>
      </c>
      <c r="E92" s="45" t="s">
        <v>124</v>
      </c>
      <c r="F92" s="118">
        <v>1322.31</v>
      </c>
      <c r="G92" s="119">
        <v>277.69</v>
      </c>
      <c r="H92" s="118">
        <v>1600</v>
      </c>
    </row>
    <row r="93" spans="1:8">
      <c r="A93" s="43" t="s">
        <v>2588</v>
      </c>
      <c r="B93" s="44" t="s">
        <v>2596</v>
      </c>
      <c r="C93" s="45" t="s">
        <v>122</v>
      </c>
      <c r="D93" s="45" t="s">
        <v>123</v>
      </c>
      <c r="E93" s="45" t="s">
        <v>124</v>
      </c>
      <c r="F93" s="118">
        <v>4132.2300000000005</v>
      </c>
      <c r="G93" s="119">
        <v>867.77</v>
      </c>
      <c r="H93" s="118">
        <v>5000</v>
      </c>
    </row>
    <row r="94" spans="1:8">
      <c r="A94" s="43" t="s">
        <v>2588</v>
      </c>
      <c r="B94" s="44" t="s">
        <v>2597</v>
      </c>
      <c r="C94" s="45" t="s">
        <v>122</v>
      </c>
      <c r="D94" s="45" t="s">
        <v>123</v>
      </c>
      <c r="E94" s="45" t="s">
        <v>124</v>
      </c>
      <c r="F94" s="118">
        <v>15289.26</v>
      </c>
      <c r="G94" s="119">
        <v>3210.74</v>
      </c>
      <c r="H94" s="118">
        <v>18500</v>
      </c>
    </row>
    <row r="95" spans="1:8">
      <c r="A95" s="43" t="s">
        <v>2588</v>
      </c>
      <c r="B95" s="44" t="s">
        <v>2598</v>
      </c>
      <c r="C95" s="45" t="s">
        <v>122</v>
      </c>
      <c r="D95" s="45" t="s">
        <v>123</v>
      </c>
      <c r="E95" s="45" t="s">
        <v>124</v>
      </c>
      <c r="F95" s="118">
        <v>4545.45</v>
      </c>
      <c r="G95" s="119">
        <v>954.55</v>
      </c>
      <c r="H95" s="118">
        <v>5500</v>
      </c>
    </row>
    <row r="96" spans="1:8">
      <c r="A96" s="43" t="s">
        <v>2588</v>
      </c>
      <c r="B96" s="44" t="s">
        <v>2599</v>
      </c>
      <c r="C96" s="45" t="s">
        <v>122</v>
      </c>
      <c r="D96" s="45" t="s">
        <v>123</v>
      </c>
      <c r="E96" s="45" t="s">
        <v>124</v>
      </c>
      <c r="F96" s="118">
        <v>6033.06</v>
      </c>
      <c r="G96" s="119">
        <v>1266.94</v>
      </c>
      <c r="H96" s="118">
        <v>7300</v>
      </c>
    </row>
    <row r="97" spans="1:8">
      <c r="A97" s="43" t="s">
        <v>2588</v>
      </c>
      <c r="B97" s="44" t="s">
        <v>2600</v>
      </c>
      <c r="C97" s="45" t="s">
        <v>122</v>
      </c>
      <c r="D97" s="45" t="s">
        <v>123</v>
      </c>
      <c r="E97" s="45" t="s">
        <v>124</v>
      </c>
      <c r="F97" s="118">
        <v>18033.060000000001</v>
      </c>
      <c r="G97" s="119">
        <v>3786.94</v>
      </c>
      <c r="H97" s="118">
        <v>21820</v>
      </c>
    </row>
    <row r="98" spans="1:8">
      <c r="A98" s="43" t="s">
        <v>2588</v>
      </c>
      <c r="B98" s="44" t="s">
        <v>2601</v>
      </c>
      <c r="C98" s="45" t="s">
        <v>122</v>
      </c>
      <c r="D98" s="45" t="s">
        <v>123</v>
      </c>
      <c r="E98" s="45" t="s">
        <v>124</v>
      </c>
      <c r="F98" s="118">
        <v>7024.8</v>
      </c>
      <c r="G98" s="119">
        <v>1475.2</v>
      </c>
      <c r="H98" s="118">
        <v>8500</v>
      </c>
    </row>
    <row r="99" spans="1:8">
      <c r="A99" s="43" t="s">
        <v>2588</v>
      </c>
      <c r="B99" s="44" t="s">
        <v>2602</v>
      </c>
      <c r="C99" s="45" t="s">
        <v>122</v>
      </c>
      <c r="D99" s="45" t="s">
        <v>123</v>
      </c>
      <c r="E99" s="45" t="s">
        <v>124</v>
      </c>
      <c r="F99" s="118">
        <v>7024.79</v>
      </c>
      <c r="G99" s="119">
        <v>1475.21</v>
      </c>
      <c r="H99" s="118">
        <v>8500</v>
      </c>
    </row>
    <row r="100" spans="1:8">
      <c r="A100" s="43" t="s">
        <v>2588</v>
      </c>
      <c r="B100" s="44" t="s">
        <v>2603</v>
      </c>
      <c r="C100" s="45" t="s">
        <v>122</v>
      </c>
      <c r="D100" s="45" t="s">
        <v>123</v>
      </c>
      <c r="E100" s="45" t="s">
        <v>124</v>
      </c>
      <c r="F100" s="118">
        <v>1983.47</v>
      </c>
      <c r="G100" s="119">
        <v>416.53</v>
      </c>
      <c r="H100" s="118">
        <v>2400</v>
      </c>
    </row>
    <row r="101" spans="1:8">
      <c r="A101" s="43" t="s">
        <v>2588</v>
      </c>
      <c r="B101" s="44" t="s">
        <v>2604</v>
      </c>
      <c r="C101" s="45" t="s">
        <v>122</v>
      </c>
      <c r="D101" s="45" t="s">
        <v>123</v>
      </c>
      <c r="E101" s="45" t="s">
        <v>124</v>
      </c>
      <c r="F101" s="118">
        <v>14297.52</v>
      </c>
      <c r="G101" s="119">
        <v>3002.48</v>
      </c>
      <c r="H101" s="118">
        <v>17300</v>
      </c>
    </row>
    <row r="102" spans="1:8">
      <c r="A102" s="43" t="s">
        <v>2611</v>
      </c>
      <c r="B102" s="44" t="s">
        <v>2613</v>
      </c>
      <c r="C102" s="45" t="s">
        <v>122</v>
      </c>
      <c r="D102" s="45" t="s">
        <v>123</v>
      </c>
      <c r="E102" s="45" t="s">
        <v>124</v>
      </c>
      <c r="F102" s="118">
        <v>1900.83</v>
      </c>
      <c r="G102" s="119">
        <v>399.17</v>
      </c>
      <c r="H102" s="118">
        <v>2300</v>
      </c>
    </row>
    <row r="103" spans="1:8">
      <c r="A103" s="43" t="s">
        <v>2611</v>
      </c>
      <c r="B103" s="44" t="s">
        <v>2614</v>
      </c>
      <c r="C103" s="45" t="s">
        <v>122</v>
      </c>
      <c r="D103" s="45" t="s">
        <v>123</v>
      </c>
      <c r="E103" s="45" t="s">
        <v>124</v>
      </c>
      <c r="F103" s="118">
        <v>3099.17</v>
      </c>
      <c r="G103" s="119">
        <v>650.83000000000004</v>
      </c>
      <c r="H103" s="118">
        <v>3750</v>
      </c>
    </row>
    <row r="104" spans="1:8">
      <c r="A104" s="43" t="s">
        <v>2611</v>
      </c>
      <c r="B104" s="44" t="s">
        <v>2615</v>
      </c>
      <c r="C104" s="45" t="s">
        <v>122</v>
      </c>
      <c r="D104" s="45" t="s">
        <v>123</v>
      </c>
      <c r="E104" s="45" t="s">
        <v>124</v>
      </c>
      <c r="F104" s="118">
        <v>13497.52</v>
      </c>
      <c r="G104" s="119">
        <v>2834.48</v>
      </c>
      <c r="H104" s="118">
        <v>16332</v>
      </c>
    </row>
    <row r="105" spans="1:8">
      <c r="A105" s="43" t="s">
        <v>2611</v>
      </c>
      <c r="B105" s="44" t="s">
        <v>2616</v>
      </c>
      <c r="C105" s="45" t="s">
        <v>122</v>
      </c>
      <c r="D105" s="45" t="s">
        <v>123</v>
      </c>
      <c r="E105" s="45" t="s">
        <v>124</v>
      </c>
      <c r="F105" s="118">
        <v>7851.24</v>
      </c>
      <c r="G105" s="119">
        <v>1648.76</v>
      </c>
      <c r="H105" s="118">
        <v>9500</v>
      </c>
    </row>
    <row r="106" spans="1:8">
      <c r="A106" s="43" t="s">
        <v>2611</v>
      </c>
      <c r="B106" s="44" t="s">
        <v>2617</v>
      </c>
      <c r="C106" s="45" t="s">
        <v>122</v>
      </c>
      <c r="D106" s="45" t="s">
        <v>123</v>
      </c>
      <c r="E106" s="45" t="s">
        <v>124</v>
      </c>
      <c r="F106" s="118">
        <v>8264.4600000000009</v>
      </c>
      <c r="G106" s="119">
        <v>1735.54</v>
      </c>
      <c r="H106" s="118">
        <v>10000</v>
      </c>
    </row>
    <row r="107" spans="1:8">
      <c r="A107" s="43" t="s">
        <v>2611</v>
      </c>
      <c r="B107" s="44" t="s">
        <v>2618</v>
      </c>
      <c r="C107" s="45" t="s">
        <v>122</v>
      </c>
      <c r="D107" s="45" t="s">
        <v>123</v>
      </c>
      <c r="E107" s="45" t="s">
        <v>124</v>
      </c>
      <c r="F107" s="118">
        <v>5454.55</v>
      </c>
      <c r="G107" s="119">
        <v>1145.45</v>
      </c>
      <c r="H107" s="118">
        <v>6600</v>
      </c>
    </row>
    <row r="108" spans="1:8">
      <c r="A108" s="43" t="s">
        <v>2611</v>
      </c>
      <c r="B108" s="44" t="s">
        <v>2619</v>
      </c>
      <c r="C108" s="45" t="s">
        <v>122</v>
      </c>
      <c r="D108" s="45" t="s">
        <v>123</v>
      </c>
      <c r="E108" s="45" t="s">
        <v>124</v>
      </c>
      <c r="F108" s="118">
        <v>3049.59</v>
      </c>
      <c r="G108" s="119">
        <v>640.41</v>
      </c>
      <c r="H108" s="118">
        <v>3690</v>
      </c>
    </row>
    <row r="109" spans="1:8">
      <c r="A109" s="43" t="s">
        <v>2611</v>
      </c>
      <c r="B109" s="44" t="s">
        <v>2620</v>
      </c>
      <c r="C109" s="45" t="s">
        <v>122</v>
      </c>
      <c r="D109" s="45" t="s">
        <v>123</v>
      </c>
      <c r="E109" s="45" t="s">
        <v>124</v>
      </c>
      <c r="F109" s="118">
        <v>3388.43</v>
      </c>
      <c r="G109" s="119">
        <v>711.57</v>
      </c>
      <c r="H109" s="118">
        <v>4100</v>
      </c>
    </row>
    <row r="110" spans="1:8">
      <c r="A110" s="43" t="s">
        <v>2611</v>
      </c>
      <c r="B110" s="44" t="s">
        <v>2621</v>
      </c>
      <c r="C110" s="45" t="s">
        <v>122</v>
      </c>
      <c r="D110" s="45" t="s">
        <v>123</v>
      </c>
      <c r="E110" s="45" t="s">
        <v>124</v>
      </c>
      <c r="F110" s="118">
        <v>27966.94</v>
      </c>
      <c r="G110" s="119">
        <v>5873.06</v>
      </c>
      <c r="H110" s="118">
        <v>33840</v>
      </c>
    </row>
    <row r="111" spans="1:8">
      <c r="A111" s="43" t="s">
        <v>2611</v>
      </c>
      <c r="B111" s="44" t="s">
        <v>2622</v>
      </c>
      <c r="C111" s="45" t="s">
        <v>122</v>
      </c>
      <c r="D111" s="45" t="s">
        <v>123</v>
      </c>
      <c r="E111" s="45" t="s">
        <v>124</v>
      </c>
      <c r="F111" s="118">
        <v>6942.15</v>
      </c>
      <c r="G111" s="119">
        <v>1457.85</v>
      </c>
      <c r="H111" s="118">
        <v>8400</v>
      </c>
    </row>
    <row r="112" spans="1:8">
      <c r="A112" s="43" t="s">
        <v>2611</v>
      </c>
      <c r="B112" s="44" t="s">
        <v>2623</v>
      </c>
      <c r="C112" s="45" t="s">
        <v>122</v>
      </c>
      <c r="D112" s="45" t="s">
        <v>123</v>
      </c>
      <c r="E112" s="45" t="s">
        <v>124</v>
      </c>
      <c r="F112" s="118">
        <v>13884.3</v>
      </c>
      <c r="G112" s="119">
        <v>2915.7</v>
      </c>
      <c r="H112" s="118">
        <v>16800</v>
      </c>
    </row>
    <row r="113" spans="1:8">
      <c r="A113" s="43" t="s">
        <v>2611</v>
      </c>
      <c r="B113" s="44" t="s">
        <v>2624</v>
      </c>
      <c r="C113" s="45" t="s">
        <v>122</v>
      </c>
      <c r="D113" s="45" t="s">
        <v>123</v>
      </c>
      <c r="E113" s="45" t="s">
        <v>124</v>
      </c>
      <c r="F113" s="118">
        <v>34033.06</v>
      </c>
      <c r="G113" s="119">
        <v>7146.94</v>
      </c>
      <c r="H113" s="118">
        <v>41180</v>
      </c>
    </row>
    <row r="114" spans="1:8">
      <c r="A114" s="43" t="s">
        <v>2611</v>
      </c>
      <c r="B114" s="44" t="s">
        <v>2625</v>
      </c>
      <c r="C114" s="45" t="s">
        <v>122</v>
      </c>
      <c r="D114" s="45" t="s">
        <v>123</v>
      </c>
      <c r="E114" s="45" t="s">
        <v>124</v>
      </c>
      <c r="F114" s="118">
        <v>1239.67</v>
      </c>
      <c r="G114" s="119">
        <v>260.33</v>
      </c>
      <c r="H114" s="118">
        <v>1500</v>
      </c>
    </row>
    <row r="115" spans="1:8">
      <c r="A115" s="43" t="s">
        <v>2642</v>
      </c>
      <c r="B115" s="44" t="s">
        <v>2643</v>
      </c>
      <c r="C115" s="45" t="s">
        <v>122</v>
      </c>
      <c r="D115" s="45" t="s">
        <v>123</v>
      </c>
      <c r="E115" s="45" t="s">
        <v>124</v>
      </c>
      <c r="F115" s="118">
        <v>27768.6</v>
      </c>
      <c r="G115" s="119">
        <v>5831.4</v>
      </c>
      <c r="H115" s="118">
        <v>33600</v>
      </c>
    </row>
    <row r="116" spans="1:8">
      <c r="A116" s="43" t="s">
        <v>2642</v>
      </c>
      <c r="B116" s="44" t="s">
        <v>2644</v>
      </c>
      <c r="C116" s="45" t="s">
        <v>122</v>
      </c>
      <c r="D116" s="45" t="s">
        <v>123</v>
      </c>
      <c r="E116" s="45" t="s">
        <v>124</v>
      </c>
      <c r="F116" s="118">
        <v>13884.3</v>
      </c>
      <c r="G116" s="119">
        <v>2915.7</v>
      </c>
      <c r="H116" s="118">
        <v>16800</v>
      </c>
    </row>
    <row r="117" spans="1:8">
      <c r="A117" s="43" t="s">
        <v>2642</v>
      </c>
      <c r="B117" s="44" t="s">
        <v>2645</v>
      </c>
      <c r="C117" s="45" t="s">
        <v>122</v>
      </c>
      <c r="D117" s="45" t="s">
        <v>123</v>
      </c>
      <c r="E117" s="45" t="s">
        <v>124</v>
      </c>
      <c r="F117" s="118">
        <v>17314.05</v>
      </c>
      <c r="G117" s="119">
        <v>3635.95</v>
      </c>
      <c r="H117" s="118">
        <v>20950</v>
      </c>
    </row>
    <row r="118" spans="1:8">
      <c r="A118" s="43" t="s">
        <v>2642</v>
      </c>
      <c r="B118" s="44" t="s">
        <v>2646</v>
      </c>
      <c r="C118" s="45" t="s">
        <v>122</v>
      </c>
      <c r="D118" s="45" t="s">
        <v>123</v>
      </c>
      <c r="E118" s="45" t="s">
        <v>124</v>
      </c>
      <c r="F118" s="118">
        <v>4876.03</v>
      </c>
      <c r="G118" s="119">
        <v>1023.97</v>
      </c>
      <c r="H118" s="118">
        <v>5900</v>
      </c>
    </row>
    <row r="119" spans="1:8">
      <c r="A119" s="43" t="s">
        <v>2642</v>
      </c>
      <c r="B119" s="44" t="s">
        <v>2647</v>
      </c>
      <c r="C119" s="45" t="s">
        <v>122</v>
      </c>
      <c r="D119" s="45" t="s">
        <v>123</v>
      </c>
      <c r="E119" s="45" t="s">
        <v>124</v>
      </c>
      <c r="F119" s="118">
        <v>10826.45</v>
      </c>
      <c r="G119" s="119">
        <v>2273.5500000000002</v>
      </c>
      <c r="H119" s="118">
        <v>13100</v>
      </c>
    </row>
    <row r="120" spans="1:8">
      <c r="A120" s="43" t="s">
        <v>2642</v>
      </c>
      <c r="B120" s="44" t="s">
        <v>2648</v>
      </c>
      <c r="C120" s="45" t="s">
        <v>122</v>
      </c>
      <c r="D120" s="45" t="s">
        <v>123</v>
      </c>
      <c r="E120" s="45" t="s">
        <v>124</v>
      </c>
      <c r="F120" s="118">
        <v>3305.79</v>
      </c>
      <c r="G120" s="119">
        <v>694.21</v>
      </c>
      <c r="H120" s="118">
        <v>4000</v>
      </c>
    </row>
    <row r="121" spans="1:8">
      <c r="A121" s="43" t="s">
        <v>2642</v>
      </c>
      <c r="B121" s="44" t="s">
        <v>2649</v>
      </c>
      <c r="C121" s="45" t="s">
        <v>122</v>
      </c>
      <c r="D121" s="45" t="s">
        <v>123</v>
      </c>
      <c r="E121" s="45" t="s">
        <v>124</v>
      </c>
      <c r="F121" s="118">
        <v>34628.1</v>
      </c>
      <c r="G121" s="119">
        <v>7271.9</v>
      </c>
      <c r="H121" s="118">
        <v>41900</v>
      </c>
    </row>
    <row r="122" spans="1:8">
      <c r="A122" s="43" t="s">
        <v>2642</v>
      </c>
      <c r="B122" s="44" t="s">
        <v>2650</v>
      </c>
      <c r="C122" s="45" t="s">
        <v>122</v>
      </c>
      <c r="D122" s="45" t="s">
        <v>123</v>
      </c>
      <c r="E122" s="45" t="s">
        <v>124</v>
      </c>
      <c r="F122" s="118">
        <v>7851.24</v>
      </c>
      <c r="G122" s="119">
        <v>1648.76</v>
      </c>
      <c r="H122" s="118">
        <v>9500</v>
      </c>
    </row>
    <row r="123" spans="1:8">
      <c r="A123" s="43" t="s">
        <v>2642</v>
      </c>
      <c r="B123" s="44" t="s">
        <v>2651</v>
      </c>
      <c r="C123" s="45" t="s">
        <v>122</v>
      </c>
      <c r="D123" s="45" t="s">
        <v>123</v>
      </c>
      <c r="E123" s="45" t="s">
        <v>124</v>
      </c>
      <c r="F123" s="118">
        <v>6942.15</v>
      </c>
      <c r="G123" s="119">
        <v>1457.85</v>
      </c>
      <c r="H123" s="118">
        <v>8400</v>
      </c>
    </row>
    <row r="124" spans="1:8">
      <c r="A124" s="43" t="s">
        <v>2642</v>
      </c>
      <c r="B124" s="44" t="s">
        <v>2652</v>
      </c>
      <c r="C124" s="45" t="s">
        <v>122</v>
      </c>
      <c r="D124" s="45" t="s">
        <v>123</v>
      </c>
      <c r="E124" s="45" t="s">
        <v>124</v>
      </c>
      <c r="F124" s="118">
        <v>3305.79</v>
      </c>
      <c r="G124" s="119">
        <v>694.21</v>
      </c>
      <c r="H124" s="118">
        <v>4000</v>
      </c>
    </row>
    <row r="125" spans="1:8">
      <c r="A125" s="43" t="s">
        <v>2642</v>
      </c>
      <c r="B125" s="44" t="s">
        <v>2653</v>
      </c>
      <c r="C125" s="45" t="s">
        <v>122</v>
      </c>
      <c r="D125" s="45" t="s">
        <v>123</v>
      </c>
      <c r="E125" s="45" t="s">
        <v>124</v>
      </c>
      <c r="F125" s="118">
        <v>6942.15</v>
      </c>
      <c r="G125" s="119">
        <v>1457.85</v>
      </c>
      <c r="H125" s="118">
        <v>8400</v>
      </c>
    </row>
    <row r="126" spans="1:8">
      <c r="A126" s="43" t="s">
        <v>2642</v>
      </c>
      <c r="B126" s="44" t="s">
        <v>2654</v>
      </c>
      <c r="C126" s="45" t="s">
        <v>122</v>
      </c>
      <c r="D126" s="45" t="s">
        <v>123</v>
      </c>
      <c r="E126" s="45" t="s">
        <v>124</v>
      </c>
      <c r="F126" s="118">
        <v>13884.3</v>
      </c>
      <c r="G126" s="119">
        <v>2915.7</v>
      </c>
      <c r="H126" s="118">
        <v>16800</v>
      </c>
    </row>
    <row r="127" spans="1:8">
      <c r="A127" s="43" t="s">
        <v>2656</v>
      </c>
      <c r="B127" s="44" t="s">
        <v>2659</v>
      </c>
      <c r="C127" s="45" t="s">
        <v>122</v>
      </c>
      <c r="D127" s="45" t="s">
        <v>123</v>
      </c>
      <c r="E127" s="45" t="s">
        <v>124</v>
      </c>
      <c r="F127" s="118">
        <v>3719.01</v>
      </c>
      <c r="G127" s="119">
        <v>780.99</v>
      </c>
      <c r="H127" s="118">
        <v>4500</v>
      </c>
    </row>
    <row r="128" spans="1:8">
      <c r="A128" s="43" t="s">
        <v>2656</v>
      </c>
      <c r="B128" s="44" t="s">
        <v>2660</v>
      </c>
      <c r="C128" s="45" t="s">
        <v>122</v>
      </c>
      <c r="D128" s="45" t="s">
        <v>123</v>
      </c>
      <c r="E128" s="45" t="s">
        <v>124</v>
      </c>
      <c r="F128" s="118">
        <v>710.74</v>
      </c>
      <c r="G128" s="119">
        <v>149.26</v>
      </c>
      <c r="H128" s="118">
        <v>860</v>
      </c>
    </row>
    <row r="129" spans="1:8">
      <c r="A129" s="43" t="s">
        <v>2656</v>
      </c>
      <c r="B129" s="44" t="s">
        <v>2661</v>
      </c>
      <c r="C129" s="45" t="s">
        <v>122</v>
      </c>
      <c r="D129" s="45" t="s">
        <v>123</v>
      </c>
      <c r="E129" s="45" t="s">
        <v>124</v>
      </c>
      <c r="F129" s="118">
        <v>3719.01</v>
      </c>
      <c r="G129" s="119">
        <v>780.99</v>
      </c>
      <c r="H129" s="118">
        <v>4500</v>
      </c>
    </row>
    <row r="130" spans="1:8">
      <c r="A130" s="43" t="s">
        <v>2656</v>
      </c>
      <c r="B130" s="44" t="s">
        <v>2662</v>
      </c>
      <c r="C130" s="45" t="s">
        <v>122</v>
      </c>
      <c r="D130" s="45" t="s">
        <v>123</v>
      </c>
      <c r="E130" s="45" t="s">
        <v>124</v>
      </c>
      <c r="F130" s="118">
        <v>4793.3900000000003</v>
      </c>
      <c r="G130" s="119">
        <v>1006.61</v>
      </c>
      <c r="H130" s="118">
        <v>5800</v>
      </c>
    </row>
    <row r="131" spans="1:8">
      <c r="A131" s="43" t="s">
        <v>2656</v>
      </c>
      <c r="B131" s="44" t="s">
        <v>2663</v>
      </c>
      <c r="C131" s="45" t="s">
        <v>122</v>
      </c>
      <c r="D131" s="45" t="s">
        <v>123</v>
      </c>
      <c r="E131" s="45" t="s">
        <v>124</v>
      </c>
      <c r="F131" s="118">
        <v>10826.45</v>
      </c>
      <c r="G131" s="119">
        <v>2273.5500000000002</v>
      </c>
      <c r="H131" s="118">
        <v>13100</v>
      </c>
    </row>
    <row r="132" spans="1:8">
      <c r="A132" s="43" t="s">
        <v>2656</v>
      </c>
      <c r="B132" s="44" t="s">
        <v>2664</v>
      </c>
      <c r="C132" s="45" t="s">
        <v>122</v>
      </c>
      <c r="D132" s="45" t="s">
        <v>123</v>
      </c>
      <c r="E132" s="45" t="s">
        <v>124</v>
      </c>
      <c r="F132" s="118">
        <v>6033.06</v>
      </c>
      <c r="G132" s="119">
        <v>1266.94</v>
      </c>
      <c r="H132" s="118">
        <v>7300</v>
      </c>
    </row>
    <row r="133" spans="1:8">
      <c r="A133" s="43" t="s">
        <v>2656</v>
      </c>
      <c r="B133" s="44" t="s">
        <v>2665</v>
      </c>
      <c r="C133" s="45" t="s">
        <v>122</v>
      </c>
      <c r="D133" s="45" t="s">
        <v>123</v>
      </c>
      <c r="E133" s="45" t="s">
        <v>124</v>
      </c>
      <c r="F133" s="118">
        <v>2380.17</v>
      </c>
      <c r="G133" s="119">
        <v>499.83</v>
      </c>
      <c r="H133" s="118">
        <v>2880</v>
      </c>
    </row>
    <row r="134" spans="1:8">
      <c r="A134" s="43" t="s">
        <v>2656</v>
      </c>
      <c r="B134" s="44" t="s">
        <v>2666</v>
      </c>
      <c r="C134" s="45" t="s">
        <v>122</v>
      </c>
      <c r="D134" s="45" t="s">
        <v>123</v>
      </c>
      <c r="E134" s="45" t="s">
        <v>124</v>
      </c>
      <c r="F134" s="118">
        <v>2479.34</v>
      </c>
      <c r="G134" s="119">
        <v>520.66</v>
      </c>
      <c r="H134" s="118">
        <v>3000</v>
      </c>
    </row>
    <row r="135" spans="1:8">
      <c r="A135" s="43" t="s">
        <v>2656</v>
      </c>
      <c r="B135" s="44" t="s">
        <v>2667</v>
      </c>
      <c r="C135" s="45" t="s">
        <v>122</v>
      </c>
      <c r="D135" s="45" t="s">
        <v>123</v>
      </c>
      <c r="E135" s="45" t="s">
        <v>124</v>
      </c>
      <c r="F135" s="118">
        <v>4132.2300000000005</v>
      </c>
      <c r="G135" s="119">
        <v>867.77</v>
      </c>
      <c r="H135" s="118">
        <v>5000</v>
      </c>
    </row>
    <row r="136" spans="1:8">
      <c r="A136" s="43" t="s">
        <v>2656</v>
      </c>
      <c r="B136" s="44" t="s">
        <v>2668</v>
      </c>
      <c r="C136" s="45" t="s">
        <v>122</v>
      </c>
      <c r="D136" s="45" t="s">
        <v>123</v>
      </c>
      <c r="E136" s="45" t="s">
        <v>124</v>
      </c>
      <c r="F136" s="118">
        <v>5206.6099999999997</v>
      </c>
      <c r="G136" s="119">
        <v>1093.3900000000001</v>
      </c>
      <c r="H136" s="118">
        <v>6300</v>
      </c>
    </row>
    <row r="137" spans="1:8">
      <c r="A137" s="43" t="s">
        <v>2656</v>
      </c>
      <c r="B137" s="44" t="s">
        <v>2669</v>
      </c>
      <c r="C137" s="45" t="s">
        <v>122</v>
      </c>
      <c r="D137" s="45" t="s">
        <v>123</v>
      </c>
      <c r="E137" s="45" t="s">
        <v>124</v>
      </c>
      <c r="F137" s="118">
        <v>3925.62</v>
      </c>
      <c r="G137" s="119">
        <v>824.38</v>
      </c>
      <c r="H137" s="118">
        <v>4750</v>
      </c>
    </row>
    <row r="138" spans="1:8">
      <c r="A138" s="43" t="s">
        <v>2656</v>
      </c>
      <c r="B138" s="44" t="s">
        <v>2670</v>
      </c>
      <c r="C138" s="45" t="s">
        <v>122</v>
      </c>
      <c r="D138" s="45" t="s">
        <v>123</v>
      </c>
      <c r="E138" s="45" t="s">
        <v>124</v>
      </c>
      <c r="F138" s="118">
        <v>5785.12</v>
      </c>
      <c r="G138" s="119">
        <v>1214.8800000000001</v>
      </c>
      <c r="H138" s="118">
        <v>7000</v>
      </c>
    </row>
    <row r="139" spans="1:8">
      <c r="A139" s="43" t="s">
        <v>2656</v>
      </c>
      <c r="B139" s="44" t="s">
        <v>2671</v>
      </c>
      <c r="C139" s="45" t="s">
        <v>122</v>
      </c>
      <c r="D139" s="45" t="s">
        <v>123</v>
      </c>
      <c r="E139" s="45" t="s">
        <v>124</v>
      </c>
      <c r="F139" s="118">
        <v>3925.62</v>
      </c>
      <c r="G139" s="119">
        <v>824.38</v>
      </c>
      <c r="H139" s="118">
        <v>4750</v>
      </c>
    </row>
    <row r="140" spans="1:8">
      <c r="A140" s="43" t="s">
        <v>2656</v>
      </c>
      <c r="B140" s="44" t="s">
        <v>2672</v>
      </c>
      <c r="C140" s="45" t="s">
        <v>122</v>
      </c>
      <c r="D140" s="45" t="s">
        <v>123</v>
      </c>
      <c r="E140" s="45" t="s">
        <v>124</v>
      </c>
      <c r="F140" s="118">
        <v>8512.4</v>
      </c>
      <c r="G140" s="119">
        <v>1787.6</v>
      </c>
      <c r="H140" s="118">
        <v>10300</v>
      </c>
    </row>
    <row r="141" spans="1:8">
      <c r="A141" s="43" t="s">
        <v>2656</v>
      </c>
      <c r="B141" s="44" t="s">
        <v>2673</v>
      </c>
      <c r="C141" s="45" t="s">
        <v>122</v>
      </c>
      <c r="D141" s="45" t="s">
        <v>123</v>
      </c>
      <c r="E141" s="45" t="s">
        <v>124</v>
      </c>
      <c r="F141" s="118">
        <v>10743.8</v>
      </c>
      <c r="G141" s="119">
        <v>2256.2000000000003</v>
      </c>
      <c r="H141" s="118">
        <v>13000</v>
      </c>
    </row>
    <row r="142" spans="1:8">
      <c r="A142" s="43" t="s">
        <v>2656</v>
      </c>
      <c r="B142" s="44" t="s">
        <v>2674</v>
      </c>
      <c r="C142" s="45" t="s">
        <v>122</v>
      </c>
      <c r="D142" s="45" t="s">
        <v>123</v>
      </c>
      <c r="E142" s="45" t="s">
        <v>124</v>
      </c>
      <c r="F142" s="118">
        <v>4132.2300000000005</v>
      </c>
      <c r="G142" s="119">
        <v>867.77</v>
      </c>
      <c r="H142" s="118">
        <v>5000</v>
      </c>
    </row>
    <row r="143" spans="1:8">
      <c r="A143" s="43" t="s">
        <v>2656</v>
      </c>
      <c r="B143" s="44" t="s">
        <v>2675</v>
      </c>
      <c r="C143" s="45" t="s">
        <v>122</v>
      </c>
      <c r="D143" s="45" t="s">
        <v>123</v>
      </c>
      <c r="E143" s="45" t="s">
        <v>124</v>
      </c>
      <c r="F143" s="118">
        <v>2892.56</v>
      </c>
      <c r="G143" s="119">
        <v>607.44000000000005</v>
      </c>
      <c r="H143" s="118">
        <v>3500</v>
      </c>
    </row>
    <row r="144" spans="1:8">
      <c r="A144" s="43" t="s">
        <v>2686</v>
      </c>
      <c r="B144" s="44" t="s">
        <v>2687</v>
      </c>
      <c r="C144" s="45" t="s">
        <v>122</v>
      </c>
      <c r="D144" s="45" t="s">
        <v>123</v>
      </c>
      <c r="E144" s="45" t="s">
        <v>124</v>
      </c>
      <c r="F144" s="118">
        <v>3719.01</v>
      </c>
      <c r="G144" s="119">
        <v>780.99</v>
      </c>
      <c r="H144" s="118">
        <v>4500</v>
      </c>
    </row>
    <row r="145" spans="1:8">
      <c r="A145" s="43" t="s">
        <v>2686</v>
      </c>
      <c r="B145" s="44" t="s">
        <v>2688</v>
      </c>
      <c r="C145" s="45" t="s">
        <v>122</v>
      </c>
      <c r="D145" s="45" t="s">
        <v>123</v>
      </c>
      <c r="E145" s="45" t="s">
        <v>124</v>
      </c>
      <c r="F145" s="118">
        <v>7851.24</v>
      </c>
      <c r="G145" s="119">
        <v>1648.76</v>
      </c>
      <c r="H145" s="118">
        <v>9500</v>
      </c>
    </row>
    <row r="146" spans="1:8">
      <c r="A146" s="43" t="s">
        <v>2686</v>
      </c>
      <c r="B146" s="44" t="s">
        <v>2689</v>
      </c>
      <c r="C146" s="45" t="s">
        <v>122</v>
      </c>
      <c r="D146" s="45" t="s">
        <v>123</v>
      </c>
      <c r="E146" s="45" t="s">
        <v>124</v>
      </c>
      <c r="F146" s="118">
        <v>6611.57</v>
      </c>
      <c r="G146" s="119">
        <v>1388.43</v>
      </c>
      <c r="H146" s="118">
        <v>8000</v>
      </c>
    </row>
    <row r="147" spans="1:8">
      <c r="A147" s="43" t="s">
        <v>2686</v>
      </c>
      <c r="B147" s="44" t="s">
        <v>2690</v>
      </c>
      <c r="C147" s="45" t="s">
        <v>122</v>
      </c>
      <c r="D147" s="45" t="s">
        <v>123</v>
      </c>
      <c r="E147" s="45" t="s">
        <v>124</v>
      </c>
      <c r="F147" s="118">
        <v>6033.06</v>
      </c>
      <c r="G147" s="119">
        <v>1266.94</v>
      </c>
      <c r="H147" s="118">
        <v>7300</v>
      </c>
    </row>
    <row r="148" spans="1:8">
      <c r="A148" s="43" t="s">
        <v>2686</v>
      </c>
      <c r="B148" s="44" t="s">
        <v>2691</v>
      </c>
      <c r="C148" s="45" t="s">
        <v>122</v>
      </c>
      <c r="D148" s="45" t="s">
        <v>123</v>
      </c>
      <c r="E148" s="45" t="s">
        <v>124</v>
      </c>
      <c r="F148" s="118">
        <v>3719.01</v>
      </c>
      <c r="G148" s="119">
        <v>780.99</v>
      </c>
      <c r="H148" s="118">
        <v>4500</v>
      </c>
    </row>
    <row r="149" spans="1:8">
      <c r="A149" s="43" t="s">
        <v>2686</v>
      </c>
      <c r="B149" s="44" t="s">
        <v>2692</v>
      </c>
      <c r="C149" s="45" t="s">
        <v>122</v>
      </c>
      <c r="D149" s="45" t="s">
        <v>123</v>
      </c>
      <c r="E149" s="45" t="s">
        <v>124</v>
      </c>
      <c r="F149" s="118">
        <v>7851.24</v>
      </c>
      <c r="G149" s="119">
        <v>1648.76</v>
      </c>
      <c r="H149" s="118">
        <v>9500</v>
      </c>
    </row>
    <row r="150" spans="1:8">
      <c r="A150" s="43" t="s">
        <v>2686</v>
      </c>
      <c r="B150" s="44" t="s">
        <v>2693</v>
      </c>
      <c r="C150" s="45" t="s">
        <v>122</v>
      </c>
      <c r="D150" s="45" t="s">
        <v>123</v>
      </c>
      <c r="E150" s="45" t="s">
        <v>124</v>
      </c>
      <c r="F150" s="118">
        <v>3966.94</v>
      </c>
      <c r="G150" s="119">
        <v>833.06</v>
      </c>
      <c r="H150" s="118">
        <v>4800</v>
      </c>
    </row>
    <row r="151" spans="1:8">
      <c r="A151" s="43" t="s">
        <v>2686</v>
      </c>
      <c r="B151" s="44" t="s">
        <v>2694</v>
      </c>
      <c r="C151" s="45" t="s">
        <v>122</v>
      </c>
      <c r="D151" s="45" t="s">
        <v>123</v>
      </c>
      <c r="E151" s="45" t="s">
        <v>124</v>
      </c>
      <c r="F151" s="118">
        <v>0.83</v>
      </c>
      <c r="G151" s="119">
        <v>0.17</v>
      </c>
      <c r="H151" s="118">
        <v>1</v>
      </c>
    </row>
    <row r="152" spans="1:8">
      <c r="A152" s="43" t="s">
        <v>2686</v>
      </c>
      <c r="B152" s="44" t="s">
        <v>2695</v>
      </c>
      <c r="C152" s="45" t="s">
        <v>122</v>
      </c>
      <c r="D152" s="45" t="s">
        <v>123</v>
      </c>
      <c r="E152" s="45" t="s">
        <v>124</v>
      </c>
      <c r="F152" s="118">
        <v>6033.06</v>
      </c>
      <c r="G152" s="119">
        <v>1266.94</v>
      </c>
      <c r="H152" s="118">
        <v>7300</v>
      </c>
    </row>
    <row r="153" spans="1:8">
      <c r="A153" s="43" t="s">
        <v>2686</v>
      </c>
      <c r="B153" s="44" t="s">
        <v>2696</v>
      </c>
      <c r="C153" s="45" t="s">
        <v>122</v>
      </c>
      <c r="D153" s="45" t="s">
        <v>123</v>
      </c>
      <c r="E153" s="45" t="s">
        <v>124</v>
      </c>
      <c r="F153" s="118">
        <v>11322.31</v>
      </c>
      <c r="G153" s="119">
        <v>2377.69</v>
      </c>
      <c r="H153" s="118">
        <v>13700</v>
      </c>
    </row>
    <row r="154" spans="1:8">
      <c r="A154" s="43" t="s">
        <v>2708</v>
      </c>
      <c r="B154" s="44" t="s">
        <v>2709</v>
      </c>
      <c r="C154" s="45" t="s">
        <v>122</v>
      </c>
      <c r="D154" s="45" t="s">
        <v>123</v>
      </c>
      <c r="E154" s="45" t="s">
        <v>124</v>
      </c>
      <c r="F154" s="118">
        <v>4628.1000000000004</v>
      </c>
      <c r="G154" s="119">
        <v>971.9</v>
      </c>
      <c r="H154" s="118">
        <v>5600</v>
      </c>
    </row>
    <row r="155" spans="1:8">
      <c r="A155" s="43" t="s">
        <v>2708</v>
      </c>
      <c r="B155" s="44" t="s">
        <v>2710</v>
      </c>
      <c r="C155" s="45" t="s">
        <v>122</v>
      </c>
      <c r="D155" s="45" t="s">
        <v>123</v>
      </c>
      <c r="E155" s="45" t="s">
        <v>124</v>
      </c>
      <c r="F155" s="118">
        <v>3719.01</v>
      </c>
      <c r="G155" s="119">
        <v>780.99</v>
      </c>
      <c r="H155" s="118">
        <v>4500</v>
      </c>
    </row>
    <row r="156" spans="1:8">
      <c r="A156" s="43" t="s">
        <v>2708</v>
      </c>
      <c r="B156" s="44" t="s">
        <v>2711</v>
      </c>
      <c r="C156" s="45" t="s">
        <v>122</v>
      </c>
      <c r="D156" s="45" t="s">
        <v>123</v>
      </c>
      <c r="E156" s="45" t="s">
        <v>124</v>
      </c>
      <c r="F156" s="118">
        <v>13884.3</v>
      </c>
      <c r="G156" s="119">
        <v>2915.7</v>
      </c>
      <c r="H156" s="118">
        <v>16800</v>
      </c>
    </row>
    <row r="157" spans="1:8">
      <c r="A157" s="43" t="s">
        <v>2708</v>
      </c>
      <c r="B157" s="44" t="s">
        <v>2712</v>
      </c>
      <c r="C157" s="45" t="s">
        <v>122</v>
      </c>
      <c r="D157" s="45" t="s">
        <v>123</v>
      </c>
      <c r="E157" s="45" t="s">
        <v>124</v>
      </c>
      <c r="F157" s="118">
        <v>2132.23</v>
      </c>
      <c r="G157" s="119">
        <v>447.77</v>
      </c>
      <c r="H157" s="118">
        <v>2580</v>
      </c>
    </row>
    <row r="158" spans="1:8">
      <c r="A158" s="43" t="s">
        <v>2708</v>
      </c>
      <c r="B158" s="44" t="s">
        <v>2713</v>
      </c>
      <c r="C158" s="45" t="s">
        <v>122</v>
      </c>
      <c r="D158" s="45" t="s">
        <v>123</v>
      </c>
      <c r="E158" s="45" t="s">
        <v>124</v>
      </c>
      <c r="F158" s="118">
        <v>11322.31</v>
      </c>
      <c r="G158" s="119">
        <v>2377.69</v>
      </c>
      <c r="H158" s="118">
        <v>13700</v>
      </c>
    </row>
    <row r="159" spans="1:8">
      <c r="A159" s="43" t="s">
        <v>2708</v>
      </c>
      <c r="B159" s="44" t="s">
        <v>2714</v>
      </c>
      <c r="C159" s="45" t="s">
        <v>122</v>
      </c>
      <c r="D159" s="45" t="s">
        <v>123</v>
      </c>
      <c r="E159" s="45" t="s">
        <v>124</v>
      </c>
      <c r="F159" s="118">
        <v>7272.73</v>
      </c>
      <c r="G159" s="119">
        <v>1527.27</v>
      </c>
      <c r="H159" s="118">
        <v>8800</v>
      </c>
    </row>
    <row r="160" spans="1:8">
      <c r="A160" s="43" t="s">
        <v>2708</v>
      </c>
      <c r="B160" s="44" t="s">
        <v>2715</v>
      </c>
      <c r="C160" s="45" t="s">
        <v>122</v>
      </c>
      <c r="D160" s="45" t="s">
        <v>123</v>
      </c>
      <c r="E160" s="45" t="s">
        <v>124</v>
      </c>
      <c r="F160" s="118">
        <v>30743.8</v>
      </c>
      <c r="G160" s="119">
        <v>6456.2</v>
      </c>
      <c r="H160" s="118">
        <v>37200</v>
      </c>
    </row>
    <row r="161" spans="1:8">
      <c r="A161" s="43" t="s">
        <v>2708</v>
      </c>
      <c r="B161" s="44" t="s">
        <v>2716</v>
      </c>
      <c r="C161" s="45" t="s">
        <v>122</v>
      </c>
      <c r="D161" s="45" t="s">
        <v>123</v>
      </c>
      <c r="E161" s="45" t="s">
        <v>124</v>
      </c>
      <c r="F161" s="118">
        <v>4710.74</v>
      </c>
      <c r="G161" s="119">
        <v>989.26</v>
      </c>
      <c r="H161" s="118">
        <v>5700</v>
      </c>
    </row>
    <row r="162" spans="1:8">
      <c r="A162" s="43" t="s">
        <v>2708</v>
      </c>
      <c r="B162" s="44" t="s">
        <v>2717</v>
      </c>
      <c r="C162" s="45" t="s">
        <v>2718</v>
      </c>
      <c r="D162" s="45" t="s">
        <v>123</v>
      </c>
      <c r="E162" s="45">
        <v>40329637</v>
      </c>
      <c r="F162" s="118">
        <v>6033.06</v>
      </c>
      <c r="G162" s="119">
        <v>1266.94</v>
      </c>
      <c r="H162" s="118">
        <v>7300</v>
      </c>
    </row>
    <row r="163" spans="1:8">
      <c r="A163" s="43" t="s">
        <v>2708</v>
      </c>
      <c r="B163" s="44" t="s">
        <v>2719</v>
      </c>
      <c r="C163" s="45" t="s">
        <v>122</v>
      </c>
      <c r="D163" s="45" t="s">
        <v>123</v>
      </c>
      <c r="E163" s="45" t="s">
        <v>124</v>
      </c>
      <c r="F163" s="118">
        <v>14462.81</v>
      </c>
      <c r="G163" s="119">
        <v>3037.19</v>
      </c>
      <c r="H163" s="118">
        <v>17500</v>
      </c>
    </row>
    <row r="164" spans="1:8">
      <c r="A164" s="43" t="s">
        <v>2708</v>
      </c>
      <c r="B164" s="44" t="s">
        <v>2720</v>
      </c>
      <c r="C164" s="45" t="s">
        <v>122</v>
      </c>
      <c r="D164" s="45" t="s">
        <v>123</v>
      </c>
      <c r="E164" s="45" t="s">
        <v>124</v>
      </c>
      <c r="F164" s="118">
        <v>3719.01</v>
      </c>
      <c r="G164" s="119">
        <v>780.99</v>
      </c>
      <c r="H164" s="118">
        <v>4500</v>
      </c>
    </row>
    <row r="165" spans="1:8">
      <c r="A165" s="43" t="s">
        <v>2708</v>
      </c>
      <c r="B165" s="44" t="s">
        <v>2721</v>
      </c>
      <c r="C165" s="45" t="s">
        <v>122</v>
      </c>
      <c r="D165" s="45" t="s">
        <v>123</v>
      </c>
      <c r="E165" s="45" t="s">
        <v>124</v>
      </c>
      <c r="F165" s="118">
        <v>5619.83</v>
      </c>
      <c r="G165" s="119">
        <v>1180.17</v>
      </c>
      <c r="H165" s="118">
        <v>6800</v>
      </c>
    </row>
    <row r="166" spans="1:8">
      <c r="A166" s="43" t="s">
        <v>2708</v>
      </c>
      <c r="B166" s="44" t="s">
        <v>2722</v>
      </c>
      <c r="C166" s="45" t="s">
        <v>122</v>
      </c>
      <c r="D166" s="45" t="s">
        <v>123</v>
      </c>
      <c r="E166" s="45" t="s">
        <v>124</v>
      </c>
      <c r="F166" s="118">
        <v>5495.87</v>
      </c>
      <c r="G166" s="119">
        <v>1154.1300000000001</v>
      </c>
      <c r="H166" s="118">
        <v>6650</v>
      </c>
    </row>
    <row r="167" spans="1:8">
      <c r="A167" s="43" t="s">
        <v>2708</v>
      </c>
      <c r="B167" s="44" t="s">
        <v>2723</v>
      </c>
      <c r="C167" s="45" t="s">
        <v>122</v>
      </c>
      <c r="D167" s="45" t="s">
        <v>123</v>
      </c>
      <c r="E167" s="45" t="s">
        <v>124</v>
      </c>
      <c r="F167" s="118">
        <v>6942.15</v>
      </c>
      <c r="G167" s="119">
        <v>1457.85</v>
      </c>
      <c r="H167" s="118">
        <v>8400</v>
      </c>
    </row>
    <row r="168" spans="1:8">
      <c r="A168" s="43" t="s">
        <v>2708</v>
      </c>
      <c r="B168" s="44" t="s">
        <v>2724</v>
      </c>
      <c r="C168" s="45" t="s">
        <v>122</v>
      </c>
      <c r="D168" s="45" t="s">
        <v>123</v>
      </c>
      <c r="E168" s="45" t="s">
        <v>124</v>
      </c>
      <c r="F168" s="118">
        <v>7851.24</v>
      </c>
      <c r="G168" s="119">
        <v>1648.76</v>
      </c>
      <c r="H168" s="118">
        <v>9500</v>
      </c>
    </row>
    <row r="169" spans="1:8">
      <c r="A169" s="43" t="s">
        <v>2708</v>
      </c>
      <c r="B169" s="44" t="s">
        <v>2725</v>
      </c>
      <c r="C169" s="45" t="s">
        <v>122</v>
      </c>
      <c r="D169" s="45" t="s">
        <v>123</v>
      </c>
      <c r="E169" s="45" t="s">
        <v>124</v>
      </c>
      <c r="F169" s="118">
        <v>5785.12</v>
      </c>
      <c r="G169" s="119">
        <v>1214.8800000000001</v>
      </c>
      <c r="H169" s="118">
        <v>7000</v>
      </c>
    </row>
    <row r="170" spans="1:8">
      <c r="A170" s="43" t="s">
        <v>2708</v>
      </c>
      <c r="B170" s="44" t="s">
        <v>2726</v>
      </c>
      <c r="C170" s="45" t="s">
        <v>122</v>
      </c>
      <c r="D170" s="45" t="s">
        <v>123</v>
      </c>
      <c r="E170" s="45" t="s">
        <v>124</v>
      </c>
      <c r="F170" s="118">
        <v>24793.39</v>
      </c>
      <c r="G170" s="119">
        <v>5206.6099999999997</v>
      </c>
      <c r="H170" s="118">
        <v>30000</v>
      </c>
    </row>
    <row r="171" spans="1:8">
      <c r="A171" s="43" t="s">
        <v>2708</v>
      </c>
      <c r="B171" s="44" t="s">
        <v>2727</v>
      </c>
      <c r="C171" s="45" t="s">
        <v>122</v>
      </c>
      <c r="D171" s="45" t="s">
        <v>123</v>
      </c>
      <c r="E171" s="45" t="s">
        <v>124</v>
      </c>
      <c r="F171" s="118">
        <v>4545.45</v>
      </c>
      <c r="G171" s="119">
        <v>954.55</v>
      </c>
      <c r="H171" s="118">
        <v>5500</v>
      </c>
    </row>
    <row r="172" spans="1:8">
      <c r="A172" s="43" t="s">
        <v>2750</v>
      </c>
      <c r="B172" s="44" t="s">
        <v>2751</v>
      </c>
      <c r="C172" s="45" t="s">
        <v>122</v>
      </c>
      <c r="D172" s="45" t="s">
        <v>123</v>
      </c>
      <c r="E172" s="45" t="s">
        <v>124</v>
      </c>
      <c r="F172" s="118">
        <v>5619.83</v>
      </c>
      <c r="G172" s="119">
        <v>1180.17</v>
      </c>
      <c r="H172" s="118">
        <v>6800</v>
      </c>
    </row>
    <row r="173" spans="1:8">
      <c r="A173" s="43" t="s">
        <v>2750</v>
      </c>
      <c r="B173" s="44" t="s">
        <v>2752</v>
      </c>
      <c r="C173" s="45" t="s">
        <v>122</v>
      </c>
      <c r="D173" s="45" t="s">
        <v>123</v>
      </c>
      <c r="E173" s="45" t="s">
        <v>124</v>
      </c>
      <c r="F173" s="118">
        <v>14462.81</v>
      </c>
      <c r="G173" s="119">
        <v>3037.19</v>
      </c>
      <c r="H173" s="118">
        <v>17500</v>
      </c>
    </row>
    <row r="174" spans="1:8">
      <c r="A174" s="43" t="s">
        <v>2750</v>
      </c>
      <c r="B174" s="44" t="s">
        <v>2753</v>
      </c>
      <c r="C174" s="45" t="s">
        <v>122</v>
      </c>
      <c r="D174" s="45" t="s">
        <v>123</v>
      </c>
      <c r="E174" s="45" t="s">
        <v>124</v>
      </c>
      <c r="F174" s="118">
        <v>1239.67</v>
      </c>
      <c r="G174" s="119">
        <v>260.33</v>
      </c>
      <c r="H174" s="118">
        <v>1500</v>
      </c>
    </row>
    <row r="175" spans="1:8">
      <c r="A175" s="43" t="s">
        <v>2750</v>
      </c>
      <c r="B175" s="44" t="s">
        <v>2754</v>
      </c>
      <c r="C175" s="45" t="s">
        <v>122</v>
      </c>
      <c r="D175" s="45" t="s">
        <v>123</v>
      </c>
      <c r="E175" s="45" t="s">
        <v>124</v>
      </c>
      <c r="F175" s="118">
        <v>10330.58</v>
      </c>
      <c r="G175" s="119">
        <v>2169.42</v>
      </c>
      <c r="H175" s="118">
        <v>12500</v>
      </c>
    </row>
    <row r="176" spans="1:8">
      <c r="A176" s="43" t="s">
        <v>2750</v>
      </c>
      <c r="B176" s="44" t="s">
        <v>2755</v>
      </c>
      <c r="C176" s="45" t="s">
        <v>122</v>
      </c>
      <c r="D176" s="45" t="s">
        <v>123</v>
      </c>
      <c r="E176" s="45" t="s">
        <v>124</v>
      </c>
      <c r="F176" s="118">
        <v>10743.8</v>
      </c>
      <c r="G176" s="119">
        <v>2256.2000000000003</v>
      </c>
      <c r="H176" s="118">
        <v>13000</v>
      </c>
    </row>
    <row r="177" spans="1:8">
      <c r="A177" s="43" t="s">
        <v>2750</v>
      </c>
      <c r="B177" s="44" t="s">
        <v>2756</v>
      </c>
      <c r="C177" s="45" t="s">
        <v>122</v>
      </c>
      <c r="D177" s="45" t="s">
        <v>123</v>
      </c>
      <c r="E177" s="45" t="s">
        <v>124</v>
      </c>
      <c r="F177" s="118">
        <v>12148.76</v>
      </c>
      <c r="G177" s="119">
        <v>2551.2400000000002</v>
      </c>
      <c r="H177" s="118">
        <v>14700</v>
      </c>
    </row>
    <row r="178" spans="1:8">
      <c r="A178" s="43" t="s">
        <v>2750</v>
      </c>
      <c r="B178" s="44" t="s">
        <v>2757</v>
      </c>
      <c r="C178" s="45" t="s">
        <v>122</v>
      </c>
      <c r="D178" s="45" t="s">
        <v>123</v>
      </c>
      <c r="E178" s="45" t="s">
        <v>124</v>
      </c>
      <c r="F178" s="118">
        <v>7851.24</v>
      </c>
      <c r="G178" s="119">
        <v>1648.76</v>
      </c>
      <c r="H178" s="118">
        <v>9500</v>
      </c>
    </row>
    <row r="179" spans="1:8">
      <c r="A179" s="43" t="s">
        <v>2750</v>
      </c>
      <c r="B179" s="44" t="s">
        <v>2758</v>
      </c>
      <c r="C179" s="45" t="s">
        <v>122</v>
      </c>
      <c r="D179" s="45" t="s">
        <v>123</v>
      </c>
      <c r="E179" s="45" t="s">
        <v>124</v>
      </c>
      <c r="F179" s="118">
        <v>17190.080000000002</v>
      </c>
      <c r="G179" s="119">
        <v>3609.92</v>
      </c>
      <c r="H179" s="118">
        <v>20800</v>
      </c>
    </row>
    <row r="180" spans="1:8">
      <c r="A180" s="43" t="s">
        <v>2750</v>
      </c>
      <c r="B180" s="44" t="s">
        <v>2759</v>
      </c>
      <c r="C180" s="45" t="s">
        <v>122</v>
      </c>
      <c r="D180" s="45" t="s">
        <v>123</v>
      </c>
      <c r="E180" s="45" t="s">
        <v>124</v>
      </c>
      <c r="F180" s="118">
        <v>6942.15</v>
      </c>
      <c r="G180" s="119">
        <v>1457.85</v>
      </c>
      <c r="H180" s="118">
        <v>8400</v>
      </c>
    </row>
    <row r="181" spans="1:8">
      <c r="A181" s="43" t="s">
        <v>2750</v>
      </c>
      <c r="B181" s="44" t="s">
        <v>2760</v>
      </c>
      <c r="C181" s="45" t="s">
        <v>122</v>
      </c>
      <c r="D181" s="45" t="s">
        <v>123</v>
      </c>
      <c r="E181" s="45" t="s">
        <v>124</v>
      </c>
      <c r="F181" s="118">
        <v>6942.15</v>
      </c>
      <c r="G181" s="119">
        <v>1457.85</v>
      </c>
      <c r="H181" s="118">
        <v>8400</v>
      </c>
    </row>
    <row r="182" spans="1:8">
      <c r="A182" s="43" t="s">
        <v>2750</v>
      </c>
      <c r="B182" s="44" t="s">
        <v>2761</v>
      </c>
      <c r="C182" s="45" t="s">
        <v>122</v>
      </c>
      <c r="D182" s="45" t="s">
        <v>123</v>
      </c>
      <c r="E182" s="45" t="s">
        <v>124</v>
      </c>
      <c r="F182" s="118">
        <v>7851.24</v>
      </c>
      <c r="G182" s="119">
        <v>1648.76</v>
      </c>
      <c r="H182" s="118">
        <v>9500</v>
      </c>
    </row>
    <row r="183" spans="1:8">
      <c r="A183" s="43" t="s">
        <v>2750</v>
      </c>
      <c r="B183" s="44" t="s">
        <v>2762</v>
      </c>
      <c r="C183" s="45" t="s">
        <v>122</v>
      </c>
      <c r="D183" s="45" t="s">
        <v>123</v>
      </c>
      <c r="E183" s="45" t="s">
        <v>124</v>
      </c>
      <c r="F183" s="118">
        <v>28925.62</v>
      </c>
      <c r="G183" s="119">
        <v>6074.38</v>
      </c>
      <c r="H183" s="118">
        <v>35000</v>
      </c>
    </row>
    <row r="184" spans="1:8">
      <c r="A184" s="43" t="s">
        <v>2750</v>
      </c>
      <c r="B184" s="44" t="s">
        <v>2763</v>
      </c>
      <c r="C184" s="45" t="s">
        <v>122</v>
      </c>
      <c r="D184" s="45" t="s">
        <v>123</v>
      </c>
      <c r="E184" s="45" t="s">
        <v>124</v>
      </c>
      <c r="F184" s="118">
        <v>4876.03</v>
      </c>
      <c r="G184" s="119">
        <v>1023.97</v>
      </c>
      <c r="H184" s="118">
        <v>5900</v>
      </c>
    </row>
    <row r="185" spans="1:8">
      <c r="A185" s="43" t="s">
        <v>2750</v>
      </c>
      <c r="B185" s="44" t="s">
        <v>2764</v>
      </c>
      <c r="C185" s="45" t="s">
        <v>122</v>
      </c>
      <c r="D185" s="45" t="s">
        <v>123</v>
      </c>
      <c r="E185" s="45" t="s">
        <v>124</v>
      </c>
      <c r="F185" s="118">
        <v>2479.34</v>
      </c>
      <c r="G185" s="119">
        <v>520.66</v>
      </c>
      <c r="H185" s="118">
        <v>3000</v>
      </c>
    </row>
    <row r="186" spans="1:8">
      <c r="A186" s="43" t="s">
        <v>2750</v>
      </c>
      <c r="B186" s="44" t="s">
        <v>2765</v>
      </c>
      <c r="C186" s="45" t="s">
        <v>122</v>
      </c>
      <c r="D186" s="45" t="s">
        <v>123</v>
      </c>
      <c r="E186" s="45" t="s">
        <v>124</v>
      </c>
      <c r="F186" s="118">
        <v>3057.85</v>
      </c>
      <c r="G186" s="119">
        <v>642.15</v>
      </c>
      <c r="H186" s="118">
        <v>3700</v>
      </c>
    </row>
    <row r="187" spans="1:8">
      <c r="A187" s="43" t="s">
        <v>2776</v>
      </c>
      <c r="B187" s="44" t="s">
        <v>2777</v>
      </c>
      <c r="C187" s="45" t="s">
        <v>122</v>
      </c>
      <c r="D187" s="45" t="s">
        <v>123</v>
      </c>
      <c r="E187" s="45" t="s">
        <v>124</v>
      </c>
      <c r="F187" s="118">
        <v>2892.56</v>
      </c>
      <c r="G187" s="119">
        <v>607.44000000000005</v>
      </c>
      <c r="H187" s="118">
        <v>3500</v>
      </c>
    </row>
    <row r="188" spans="1:8">
      <c r="A188" s="43" t="s">
        <v>2776</v>
      </c>
      <c r="B188" s="44" t="s">
        <v>2778</v>
      </c>
      <c r="C188" s="45" t="s">
        <v>122</v>
      </c>
      <c r="D188" s="45" t="s">
        <v>123</v>
      </c>
      <c r="E188" s="45" t="s">
        <v>124</v>
      </c>
      <c r="F188" s="118">
        <v>8016.53</v>
      </c>
      <c r="G188" s="119">
        <v>1683.47</v>
      </c>
      <c r="H188" s="118">
        <v>9700</v>
      </c>
    </row>
    <row r="189" spans="1:8">
      <c r="A189" s="43" t="s">
        <v>2776</v>
      </c>
      <c r="B189" s="44" t="s">
        <v>2779</v>
      </c>
      <c r="C189" s="45" t="s">
        <v>122</v>
      </c>
      <c r="D189" s="45" t="s">
        <v>123</v>
      </c>
      <c r="E189" s="45" t="s">
        <v>124</v>
      </c>
      <c r="F189" s="118">
        <v>8016.53</v>
      </c>
      <c r="G189" s="119">
        <v>1683.47</v>
      </c>
      <c r="H189" s="118">
        <v>9700</v>
      </c>
    </row>
    <row r="190" spans="1:8">
      <c r="A190" s="43" t="s">
        <v>2776</v>
      </c>
      <c r="B190" s="44" t="s">
        <v>2780</v>
      </c>
      <c r="C190" s="45" t="s">
        <v>122</v>
      </c>
      <c r="D190" s="45" t="s">
        <v>123</v>
      </c>
      <c r="E190" s="45" t="s">
        <v>124</v>
      </c>
      <c r="F190" s="118">
        <v>743.8</v>
      </c>
      <c r="G190" s="119">
        <v>156.20000000000002</v>
      </c>
      <c r="H190" s="118">
        <v>900</v>
      </c>
    </row>
    <row r="191" spans="1:8">
      <c r="A191" s="43" t="s">
        <v>2776</v>
      </c>
      <c r="B191" s="44" t="s">
        <v>2781</v>
      </c>
      <c r="C191" s="45" t="s">
        <v>122</v>
      </c>
      <c r="D191" s="45" t="s">
        <v>123</v>
      </c>
      <c r="E191" s="45" t="s">
        <v>124</v>
      </c>
      <c r="F191" s="118">
        <v>17355.37</v>
      </c>
      <c r="G191" s="119">
        <v>3644.63</v>
      </c>
      <c r="H191" s="118">
        <v>21000</v>
      </c>
    </row>
    <row r="192" spans="1:8">
      <c r="A192" s="43" t="s">
        <v>2776</v>
      </c>
      <c r="B192" s="44" t="s">
        <v>2782</v>
      </c>
      <c r="C192" s="45" t="s">
        <v>122</v>
      </c>
      <c r="D192" s="45" t="s">
        <v>123</v>
      </c>
      <c r="E192" s="45" t="s">
        <v>124</v>
      </c>
      <c r="F192" s="118">
        <v>3925.62</v>
      </c>
      <c r="G192" s="119">
        <v>824.38</v>
      </c>
      <c r="H192" s="118">
        <v>4750</v>
      </c>
    </row>
    <row r="193" spans="1:8">
      <c r="A193" s="43" t="s">
        <v>2776</v>
      </c>
      <c r="B193" s="44" t="s">
        <v>2783</v>
      </c>
      <c r="C193" s="45" t="s">
        <v>122</v>
      </c>
      <c r="D193" s="45" t="s">
        <v>123</v>
      </c>
      <c r="E193" s="45" t="s">
        <v>124</v>
      </c>
      <c r="F193" s="118">
        <v>10495.87</v>
      </c>
      <c r="G193" s="119">
        <v>2204.13</v>
      </c>
      <c r="H193" s="118">
        <v>12700</v>
      </c>
    </row>
    <row r="194" spans="1:8">
      <c r="A194" s="43" t="s">
        <v>2776</v>
      </c>
      <c r="B194" s="44" t="s">
        <v>2784</v>
      </c>
      <c r="C194" s="45" t="s">
        <v>122</v>
      </c>
      <c r="D194" s="45" t="s">
        <v>123</v>
      </c>
      <c r="E194" s="45" t="s">
        <v>124</v>
      </c>
      <c r="F194" s="118">
        <v>4876.03</v>
      </c>
      <c r="G194" s="119">
        <v>1023.97</v>
      </c>
      <c r="H194" s="118">
        <v>5900</v>
      </c>
    </row>
    <row r="195" spans="1:8">
      <c r="A195" s="43" t="s">
        <v>2776</v>
      </c>
      <c r="B195" s="44" t="s">
        <v>2785</v>
      </c>
      <c r="C195" s="45" t="s">
        <v>122</v>
      </c>
      <c r="D195" s="45" t="s">
        <v>123</v>
      </c>
      <c r="E195" s="45" t="s">
        <v>124</v>
      </c>
      <c r="F195" s="118">
        <v>4628.1000000000004</v>
      </c>
      <c r="G195" s="119">
        <v>971.9</v>
      </c>
      <c r="H195" s="118">
        <v>5600</v>
      </c>
    </row>
    <row r="196" spans="1:8">
      <c r="A196" s="43" t="s">
        <v>2776</v>
      </c>
      <c r="B196" s="44" t="s">
        <v>2786</v>
      </c>
      <c r="C196" s="45" t="s">
        <v>122</v>
      </c>
      <c r="D196" s="45" t="s">
        <v>123</v>
      </c>
      <c r="E196" s="45" t="s">
        <v>124</v>
      </c>
      <c r="F196" s="118">
        <v>6446.28</v>
      </c>
      <c r="G196" s="119">
        <v>1353.72</v>
      </c>
      <c r="H196" s="118">
        <v>7800</v>
      </c>
    </row>
    <row r="197" spans="1:8">
      <c r="A197" s="43" t="s">
        <v>2776</v>
      </c>
      <c r="B197" s="44" t="s">
        <v>2787</v>
      </c>
      <c r="C197" s="45" t="s">
        <v>122</v>
      </c>
      <c r="D197" s="45" t="s">
        <v>123</v>
      </c>
      <c r="E197" s="45" t="s">
        <v>124</v>
      </c>
      <c r="F197" s="118">
        <v>14876.03</v>
      </c>
      <c r="G197" s="119">
        <v>3123.97</v>
      </c>
      <c r="H197" s="118">
        <v>18000</v>
      </c>
    </row>
    <row r="198" spans="1:8">
      <c r="A198" s="43" t="s">
        <v>2797</v>
      </c>
      <c r="B198" s="44" t="s">
        <v>2798</v>
      </c>
      <c r="C198" s="45" t="s">
        <v>122</v>
      </c>
      <c r="D198" s="45" t="s">
        <v>123</v>
      </c>
      <c r="E198" s="45" t="s">
        <v>124</v>
      </c>
      <c r="F198" s="118">
        <v>4132.2300000000005</v>
      </c>
      <c r="G198" s="119">
        <v>867.77</v>
      </c>
      <c r="H198" s="118">
        <v>5000</v>
      </c>
    </row>
    <row r="199" spans="1:8">
      <c r="A199" s="43" t="s">
        <v>2797</v>
      </c>
      <c r="B199" s="44" t="s">
        <v>2799</v>
      </c>
      <c r="C199" s="45" t="s">
        <v>122</v>
      </c>
      <c r="D199" s="45" t="s">
        <v>123</v>
      </c>
      <c r="E199" s="45" t="s">
        <v>124</v>
      </c>
      <c r="F199" s="118">
        <v>1239.67</v>
      </c>
      <c r="G199" s="119">
        <v>260.33</v>
      </c>
      <c r="H199" s="118">
        <v>1500</v>
      </c>
    </row>
    <row r="200" spans="1:8">
      <c r="A200" s="43" t="s">
        <v>2797</v>
      </c>
      <c r="B200" s="44" t="s">
        <v>2800</v>
      </c>
      <c r="C200" s="45" t="s">
        <v>122</v>
      </c>
      <c r="D200" s="45" t="s">
        <v>123</v>
      </c>
      <c r="E200" s="45" t="s">
        <v>124</v>
      </c>
      <c r="F200" s="118">
        <v>7256.2</v>
      </c>
      <c r="G200" s="119">
        <v>1523.8</v>
      </c>
      <c r="H200" s="118">
        <v>8780</v>
      </c>
    </row>
    <row r="201" spans="1:8">
      <c r="A201" s="43" t="s">
        <v>2797</v>
      </c>
      <c r="B201" s="44" t="s">
        <v>2801</v>
      </c>
      <c r="C201" s="45" t="s">
        <v>2802</v>
      </c>
      <c r="D201" s="45" t="s">
        <v>123</v>
      </c>
      <c r="E201" s="45">
        <v>5594371</v>
      </c>
      <c r="F201" s="118">
        <v>6611.57</v>
      </c>
      <c r="G201" s="119">
        <v>1388.43</v>
      </c>
      <c r="H201" s="118">
        <v>8000</v>
      </c>
    </row>
    <row r="202" spans="1:8">
      <c r="A202" s="43" t="s">
        <v>2797</v>
      </c>
      <c r="B202" s="44" t="s">
        <v>2803</v>
      </c>
      <c r="C202" s="45" t="s">
        <v>122</v>
      </c>
      <c r="D202" s="45" t="s">
        <v>123</v>
      </c>
      <c r="E202" s="45" t="s">
        <v>124</v>
      </c>
      <c r="F202" s="118">
        <v>6611.57</v>
      </c>
      <c r="G202" s="119">
        <v>1388.43</v>
      </c>
      <c r="H202" s="118">
        <v>8000</v>
      </c>
    </row>
    <row r="203" spans="1:8">
      <c r="A203" s="43" t="s">
        <v>2797</v>
      </c>
      <c r="B203" s="44" t="s">
        <v>2804</v>
      </c>
      <c r="C203" s="45" t="s">
        <v>122</v>
      </c>
      <c r="D203" s="45" t="s">
        <v>123</v>
      </c>
      <c r="E203" s="45" t="s">
        <v>124</v>
      </c>
      <c r="F203" s="118">
        <v>2842.98</v>
      </c>
      <c r="G203" s="119">
        <v>597.02</v>
      </c>
      <c r="H203" s="118">
        <v>3440</v>
      </c>
    </row>
    <row r="204" spans="1:8">
      <c r="A204" s="43" t="s">
        <v>2797</v>
      </c>
      <c r="B204" s="44" t="s">
        <v>2805</v>
      </c>
      <c r="C204" s="45" t="s">
        <v>122</v>
      </c>
      <c r="D204" s="45" t="s">
        <v>123</v>
      </c>
      <c r="E204" s="45" t="s">
        <v>124</v>
      </c>
      <c r="F204" s="118">
        <v>20495.87</v>
      </c>
      <c r="G204" s="119">
        <v>4304.13</v>
      </c>
      <c r="H204" s="118">
        <v>24800</v>
      </c>
    </row>
    <row r="205" spans="1:8">
      <c r="A205" s="43" t="s">
        <v>2797</v>
      </c>
      <c r="B205" s="44" t="s">
        <v>2806</v>
      </c>
      <c r="C205" s="45" t="s">
        <v>122</v>
      </c>
      <c r="D205" s="45" t="s">
        <v>123</v>
      </c>
      <c r="E205" s="45" t="s">
        <v>124</v>
      </c>
      <c r="F205" s="118">
        <v>14462.81</v>
      </c>
      <c r="G205" s="119">
        <v>3037.19</v>
      </c>
      <c r="H205" s="118">
        <v>17500</v>
      </c>
    </row>
    <row r="206" spans="1:8">
      <c r="A206" s="43" t="s">
        <v>2797</v>
      </c>
      <c r="B206" s="44" t="s">
        <v>2807</v>
      </c>
      <c r="C206" s="45" t="s">
        <v>122</v>
      </c>
      <c r="D206" s="45" t="s">
        <v>123</v>
      </c>
      <c r="E206" s="45" t="s">
        <v>124</v>
      </c>
      <c r="F206" s="118">
        <v>7851.24</v>
      </c>
      <c r="G206" s="119">
        <v>1648.76</v>
      </c>
      <c r="H206" s="118">
        <v>9500</v>
      </c>
    </row>
    <row r="207" spans="1:8">
      <c r="A207" s="43" t="s">
        <v>2797</v>
      </c>
      <c r="B207" s="44" t="s">
        <v>2808</v>
      </c>
      <c r="C207" s="45" t="s">
        <v>122</v>
      </c>
      <c r="D207" s="45" t="s">
        <v>123</v>
      </c>
      <c r="E207" s="45" t="s">
        <v>124</v>
      </c>
      <c r="F207" s="118">
        <v>6198.35</v>
      </c>
      <c r="G207" s="119">
        <v>1301.6500000000001</v>
      </c>
      <c r="H207" s="118">
        <v>7500</v>
      </c>
    </row>
    <row r="208" spans="1:8">
      <c r="A208" s="43" t="s">
        <v>2797</v>
      </c>
      <c r="B208" s="44" t="s">
        <v>2809</v>
      </c>
      <c r="C208" s="45" t="s">
        <v>122</v>
      </c>
      <c r="D208" s="45" t="s">
        <v>123</v>
      </c>
      <c r="E208" s="45" t="s">
        <v>124</v>
      </c>
      <c r="F208" s="118">
        <v>1652.89</v>
      </c>
      <c r="G208" s="119">
        <v>347.11</v>
      </c>
      <c r="H208" s="118">
        <v>2000</v>
      </c>
    </row>
    <row r="209" spans="1:8">
      <c r="A209" s="43" t="s">
        <v>2797</v>
      </c>
      <c r="B209" s="44" t="s">
        <v>2810</v>
      </c>
      <c r="C209" s="45" t="s">
        <v>122</v>
      </c>
      <c r="D209" s="45" t="s">
        <v>123</v>
      </c>
      <c r="E209" s="45" t="s">
        <v>124</v>
      </c>
      <c r="F209" s="118">
        <v>14462.81</v>
      </c>
      <c r="G209" s="119">
        <v>3037.19</v>
      </c>
      <c r="H209" s="118">
        <v>17500</v>
      </c>
    </row>
    <row r="210" spans="1:8">
      <c r="A210" s="43" t="s">
        <v>2797</v>
      </c>
      <c r="B210" s="44" t="s">
        <v>2811</v>
      </c>
      <c r="C210" s="45" t="s">
        <v>122</v>
      </c>
      <c r="D210" s="45" t="s">
        <v>123</v>
      </c>
      <c r="E210" s="45" t="s">
        <v>124</v>
      </c>
      <c r="F210" s="118">
        <v>3016.53</v>
      </c>
      <c r="G210" s="119">
        <v>633.47</v>
      </c>
      <c r="H210" s="118">
        <v>3650</v>
      </c>
    </row>
    <row r="211" spans="1:8">
      <c r="A211" s="43" t="s">
        <v>2797</v>
      </c>
      <c r="B211" s="44" t="s">
        <v>2812</v>
      </c>
      <c r="C211" s="45" t="s">
        <v>122</v>
      </c>
      <c r="D211" s="45" t="s">
        <v>123</v>
      </c>
      <c r="E211" s="45" t="s">
        <v>124</v>
      </c>
      <c r="F211" s="118">
        <v>6942.15</v>
      </c>
      <c r="G211" s="119">
        <v>1457.85</v>
      </c>
      <c r="H211" s="118">
        <v>8400</v>
      </c>
    </row>
    <row r="212" spans="1:8">
      <c r="A212" s="43" t="s">
        <v>2797</v>
      </c>
      <c r="B212" s="44" t="s">
        <v>2813</v>
      </c>
      <c r="C212" s="45" t="s">
        <v>122</v>
      </c>
      <c r="D212" s="45" t="s">
        <v>123</v>
      </c>
      <c r="E212" s="45" t="s">
        <v>124</v>
      </c>
      <c r="F212" s="118">
        <v>45454.55</v>
      </c>
      <c r="G212" s="119">
        <v>9545.4500000000007</v>
      </c>
      <c r="H212" s="118">
        <v>55000</v>
      </c>
    </row>
    <row r="213" spans="1:8">
      <c r="A213" s="43" t="s">
        <v>2797</v>
      </c>
      <c r="B213" s="44" t="s">
        <v>2814</v>
      </c>
      <c r="C213" s="45" t="s">
        <v>2815</v>
      </c>
      <c r="D213" s="45" t="s">
        <v>123</v>
      </c>
      <c r="E213" s="45">
        <v>29752604</v>
      </c>
      <c r="F213" s="118">
        <v>13884.3</v>
      </c>
      <c r="G213" s="119">
        <v>2915.7</v>
      </c>
      <c r="H213" s="118">
        <v>16800</v>
      </c>
    </row>
    <row r="214" spans="1:8">
      <c r="A214" s="43" t="s">
        <v>2797</v>
      </c>
      <c r="B214" s="44" t="s">
        <v>2816</v>
      </c>
      <c r="C214" s="45" t="s">
        <v>122</v>
      </c>
      <c r="D214" s="45" t="s">
        <v>123</v>
      </c>
      <c r="E214" s="45" t="s">
        <v>124</v>
      </c>
      <c r="F214" s="118">
        <v>3214.88</v>
      </c>
      <c r="G214" s="119">
        <v>675.12</v>
      </c>
      <c r="H214" s="118">
        <v>3890</v>
      </c>
    </row>
    <row r="215" spans="1:8">
      <c r="A215" s="43" t="s">
        <v>2797</v>
      </c>
      <c r="B215" s="44" t="s">
        <v>2817</v>
      </c>
      <c r="C215" s="45" t="s">
        <v>122</v>
      </c>
      <c r="D215" s="45" t="s">
        <v>123</v>
      </c>
      <c r="E215" s="45" t="s">
        <v>124</v>
      </c>
      <c r="F215" s="118">
        <v>3719.01</v>
      </c>
      <c r="G215" s="119">
        <v>780.99</v>
      </c>
      <c r="H215" s="118">
        <v>4500</v>
      </c>
    </row>
    <row r="216" spans="1:8">
      <c r="A216" s="43" t="s">
        <v>2797</v>
      </c>
      <c r="B216" s="44" t="s">
        <v>2818</v>
      </c>
      <c r="C216" s="45" t="s">
        <v>122</v>
      </c>
      <c r="D216" s="45" t="s">
        <v>123</v>
      </c>
      <c r="E216" s="45" t="s">
        <v>124</v>
      </c>
      <c r="F216" s="118">
        <v>15702.48</v>
      </c>
      <c r="G216" s="119">
        <v>3297.52</v>
      </c>
      <c r="H216" s="118">
        <v>19000</v>
      </c>
    </row>
    <row r="217" spans="1:8">
      <c r="A217" s="43" t="s">
        <v>2797</v>
      </c>
      <c r="B217" s="44" t="s">
        <v>2819</v>
      </c>
      <c r="C217" s="45" t="s">
        <v>122</v>
      </c>
      <c r="D217" s="45" t="s">
        <v>123</v>
      </c>
      <c r="E217" s="45" t="s">
        <v>124</v>
      </c>
      <c r="F217" s="118">
        <v>8264.4600000000009</v>
      </c>
      <c r="G217" s="119">
        <v>1735.54</v>
      </c>
      <c r="H217" s="118">
        <v>10000</v>
      </c>
    </row>
    <row r="218" spans="1:8">
      <c r="A218" s="43" t="s">
        <v>2827</v>
      </c>
      <c r="B218" s="44" t="s">
        <v>2828</v>
      </c>
      <c r="C218" s="45" t="s">
        <v>122</v>
      </c>
      <c r="D218" s="45" t="s">
        <v>123</v>
      </c>
      <c r="E218" s="45" t="s">
        <v>124</v>
      </c>
      <c r="F218" s="118">
        <v>5785.12</v>
      </c>
      <c r="G218" s="119">
        <v>1214.8800000000001</v>
      </c>
      <c r="H218" s="118">
        <v>7000</v>
      </c>
    </row>
    <row r="219" spans="1:8">
      <c r="A219" s="43" t="s">
        <v>2827</v>
      </c>
      <c r="B219" s="44" t="s">
        <v>2829</v>
      </c>
      <c r="C219" s="45" t="s">
        <v>122</v>
      </c>
      <c r="D219" s="45" t="s">
        <v>123</v>
      </c>
      <c r="E219" s="45" t="s">
        <v>124</v>
      </c>
      <c r="F219" s="118">
        <v>1900.83</v>
      </c>
      <c r="G219" s="119">
        <v>399.17</v>
      </c>
      <c r="H219" s="118">
        <v>2300</v>
      </c>
    </row>
    <row r="220" spans="1:8">
      <c r="A220" s="43" t="s">
        <v>2827</v>
      </c>
      <c r="B220" s="44" t="s">
        <v>2830</v>
      </c>
      <c r="C220" s="45" t="s">
        <v>122</v>
      </c>
      <c r="D220" s="45" t="s">
        <v>123</v>
      </c>
      <c r="E220" s="45" t="s">
        <v>124</v>
      </c>
      <c r="F220" s="118">
        <v>19404.96</v>
      </c>
      <c r="G220" s="119">
        <v>4075.04</v>
      </c>
      <c r="H220" s="118">
        <v>23480</v>
      </c>
    </row>
    <row r="221" spans="1:8">
      <c r="A221" s="43" t="s">
        <v>2827</v>
      </c>
      <c r="B221" s="44" t="s">
        <v>2831</v>
      </c>
      <c r="C221" s="45" t="s">
        <v>122</v>
      </c>
      <c r="D221" s="45" t="s">
        <v>123</v>
      </c>
      <c r="E221" s="45" t="s">
        <v>124</v>
      </c>
      <c r="F221" s="118">
        <v>1404.96</v>
      </c>
      <c r="G221" s="119">
        <v>295.04000000000002</v>
      </c>
      <c r="H221" s="118">
        <v>1700</v>
      </c>
    </row>
    <row r="222" spans="1:8">
      <c r="A222" s="43" t="s">
        <v>2827</v>
      </c>
      <c r="B222" s="44" t="s">
        <v>2832</v>
      </c>
      <c r="C222" s="45" t="s">
        <v>122</v>
      </c>
      <c r="D222" s="45" t="s">
        <v>123</v>
      </c>
      <c r="E222" s="45" t="s">
        <v>124</v>
      </c>
      <c r="F222" s="118">
        <v>2314.0500000000002</v>
      </c>
      <c r="G222" s="119">
        <v>485.95</v>
      </c>
      <c r="H222" s="118">
        <v>2800</v>
      </c>
    </row>
    <row r="223" spans="1:8">
      <c r="A223" s="43" t="s">
        <v>2827</v>
      </c>
      <c r="B223" s="44" t="s">
        <v>2833</v>
      </c>
      <c r="C223" s="45" t="s">
        <v>122</v>
      </c>
      <c r="D223" s="45" t="s">
        <v>123</v>
      </c>
      <c r="E223" s="45" t="s">
        <v>124</v>
      </c>
      <c r="F223" s="118">
        <v>7851.24</v>
      </c>
      <c r="G223" s="119">
        <v>1648.76</v>
      </c>
      <c r="H223" s="118">
        <v>9500</v>
      </c>
    </row>
    <row r="224" spans="1:8">
      <c r="A224" s="43" t="s">
        <v>2827</v>
      </c>
      <c r="B224" s="44" t="s">
        <v>2834</v>
      </c>
      <c r="C224" s="45" t="s">
        <v>122</v>
      </c>
      <c r="D224" s="45" t="s">
        <v>123</v>
      </c>
      <c r="E224" s="45" t="s">
        <v>124</v>
      </c>
      <c r="F224" s="118">
        <v>8528.93</v>
      </c>
      <c r="G224" s="119">
        <v>1791.07</v>
      </c>
      <c r="H224" s="118">
        <v>10320</v>
      </c>
    </row>
    <row r="225" spans="1:8">
      <c r="A225" s="43" t="s">
        <v>2827</v>
      </c>
      <c r="B225" s="44" t="s">
        <v>2835</v>
      </c>
      <c r="C225" s="45" t="s">
        <v>122</v>
      </c>
      <c r="D225" s="45" t="s">
        <v>123</v>
      </c>
      <c r="E225" s="45" t="s">
        <v>124</v>
      </c>
      <c r="F225" s="118">
        <v>5371.9</v>
      </c>
      <c r="G225" s="119">
        <v>1128.1000000000001</v>
      </c>
      <c r="H225" s="118">
        <v>6500</v>
      </c>
    </row>
    <row r="226" spans="1:8">
      <c r="A226" s="43" t="s">
        <v>2827</v>
      </c>
      <c r="B226" s="44" t="s">
        <v>2836</v>
      </c>
      <c r="C226" s="45" t="s">
        <v>122</v>
      </c>
      <c r="D226" s="45" t="s">
        <v>123</v>
      </c>
      <c r="E226" s="45" t="s">
        <v>124</v>
      </c>
      <c r="F226" s="118">
        <v>10743.8</v>
      </c>
      <c r="G226" s="119">
        <v>2256.2000000000003</v>
      </c>
      <c r="H226" s="118">
        <v>13000</v>
      </c>
    </row>
    <row r="227" spans="1:8">
      <c r="A227" s="43" t="s">
        <v>2827</v>
      </c>
      <c r="B227" s="44" t="s">
        <v>2837</v>
      </c>
      <c r="C227" s="45" t="s">
        <v>122</v>
      </c>
      <c r="D227" s="45" t="s">
        <v>123</v>
      </c>
      <c r="E227" s="45" t="s">
        <v>124</v>
      </c>
      <c r="F227" s="118">
        <v>3140.5</v>
      </c>
      <c r="G227" s="119">
        <v>659.5</v>
      </c>
      <c r="H227" s="118">
        <v>3800</v>
      </c>
    </row>
    <row r="228" spans="1:8">
      <c r="A228" s="43" t="s">
        <v>2827</v>
      </c>
      <c r="B228" s="44" t="s">
        <v>2838</v>
      </c>
      <c r="C228" s="45" t="s">
        <v>122</v>
      </c>
      <c r="D228" s="45" t="s">
        <v>123</v>
      </c>
      <c r="E228" s="45" t="s">
        <v>124</v>
      </c>
      <c r="F228" s="118">
        <v>25206.61</v>
      </c>
      <c r="G228" s="119">
        <v>5293.39</v>
      </c>
      <c r="H228" s="118">
        <v>30500</v>
      </c>
    </row>
    <row r="229" spans="1:8">
      <c r="A229" s="43" t="s">
        <v>2827</v>
      </c>
      <c r="B229" s="44" t="s">
        <v>2839</v>
      </c>
      <c r="C229" s="45" t="s">
        <v>122</v>
      </c>
      <c r="D229" s="45" t="s">
        <v>123</v>
      </c>
      <c r="E229" s="45" t="s">
        <v>124</v>
      </c>
      <c r="F229" s="118">
        <v>3925.62</v>
      </c>
      <c r="G229" s="119">
        <v>824.38</v>
      </c>
      <c r="H229" s="118">
        <v>4750</v>
      </c>
    </row>
    <row r="230" spans="1:8">
      <c r="A230" s="43" t="s">
        <v>2827</v>
      </c>
      <c r="B230" s="44" t="s">
        <v>2840</v>
      </c>
      <c r="C230" s="45" t="s">
        <v>122</v>
      </c>
      <c r="D230" s="45" t="s">
        <v>123</v>
      </c>
      <c r="E230" s="45" t="s">
        <v>124</v>
      </c>
      <c r="F230" s="118">
        <v>8512.4</v>
      </c>
      <c r="G230" s="119">
        <v>1787.6</v>
      </c>
      <c r="H230" s="118">
        <v>10300</v>
      </c>
    </row>
    <row r="231" spans="1:8">
      <c r="A231" s="43" t="s">
        <v>2827</v>
      </c>
      <c r="B231" s="44" t="s">
        <v>2841</v>
      </c>
      <c r="C231" s="45" t="s">
        <v>122</v>
      </c>
      <c r="D231" s="45" t="s">
        <v>123</v>
      </c>
      <c r="E231" s="45" t="s">
        <v>124</v>
      </c>
      <c r="F231" s="118">
        <v>909.09</v>
      </c>
      <c r="G231" s="119">
        <v>190.91</v>
      </c>
      <c r="H231" s="118">
        <v>1100</v>
      </c>
    </row>
    <row r="232" spans="1:8">
      <c r="A232" s="43" t="s">
        <v>2827</v>
      </c>
      <c r="B232" s="44" t="s">
        <v>2842</v>
      </c>
      <c r="C232" s="45" t="s">
        <v>122</v>
      </c>
      <c r="D232" s="45" t="s">
        <v>123</v>
      </c>
      <c r="E232" s="45" t="s">
        <v>124</v>
      </c>
      <c r="F232" s="118">
        <v>3016.53</v>
      </c>
      <c r="G232" s="119">
        <v>633.47</v>
      </c>
      <c r="H232" s="118">
        <v>3650</v>
      </c>
    </row>
    <row r="233" spans="1:8">
      <c r="A233" s="43" t="s">
        <v>2859</v>
      </c>
      <c r="B233" s="44" t="s">
        <v>2860</v>
      </c>
      <c r="C233" s="45" t="s">
        <v>122</v>
      </c>
      <c r="D233" s="45" t="s">
        <v>123</v>
      </c>
      <c r="E233" s="45" t="s">
        <v>124</v>
      </c>
      <c r="F233" s="118">
        <v>7140.5</v>
      </c>
      <c r="G233" s="119">
        <v>1499.5</v>
      </c>
      <c r="H233" s="118">
        <v>8640</v>
      </c>
    </row>
    <row r="234" spans="1:8">
      <c r="A234" s="43" t="s">
        <v>2859</v>
      </c>
      <c r="B234" s="44" t="s">
        <v>2861</v>
      </c>
      <c r="C234" s="45" t="s">
        <v>122</v>
      </c>
      <c r="D234" s="45" t="s">
        <v>123</v>
      </c>
      <c r="E234" s="45" t="s">
        <v>124</v>
      </c>
      <c r="F234" s="118">
        <v>13884.3</v>
      </c>
      <c r="G234" s="119">
        <v>2915.7</v>
      </c>
      <c r="H234" s="118">
        <v>16800</v>
      </c>
    </row>
    <row r="235" spans="1:8">
      <c r="A235" s="43" t="s">
        <v>2859</v>
      </c>
      <c r="B235" s="44" t="s">
        <v>2862</v>
      </c>
      <c r="C235" s="45" t="s">
        <v>122</v>
      </c>
      <c r="D235" s="45" t="s">
        <v>123</v>
      </c>
      <c r="E235" s="45" t="s">
        <v>124</v>
      </c>
      <c r="F235" s="118">
        <v>3925.62</v>
      </c>
      <c r="G235" s="119">
        <v>824.38</v>
      </c>
      <c r="H235" s="118">
        <v>4750</v>
      </c>
    </row>
    <row r="236" spans="1:8">
      <c r="A236" s="43" t="s">
        <v>2859</v>
      </c>
      <c r="B236" s="44" t="s">
        <v>2863</v>
      </c>
      <c r="C236" s="45" t="s">
        <v>122</v>
      </c>
      <c r="D236" s="45" t="s">
        <v>123</v>
      </c>
      <c r="E236" s="45" t="s">
        <v>124</v>
      </c>
      <c r="F236" s="118">
        <v>15578.51</v>
      </c>
      <c r="G236" s="119">
        <v>3271.49</v>
      </c>
      <c r="H236" s="118">
        <v>18850</v>
      </c>
    </row>
    <row r="237" spans="1:8">
      <c r="A237" s="43" t="s">
        <v>2859</v>
      </c>
      <c r="B237" s="44" t="s">
        <v>2864</v>
      </c>
      <c r="C237" s="45" t="s">
        <v>122</v>
      </c>
      <c r="D237" s="45" t="s">
        <v>123</v>
      </c>
      <c r="E237" s="45" t="s">
        <v>124</v>
      </c>
      <c r="F237" s="118">
        <v>4132.2300000000005</v>
      </c>
      <c r="G237" s="119">
        <v>867.77</v>
      </c>
      <c r="H237" s="118">
        <v>5000</v>
      </c>
    </row>
    <row r="238" spans="1:8">
      <c r="A238" s="43" t="s">
        <v>2859</v>
      </c>
      <c r="B238" s="44" t="s">
        <v>2865</v>
      </c>
      <c r="C238" s="45" t="s">
        <v>122</v>
      </c>
      <c r="D238" s="45" t="s">
        <v>123</v>
      </c>
      <c r="E238" s="45" t="s">
        <v>124</v>
      </c>
      <c r="F238" s="118">
        <v>6942.15</v>
      </c>
      <c r="G238" s="119">
        <v>1457.85</v>
      </c>
      <c r="H238" s="118">
        <v>8400</v>
      </c>
    </row>
    <row r="239" spans="1:8">
      <c r="A239" s="43" t="s">
        <v>2859</v>
      </c>
      <c r="B239" s="44" t="s">
        <v>2866</v>
      </c>
      <c r="C239" s="45" t="s">
        <v>122</v>
      </c>
      <c r="D239" s="45" t="s">
        <v>123</v>
      </c>
      <c r="E239" s="45" t="s">
        <v>124</v>
      </c>
      <c r="F239" s="118">
        <v>7851.24</v>
      </c>
      <c r="G239" s="119">
        <v>1648.76</v>
      </c>
      <c r="H239" s="118">
        <v>9500</v>
      </c>
    </row>
    <row r="240" spans="1:8">
      <c r="A240" s="43" t="s">
        <v>2859</v>
      </c>
      <c r="B240" s="44" t="s">
        <v>2867</v>
      </c>
      <c r="C240" s="45" t="s">
        <v>122</v>
      </c>
      <c r="D240" s="45" t="s">
        <v>123</v>
      </c>
      <c r="E240" s="45" t="s">
        <v>124</v>
      </c>
      <c r="F240" s="118">
        <v>3719.01</v>
      </c>
      <c r="G240" s="119">
        <v>780.99</v>
      </c>
      <c r="H240" s="118">
        <v>4500</v>
      </c>
    </row>
    <row r="241" spans="1:8">
      <c r="A241" s="43" t="s">
        <v>2859</v>
      </c>
      <c r="B241" s="44" t="s">
        <v>2868</v>
      </c>
      <c r="C241" s="45" t="s">
        <v>122</v>
      </c>
      <c r="D241" s="45" t="s">
        <v>123</v>
      </c>
      <c r="E241" s="45" t="s">
        <v>124</v>
      </c>
      <c r="F241" s="118">
        <v>4132.2300000000005</v>
      </c>
      <c r="G241" s="119">
        <v>867.77</v>
      </c>
      <c r="H241" s="118">
        <v>5000</v>
      </c>
    </row>
    <row r="242" spans="1:8">
      <c r="A242" s="43" t="s">
        <v>2859</v>
      </c>
      <c r="B242" s="44" t="s">
        <v>2869</v>
      </c>
      <c r="C242" s="45" t="s">
        <v>122</v>
      </c>
      <c r="D242" s="45" t="s">
        <v>123</v>
      </c>
      <c r="E242" s="45" t="s">
        <v>124</v>
      </c>
      <c r="F242" s="118">
        <v>15702.48</v>
      </c>
      <c r="G242" s="119">
        <v>3297.52</v>
      </c>
      <c r="H242" s="118">
        <v>19000</v>
      </c>
    </row>
    <row r="243" spans="1:8">
      <c r="A243" s="43" t="s">
        <v>2859</v>
      </c>
      <c r="B243" s="44" t="s">
        <v>2870</v>
      </c>
      <c r="C243" s="45" t="s">
        <v>122</v>
      </c>
      <c r="D243" s="45" t="s">
        <v>123</v>
      </c>
      <c r="E243" s="45" t="s">
        <v>124</v>
      </c>
      <c r="F243" s="118">
        <v>710.74</v>
      </c>
      <c r="G243" s="119">
        <v>149.26</v>
      </c>
      <c r="H243" s="118">
        <v>860</v>
      </c>
    </row>
    <row r="244" spans="1:8">
      <c r="A244" s="43" t="s">
        <v>2859</v>
      </c>
      <c r="B244" s="44" t="s">
        <v>2871</v>
      </c>
      <c r="C244" s="45" t="s">
        <v>122</v>
      </c>
      <c r="D244" s="45" t="s">
        <v>123</v>
      </c>
      <c r="E244" s="45" t="s">
        <v>124</v>
      </c>
      <c r="F244" s="118">
        <v>3305.79</v>
      </c>
      <c r="G244" s="119">
        <v>694.21</v>
      </c>
      <c r="H244" s="118">
        <v>4000</v>
      </c>
    </row>
    <row r="245" spans="1:8">
      <c r="A245" s="43" t="s">
        <v>2859</v>
      </c>
      <c r="B245" s="44" t="s">
        <v>2872</v>
      </c>
      <c r="C245" s="45" t="s">
        <v>122</v>
      </c>
      <c r="D245" s="45" t="s">
        <v>123</v>
      </c>
      <c r="E245" s="45" t="s">
        <v>124</v>
      </c>
      <c r="F245" s="118">
        <v>4545.45</v>
      </c>
      <c r="G245" s="119">
        <v>954.55</v>
      </c>
      <c r="H245" s="118">
        <v>5500</v>
      </c>
    </row>
    <row r="246" spans="1:8">
      <c r="A246" s="43" t="s">
        <v>2859</v>
      </c>
      <c r="B246" s="44" t="s">
        <v>2873</v>
      </c>
      <c r="C246" s="45" t="s">
        <v>122</v>
      </c>
      <c r="D246" s="45" t="s">
        <v>123</v>
      </c>
      <c r="E246" s="45" t="s">
        <v>124</v>
      </c>
      <c r="F246" s="118">
        <v>3388.43</v>
      </c>
      <c r="G246" s="119">
        <v>711.57</v>
      </c>
      <c r="H246" s="118">
        <v>4100</v>
      </c>
    </row>
    <row r="247" spans="1:8">
      <c r="A247" s="43" t="s">
        <v>2859</v>
      </c>
      <c r="B247" s="44" t="s">
        <v>2874</v>
      </c>
      <c r="C247" s="45" t="s">
        <v>122</v>
      </c>
      <c r="D247" s="45" t="s">
        <v>123</v>
      </c>
      <c r="E247" s="45" t="s">
        <v>124</v>
      </c>
      <c r="F247" s="118">
        <v>6942.15</v>
      </c>
      <c r="G247" s="119">
        <v>1457.85</v>
      </c>
      <c r="H247" s="118">
        <v>8400</v>
      </c>
    </row>
    <row r="248" spans="1:8">
      <c r="A248" s="43" t="s">
        <v>2859</v>
      </c>
      <c r="B248" s="44" t="s">
        <v>2875</v>
      </c>
      <c r="C248" s="45" t="s">
        <v>2876</v>
      </c>
      <c r="D248" s="45" t="s">
        <v>123</v>
      </c>
      <c r="E248" s="45">
        <v>46989479</v>
      </c>
      <c r="F248" s="118">
        <v>5950.41</v>
      </c>
      <c r="G248" s="119">
        <v>1249.5899999999999</v>
      </c>
      <c r="H248" s="118">
        <v>7200</v>
      </c>
    </row>
    <row r="249" spans="1:8">
      <c r="A249" s="43" t="s">
        <v>2859</v>
      </c>
      <c r="B249" s="44" t="s">
        <v>2877</v>
      </c>
      <c r="C249" s="45" t="s">
        <v>2878</v>
      </c>
      <c r="D249" s="45" t="s">
        <v>123</v>
      </c>
      <c r="E249" s="45">
        <v>21493327</v>
      </c>
      <c r="F249" s="118">
        <v>5950.41</v>
      </c>
      <c r="G249" s="119">
        <v>1249.5899999999999</v>
      </c>
      <c r="H249" s="118">
        <v>7200</v>
      </c>
    </row>
    <row r="250" spans="1:8">
      <c r="A250" s="43" t="s">
        <v>2859</v>
      </c>
      <c r="B250" s="44" t="s">
        <v>2879</v>
      </c>
      <c r="C250" s="45" t="s">
        <v>122</v>
      </c>
      <c r="D250" s="45" t="s">
        <v>123</v>
      </c>
      <c r="E250" s="45" t="s">
        <v>124</v>
      </c>
      <c r="F250" s="118">
        <v>3305.79</v>
      </c>
      <c r="G250" s="119">
        <v>694.21</v>
      </c>
      <c r="H250" s="118">
        <v>4000</v>
      </c>
    </row>
    <row r="251" spans="1:8">
      <c r="A251" s="43" t="s">
        <v>2859</v>
      </c>
      <c r="B251" s="44" t="s">
        <v>2880</v>
      </c>
      <c r="C251" s="45" t="s">
        <v>122</v>
      </c>
      <c r="D251" s="45" t="s">
        <v>123</v>
      </c>
      <c r="E251" s="45" t="s">
        <v>124</v>
      </c>
      <c r="F251" s="118">
        <v>7851.24</v>
      </c>
      <c r="G251" s="119">
        <v>1648.76</v>
      </c>
      <c r="H251" s="118">
        <v>9500</v>
      </c>
    </row>
    <row r="252" spans="1:8">
      <c r="A252" s="43" t="s">
        <v>2887</v>
      </c>
      <c r="B252" s="44" t="s">
        <v>2888</v>
      </c>
      <c r="C252" s="45" t="s">
        <v>122</v>
      </c>
      <c r="D252" s="45" t="s">
        <v>123</v>
      </c>
      <c r="E252" s="45" t="s">
        <v>124</v>
      </c>
      <c r="F252" s="118">
        <v>5785.12</v>
      </c>
      <c r="G252" s="119">
        <v>1214.8800000000001</v>
      </c>
      <c r="H252" s="118">
        <v>7000</v>
      </c>
    </row>
    <row r="253" spans="1:8">
      <c r="A253" s="43" t="s">
        <v>2887</v>
      </c>
      <c r="B253" s="44" t="s">
        <v>2889</v>
      </c>
      <c r="C253" s="45" t="s">
        <v>122</v>
      </c>
      <c r="D253" s="45" t="s">
        <v>123</v>
      </c>
      <c r="E253" s="45" t="s">
        <v>124</v>
      </c>
      <c r="F253" s="118">
        <v>14462.81</v>
      </c>
      <c r="G253" s="119">
        <v>3037.19</v>
      </c>
      <c r="H253" s="118">
        <v>17500</v>
      </c>
    </row>
    <row r="254" spans="1:8">
      <c r="A254" s="43" t="s">
        <v>2887</v>
      </c>
      <c r="B254" s="44" t="s">
        <v>2890</v>
      </c>
      <c r="C254" s="45" t="s">
        <v>122</v>
      </c>
      <c r="D254" s="45" t="s">
        <v>123</v>
      </c>
      <c r="E254" s="45" t="s">
        <v>124</v>
      </c>
      <c r="F254" s="118">
        <v>10000</v>
      </c>
      <c r="G254" s="119">
        <v>2100</v>
      </c>
      <c r="H254" s="118">
        <v>12100</v>
      </c>
    </row>
    <row r="255" spans="1:8">
      <c r="A255" s="43" t="s">
        <v>2887</v>
      </c>
      <c r="B255" s="44" t="s">
        <v>2891</v>
      </c>
      <c r="C255" s="45" t="s">
        <v>122</v>
      </c>
      <c r="D255" s="45" t="s">
        <v>123</v>
      </c>
      <c r="E255" s="45" t="s">
        <v>124</v>
      </c>
      <c r="F255" s="118">
        <v>8099.17</v>
      </c>
      <c r="G255" s="119">
        <v>1700.83</v>
      </c>
      <c r="H255" s="118">
        <v>9800</v>
      </c>
    </row>
    <row r="256" spans="1:8">
      <c r="A256" s="43" t="s">
        <v>2887</v>
      </c>
      <c r="B256" s="44" t="s">
        <v>2892</v>
      </c>
      <c r="C256" s="45" t="s">
        <v>122</v>
      </c>
      <c r="D256" s="45" t="s">
        <v>123</v>
      </c>
      <c r="E256" s="45" t="s">
        <v>124</v>
      </c>
      <c r="F256" s="118">
        <v>4132.2300000000005</v>
      </c>
      <c r="G256" s="119">
        <v>867.77</v>
      </c>
      <c r="H256" s="118">
        <v>5000</v>
      </c>
    </row>
    <row r="257" spans="1:8">
      <c r="A257" s="43" t="s">
        <v>2887</v>
      </c>
      <c r="B257" s="44" t="s">
        <v>2893</v>
      </c>
      <c r="C257" s="45" t="s">
        <v>122</v>
      </c>
      <c r="D257" s="45" t="s">
        <v>123</v>
      </c>
      <c r="E257" s="45" t="s">
        <v>124</v>
      </c>
      <c r="F257" s="118">
        <v>19834.71</v>
      </c>
      <c r="G257" s="119">
        <v>4165.29</v>
      </c>
      <c r="H257" s="118">
        <v>24000</v>
      </c>
    </row>
    <row r="258" spans="1:8">
      <c r="A258" s="43" t="s">
        <v>2887</v>
      </c>
      <c r="B258" s="44" t="s">
        <v>2894</v>
      </c>
      <c r="C258" s="45" t="s">
        <v>122</v>
      </c>
      <c r="D258" s="45" t="s">
        <v>123</v>
      </c>
      <c r="E258" s="45" t="s">
        <v>124</v>
      </c>
      <c r="F258" s="118">
        <v>3057.85</v>
      </c>
      <c r="G258" s="119">
        <v>642.15</v>
      </c>
      <c r="H258" s="118">
        <v>3700</v>
      </c>
    </row>
    <row r="259" spans="1:8">
      <c r="A259" s="43" t="s">
        <v>2887</v>
      </c>
      <c r="B259" s="44" t="s">
        <v>2895</v>
      </c>
      <c r="C259" s="45" t="s">
        <v>122</v>
      </c>
      <c r="D259" s="45" t="s">
        <v>123</v>
      </c>
      <c r="E259" s="45" t="s">
        <v>124</v>
      </c>
      <c r="F259" s="118">
        <v>6942.15</v>
      </c>
      <c r="G259" s="119">
        <v>1457.85</v>
      </c>
      <c r="H259" s="118">
        <v>8400</v>
      </c>
    </row>
    <row r="260" spans="1:8">
      <c r="A260" s="43" t="s">
        <v>2887</v>
      </c>
      <c r="B260" s="44" t="s">
        <v>2896</v>
      </c>
      <c r="C260" s="45" t="s">
        <v>122</v>
      </c>
      <c r="D260" s="45" t="s">
        <v>123</v>
      </c>
      <c r="E260" s="45" t="s">
        <v>124</v>
      </c>
      <c r="F260" s="118">
        <v>13966.94</v>
      </c>
      <c r="G260" s="119">
        <v>2933.06</v>
      </c>
      <c r="H260" s="118">
        <v>16900</v>
      </c>
    </row>
    <row r="261" spans="1:8">
      <c r="A261" s="43" t="s">
        <v>2887</v>
      </c>
      <c r="B261" s="44" t="s">
        <v>2897</v>
      </c>
      <c r="C261" s="45" t="s">
        <v>122</v>
      </c>
      <c r="D261" s="45" t="s">
        <v>123</v>
      </c>
      <c r="E261" s="45" t="s">
        <v>124</v>
      </c>
      <c r="F261" s="118">
        <v>21652.89</v>
      </c>
      <c r="G261" s="119">
        <v>4547.1099999999997</v>
      </c>
      <c r="H261" s="118">
        <v>26200</v>
      </c>
    </row>
    <row r="262" spans="1:8">
      <c r="A262" s="43" t="s">
        <v>2887</v>
      </c>
      <c r="B262" s="44" t="s">
        <v>2898</v>
      </c>
      <c r="C262" s="45" t="s">
        <v>122</v>
      </c>
      <c r="D262" s="45" t="s">
        <v>123</v>
      </c>
      <c r="E262" s="45" t="s">
        <v>124</v>
      </c>
      <c r="F262" s="118">
        <v>7851.24</v>
      </c>
      <c r="G262" s="119">
        <v>1648.76</v>
      </c>
      <c r="H262" s="118">
        <v>9500</v>
      </c>
    </row>
    <row r="263" spans="1:8">
      <c r="A263" s="43" t="s">
        <v>2887</v>
      </c>
      <c r="B263" s="44" t="s">
        <v>2899</v>
      </c>
      <c r="C263" s="45" t="s">
        <v>122</v>
      </c>
      <c r="D263" s="45" t="s">
        <v>123</v>
      </c>
      <c r="E263" s="45" t="s">
        <v>124</v>
      </c>
      <c r="F263" s="118">
        <v>3016.53</v>
      </c>
      <c r="G263" s="119">
        <v>633.47</v>
      </c>
      <c r="H263" s="118">
        <v>3650</v>
      </c>
    </row>
    <row r="264" spans="1:8">
      <c r="A264" s="43" t="s">
        <v>2887</v>
      </c>
      <c r="B264" s="44" t="s">
        <v>2900</v>
      </c>
      <c r="C264" s="45" t="s">
        <v>122</v>
      </c>
      <c r="D264" s="45" t="s">
        <v>123</v>
      </c>
      <c r="E264" s="45" t="s">
        <v>124</v>
      </c>
      <c r="F264" s="118">
        <v>1115.7</v>
      </c>
      <c r="G264" s="119">
        <v>234.3</v>
      </c>
      <c r="H264" s="118">
        <v>1350</v>
      </c>
    </row>
    <row r="265" spans="1:8">
      <c r="A265" s="43" t="s">
        <v>2887</v>
      </c>
      <c r="B265" s="44" t="s">
        <v>2901</v>
      </c>
      <c r="C265" s="45" t="s">
        <v>122</v>
      </c>
      <c r="D265" s="45" t="s">
        <v>123</v>
      </c>
      <c r="E265" s="45" t="s">
        <v>124</v>
      </c>
      <c r="F265" s="118">
        <v>3628.1</v>
      </c>
      <c r="G265" s="119">
        <v>761.9</v>
      </c>
      <c r="H265" s="118">
        <v>4390</v>
      </c>
    </row>
    <row r="266" spans="1:8">
      <c r="A266" s="43" t="s">
        <v>2887</v>
      </c>
      <c r="B266" s="44" t="s">
        <v>2902</v>
      </c>
      <c r="C266" s="45" t="s">
        <v>122</v>
      </c>
      <c r="D266" s="45" t="s">
        <v>123</v>
      </c>
      <c r="E266" s="45" t="s">
        <v>124</v>
      </c>
      <c r="F266" s="118">
        <v>11322.31</v>
      </c>
      <c r="G266" s="119">
        <v>2377.69</v>
      </c>
      <c r="H266" s="118">
        <v>13700</v>
      </c>
    </row>
    <row r="267" spans="1:8">
      <c r="A267" s="43" t="s">
        <v>2887</v>
      </c>
      <c r="B267" s="44" t="s">
        <v>2903</v>
      </c>
      <c r="C267" s="45" t="s">
        <v>122</v>
      </c>
      <c r="D267" s="45" t="s">
        <v>123</v>
      </c>
      <c r="E267" s="45" t="s">
        <v>124</v>
      </c>
      <c r="F267" s="118">
        <v>14462.81</v>
      </c>
      <c r="G267" s="119">
        <v>3037.19</v>
      </c>
      <c r="H267" s="118">
        <v>17500</v>
      </c>
    </row>
    <row r="268" spans="1:8">
      <c r="A268" s="43" t="s">
        <v>2887</v>
      </c>
      <c r="B268" s="44" t="s">
        <v>2904</v>
      </c>
      <c r="C268" s="45" t="s">
        <v>122</v>
      </c>
      <c r="D268" s="45" t="s">
        <v>123</v>
      </c>
      <c r="E268" s="45" t="s">
        <v>124</v>
      </c>
      <c r="F268" s="118">
        <v>2479.34</v>
      </c>
      <c r="G268" s="119">
        <v>520.66</v>
      </c>
      <c r="H268" s="118">
        <v>3000</v>
      </c>
    </row>
    <row r="269" spans="1:8">
      <c r="A269" s="43" t="s">
        <v>2912</v>
      </c>
      <c r="B269" s="44" t="s">
        <v>2913</v>
      </c>
      <c r="C269" s="45" t="s">
        <v>122</v>
      </c>
      <c r="D269" s="45" t="s">
        <v>123</v>
      </c>
      <c r="E269" s="45" t="s">
        <v>124</v>
      </c>
      <c r="F269" s="118">
        <v>6363.64</v>
      </c>
      <c r="G269" s="119">
        <v>1336.36</v>
      </c>
      <c r="H269" s="118">
        <v>7700</v>
      </c>
    </row>
    <row r="270" spans="1:8">
      <c r="A270" s="43" t="s">
        <v>2912</v>
      </c>
      <c r="B270" s="44" t="s">
        <v>2914</v>
      </c>
      <c r="C270" s="45" t="s">
        <v>122</v>
      </c>
      <c r="D270" s="45" t="s">
        <v>123</v>
      </c>
      <c r="E270" s="45" t="s">
        <v>124</v>
      </c>
      <c r="F270" s="118">
        <v>4132.2300000000005</v>
      </c>
      <c r="G270" s="119">
        <v>867.77</v>
      </c>
      <c r="H270" s="118">
        <v>5000</v>
      </c>
    </row>
    <row r="271" spans="1:8">
      <c r="A271" s="43" t="s">
        <v>2912</v>
      </c>
      <c r="B271" s="44" t="s">
        <v>2915</v>
      </c>
      <c r="C271" s="45" t="s">
        <v>122</v>
      </c>
      <c r="D271" s="45" t="s">
        <v>123</v>
      </c>
      <c r="E271" s="45" t="s">
        <v>124</v>
      </c>
      <c r="F271" s="118">
        <v>7851.24</v>
      </c>
      <c r="G271" s="119">
        <v>1648.76</v>
      </c>
      <c r="H271" s="118">
        <v>9500</v>
      </c>
    </row>
    <row r="272" spans="1:8">
      <c r="A272" s="43" t="s">
        <v>2912</v>
      </c>
      <c r="B272" s="44" t="s">
        <v>2916</v>
      </c>
      <c r="C272" s="45" t="s">
        <v>122</v>
      </c>
      <c r="D272" s="45" t="s">
        <v>123</v>
      </c>
      <c r="E272" s="45" t="s">
        <v>124</v>
      </c>
      <c r="F272" s="118">
        <v>15041.32</v>
      </c>
      <c r="G272" s="119">
        <v>3158.68</v>
      </c>
      <c r="H272" s="118">
        <v>18200</v>
      </c>
    </row>
    <row r="273" spans="1:8">
      <c r="A273" s="43" t="s">
        <v>2912</v>
      </c>
      <c r="B273" s="44" t="s">
        <v>2917</v>
      </c>
      <c r="C273" s="45" t="s">
        <v>122</v>
      </c>
      <c r="D273" s="45" t="s">
        <v>123</v>
      </c>
      <c r="E273" s="45" t="s">
        <v>124</v>
      </c>
      <c r="F273" s="118">
        <v>4132.2300000000005</v>
      </c>
      <c r="G273" s="119">
        <v>867.77</v>
      </c>
      <c r="H273" s="118">
        <v>5000</v>
      </c>
    </row>
    <row r="274" spans="1:8">
      <c r="A274" s="43" t="s">
        <v>2912</v>
      </c>
      <c r="B274" s="44" t="s">
        <v>2918</v>
      </c>
      <c r="C274" s="45" t="s">
        <v>122</v>
      </c>
      <c r="D274" s="45" t="s">
        <v>123</v>
      </c>
      <c r="E274" s="45" t="s">
        <v>124</v>
      </c>
      <c r="F274" s="118">
        <v>6611.57</v>
      </c>
      <c r="G274" s="119">
        <v>1388.43</v>
      </c>
      <c r="H274" s="118">
        <v>8000</v>
      </c>
    </row>
    <row r="275" spans="1:8">
      <c r="A275" s="43" t="s">
        <v>2912</v>
      </c>
      <c r="B275" s="44" t="s">
        <v>2919</v>
      </c>
      <c r="C275" s="45" t="s">
        <v>122</v>
      </c>
      <c r="D275" s="45" t="s">
        <v>123</v>
      </c>
      <c r="E275" s="45" t="s">
        <v>124</v>
      </c>
      <c r="F275" s="118">
        <v>6033.06</v>
      </c>
      <c r="G275" s="119">
        <v>1266.94</v>
      </c>
      <c r="H275" s="118">
        <v>7300</v>
      </c>
    </row>
    <row r="276" spans="1:8">
      <c r="A276" s="43" t="s">
        <v>2912</v>
      </c>
      <c r="B276" s="44" t="s">
        <v>2920</v>
      </c>
      <c r="C276" s="45" t="s">
        <v>122</v>
      </c>
      <c r="D276" s="45" t="s">
        <v>123</v>
      </c>
      <c r="E276" s="45" t="s">
        <v>124</v>
      </c>
      <c r="F276" s="118">
        <v>4545.45</v>
      </c>
      <c r="G276" s="119">
        <v>954.55</v>
      </c>
      <c r="H276" s="118">
        <v>5500</v>
      </c>
    </row>
    <row r="277" spans="1:8">
      <c r="A277" s="43" t="s">
        <v>2912</v>
      </c>
      <c r="B277" s="44" t="s">
        <v>2921</v>
      </c>
      <c r="C277" s="45" t="s">
        <v>122</v>
      </c>
      <c r="D277" s="45" t="s">
        <v>123</v>
      </c>
      <c r="E277" s="45" t="s">
        <v>124</v>
      </c>
      <c r="F277" s="118">
        <v>3545.45</v>
      </c>
      <c r="G277" s="119">
        <v>744.55</v>
      </c>
      <c r="H277" s="118">
        <v>4290</v>
      </c>
    </row>
    <row r="278" spans="1:8">
      <c r="A278" s="43" t="s">
        <v>2912</v>
      </c>
      <c r="B278" s="44" t="s">
        <v>2922</v>
      </c>
      <c r="C278" s="45" t="s">
        <v>122</v>
      </c>
      <c r="D278" s="45" t="s">
        <v>123</v>
      </c>
      <c r="E278" s="45" t="s">
        <v>124</v>
      </c>
      <c r="F278" s="118">
        <v>7272.73</v>
      </c>
      <c r="G278" s="119">
        <v>1527.27</v>
      </c>
      <c r="H278" s="118">
        <v>8800</v>
      </c>
    </row>
    <row r="279" spans="1:8">
      <c r="A279" s="43" t="s">
        <v>2927</v>
      </c>
      <c r="B279" s="44" t="s">
        <v>2930</v>
      </c>
      <c r="C279" s="45" t="s">
        <v>122</v>
      </c>
      <c r="D279" s="45" t="s">
        <v>123</v>
      </c>
      <c r="E279" s="45" t="s">
        <v>124</v>
      </c>
      <c r="F279" s="118">
        <v>10495.87</v>
      </c>
      <c r="G279" s="119">
        <v>2204.13</v>
      </c>
      <c r="H279" s="118">
        <v>12700</v>
      </c>
    </row>
    <row r="280" spans="1:8">
      <c r="A280" s="43" t="s">
        <v>2927</v>
      </c>
      <c r="B280" s="44" t="s">
        <v>2931</v>
      </c>
      <c r="C280" s="45" t="s">
        <v>122</v>
      </c>
      <c r="D280" s="45" t="s">
        <v>123</v>
      </c>
      <c r="E280" s="45" t="s">
        <v>124</v>
      </c>
      <c r="F280" s="118">
        <v>3305.79</v>
      </c>
      <c r="G280" s="119">
        <v>694.21</v>
      </c>
      <c r="H280" s="118">
        <v>4000</v>
      </c>
    </row>
    <row r="281" spans="1:8">
      <c r="A281" s="43" t="s">
        <v>2927</v>
      </c>
      <c r="B281" s="44" t="s">
        <v>2932</v>
      </c>
      <c r="C281" s="45" t="s">
        <v>122</v>
      </c>
      <c r="D281" s="45" t="s">
        <v>123</v>
      </c>
      <c r="E281" s="45" t="s">
        <v>124</v>
      </c>
      <c r="F281" s="118">
        <v>6611.57</v>
      </c>
      <c r="G281" s="119">
        <v>1388.43</v>
      </c>
      <c r="H281" s="118">
        <v>8000</v>
      </c>
    </row>
    <row r="282" spans="1:8">
      <c r="A282" s="43" t="s">
        <v>2927</v>
      </c>
      <c r="B282" s="44" t="s">
        <v>2933</v>
      </c>
      <c r="C282" s="45" t="s">
        <v>122</v>
      </c>
      <c r="D282" s="45" t="s">
        <v>123</v>
      </c>
      <c r="E282" s="45" t="s">
        <v>124</v>
      </c>
      <c r="F282" s="118">
        <v>2066.12</v>
      </c>
      <c r="G282" s="119">
        <v>433.88</v>
      </c>
      <c r="H282" s="118">
        <v>2500</v>
      </c>
    </row>
    <row r="283" spans="1:8">
      <c r="A283" s="43" t="s">
        <v>2927</v>
      </c>
      <c r="B283" s="44" t="s">
        <v>2934</v>
      </c>
      <c r="C283" s="45" t="s">
        <v>122</v>
      </c>
      <c r="D283" s="45" t="s">
        <v>123</v>
      </c>
      <c r="E283" s="45" t="s">
        <v>124</v>
      </c>
      <c r="F283" s="118">
        <v>7851.24</v>
      </c>
      <c r="G283" s="119">
        <v>1648.76</v>
      </c>
      <c r="H283" s="118">
        <v>9500</v>
      </c>
    </row>
    <row r="284" spans="1:8">
      <c r="A284" s="43" t="s">
        <v>2927</v>
      </c>
      <c r="B284" s="44" t="s">
        <v>2935</v>
      </c>
      <c r="C284" s="45" t="s">
        <v>122</v>
      </c>
      <c r="D284" s="45" t="s">
        <v>123</v>
      </c>
      <c r="E284" s="45" t="s">
        <v>124</v>
      </c>
      <c r="F284" s="118">
        <v>6611.57</v>
      </c>
      <c r="G284" s="119">
        <v>1388.43</v>
      </c>
      <c r="H284" s="118">
        <v>8000</v>
      </c>
    </row>
    <row r="285" spans="1:8">
      <c r="A285" s="43" t="s">
        <v>2927</v>
      </c>
      <c r="B285" s="44" t="s">
        <v>2936</v>
      </c>
      <c r="C285" s="45" t="s">
        <v>122</v>
      </c>
      <c r="D285" s="45" t="s">
        <v>123</v>
      </c>
      <c r="E285" s="45" t="s">
        <v>124</v>
      </c>
      <c r="F285" s="118">
        <v>4876.03</v>
      </c>
      <c r="G285" s="119">
        <v>1023.97</v>
      </c>
      <c r="H285" s="118">
        <v>5900</v>
      </c>
    </row>
    <row r="286" spans="1:8">
      <c r="A286" s="43" t="s">
        <v>2927</v>
      </c>
      <c r="B286" s="44" t="s">
        <v>2937</v>
      </c>
      <c r="C286" s="45" t="s">
        <v>122</v>
      </c>
      <c r="D286" s="45" t="s">
        <v>123</v>
      </c>
      <c r="E286" s="45" t="s">
        <v>124</v>
      </c>
      <c r="F286" s="118">
        <v>8016.53</v>
      </c>
      <c r="G286" s="119">
        <v>1683.47</v>
      </c>
      <c r="H286" s="118">
        <v>9700</v>
      </c>
    </row>
    <row r="287" spans="1:8">
      <c r="A287" s="43" t="s">
        <v>2927</v>
      </c>
      <c r="B287" s="44" t="s">
        <v>2938</v>
      </c>
      <c r="C287" s="45" t="s">
        <v>122</v>
      </c>
      <c r="D287" s="45" t="s">
        <v>123</v>
      </c>
      <c r="E287" s="45" t="s">
        <v>124</v>
      </c>
      <c r="F287" s="118">
        <v>18016.53</v>
      </c>
      <c r="G287" s="119">
        <v>3783.47</v>
      </c>
      <c r="H287" s="118">
        <v>21800</v>
      </c>
    </row>
    <row r="288" spans="1:8">
      <c r="A288" s="43" t="s">
        <v>2927</v>
      </c>
      <c r="B288" s="44" t="s">
        <v>2939</v>
      </c>
      <c r="C288" s="45" t="s">
        <v>122</v>
      </c>
      <c r="D288" s="45" t="s">
        <v>123</v>
      </c>
      <c r="E288" s="45" t="s">
        <v>124</v>
      </c>
      <c r="F288" s="118">
        <v>5619.83</v>
      </c>
      <c r="G288" s="119">
        <v>1180.17</v>
      </c>
      <c r="H288" s="118">
        <v>6800</v>
      </c>
    </row>
    <row r="289" spans="1:8">
      <c r="A289" s="43" t="s">
        <v>2927</v>
      </c>
      <c r="B289" s="44" t="s">
        <v>2940</v>
      </c>
      <c r="C289" s="45" t="s">
        <v>122</v>
      </c>
      <c r="D289" s="45" t="s">
        <v>123</v>
      </c>
      <c r="E289" s="45" t="s">
        <v>124</v>
      </c>
      <c r="F289" s="118">
        <v>1652.89</v>
      </c>
      <c r="G289" s="119">
        <v>347.11</v>
      </c>
      <c r="H289" s="118">
        <v>2000</v>
      </c>
    </row>
    <row r="290" spans="1:8">
      <c r="A290" s="43" t="s">
        <v>2927</v>
      </c>
      <c r="B290" s="44" t="s">
        <v>2941</v>
      </c>
      <c r="C290" s="45" t="s">
        <v>122</v>
      </c>
      <c r="D290" s="45" t="s">
        <v>123</v>
      </c>
      <c r="E290" s="45" t="s">
        <v>124</v>
      </c>
      <c r="F290" s="118">
        <v>3471.07</v>
      </c>
      <c r="G290" s="119">
        <v>728.93</v>
      </c>
      <c r="H290" s="118">
        <v>4200</v>
      </c>
    </row>
    <row r="291" spans="1:8">
      <c r="A291" s="43" t="s">
        <v>2946</v>
      </c>
      <c r="B291" s="44" t="s">
        <v>2947</v>
      </c>
      <c r="C291" s="45" t="s">
        <v>122</v>
      </c>
      <c r="D291" s="45" t="s">
        <v>123</v>
      </c>
      <c r="E291" s="45" t="s">
        <v>124</v>
      </c>
      <c r="F291" s="118">
        <v>4876.03</v>
      </c>
      <c r="G291" s="119">
        <v>1023.97</v>
      </c>
      <c r="H291" s="118">
        <v>5900</v>
      </c>
    </row>
    <row r="292" spans="1:8">
      <c r="A292" s="43" t="s">
        <v>2946</v>
      </c>
      <c r="B292" s="44" t="s">
        <v>2948</v>
      </c>
      <c r="C292" s="45" t="s">
        <v>122</v>
      </c>
      <c r="D292" s="45" t="s">
        <v>123</v>
      </c>
      <c r="E292" s="45" t="s">
        <v>124</v>
      </c>
      <c r="F292" s="118">
        <v>4752.07</v>
      </c>
      <c r="G292" s="119">
        <v>997.93</v>
      </c>
      <c r="H292" s="118">
        <v>5750</v>
      </c>
    </row>
    <row r="293" spans="1:8">
      <c r="A293" s="43" t="s">
        <v>2946</v>
      </c>
      <c r="B293" s="44" t="s">
        <v>2949</v>
      </c>
      <c r="C293" s="45" t="s">
        <v>122</v>
      </c>
      <c r="D293" s="45" t="s">
        <v>123</v>
      </c>
      <c r="E293" s="45" t="s">
        <v>124</v>
      </c>
      <c r="F293" s="118">
        <v>3925.62</v>
      </c>
      <c r="G293" s="119">
        <v>824.38</v>
      </c>
      <c r="H293" s="118">
        <v>4750</v>
      </c>
    </row>
    <row r="294" spans="1:8">
      <c r="A294" s="43" t="s">
        <v>2946</v>
      </c>
      <c r="B294" s="44" t="s">
        <v>2950</v>
      </c>
      <c r="C294" s="45" t="s">
        <v>122</v>
      </c>
      <c r="D294" s="45" t="s">
        <v>123</v>
      </c>
      <c r="E294" s="45" t="s">
        <v>124</v>
      </c>
      <c r="F294" s="118">
        <v>8595.0400000000009</v>
      </c>
      <c r="G294" s="119">
        <v>1804.96</v>
      </c>
      <c r="H294" s="118">
        <v>10400</v>
      </c>
    </row>
    <row r="295" spans="1:8">
      <c r="A295" s="43" t="s">
        <v>2946</v>
      </c>
      <c r="B295" s="44" t="s">
        <v>2951</v>
      </c>
      <c r="C295" s="45" t="s">
        <v>122</v>
      </c>
      <c r="D295" s="45" t="s">
        <v>123</v>
      </c>
      <c r="E295" s="45" t="s">
        <v>124</v>
      </c>
      <c r="F295" s="118">
        <v>2727.27</v>
      </c>
      <c r="G295" s="119">
        <v>572.73</v>
      </c>
      <c r="H295" s="118">
        <v>3300</v>
      </c>
    </row>
    <row r="296" spans="1:8">
      <c r="A296" s="43" t="s">
        <v>2946</v>
      </c>
      <c r="B296" s="44" t="s">
        <v>2952</v>
      </c>
      <c r="C296" s="45" t="s">
        <v>122</v>
      </c>
      <c r="D296" s="45" t="s">
        <v>123</v>
      </c>
      <c r="E296" s="45" t="s">
        <v>124</v>
      </c>
      <c r="F296" s="118">
        <v>3305.79</v>
      </c>
      <c r="G296" s="119">
        <v>694.21</v>
      </c>
      <c r="H296" s="118">
        <v>4000</v>
      </c>
    </row>
    <row r="297" spans="1:8">
      <c r="A297" s="43" t="s">
        <v>2946</v>
      </c>
      <c r="B297" s="44" t="s">
        <v>2953</v>
      </c>
      <c r="C297" s="45" t="s">
        <v>122</v>
      </c>
      <c r="D297" s="45" t="s">
        <v>123</v>
      </c>
      <c r="E297" s="45" t="s">
        <v>124</v>
      </c>
      <c r="F297" s="118">
        <v>6942.15</v>
      </c>
      <c r="G297" s="119">
        <v>1457.85</v>
      </c>
      <c r="H297" s="118">
        <v>8400</v>
      </c>
    </row>
    <row r="298" spans="1:8">
      <c r="A298" s="43" t="s">
        <v>2946</v>
      </c>
      <c r="B298" s="44" t="s">
        <v>2954</v>
      </c>
      <c r="C298" s="45" t="s">
        <v>122</v>
      </c>
      <c r="D298" s="45" t="s">
        <v>123</v>
      </c>
      <c r="E298" s="45" t="s">
        <v>124</v>
      </c>
      <c r="F298" s="118">
        <v>1900.83</v>
      </c>
      <c r="G298" s="119">
        <v>399.17</v>
      </c>
      <c r="H298" s="118">
        <v>2300</v>
      </c>
    </row>
    <row r="299" spans="1:8">
      <c r="A299" s="43" t="s">
        <v>2946</v>
      </c>
      <c r="B299" s="44" t="s">
        <v>2955</v>
      </c>
      <c r="C299" s="45" t="s">
        <v>122</v>
      </c>
      <c r="D299" s="45" t="s">
        <v>123</v>
      </c>
      <c r="E299" s="45" t="s">
        <v>124</v>
      </c>
      <c r="F299" s="118">
        <v>4380.17</v>
      </c>
      <c r="G299" s="119">
        <v>919.83</v>
      </c>
      <c r="H299" s="118">
        <v>5300</v>
      </c>
    </row>
    <row r="300" spans="1:8">
      <c r="A300" s="43" t="s">
        <v>2946</v>
      </c>
      <c r="B300" s="44" t="s">
        <v>2956</v>
      </c>
      <c r="C300" s="45" t="s">
        <v>122</v>
      </c>
      <c r="D300" s="45" t="s">
        <v>123</v>
      </c>
      <c r="E300" s="45" t="s">
        <v>124</v>
      </c>
      <c r="F300" s="118">
        <v>4876.03</v>
      </c>
      <c r="G300" s="119">
        <v>1023.97</v>
      </c>
      <c r="H300" s="118">
        <v>5900</v>
      </c>
    </row>
    <row r="301" spans="1:8">
      <c r="A301" s="43" t="s">
        <v>2946</v>
      </c>
      <c r="B301" s="44" t="s">
        <v>2957</v>
      </c>
      <c r="C301" s="45" t="s">
        <v>122</v>
      </c>
      <c r="D301" s="45" t="s">
        <v>123</v>
      </c>
      <c r="E301" s="45" t="s">
        <v>124</v>
      </c>
      <c r="F301" s="118">
        <v>5537.19</v>
      </c>
      <c r="G301" s="119">
        <v>1162.81</v>
      </c>
      <c r="H301" s="118">
        <v>6700</v>
      </c>
    </row>
    <row r="302" spans="1:8">
      <c r="A302" s="43" t="s">
        <v>2946</v>
      </c>
      <c r="B302" s="44" t="s">
        <v>2958</v>
      </c>
      <c r="C302" s="45" t="s">
        <v>122</v>
      </c>
      <c r="D302" s="45" t="s">
        <v>123</v>
      </c>
      <c r="E302" s="45" t="s">
        <v>124</v>
      </c>
      <c r="F302" s="118">
        <v>3719.01</v>
      </c>
      <c r="G302" s="119">
        <v>780.99</v>
      </c>
      <c r="H302" s="118">
        <v>4500</v>
      </c>
    </row>
    <row r="303" spans="1:8">
      <c r="A303" s="43" t="s">
        <v>2946</v>
      </c>
      <c r="B303" s="44" t="s">
        <v>2959</v>
      </c>
      <c r="C303" s="45" t="s">
        <v>122</v>
      </c>
      <c r="D303" s="45" t="s">
        <v>123</v>
      </c>
      <c r="E303" s="45" t="s">
        <v>124</v>
      </c>
      <c r="F303" s="118">
        <v>4545.45</v>
      </c>
      <c r="G303" s="119">
        <v>954.55</v>
      </c>
      <c r="H303" s="118">
        <v>5500</v>
      </c>
    </row>
    <row r="304" spans="1:8">
      <c r="A304" s="43" t="s">
        <v>2965</v>
      </c>
      <c r="B304" s="44" t="s">
        <v>2966</v>
      </c>
      <c r="C304" s="45" t="s">
        <v>2967</v>
      </c>
      <c r="D304" s="45" t="s">
        <v>123</v>
      </c>
      <c r="E304" s="45">
        <v>27207904</v>
      </c>
      <c r="F304" s="118">
        <v>27933.88</v>
      </c>
      <c r="G304" s="119">
        <v>5866.12</v>
      </c>
      <c r="H304" s="118">
        <v>33800</v>
      </c>
    </row>
    <row r="305" spans="1:8">
      <c r="A305" s="43" t="s">
        <v>2965</v>
      </c>
      <c r="B305" s="44" t="s">
        <v>2968</v>
      </c>
      <c r="C305" s="45" t="s">
        <v>122</v>
      </c>
      <c r="D305" s="45" t="s">
        <v>123</v>
      </c>
      <c r="E305" s="45" t="s">
        <v>124</v>
      </c>
      <c r="F305" s="118">
        <v>7851.24</v>
      </c>
      <c r="G305" s="119">
        <v>1648.76</v>
      </c>
      <c r="H305" s="118">
        <v>9500</v>
      </c>
    </row>
    <row r="306" spans="1:8">
      <c r="A306" s="43" t="s">
        <v>2965</v>
      </c>
      <c r="B306" s="44" t="s">
        <v>2969</v>
      </c>
      <c r="C306" s="45" t="s">
        <v>122</v>
      </c>
      <c r="D306" s="45" t="s">
        <v>123</v>
      </c>
      <c r="E306" s="45" t="s">
        <v>124</v>
      </c>
      <c r="F306" s="118">
        <v>8264.4600000000009</v>
      </c>
      <c r="G306" s="119">
        <v>1735.54</v>
      </c>
      <c r="H306" s="118">
        <v>10000</v>
      </c>
    </row>
    <row r="307" spans="1:8">
      <c r="A307" s="43" t="s">
        <v>2965</v>
      </c>
      <c r="B307" s="44" t="s">
        <v>2970</v>
      </c>
      <c r="C307" s="45" t="s">
        <v>122</v>
      </c>
      <c r="D307" s="45" t="s">
        <v>123</v>
      </c>
      <c r="E307" s="45" t="s">
        <v>124</v>
      </c>
      <c r="F307" s="118">
        <v>16363.640000000001</v>
      </c>
      <c r="G307" s="119">
        <v>3436.36</v>
      </c>
      <c r="H307" s="118">
        <v>19800</v>
      </c>
    </row>
    <row r="308" spans="1:8">
      <c r="A308" s="43" t="s">
        <v>2965</v>
      </c>
      <c r="B308" s="44" t="s">
        <v>2971</v>
      </c>
      <c r="C308" s="45" t="s">
        <v>122</v>
      </c>
      <c r="D308" s="45" t="s">
        <v>123</v>
      </c>
      <c r="E308" s="45" t="s">
        <v>124</v>
      </c>
      <c r="F308" s="118">
        <v>12644.63</v>
      </c>
      <c r="G308" s="119">
        <v>2655.37</v>
      </c>
      <c r="H308" s="118">
        <v>15300</v>
      </c>
    </row>
    <row r="309" spans="1:8">
      <c r="A309" s="43" t="s">
        <v>2965</v>
      </c>
      <c r="B309" s="44" t="s">
        <v>2972</v>
      </c>
      <c r="C309" s="45" t="s">
        <v>122</v>
      </c>
      <c r="D309" s="45" t="s">
        <v>123</v>
      </c>
      <c r="E309" s="45" t="s">
        <v>124</v>
      </c>
      <c r="F309" s="118">
        <v>5371.9</v>
      </c>
      <c r="G309" s="119">
        <v>1128.1000000000001</v>
      </c>
      <c r="H309" s="118">
        <v>6500</v>
      </c>
    </row>
    <row r="310" spans="1:8">
      <c r="A310" s="43" t="s">
        <v>2965</v>
      </c>
      <c r="B310" s="44" t="s">
        <v>2973</v>
      </c>
      <c r="C310" s="45" t="s">
        <v>122</v>
      </c>
      <c r="D310" s="45" t="s">
        <v>123</v>
      </c>
      <c r="E310" s="45" t="s">
        <v>124</v>
      </c>
      <c r="F310" s="118">
        <v>9421.49</v>
      </c>
      <c r="G310" s="119">
        <v>1978.51</v>
      </c>
      <c r="H310" s="118">
        <v>11400</v>
      </c>
    </row>
    <row r="311" spans="1:8">
      <c r="A311" s="43" t="s">
        <v>2965</v>
      </c>
      <c r="B311" s="44" t="s">
        <v>2974</v>
      </c>
      <c r="C311" s="45" t="s">
        <v>122</v>
      </c>
      <c r="D311" s="45" t="s">
        <v>123</v>
      </c>
      <c r="E311" s="45" t="s">
        <v>124</v>
      </c>
      <c r="F311" s="118">
        <v>3140.5</v>
      </c>
      <c r="G311" s="119">
        <v>659.5</v>
      </c>
      <c r="H311" s="118">
        <v>3800</v>
      </c>
    </row>
    <row r="312" spans="1:8">
      <c r="A312" s="43" t="s">
        <v>2965</v>
      </c>
      <c r="B312" s="44" t="s">
        <v>2975</v>
      </c>
      <c r="C312" s="45" t="s">
        <v>122</v>
      </c>
      <c r="D312" s="45" t="s">
        <v>123</v>
      </c>
      <c r="E312" s="45" t="s">
        <v>124</v>
      </c>
      <c r="F312" s="118">
        <v>3925.62</v>
      </c>
      <c r="G312" s="119">
        <v>824.38</v>
      </c>
      <c r="H312" s="118">
        <v>4750</v>
      </c>
    </row>
    <row r="313" spans="1:8">
      <c r="A313" s="43" t="s">
        <v>2965</v>
      </c>
      <c r="B313" s="44" t="s">
        <v>2976</v>
      </c>
      <c r="C313" s="45" t="s">
        <v>122</v>
      </c>
      <c r="D313" s="45" t="s">
        <v>123</v>
      </c>
      <c r="E313" s="45" t="s">
        <v>124</v>
      </c>
      <c r="F313" s="118">
        <v>3925.62</v>
      </c>
      <c r="G313" s="119">
        <v>824.38</v>
      </c>
      <c r="H313" s="118">
        <v>4750</v>
      </c>
    </row>
    <row r="314" spans="1:8">
      <c r="A314" s="43" t="s">
        <v>2965</v>
      </c>
      <c r="B314" s="44" t="s">
        <v>2977</v>
      </c>
      <c r="C314" s="45" t="s">
        <v>122</v>
      </c>
      <c r="D314" s="45" t="s">
        <v>123</v>
      </c>
      <c r="E314" s="45" t="s">
        <v>124</v>
      </c>
      <c r="F314" s="118">
        <v>3925.62</v>
      </c>
      <c r="G314" s="119">
        <v>824.38</v>
      </c>
      <c r="H314" s="118">
        <v>4750</v>
      </c>
    </row>
    <row r="315" spans="1:8">
      <c r="A315" s="43" t="s">
        <v>2965</v>
      </c>
      <c r="B315" s="44" t="s">
        <v>2978</v>
      </c>
      <c r="C315" s="45" t="s">
        <v>122</v>
      </c>
      <c r="D315" s="45" t="s">
        <v>123</v>
      </c>
      <c r="E315" s="45" t="s">
        <v>124</v>
      </c>
      <c r="F315" s="118">
        <v>14462.81</v>
      </c>
      <c r="G315" s="119">
        <v>3037.19</v>
      </c>
      <c r="H315" s="118">
        <v>17500</v>
      </c>
    </row>
    <row r="316" spans="1:8">
      <c r="A316" s="43" t="s">
        <v>2965</v>
      </c>
      <c r="B316" s="44" t="s">
        <v>2979</v>
      </c>
      <c r="C316" s="45" t="s">
        <v>2980</v>
      </c>
      <c r="D316" s="45" t="s">
        <v>123</v>
      </c>
      <c r="E316" s="45">
        <v>21743468</v>
      </c>
      <c r="F316" s="118">
        <v>14462.81</v>
      </c>
      <c r="G316" s="119">
        <v>3037.19</v>
      </c>
      <c r="H316" s="118">
        <v>17500</v>
      </c>
    </row>
    <row r="317" spans="1:8">
      <c r="A317" s="43" t="s">
        <v>2965</v>
      </c>
      <c r="B317" s="44" t="s">
        <v>2981</v>
      </c>
      <c r="C317" s="45" t="s">
        <v>122</v>
      </c>
      <c r="D317" s="45" t="s">
        <v>123</v>
      </c>
      <c r="E317" s="45" t="s">
        <v>124</v>
      </c>
      <c r="F317" s="118">
        <v>8264.4600000000009</v>
      </c>
      <c r="G317" s="119">
        <v>1735.54</v>
      </c>
      <c r="H317" s="118">
        <v>10000</v>
      </c>
    </row>
    <row r="318" spans="1:8">
      <c r="A318" s="43" t="s">
        <v>2965</v>
      </c>
      <c r="B318" s="44" t="s">
        <v>2982</v>
      </c>
      <c r="C318" s="45" t="s">
        <v>122</v>
      </c>
      <c r="D318" s="45" t="s">
        <v>123</v>
      </c>
      <c r="E318" s="45" t="s">
        <v>124</v>
      </c>
      <c r="F318" s="118">
        <v>13223.14</v>
      </c>
      <c r="G318" s="119">
        <v>2776.86</v>
      </c>
      <c r="H318" s="118">
        <v>16000</v>
      </c>
    </row>
    <row r="319" spans="1:8">
      <c r="A319" s="43" t="s">
        <v>2965</v>
      </c>
      <c r="B319" s="44" t="s">
        <v>2983</v>
      </c>
      <c r="C319" s="45" t="s">
        <v>122</v>
      </c>
      <c r="D319" s="45" t="s">
        <v>123</v>
      </c>
      <c r="E319" s="45" t="s">
        <v>124</v>
      </c>
      <c r="F319" s="118">
        <v>3719.01</v>
      </c>
      <c r="G319" s="119">
        <v>780.99</v>
      </c>
      <c r="H319" s="118">
        <v>4500</v>
      </c>
    </row>
    <row r="320" spans="1:8">
      <c r="A320" s="43" t="s">
        <v>2984</v>
      </c>
      <c r="B320" s="44" t="s">
        <v>2985</v>
      </c>
      <c r="C320" s="45" t="s">
        <v>122</v>
      </c>
      <c r="D320" s="45" t="s">
        <v>123</v>
      </c>
      <c r="E320" s="45" t="s">
        <v>124</v>
      </c>
      <c r="F320" s="118">
        <v>4132.2300000000005</v>
      </c>
      <c r="G320" s="119">
        <v>867.77</v>
      </c>
      <c r="H320" s="118">
        <v>5000</v>
      </c>
    </row>
    <row r="321" spans="1:8">
      <c r="A321" s="43" t="s">
        <v>2984</v>
      </c>
      <c r="B321" s="44" t="s">
        <v>2986</v>
      </c>
      <c r="C321" s="45" t="s">
        <v>122</v>
      </c>
      <c r="D321" s="45" t="s">
        <v>123</v>
      </c>
      <c r="E321" s="45" t="s">
        <v>124</v>
      </c>
      <c r="F321" s="118">
        <v>9743.8000000000011</v>
      </c>
      <c r="G321" s="119">
        <v>2046.2</v>
      </c>
      <c r="H321" s="118">
        <v>11790</v>
      </c>
    </row>
    <row r="322" spans="1:8">
      <c r="A322" s="43" t="s">
        <v>2984</v>
      </c>
      <c r="B322" s="44" t="s">
        <v>2987</v>
      </c>
      <c r="C322" s="45" t="s">
        <v>122</v>
      </c>
      <c r="D322" s="45" t="s">
        <v>123</v>
      </c>
      <c r="E322" s="45" t="s">
        <v>124</v>
      </c>
      <c r="F322" s="118">
        <v>3719.01</v>
      </c>
      <c r="G322" s="119">
        <v>780.99</v>
      </c>
      <c r="H322" s="118">
        <v>4500</v>
      </c>
    </row>
    <row r="323" spans="1:8">
      <c r="A323" s="43" t="s">
        <v>2984</v>
      </c>
      <c r="B323" s="44" t="s">
        <v>2988</v>
      </c>
      <c r="C323" s="45" t="s">
        <v>122</v>
      </c>
      <c r="D323" s="45" t="s">
        <v>123</v>
      </c>
      <c r="E323" s="45" t="s">
        <v>124</v>
      </c>
      <c r="F323" s="118">
        <v>39471.07</v>
      </c>
      <c r="G323" s="119">
        <v>8288.93</v>
      </c>
      <c r="H323" s="118">
        <v>47760</v>
      </c>
    </row>
    <row r="324" spans="1:8">
      <c r="A324" s="43" t="s">
        <v>2984</v>
      </c>
      <c r="B324" s="44" t="s">
        <v>2989</v>
      </c>
      <c r="C324" s="45" t="s">
        <v>122</v>
      </c>
      <c r="D324" s="45" t="s">
        <v>123</v>
      </c>
      <c r="E324" s="45" t="s">
        <v>124</v>
      </c>
      <c r="F324" s="118">
        <v>10743.8</v>
      </c>
      <c r="G324" s="119">
        <v>2256.2000000000003</v>
      </c>
      <c r="H324" s="118">
        <v>13000</v>
      </c>
    </row>
    <row r="325" spans="1:8">
      <c r="A325" s="43" t="s">
        <v>2984</v>
      </c>
      <c r="B325" s="44" t="s">
        <v>2990</v>
      </c>
      <c r="C325" s="45" t="s">
        <v>122</v>
      </c>
      <c r="D325" s="45" t="s">
        <v>123</v>
      </c>
      <c r="E325" s="45" t="s">
        <v>124</v>
      </c>
      <c r="F325" s="118">
        <v>4545.45</v>
      </c>
      <c r="G325" s="119">
        <v>954.55</v>
      </c>
      <c r="H325" s="118">
        <v>5500</v>
      </c>
    </row>
    <row r="326" spans="1:8">
      <c r="A326" s="43" t="s">
        <v>2984</v>
      </c>
      <c r="B326" s="44" t="s">
        <v>2991</v>
      </c>
      <c r="C326" s="45" t="s">
        <v>122</v>
      </c>
      <c r="D326" s="45" t="s">
        <v>123</v>
      </c>
      <c r="E326" s="45" t="s">
        <v>124</v>
      </c>
      <c r="F326" s="118">
        <v>1983.47</v>
      </c>
      <c r="G326" s="119">
        <v>416.53</v>
      </c>
      <c r="H326" s="118">
        <v>2400</v>
      </c>
    </row>
    <row r="327" spans="1:8">
      <c r="A327" s="43" t="s">
        <v>2984</v>
      </c>
      <c r="B327" s="44" t="s">
        <v>2992</v>
      </c>
      <c r="C327" s="45" t="s">
        <v>122</v>
      </c>
      <c r="D327" s="45" t="s">
        <v>123</v>
      </c>
      <c r="E327" s="45" t="s">
        <v>124</v>
      </c>
      <c r="F327" s="118">
        <v>826.45</v>
      </c>
      <c r="G327" s="119">
        <v>173.55</v>
      </c>
      <c r="H327" s="118">
        <v>1000</v>
      </c>
    </row>
    <row r="328" spans="1:8">
      <c r="A328" s="43" t="s">
        <v>2984</v>
      </c>
      <c r="B328" s="44" t="s">
        <v>2993</v>
      </c>
      <c r="C328" s="45" t="s">
        <v>122</v>
      </c>
      <c r="D328" s="45" t="s">
        <v>123</v>
      </c>
      <c r="E328" s="45" t="s">
        <v>124</v>
      </c>
      <c r="F328" s="118">
        <v>4380.17</v>
      </c>
      <c r="G328" s="119">
        <v>919.83</v>
      </c>
      <c r="H328" s="118">
        <v>5300</v>
      </c>
    </row>
    <row r="329" spans="1:8">
      <c r="A329" s="43" t="s">
        <v>2984</v>
      </c>
      <c r="B329" s="44" t="s">
        <v>2994</v>
      </c>
      <c r="C329" s="45" t="s">
        <v>122</v>
      </c>
      <c r="D329" s="45" t="s">
        <v>123</v>
      </c>
      <c r="E329" s="45" t="s">
        <v>124</v>
      </c>
      <c r="F329" s="118">
        <v>4090.9100000000003</v>
      </c>
      <c r="G329" s="119">
        <v>859.09</v>
      </c>
      <c r="H329" s="118">
        <v>4950</v>
      </c>
    </row>
    <row r="330" spans="1:8">
      <c r="A330" s="43" t="s">
        <v>2984</v>
      </c>
      <c r="B330" s="44" t="s">
        <v>2995</v>
      </c>
      <c r="C330" s="45" t="s">
        <v>122</v>
      </c>
      <c r="D330" s="45" t="s">
        <v>123</v>
      </c>
      <c r="E330" s="45" t="s">
        <v>124</v>
      </c>
      <c r="F330" s="118">
        <v>7851.24</v>
      </c>
      <c r="G330" s="119">
        <v>1648.76</v>
      </c>
      <c r="H330" s="118">
        <v>9500</v>
      </c>
    </row>
    <row r="331" spans="1:8">
      <c r="A331" s="43" t="s">
        <v>3000</v>
      </c>
      <c r="B331" s="44" t="s">
        <v>3001</v>
      </c>
      <c r="C331" s="45" t="s">
        <v>122</v>
      </c>
      <c r="D331" s="45" t="s">
        <v>123</v>
      </c>
      <c r="E331" s="45" t="s">
        <v>124</v>
      </c>
      <c r="F331" s="118">
        <v>11066.12</v>
      </c>
      <c r="G331" s="119">
        <v>2323.88</v>
      </c>
      <c r="H331" s="118">
        <v>13390</v>
      </c>
    </row>
    <row r="332" spans="1:8">
      <c r="A332" s="43" t="s">
        <v>3000</v>
      </c>
      <c r="B332" s="44" t="s">
        <v>3002</v>
      </c>
      <c r="C332" s="45" t="s">
        <v>122</v>
      </c>
      <c r="D332" s="45" t="s">
        <v>123</v>
      </c>
      <c r="E332" s="45" t="s">
        <v>124</v>
      </c>
      <c r="F332" s="118">
        <v>49090.91</v>
      </c>
      <c r="G332" s="119">
        <v>10309.09</v>
      </c>
      <c r="H332" s="118">
        <v>59400</v>
      </c>
    </row>
    <row r="333" spans="1:8">
      <c r="A333" s="43" t="s">
        <v>3000</v>
      </c>
      <c r="B333" s="44" t="s">
        <v>3003</v>
      </c>
      <c r="C333" s="45" t="s">
        <v>122</v>
      </c>
      <c r="D333" s="45" t="s">
        <v>123</v>
      </c>
      <c r="E333" s="45" t="s">
        <v>124</v>
      </c>
      <c r="F333" s="118">
        <v>2892.56</v>
      </c>
      <c r="G333" s="119">
        <v>607.44000000000005</v>
      </c>
      <c r="H333" s="118">
        <v>3500</v>
      </c>
    </row>
    <row r="334" spans="1:8">
      <c r="A334" s="43" t="s">
        <v>3000</v>
      </c>
      <c r="B334" s="44" t="s">
        <v>3004</v>
      </c>
      <c r="C334" s="45" t="s">
        <v>122</v>
      </c>
      <c r="D334" s="45" t="s">
        <v>123</v>
      </c>
      <c r="E334" s="45" t="s">
        <v>124</v>
      </c>
      <c r="F334" s="118">
        <v>6942.15</v>
      </c>
      <c r="G334" s="119">
        <v>1457.85</v>
      </c>
      <c r="H334" s="118">
        <v>8400</v>
      </c>
    </row>
    <row r="335" spans="1:8">
      <c r="A335" s="43" t="s">
        <v>3000</v>
      </c>
      <c r="B335" s="44" t="s">
        <v>3005</v>
      </c>
      <c r="C335" s="45" t="s">
        <v>122</v>
      </c>
      <c r="D335" s="45" t="s">
        <v>123</v>
      </c>
      <c r="E335" s="45" t="s">
        <v>124</v>
      </c>
      <c r="F335" s="118">
        <v>6487.6</v>
      </c>
      <c r="G335" s="119">
        <v>1362.4</v>
      </c>
      <c r="H335" s="118">
        <v>7850</v>
      </c>
    </row>
    <row r="336" spans="1:8">
      <c r="A336" s="43" t="s">
        <v>3000</v>
      </c>
      <c r="B336" s="44" t="s">
        <v>3006</v>
      </c>
      <c r="C336" s="45" t="s">
        <v>122</v>
      </c>
      <c r="D336" s="45" t="s">
        <v>123</v>
      </c>
      <c r="E336" s="45" t="s">
        <v>124</v>
      </c>
      <c r="F336" s="118">
        <v>6942.15</v>
      </c>
      <c r="G336" s="119">
        <v>1457.85</v>
      </c>
      <c r="H336" s="118">
        <v>8400</v>
      </c>
    </row>
    <row r="337" spans="1:8">
      <c r="A337" s="43" t="s">
        <v>3000</v>
      </c>
      <c r="B337" s="44" t="s">
        <v>3007</v>
      </c>
      <c r="C337" s="45" t="s">
        <v>3008</v>
      </c>
      <c r="D337" s="45" t="s">
        <v>123</v>
      </c>
      <c r="E337" s="45">
        <v>58035832</v>
      </c>
      <c r="F337" s="118">
        <v>13884.3</v>
      </c>
      <c r="G337" s="119">
        <v>2915.7</v>
      </c>
      <c r="H337" s="118">
        <v>16800</v>
      </c>
    </row>
    <row r="338" spans="1:8">
      <c r="A338" s="43" t="s">
        <v>3000</v>
      </c>
      <c r="B338" s="44" t="s">
        <v>3009</v>
      </c>
      <c r="C338" s="45" t="s">
        <v>122</v>
      </c>
      <c r="D338" s="45" t="s">
        <v>123</v>
      </c>
      <c r="E338" s="45" t="s">
        <v>124</v>
      </c>
      <c r="F338" s="118">
        <v>1818.18</v>
      </c>
      <c r="G338" s="119">
        <v>381.82</v>
      </c>
      <c r="H338" s="118">
        <v>2200</v>
      </c>
    </row>
    <row r="339" spans="1:8">
      <c r="A339" s="43" t="s">
        <v>3000</v>
      </c>
      <c r="B339" s="44" t="s">
        <v>3010</v>
      </c>
      <c r="C339" s="45" t="s">
        <v>122</v>
      </c>
      <c r="D339" s="45" t="s">
        <v>123</v>
      </c>
      <c r="E339" s="45" t="s">
        <v>124</v>
      </c>
      <c r="F339" s="118">
        <v>12066.12</v>
      </c>
      <c r="G339" s="119">
        <v>2533.88</v>
      </c>
      <c r="H339" s="118">
        <v>14600</v>
      </c>
    </row>
    <row r="340" spans="1:8">
      <c r="A340" s="43" t="s">
        <v>3000</v>
      </c>
      <c r="B340" s="44" t="s">
        <v>3011</v>
      </c>
      <c r="C340" s="45" t="s">
        <v>122</v>
      </c>
      <c r="D340" s="45" t="s">
        <v>123</v>
      </c>
      <c r="E340" s="45" t="s">
        <v>124</v>
      </c>
      <c r="F340" s="118">
        <v>3016.53</v>
      </c>
      <c r="G340" s="119">
        <v>633.47</v>
      </c>
      <c r="H340" s="118">
        <v>3650</v>
      </c>
    </row>
    <row r="341" spans="1:8">
      <c r="A341" s="43" t="s">
        <v>3000</v>
      </c>
      <c r="B341" s="44" t="s">
        <v>3012</v>
      </c>
      <c r="C341" s="45" t="s">
        <v>122</v>
      </c>
      <c r="D341" s="45" t="s">
        <v>123</v>
      </c>
      <c r="E341" s="45" t="s">
        <v>124</v>
      </c>
      <c r="F341" s="118">
        <v>9504.130000000001</v>
      </c>
      <c r="G341" s="119">
        <v>1995.87</v>
      </c>
      <c r="H341" s="118">
        <v>11500</v>
      </c>
    </row>
    <row r="342" spans="1:8">
      <c r="A342" s="43" t="s">
        <v>3019</v>
      </c>
      <c r="B342" s="44" t="s">
        <v>3021</v>
      </c>
      <c r="C342" s="45" t="s">
        <v>122</v>
      </c>
      <c r="D342" s="45" t="s">
        <v>123</v>
      </c>
      <c r="E342" s="45" t="s">
        <v>124</v>
      </c>
      <c r="F342" s="118">
        <v>3925.62</v>
      </c>
      <c r="G342" s="119">
        <v>824.38</v>
      </c>
      <c r="H342" s="118">
        <v>4750</v>
      </c>
    </row>
    <row r="343" spans="1:8">
      <c r="A343" s="43" t="s">
        <v>3019</v>
      </c>
      <c r="B343" s="44" t="s">
        <v>3022</v>
      </c>
      <c r="C343" s="45" t="s">
        <v>122</v>
      </c>
      <c r="D343" s="45" t="s">
        <v>123</v>
      </c>
      <c r="E343" s="45" t="s">
        <v>124</v>
      </c>
      <c r="F343" s="118">
        <v>5537.19</v>
      </c>
      <c r="G343" s="119">
        <v>1162.81</v>
      </c>
      <c r="H343" s="118">
        <v>6700</v>
      </c>
    </row>
    <row r="344" spans="1:8">
      <c r="A344" s="43" t="s">
        <v>3019</v>
      </c>
      <c r="B344" s="44" t="s">
        <v>3023</v>
      </c>
      <c r="C344" s="45" t="s">
        <v>122</v>
      </c>
      <c r="D344" s="45" t="s">
        <v>123</v>
      </c>
      <c r="E344" s="45" t="s">
        <v>124</v>
      </c>
      <c r="F344" s="118">
        <v>5785.12</v>
      </c>
      <c r="G344" s="119">
        <v>1214.8800000000001</v>
      </c>
      <c r="H344" s="118">
        <v>7000</v>
      </c>
    </row>
    <row r="345" spans="1:8">
      <c r="A345" s="43" t="s">
        <v>3019</v>
      </c>
      <c r="B345" s="44" t="s">
        <v>3024</v>
      </c>
      <c r="C345" s="45" t="s">
        <v>122</v>
      </c>
      <c r="D345" s="45" t="s">
        <v>123</v>
      </c>
      <c r="E345" s="45" t="s">
        <v>124</v>
      </c>
      <c r="F345" s="118">
        <v>5785.12</v>
      </c>
      <c r="G345" s="119">
        <v>1214.8800000000001</v>
      </c>
      <c r="H345" s="118">
        <v>7000</v>
      </c>
    </row>
    <row r="346" spans="1:8">
      <c r="A346" s="43" t="s">
        <v>3019</v>
      </c>
      <c r="B346" s="44" t="s">
        <v>3025</v>
      </c>
      <c r="C346" s="45" t="s">
        <v>122</v>
      </c>
      <c r="D346" s="45" t="s">
        <v>123</v>
      </c>
      <c r="E346" s="45" t="s">
        <v>124</v>
      </c>
      <c r="F346" s="118">
        <v>4132.2300000000005</v>
      </c>
      <c r="G346" s="119">
        <v>867.77</v>
      </c>
      <c r="H346" s="118">
        <v>5000</v>
      </c>
    </row>
    <row r="347" spans="1:8">
      <c r="A347" s="43" t="s">
        <v>3019</v>
      </c>
      <c r="B347" s="44" t="s">
        <v>3026</v>
      </c>
      <c r="C347" s="45" t="s">
        <v>122</v>
      </c>
      <c r="D347" s="45" t="s">
        <v>123</v>
      </c>
      <c r="E347" s="45" t="s">
        <v>124</v>
      </c>
      <c r="F347" s="118">
        <v>6942.15</v>
      </c>
      <c r="G347" s="119">
        <v>1457.85</v>
      </c>
      <c r="H347" s="118">
        <v>8400</v>
      </c>
    </row>
    <row r="348" spans="1:8">
      <c r="A348" s="43" t="s">
        <v>3019</v>
      </c>
      <c r="B348" s="44" t="s">
        <v>3027</v>
      </c>
      <c r="C348" s="45" t="s">
        <v>122</v>
      </c>
      <c r="D348" s="45" t="s">
        <v>123</v>
      </c>
      <c r="E348" s="45" t="s">
        <v>124</v>
      </c>
      <c r="F348" s="118">
        <v>21652.89</v>
      </c>
      <c r="G348" s="119">
        <v>4547.1099999999997</v>
      </c>
      <c r="H348" s="118">
        <v>26200</v>
      </c>
    </row>
    <row r="349" spans="1:8">
      <c r="A349" s="43" t="s">
        <v>3019</v>
      </c>
      <c r="B349" s="44" t="s">
        <v>3028</v>
      </c>
      <c r="C349" s="45" t="s">
        <v>122</v>
      </c>
      <c r="D349" s="45" t="s">
        <v>123</v>
      </c>
      <c r="E349" s="45" t="s">
        <v>124</v>
      </c>
      <c r="F349" s="118">
        <v>10826.45</v>
      </c>
      <c r="G349" s="119">
        <v>2273.5500000000002</v>
      </c>
      <c r="H349" s="118">
        <v>13100</v>
      </c>
    </row>
    <row r="350" spans="1:8">
      <c r="A350" s="43" t="s">
        <v>3019</v>
      </c>
      <c r="B350" s="44" t="s">
        <v>3029</v>
      </c>
      <c r="C350" s="45" t="s">
        <v>122</v>
      </c>
      <c r="D350" s="45" t="s">
        <v>123</v>
      </c>
      <c r="E350" s="45" t="s">
        <v>124</v>
      </c>
      <c r="F350" s="118">
        <v>14280.99</v>
      </c>
      <c r="G350" s="119">
        <v>2999.01</v>
      </c>
      <c r="H350" s="118">
        <v>17280</v>
      </c>
    </row>
    <row r="351" spans="1:8">
      <c r="A351" s="43" t="s">
        <v>3019</v>
      </c>
      <c r="B351" s="44" t="s">
        <v>3030</v>
      </c>
      <c r="C351" s="45" t="s">
        <v>122</v>
      </c>
      <c r="D351" s="45" t="s">
        <v>123</v>
      </c>
      <c r="E351" s="45" t="s">
        <v>124</v>
      </c>
      <c r="F351" s="118">
        <v>15537.19</v>
      </c>
      <c r="G351" s="119">
        <v>3262.81</v>
      </c>
      <c r="H351" s="118">
        <v>18800</v>
      </c>
    </row>
    <row r="352" spans="1:8">
      <c r="A352" s="43" t="s">
        <v>3019</v>
      </c>
      <c r="B352" s="44" t="s">
        <v>3031</v>
      </c>
      <c r="C352" s="45" t="s">
        <v>122</v>
      </c>
      <c r="D352" s="45" t="s">
        <v>123</v>
      </c>
      <c r="E352" s="45" t="s">
        <v>124</v>
      </c>
      <c r="F352" s="118">
        <v>7851.24</v>
      </c>
      <c r="G352" s="119">
        <v>1648.76</v>
      </c>
      <c r="H352" s="118">
        <v>9500</v>
      </c>
    </row>
    <row r="353" spans="1:8">
      <c r="A353" s="43" t="s">
        <v>3019</v>
      </c>
      <c r="B353" s="44" t="s">
        <v>3032</v>
      </c>
      <c r="C353" s="45" t="s">
        <v>122</v>
      </c>
      <c r="D353" s="45" t="s">
        <v>123</v>
      </c>
      <c r="E353" s="45" t="s">
        <v>124</v>
      </c>
      <c r="F353" s="118">
        <v>9008.26</v>
      </c>
      <c r="G353" s="119">
        <v>1891.74</v>
      </c>
      <c r="H353" s="118">
        <v>10900</v>
      </c>
    </row>
    <row r="354" spans="1:8">
      <c r="A354" s="43" t="s">
        <v>3019</v>
      </c>
      <c r="B354" s="44" t="s">
        <v>3033</v>
      </c>
      <c r="C354" s="45" t="s">
        <v>3034</v>
      </c>
      <c r="D354" s="45" t="s">
        <v>123</v>
      </c>
      <c r="E354" s="45">
        <v>30034744</v>
      </c>
      <c r="F354" s="118">
        <v>13884.3</v>
      </c>
      <c r="G354" s="119">
        <v>2915.7</v>
      </c>
      <c r="H354" s="118">
        <v>16800</v>
      </c>
    </row>
    <row r="355" spans="1:8">
      <c r="A355" s="43" t="s">
        <v>3019</v>
      </c>
      <c r="B355" s="44" t="s">
        <v>3035</v>
      </c>
      <c r="C355" s="45" t="s">
        <v>122</v>
      </c>
      <c r="D355" s="45" t="s">
        <v>123</v>
      </c>
      <c r="E355" s="45" t="s">
        <v>124</v>
      </c>
      <c r="F355" s="118">
        <v>4132.2300000000005</v>
      </c>
      <c r="G355" s="119">
        <v>867.77</v>
      </c>
      <c r="H355" s="118">
        <v>5000</v>
      </c>
    </row>
    <row r="356" spans="1:8">
      <c r="A356" s="43" t="s">
        <v>3019</v>
      </c>
      <c r="B356" s="44" t="s">
        <v>3036</v>
      </c>
      <c r="C356" s="45" t="s">
        <v>122</v>
      </c>
      <c r="D356" s="45" t="s">
        <v>123</v>
      </c>
      <c r="E356" s="45" t="s">
        <v>124</v>
      </c>
      <c r="F356" s="118">
        <v>14876.03</v>
      </c>
      <c r="G356" s="119">
        <v>3123.97</v>
      </c>
      <c r="H356" s="118">
        <v>18000</v>
      </c>
    </row>
    <row r="357" spans="1:8">
      <c r="A357" s="43" t="s">
        <v>3019</v>
      </c>
      <c r="B357" s="44" t="s">
        <v>3037</v>
      </c>
      <c r="C357" s="45" t="s">
        <v>122</v>
      </c>
      <c r="D357" s="45" t="s">
        <v>123</v>
      </c>
      <c r="E357" s="45" t="s">
        <v>124</v>
      </c>
      <c r="F357" s="118">
        <v>10826.45</v>
      </c>
      <c r="G357" s="119">
        <v>2273.5500000000002</v>
      </c>
      <c r="H357" s="118">
        <v>13100</v>
      </c>
    </row>
    <row r="358" spans="1:8">
      <c r="A358" s="43" t="s">
        <v>3019</v>
      </c>
      <c r="B358" s="44" t="s">
        <v>3038</v>
      </c>
      <c r="C358" s="45" t="s">
        <v>122</v>
      </c>
      <c r="D358" s="45" t="s">
        <v>123</v>
      </c>
      <c r="E358" s="45" t="s">
        <v>124</v>
      </c>
      <c r="F358" s="118">
        <v>4132.2300000000005</v>
      </c>
      <c r="G358" s="119">
        <v>867.77</v>
      </c>
      <c r="H358" s="118">
        <v>5000</v>
      </c>
    </row>
    <row r="359" spans="1:8">
      <c r="A359" s="43" t="s">
        <v>3019</v>
      </c>
      <c r="B359" s="44" t="s">
        <v>3039</v>
      </c>
      <c r="C359" s="45" t="s">
        <v>122</v>
      </c>
      <c r="D359" s="45" t="s">
        <v>123</v>
      </c>
      <c r="E359" s="45" t="s">
        <v>124</v>
      </c>
      <c r="F359" s="118">
        <v>7851.24</v>
      </c>
      <c r="G359" s="119">
        <v>1648.76</v>
      </c>
      <c r="H359" s="118">
        <v>9500</v>
      </c>
    </row>
    <row r="360" spans="1:8">
      <c r="A360" s="43" t="s">
        <v>3019</v>
      </c>
      <c r="B360" s="44" t="s">
        <v>3040</v>
      </c>
      <c r="C360" s="45" t="s">
        <v>122</v>
      </c>
      <c r="D360" s="45" t="s">
        <v>123</v>
      </c>
      <c r="E360" s="45" t="s">
        <v>124</v>
      </c>
      <c r="F360" s="118">
        <v>6033.06</v>
      </c>
      <c r="G360" s="119">
        <v>1266.94</v>
      </c>
      <c r="H360" s="118">
        <v>7300</v>
      </c>
    </row>
    <row r="361" spans="1:8">
      <c r="A361" s="43" t="s">
        <v>3019</v>
      </c>
      <c r="B361" s="44" t="s">
        <v>3041</v>
      </c>
      <c r="C361" s="45" t="s">
        <v>3042</v>
      </c>
      <c r="D361" s="45" t="s">
        <v>123</v>
      </c>
      <c r="E361" s="45">
        <v>28377949</v>
      </c>
      <c r="F361" s="118">
        <v>6611.57</v>
      </c>
      <c r="G361" s="119">
        <v>1388.43</v>
      </c>
      <c r="H361" s="118">
        <v>8000</v>
      </c>
    </row>
    <row r="362" spans="1:8">
      <c r="A362" s="43" t="s">
        <v>3019</v>
      </c>
      <c r="B362" s="44" t="s">
        <v>3043</v>
      </c>
      <c r="C362" s="45" t="s">
        <v>122</v>
      </c>
      <c r="D362" s="45" t="s">
        <v>123</v>
      </c>
      <c r="E362" s="45" t="s">
        <v>124</v>
      </c>
      <c r="F362" s="118">
        <v>7107.44</v>
      </c>
      <c r="G362" s="119">
        <v>1492.56</v>
      </c>
      <c r="H362" s="118">
        <v>8600</v>
      </c>
    </row>
    <row r="363" spans="1:8">
      <c r="A363" s="43" t="s">
        <v>3019</v>
      </c>
      <c r="B363" s="44" t="s">
        <v>3044</v>
      </c>
      <c r="C363" s="45" t="s">
        <v>3045</v>
      </c>
      <c r="D363" s="45" t="s">
        <v>123</v>
      </c>
      <c r="E363" s="45">
        <v>95435912</v>
      </c>
      <c r="F363" s="118">
        <v>19338.84</v>
      </c>
      <c r="G363" s="119">
        <v>4061.1600000000003</v>
      </c>
      <c r="H363" s="118">
        <v>23400</v>
      </c>
    </row>
    <row r="364" spans="1:8">
      <c r="A364" s="43" t="s">
        <v>3049</v>
      </c>
      <c r="B364" s="44" t="s">
        <v>3050</v>
      </c>
      <c r="C364" s="45" t="s">
        <v>122</v>
      </c>
      <c r="D364" s="45" t="s">
        <v>123</v>
      </c>
      <c r="E364" s="45" t="s">
        <v>124</v>
      </c>
      <c r="F364" s="118">
        <v>10826.45</v>
      </c>
      <c r="G364" s="119">
        <v>2273.5500000000002</v>
      </c>
      <c r="H364" s="118">
        <v>13100</v>
      </c>
    </row>
    <row r="365" spans="1:8">
      <c r="A365" s="43" t="s">
        <v>3049</v>
      </c>
      <c r="B365" s="44" t="s">
        <v>3051</v>
      </c>
      <c r="C365" s="45" t="s">
        <v>122</v>
      </c>
      <c r="D365" s="45" t="s">
        <v>123</v>
      </c>
      <c r="E365" s="45" t="s">
        <v>124</v>
      </c>
      <c r="F365" s="118">
        <v>6942.15</v>
      </c>
      <c r="G365" s="119">
        <v>1457.85</v>
      </c>
      <c r="H365" s="118">
        <v>8400</v>
      </c>
    </row>
    <row r="366" spans="1:8">
      <c r="A366" s="43" t="s">
        <v>3049</v>
      </c>
      <c r="B366" s="44" t="s">
        <v>3052</v>
      </c>
      <c r="C366" s="45" t="s">
        <v>122</v>
      </c>
      <c r="D366" s="45" t="s">
        <v>123</v>
      </c>
      <c r="E366" s="45" t="s">
        <v>124</v>
      </c>
      <c r="F366" s="118">
        <v>3628.1</v>
      </c>
      <c r="G366" s="119">
        <v>761.9</v>
      </c>
      <c r="H366" s="118">
        <v>4390</v>
      </c>
    </row>
    <row r="367" spans="1:8">
      <c r="A367" s="43" t="s">
        <v>3049</v>
      </c>
      <c r="B367" s="44" t="s">
        <v>3053</v>
      </c>
      <c r="C367" s="45" t="s">
        <v>122</v>
      </c>
      <c r="D367" s="45" t="s">
        <v>123</v>
      </c>
      <c r="E367" s="45" t="s">
        <v>124</v>
      </c>
      <c r="F367" s="118">
        <v>6942.15</v>
      </c>
      <c r="G367" s="119">
        <v>1457.85</v>
      </c>
      <c r="H367" s="118">
        <v>8400</v>
      </c>
    </row>
    <row r="368" spans="1:8">
      <c r="A368" s="43" t="s">
        <v>3049</v>
      </c>
      <c r="B368" s="44" t="s">
        <v>3054</v>
      </c>
      <c r="C368" s="45" t="s">
        <v>122</v>
      </c>
      <c r="D368" s="45" t="s">
        <v>123</v>
      </c>
      <c r="E368" s="45" t="s">
        <v>124</v>
      </c>
      <c r="F368" s="118">
        <v>3719.01</v>
      </c>
      <c r="G368" s="119">
        <v>780.99</v>
      </c>
      <c r="H368" s="118">
        <v>4500</v>
      </c>
    </row>
    <row r="369" spans="1:8">
      <c r="A369" s="43" t="s">
        <v>3049</v>
      </c>
      <c r="B369" s="44" t="s">
        <v>3055</v>
      </c>
      <c r="C369" s="45" t="s">
        <v>122</v>
      </c>
      <c r="D369" s="45" t="s">
        <v>123</v>
      </c>
      <c r="E369" s="45" t="s">
        <v>124</v>
      </c>
      <c r="F369" s="118">
        <v>2066.12</v>
      </c>
      <c r="G369" s="119">
        <v>433.88</v>
      </c>
      <c r="H369" s="118">
        <v>2500</v>
      </c>
    </row>
    <row r="370" spans="1:8">
      <c r="A370" s="43" t="s">
        <v>3049</v>
      </c>
      <c r="B370" s="44" t="s">
        <v>3056</v>
      </c>
      <c r="C370" s="45" t="s">
        <v>3057</v>
      </c>
      <c r="D370" s="45" t="s">
        <v>123</v>
      </c>
      <c r="E370" s="45">
        <v>28694834</v>
      </c>
      <c r="F370" s="118">
        <v>11900.83</v>
      </c>
      <c r="G370" s="119">
        <v>2499.17</v>
      </c>
      <c r="H370" s="118">
        <v>14400</v>
      </c>
    </row>
    <row r="371" spans="1:8">
      <c r="A371" s="43" t="s">
        <v>3049</v>
      </c>
      <c r="B371" s="44" t="s">
        <v>3058</v>
      </c>
      <c r="C371" s="45" t="s">
        <v>122</v>
      </c>
      <c r="D371" s="45" t="s">
        <v>123</v>
      </c>
      <c r="E371" s="45" t="s">
        <v>124</v>
      </c>
      <c r="F371" s="118">
        <v>7851.24</v>
      </c>
      <c r="G371" s="119">
        <v>1648.76</v>
      </c>
      <c r="H371" s="118">
        <v>9500</v>
      </c>
    </row>
    <row r="372" spans="1:8">
      <c r="A372" s="43" t="s">
        <v>3049</v>
      </c>
      <c r="B372" s="44" t="s">
        <v>3059</v>
      </c>
      <c r="C372" s="45" t="s">
        <v>122</v>
      </c>
      <c r="D372" s="45" t="s">
        <v>123</v>
      </c>
      <c r="E372" s="45" t="s">
        <v>124</v>
      </c>
      <c r="F372" s="118">
        <v>7851.24</v>
      </c>
      <c r="G372" s="119">
        <v>1648.76</v>
      </c>
      <c r="H372" s="118">
        <v>9500</v>
      </c>
    </row>
    <row r="373" spans="1:8">
      <c r="A373" s="43" t="s">
        <v>3060</v>
      </c>
      <c r="B373" s="44" t="s">
        <v>3061</v>
      </c>
      <c r="C373" s="45" t="s">
        <v>122</v>
      </c>
      <c r="D373" s="45" t="s">
        <v>123</v>
      </c>
      <c r="E373" s="45" t="s">
        <v>124</v>
      </c>
      <c r="F373" s="118">
        <v>15826.44</v>
      </c>
      <c r="G373" s="119">
        <v>3323.56</v>
      </c>
      <c r="H373" s="118">
        <v>19150</v>
      </c>
    </row>
    <row r="374" spans="1:8">
      <c r="A374" s="43" t="s">
        <v>3060</v>
      </c>
      <c r="B374" s="44" t="s">
        <v>3062</v>
      </c>
      <c r="C374" s="45" t="s">
        <v>122</v>
      </c>
      <c r="D374" s="45" t="s">
        <v>123</v>
      </c>
      <c r="E374" s="45" t="s">
        <v>124</v>
      </c>
      <c r="F374" s="118">
        <v>4462.8100000000004</v>
      </c>
      <c r="G374" s="119">
        <v>937.19</v>
      </c>
      <c r="H374" s="118">
        <v>5400</v>
      </c>
    </row>
    <row r="375" spans="1:8">
      <c r="A375" s="43" t="s">
        <v>3060</v>
      </c>
      <c r="B375" s="44" t="s">
        <v>3063</v>
      </c>
      <c r="C375" s="45" t="s">
        <v>122</v>
      </c>
      <c r="D375" s="45" t="s">
        <v>123</v>
      </c>
      <c r="E375" s="45" t="s">
        <v>124</v>
      </c>
      <c r="F375" s="118">
        <v>12644.63</v>
      </c>
      <c r="G375" s="119">
        <v>2655.37</v>
      </c>
      <c r="H375" s="118">
        <v>15300</v>
      </c>
    </row>
    <row r="376" spans="1:8">
      <c r="A376" s="43" t="s">
        <v>3060</v>
      </c>
      <c r="B376" s="44" t="s">
        <v>3064</v>
      </c>
      <c r="C376" s="45" t="s">
        <v>3065</v>
      </c>
      <c r="D376" s="45" t="s">
        <v>123</v>
      </c>
      <c r="E376" s="45">
        <v>44881401</v>
      </c>
      <c r="F376" s="118">
        <v>12148.76</v>
      </c>
      <c r="G376" s="119">
        <v>2551.2400000000002</v>
      </c>
      <c r="H376" s="118">
        <v>14700</v>
      </c>
    </row>
    <row r="377" spans="1:8">
      <c r="A377" s="43" t="s">
        <v>3060</v>
      </c>
      <c r="B377" s="44" t="s">
        <v>3066</v>
      </c>
      <c r="C377" s="45" t="s">
        <v>122</v>
      </c>
      <c r="D377" s="45" t="s">
        <v>123</v>
      </c>
      <c r="E377" s="45" t="s">
        <v>124</v>
      </c>
      <c r="F377" s="118">
        <v>3719.01</v>
      </c>
      <c r="G377" s="119">
        <v>780.99</v>
      </c>
      <c r="H377" s="118">
        <v>4500</v>
      </c>
    </row>
    <row r="378" spans="1:8">
      <c r="A378" s="43" t="s">
        <v>3060</v>
      </c>
      <c r="B378" s="44" t="s">
        <v>3067</v>
      </c>
      <c r="C378" s="45" t="s">
        <v>122</v>
      </c>
      <c r="D378" s="45" t="s">
        <v>123</v>
      </c>
      <c r="E378" s="45" t="s">
        <v>124</v>
      </c>
      <c r="F378" s="118">
        <v>3925.62</v>
      </c>
      <c r="G378" s="119">
        <v>824.38</v>
      </c>
      <c r="H378" s="118">
        <v>4750</v>
      </c>
    </row>
    <row r="379" spans="1:8">
      <c r="A379" s="43" t="s">
        <v>3060</v>
      </c>
      <c r="B379" s="44" t="s">
        <v>3068</v>
      </c>
      <c r="C379" s="45" t="s">
        <v>122</v>
      </c>
      <c r="D379" s="45" t="s">
        <v>123</v>
      </c>
      <c r="E379" s="45" t="s">
        <v>124</v>
      </c>
      <c r="F379" s="118">
        <v>1239.67</v>
      </c>
      <c r="G379" s="119">
        <v>260.33</v>
      </c>
      <c r="H379" s="118">
        <v>1500</v>
      </c>
    </row>
    <row r="380" spans="1:8">
      <c r="A380" s="43" t="s">
        <v>3060</v>
      </c>
      <c r="B380" s="44" t="s">
        <v>3069</v>
      </c>
      <c r="C380" s="45" t="s">
        <v>122</v>
      </c>
      <c r="D380" s="45" t="s">
        <v>123</v>
      </c>
      <c r="E380" s="45" t="s">
        <v>124</v>
      </c>
      <c r="F380" s="118">
        <v>1652.89</v>
      </c>
      <c r="G380" s="119">
        <v>347.11</v>
      </c>
      <c r="H380" s="118">
        <v>2000</v>
      </c>
    </row>
    <row r="381" spans="1:8">
      <c r="A381" s="43" t="s">
        <v>3060</v>
      </c>
      <c r="B381" s="44" t="s">
        <v>3070</v>
      </c>
      <c r="C381" s="45" t="s">
        <v>122</v>
      </c>
      <c r="D381" s="45" t="s">
        <v>123</v>
      </c>
      <c r="E381" s="45" t="s">
        <v>124</v>
      </c>
      <c r="F381" s="118">
        <v>5685.95</v>
      </c>
      <c r="G381" s="119">
        <v>1194.05</v>
      </c>
      <c r="H381" s="118">
        <v>6880</v>
      </c>
    </row>
    <row r="382" spans="1:8">
      <c r="A382" s="43" t="s">
        <v>3060</v>
      </c>
      <c r="B382" s="44" t="s">
        <v>3071</v>
      </c>
      <c r="C382" s="45" t="s">
        <v>122</v>
      </c>
      <c r="D382" s="45" t="s">
        <v>123</v>
      </c>
      <c r="E382" s="45" t="s">
        <v>124</v>
      </c>
      <c r="F382" s="118">
        <v>7851.24</v>
      </c>
      <c r="G382" s="119">
        <v>1648.76</v>
      </c>
      <c r="H382" s="118">
        <v>9500</v>
      </c>
    </row>
    <row r="383" spans="1:8">
      <c r="A383" s="43" t="s">
        <v>3060</v>
      </c>
      <c r="B383" s="44" t="s">
        <v>3072</v>
      </c>
      <c r="C383" s="45" t="s">
        <v>122</v>
      </c>
      <c r="D383" s="45" t="s">
        <v>123</v>
      </c>
      <c r="E383" s="45" t="s">
        <v>124</v>
      </c>
      <c r="F383" s="118">
        <v>17355.37</v>
      </c>
      <c r="G383" s="119">
        <v>3644.63</v>
      </c>
      <c r="H383" s="118">
        <v>21000</v>
      </c>
    </row>
    <row r="384" spans="1:8">
      <c r="A384" s="43" t="s">
        <v>2588</v>
      </c>
      <c r="B384" s="44" t="s">
        <v>2608</v>
      </c>
      <c r="C384" s="45" t="s">
        <v>2609</v>
      </c>
      <c r="D384" s="45" t="s">
        <v>123</v>
      </c>
      <c r="E384" s="45">
        <v>50704670</v>
      </c>
      <c r="F384" s="118">
        <v>5950.41</v>
      </c>
      <c r="G384" s="119">
        <v>1249.5899999999999</v>
      </c>
      <c r="H384" s="118">
        <v>7200</v>
      </c>
    </row>
    <row r="385" spans="1:8">
      <c r="A385" s="43" t="s">
        <v>2588</v>
      </c>
      <c r="B385" s="44" t="s">
        <v>2610</v>
      </c>
      <c r="C385" s="45" t="s">
        <v>122</v>
      </c>
      <c r="D385" s="45" t="s">
        <v>123</v>
      </c>
      <c r="E385" s="45" t="s">
        <v>124</v>
      </c>
      <c r="F385" s="118">
        <v>25619.83</v>
      </c>
      <c r="G385" s="119">
        <v>5380.17</v>
      </c>
      <c r="H385" s="118">
        <v>31000</v>
      </c>
    </row>
    <row r="386" spans="1:8">
      <c r="A386" s="43" t="s">
        <v>2611</v>
      </c>
      <c r="B386" s="44" t="s">
        <v>2635</v>
      </c>
      <c r="C386" s="45" t="s">
        <v>337</v>
      </c>
      <c r="D386" s="45" t="s">
        <v>123</v>
      </c>
      <c r="E386" s="45">
        <v>4164120</v>
      </c>
      <c r="F386" s="118">
        <v>2826.45</v>
      </c>
      <c r="G386" s="119">
        <v>593.55000000000007</v>
      </c>
      <c r="H386" s="118">
        <v>3420</v>
      </c>
    </row>
    <row r="387" spans="1:8">
      <c r="A387" s="43" t="s">
        <v>2611</v>
      </c>
      <c r="B387" s="44" t="s">
        <v>2636</v>
      </c>
      <c r="C387" s="45" t="s">
        <v>1599</v>
      </c>
      <c r="D387" s="45" t="s">
        <v>123</v>
      </c>
      <c r="E387" s="45">
        <v>17814995</v>
      </c>
      <c r="F387" s="118">
        <v>13553.72</v>
      </c>
      <c r="G387" s="119">
        <v>2846.28</v>
      </c>
      <c r="H387" s="118">
        <v>16400</v>
      </c>
    </row>
    <row r="388" spans="1:8">
      <c r="A388" s="43" t="s">
        <v>2611</v>
      </c>
      <c r="B388" s="44" t="s">
        <v>2637</v>
      </c>
      <c r="C388" s="45" t="s">
        <v>275</v>
      </c>
      <c r="D388" s="45" t="s">
        <v>276</v>
      </c>
      <c r="E388" s="45">
        <v>30590354798</v>
      </c>
      <c r="F388" s="118">
        <v>357871.31</v>
      </c>
      <c r="G388" s="119">
        <v>75152.98</v>
      </c>
      <c r="H388" s="118">
        <v>433024.29</v>
      </c>
    </row>
    <row r="389" spans="1:8">
      <c r="A389" s="43" t="s">
        <v>2611</v>
      </c>
      <c r="B389" s="44" t="s">
        <v>2638</v>
      </c>
      <c r="C389" s="45" t="s">
        <v>2639</v>
      </c>
      <c r="D389" s="45" t="s">
        <v>123</v>
      </c>
      <c r="E389" s="45">
        <v>10373067</v>
      </c>
      <c r="F389" s="118">
        <v>29132.240000000002</v>
      </c>
      <c r="G389" s="119">
        <v>6117.76</v>
      </c>
      <c r="H389" s="118">
        <v>35250</v>
      </c>
    </row>
    <row r="390" spans="1:8">
      <c r="A390" s="43" t="s">
        <v>2611</v>
      </c>
      <c r="B390" s="44" t="s">
        <v>2640</v>
      </c>
      <c r="C390" s="45" t="s">
        <v>2641</v>
      </c>
      <c r="D390" s="45" t="s">
        <v>123</v>
      </c>
      <c r="E390" s="45">
        <v>18883368</v>
      </c>
      <c r="F390" s="118">
        <v>9090.91</v>
      </c>
      <c r="G390" s="119">
        <v>1909.09</v>
      </c>
      <c r="H390" s="118">
        <v>11000</v>
      </c>
    </row>
    <row r="391" spans="1:8">
      <c r="A391" s="43" t="s">
        <v>2656</v>
      </c>
      <c r="B391" s="44" t="s">
        <v>2682</v>
      </c>
      <c r="C391" s="45" t="s">
        <v>1547</v>
      </c>
      <c r="D391" s="45" t="s">
        <v>123</v>
      </c>
      <c r="E391" s="45">
        <v>14547747</v>
      </c>
      <c r="F391" s="118">
        <v>8264.4600000000009</v>
      </c>
      <c r="G391" s="119">
        <v>1735.54</v>
      </c>
      <c r="H391" s="118">
        <v>10000</v>
      </c>
    </row>
    <row r="392" spans="1:8">
      <c r="A392" s="43" t="s">
        <v>2656</v>
      </c>
      <c r="B392" s="44" t="s">
        <v>2683</v>
      </c>
      <c r="C392" s="45" t="s">
        <v>350</v>
      </c>
      <c r="D392" s="45" t="s">
        <v>123</v>
      </c>
      <c r="E392" s="45">
        <v>21645724</v>
      </c>
      <c r="F392" s="118">
        <v>9917.36</v>
      </c>
      <c r="G392" s="119">
        <v>2082.64</v>
      </c>
      <c r="H392" s="118">
        <v>12000</v>
      </c>
    </row>
    <row r="393" spans="1:8">
      <c r="A393" s="43" t="s">
        <v>2656</v>
      </c>
      <c r="B393" s="44" t="s">
        <v>2684</v>
      </c>
      <c r="C393" s="45" t="s">
        <v>362</v>
      </c>
      <c r="D393" s="45" t="s">
        <v>123</v>
      </c>
      <c r="E393" s="45">
        <v>3192296</v>
      </c>
      <c r="F393" s="118">
        <v>4958.68</v>
      </c>
      <c r="G393" s="119">
        <v>1041.32</v>
      </c>
      <c r="H393" s="118">
        <v>6000</v>
      </c>
    </row>
    <row r="394" spans="1:8">
      <c r="A394" s="43" t="s">
        <v>2656</v>
      </c>
      <c r="B394" s="44" t="s">
        <v>2685</v>
      </c>
      <c r="C394" s="45" t="s">
        <v>364</v>
      </c>
      <c r="D394" s="45" t="s">
        <v>123</v>
      </c>
      <c r="E394" s="45">
        <v>13211322</v>
      </c>
      <c r="F394" s="118">
        <v>4380.17</v>
      </c>
      <c r="G394" s="119">
        <v>919.83</v>
      </c>
      <c r="H394" s="118">
        <v>5300</v>
      </c>
    </row>
    <row r="395" spans="1:8">
      <c r="A395" s="43" t="s">
        <v>2686</v>
      </c>
      <c r="B395" s="44" t="s">
        <v>2701</v>
      </c>
      <c r="C395" s="45" t="s">
        <v>321</v>
      </c>
      <c r="D395" s="45" t="s">
        <v>123</v>
      </c>
      <c r="E395" s="45" t="s">
        <v>124</v>
      </c>
      <c r="F395" s="118">
        <v>2145.4499999999998</v>
      </c>
      <c r="G395" s="119">
        <v>450.55</v>
      </c>
      <c r="H395" s="118">
        <v>2596</v>
      </c>
    </row>
    <row r="396" spans="1:8">
      <c r="A396" s="43" t="s">
        <v>2686</v>
      </c>
      <c r="B396" s="44" t="s">
        <v>2702</v>
      </c>
      <c r="C396" s="45" t="s">
        <v>304</v>
      </c>
      <c r="D396" s="45" t="s">
        <v>123</v>
      </c>
      <c r="E396" s="45">
        <v>93354584</v>
      </c>
      <c r="F396" s="118">
        <v>6611.57</v>
      </c>
      <c r="G396" s="119">
        <v>1388.43</v>
      </c>
      <c r="H396" s="118">
        <v>8000</v>
      </c>
    </row>
    <row r="397" spans="1:8">
      <c r="A397" s="43" t="s">
        <v>2686</v>
      </c>
      <c r="B397" s="44" t="s">
        <v>2703</v>
      </c>
      <c r="C397" s="45" t="s">
        <v>884</v>
      </c>
      <c r="D397" s="45" t="s">
        <v>123</v>
      </c>
      <c r="E397" s="45">
        <v>17198648</v>
      </c>
      <c r="F397" s="118">
        <v>7438.02</v>
      </c>
      <c r="G397" s="119">
        <v>1561.98</v>
      </c>
      <c r="H397" s="118">
        <v>9000</v>
      </c>
    </row>
    <row r="398" spans="1:8">
      <c r="A398" s="43" t="s">
        <v>2686</v>
      </c>
      <c r="B398" s="44" t="s">
        <v>2704</v>
      </c>
      <c r="C398" s="45" t="s">
        <v>769</v>
      </c>
      <c r="D398" s="45" t="s">
        <v>123</v>
      </c>
      <c r="E398" s="45">
        <v>21363216</v>
      </c>
      <c r="F398" s="118">
        <v>6611.57</v>
      </c>
      <c r="G398" s="119">
        <v>1388.43</v>
      </c>
      <c r="H398" s="118">
        <v>8000</v>
      </c>
    </row>
    <row r="399" spans="1:8">
      <c r="A399" s="43" t="s">
        <v>2686</v>
      </c>
      <c r="B399" s="44" t="s">
        <v>2705</v>
      </c>
      <c r="C399" s="45" t="s">
        <v>321</v>
      </c>
      <c r="D399" s="45" t="s">
        <v>123</v>
      </c>
      <c r="E399" s="45" t="s">
        <v>124</v>
      </c>
      <c r="F399" s="118">
        <v>2140.4900000000002</v>
      </c>
      <c r="G399" s="119">
        <v>449.51</v>
      </c>
      <c r="H399" s="118">
        <v>2590</v>
      </c>
    </row>
    <row r="400" spans="1:8">
      <c r="A400" s="43" t="s">
        <v>2686</v>
      </c>
      <c r="B400" s="44" t="s">
        <v>2706</v>
      </c>
      <c r="C400" s="45" t="s">
        <v>884</v>
      </c>
      <c r="D400" s="45" t="s">
        <v>123</v>
      </c>
      <c r="E400" s="45">
        <v>17198648</v>
      </c>
      <c r="F400" s="118">
        <v>7438.02</v>
      </c>
      <c r="G400" s="119">
        <v>1561.98</v>
      </c>
      <c r="H400" s="118">
        <v>9000</v>
      </c>
    </row>
    <row r="401" spans="1:8">
      <c r="A401" s="43" t="s">
        <v>2686</v>
      </c>
      <c r="B401" s="44" t="s">
        <v>2707</v>
      </c>
      <c r="C401" s="45" t="s">
        <v>331</v>
      </c>
      <c r="D401" s="45" t="s">
        <v>276</v>
      </c>
      <c r="E401" s="45">
        <v>30685228501</v>
      </c>
      <c r="F401" s="118">
        <v>17355.37</v>
      </c>
      <c r="G401" s="119">
        <v>3644.63</v>
      </c>
      <c r="H401" s="118">
        <v>21000</v>
      </c>
    </row>
    <row r="402" spans="1:8">
      <c r="A402" s="43" t="s">
        <v>2708</v>
      </c>
      <c r="B402" s="44" t="s">
        <v>2741</v>
      </c>
      <c r="C402" s="45" t="s">
        <v>360</v>
      </c>
      <c r="D402" s="45" t="s">
        <v>123</v>
      </c>
      <c r="E402" s="45">
        <v>5804480</v>
      </c>
      <c r="F402" s="118">
        <v>5785.12</v>
      </c>
      <c r="G402" s="119">
        <v>1214.8800000000001</v>
      </c>
      <c r="H402" s="118">
        <v>7000</v>
      </c>
    </row>
    <row r="403" spans="1:8">
      <c r="A403" s="43" t="s">
        <v>2708</v>
      </c>
      <c r="B403" s="44" t="s">
        <v>2742</v>
      </c>
      <c r="C403" s="45" t="s">
        <v>772</v>
      </c>
      <c r="D403" s="45" t="s">
        <v>123</v>
      </c>
      <c r="E403" s="45">
        <v>705467</v>
      </c>
      <c r="F403" s="118">
        <v>5785.12</v>
      </c>
      <c r="G403" s="119">
        <v>1214.8800000000001</v>
      </c>
      <c r="H403" s="118">
        <v>7000</v>
      </c>
    </row>
    <row r="404" spans="1:8">
      <c r="A404" s="43" t="s">
        <v>2708</v>
      </c>
      <c r="B404" s="44" t="s">
        <v>2743</v>
      </c>
      <c r="C404" s="45" t="s">
        <v>775</v>
      </c>
      <c r="D404" s="45" t="s">
        <v>123</v>
      </c>
      <c r="E404" s="45">
        <v>20404430</v>
      </c>
      <c r="F404" s="118">
        <v>8264.4600000000009</v>
      </c>
      <c r="G404" s="119">
        <v>1735.54</v>
      </c>
      <c r="H404" s="118">
        <v>10000</v>
      </c>
    </row>
    <row r="405" spans="1:8">
      <c r="A405" s="43" t="s">
        <v>2708</v>
      </c>
      <c r="B405" s="44" t="s">
        <v>2744</v>
      </c>
      <c r="C405" s="45" t="s">
        <v>406</v>
      </c>
      <c r="D405" s="45" t="s">
        <v>123</v>
      </c>
      <c r="E405" s="45">
        <v>12791306</v>
      </c>
      <c r="F405" s="118">
        <v>8677.69</v>
      </c>
      <c r="G405" s="119">
        <v>1822.31</v>
      </c>
      <c r="H405" s="118">
        <v>10500</v>
      </c>
    </row>
    <row r="406" spans="1:8">
      <c r="A406" s="43" t="s">
        <v>2708</v>
      </c>
      <c r="B406" s="44" t="s">
        <v>2745</v>
      </c>
      <c r="C406" s="45" t="s">
        <v>765</v>
      </c>
      <c r="D406" s="45" t="s">
        <v>123</v>
      </c>
      <c r="E406" s="45">
        <v>56980</v>
      </c>
      <c r="F406" s="118">
        <v>4545.45</v>
      </c>
      <c r="G406" s="119">
        <v>954.55</v>
      </c>
      <c r="H406" s="118">
        <v>5500</v>
      </c>
    </row>
    <row r="407" spans="1:8">
      <c r="A407" s="43" t="s">
        <v>2708</v>
      </c>
      <c r="B407" s="44" t="s">
        <v>2746</v>
      </c>
      <c r="C407" s="45" t="s">
        <v>424</v>
      </c>
      <c r="D407" s="45" t="s">
        <v>123</v>
      </c>
      <c r="E407" s="45">
        <v>29654556</v>
      </c>
      <c r="F407" s="118">
        <v>9917.36</v>
      </c>
      <c r="G407" s="119">
        <v>2082.64</v>
      </c>
      <c r="H407" s="118">
        <v>12000</v>
      </c>
    </row>
    <row r="408" spans="1:8">
      <c r="A408" s="43" t="s">
        <v>2708</v>
      </c>
      <c r="B408" s="44" t="s">
        <v>2747</v>
      </c>
      <c r="C408" s="45" t="s">
        <v>314</v>
      </c>
      <c r="D408" s="45" t="s">
        <v>276</v>
      </c>
      <c r="E408" s="45">
        <v>30658137642</v>
      </c>
      <c r="F408" s="118">
        <v>68900.83</v>
      </c>
      <c r="G408" s="119">
        <v>14469.17</v>
      </c>
      <c r="H408" s="118">
        <v>83370</v>
      </c>
    </row>
    <row r="409" spans="1:8">
      <c r="A409" s="43" t="s">
        <v>2708</v>
      </c>
      <c r="B409" s="44" t="s">
        <v>2748</v>
      </c>
      <c r="C409" s="45" t="s">
        <v>2749</v>
      </c>
      <c r="D409" s="45" t="s">
        <v>123</v>
      </c>
      <c r="E409" s="45">
        <v>27807195</v>
      </c>
      <c r="F409" s="118">
        <v>9917.36</v>
      </c>
      <c r="G409" s="119">
        <v>2082.64</v>
      </c>
      <c r="H409" s="118">
        <v>12000</v>
      </c>
    </row>
    <row r="410" spans="1:8">
      <c r="A410" s="43" t="s">
        <v>2750</v>
      </c>
      <c r="B410" s="44" t="s">
        <v>2769</v>
      </c>
      <c r="C410" s="45" t="s">
        <v>358</v>
      </c>
      <c r="D410" s="45" t="s">
        <v>123</v>
      </c>
      <c r="E410" s="45">
        <v>93195134</v>
      </c>
      <c r="F410" s="118">
        <v>3946.28</v>
      </c>
      <c r="G410" s="119">
        <v>828.72</v>
      </c>
      <c r="H410" s="118">
        <v>4775</v>
      </c>
    </row>
    <row r="411" spans="1:8">
      <c r="A411" s="43" t="s">
        <v>2750</v>
      </c>
      <c r="B411" s="44" t="s">
        <v>2770</v>
      </c>
      <c r="C411" s="45" t="s">
        <v>2352</v>
      </c>
      <c r="D411" s="45" t="s">
        <v>123</v>
      </c>
      <c r="E411" s="45">
        <v>93332052</v>
      </c>
      <c r="F411" s="118">
        <v>1166.1100000000001</v>
      </c>
      <c r="G411" s="119">
        <v>244.89</v>
      </c>
      <c r="H411" s="118">
        <v>1411</v>
      </c>
    </row>
    <row r="412" spans="1:8">
      <c r="A412" s="43" t="s">
        <v>2750</v>
      </c>
      <c r="B412" s="44" t="s">
        <v>2771</v>
      </c>
      <c r="C412" s="45" t="s">
        <v>822</v>
      </c>
      <c r="D412" s="45" t="s">
        <v>123</v>
      </c>
      <c r="E412" s="45">
        <v>22608522</v>
      </c>
      <c r="F412" s="118">
        <v>6611.57</v>
      </c>
      <c r="G412" s="119">
        <v>1388.43</v>
      </c>
      <c r="H412" s="118">
        <v>8000</v>
      </c>
    </row>
    <row r="413" spans="1:8">
      <c r="A413" s="43" t="s">
        <v>2750</v>
      </c>
      <c r="B413" s="44" t="s">
        <v>2772</v>
      </c>
      <c r="C413" s="45" t="s">
        <v>2773</v>
      </c>
      <c r="D413" s="45" t="s">
        <v>123</v>
      </c>
      <c r="E413" s="45">
        <v>22717507</v>
      </c>
      <c r="F413" s="118">
        <v>20247.939999999999</v>
      </c>
      <c r="G413" s="119">
        <v>4252.0600000000004</v>
      </c>
      <c r="H413" s="118">
        <v>24500</v>
      </c>
    </row>
    <row r="414" spans="1:8">
      <c r="A414" s="43" t="s">
        <v>2750</v>
      </c>
      <c r="B414" s="44" t="s">
        <v>2774</v>
      </c>
      <c r="C414" s="45" t="s">
        <v>1795</v>
      </c>
      <c r="D414" s="45" t="s">
        <v>123</v>
      </c>
      <c r="E414" s="45">
        <v>42470342</v>
      </c>
      <c r="F414" s="118">
        <v>5950.41</v>
      </c>
      <c r="G414" s="119">
        <v>1249.5899999999999</v>
      </c>
      <c r="H414" s="118">
        <v>7200</v>
      </c>
    </row>
    <row r="415" spans="1:8">
      <c r="A415" s="43" t="s">
        <v>2750</v>
      </c>
      <c r="B415" s="44" t="s">
        <v>2775</v>
      </c>
      <c r="C415" s="45" t="s">
        <v>331</v>
      </c>
      <c r="D415" s="45" t="s">
        <v>276</v>
      </c>
      <c r="E415" s="45">
        <v>30685228501</v>
      </c>
      <c r="F415" s="118">
        <v>17520.66</v>
      </c>
      <c r="G415" s="119">
        <v>3679.34</v>
      </c>
      <c r="H415" s="118">
        <v>21200</v>
      </c>
    </row>
    <row r="416" spans="1:8">
      <c r="A416" s="43" t="s">
        <v>2776</v>
      </c>
      <c r="B416" s="44" t="s">
        <v>2790</v>
      </c>
      <c r="C416" s="45" t="s">
        <v>335</v>
      </c>
      <c r="D416" s="45" t="s">
        <v>123</v>
      </c>
      <c r="E416" s="45">
        <v>902191</v>
      </c>
      <c r="F416" s="118">
        <v>4958.68</v>
      </c>
      <c r="G416" s="119">
        <v>1041.32</v>
      </c>
      <c r="H416" s="118">
        <v>6000</v>
      </c>
    </row>
    <row r="417" spans="1:8">
      <c r="A417" s="43" t="s">
        <v>2776</v>
      </c>
      <c r="B417" s="44" t="s">
        <v>2791</v>
      </c>
      <c r="C417" s="45" t="s">
        <v>2284</v>
      </c>
      <c r="D417" s="45" t="s">
        <v>123</v>
      </c>
      <c r="E417" s="45">
        <v>16607533</v>
      </c>
      <c r="F417" s="118">
        <v>5950.41</v>
      </c>
      <c r="G417" s="119">
        <v>1249.5899999999999</v>
      </c>
      <c r="H417" s="118">
        <v>7200</v>
      </c>
    </row>
    <row r="418" spans="1:8">
      <c r="A418" s="43" t="s">
        <v>2776</v>
      </c>
      <c r="B418" s="44" t="s">
        <v>2792</v>
      </c>
      <c r="C418" s="45" t="s">
        <v>2793</v>
      </c>
      <c r="D418" s="45" t="s">
        <v>123</v>
      </c>
      <c r="E418" s="45">
        <v>10551360</v>
      </c>
      <c r="F418" s="118">
        <v>9504.130000000001</v>
      </c>
      <c r="G418" s="119">
        <v>1995.87</v>
      </c>
      <c r="H418" s="118">
        <v>11500</v>
      </c>
    </row>
    <row r="419" spans="1:8">
      <c r="A419" s="43" t="s">
        <v>2776</v>
      </c>
      <c r="B419" s="44" t="s">
        <v>2794</v>
      </c>
      <c r="C419" s="45" t="s">
        <v>1666</v>
      </c>
      <c r="D419" s="45" t="s">
        <v>123</v>
      </c>
      <c r="E419" s="45">
        <v>16124424</v>
      </c>
      <c r="F419" s="118">
        <v>14628.1</v>
      </c>
      <c r="G419" s="119">
        <v>3071.9</v>
      </c>
      <c r="H419" s="118">
        <v>17700</v>
      </c>
    </row>
    <row r="420" spans="1:8">
      <c r="A420" s="43" t="s">
        <v>2776</v>
      </c>
      <c r="B420" s="44" t="s">
        <v>2795</v>
      </c>
      <c r="C420" s="45" t="s">
        <v>393</v>
      </c>
      <c r="D420" s="45" t="s">
        <v>123</v>
      </c>
      <c r="E420" s="45" t="s">
        <v>124</v>
      </c>
      <c r="F420" s="118">
        <v>6446.28</v>
      </c>
      <c r="G420" s="119">
        <v>1353.72</v>
      </c>
      <c r="H420" s="118">
        <v>7800</v>
      </c>
    </row>
    <row r="421" spans="1:8">
      <c r="A421" s="43" t="s">
        <v>2776</v>
      </c>
      <c r="B421" s="44" t="s">
        <v>2796</v>
      </c>
      <c r="C421" s="45" t="s">
        <v>286</v>
      </c>
      <c r="D421" s="45" t="s">
        <v>123</v>
      </c>
      <c r="E421" s="45">
        <v>10138957</v>
      </c>
      <c r="F421" s="118">
        <v>5371.9</v>
      </c>
      <c r="G421" s="119">
        <v>1128.1000000000001</v>
      </c>
      <c r="H421" s="118">
        <v>6500</v>
      </c>
    </row>
    <row r="422" spans="1:8">
      <c r="A422" s="43" t="s">
        <v>2797</v>
      </c>
      <c r="B422" s="44" t="s">
        <v>2823</v>
      </c>
      <c r="C422" s="45" t="s">
        <v>307</v>
      </c>
      <c r="D422" s="45" t="s">
        <v>276</v>
      </c>
      <c r="E422" s="45">
        <v>30571766287</v>
      </c>
      <c r="F422" s="118">
        <v>25823.97</v>
      </c>
      <c r="G422" s="119">
        <v>5423.03</v>
      </c>
      <c r="H422" s="118">
        <v>31247</v>
      </c>
    </row>
    <row r="423" spans="1:8">
      <c r="A423" s="43" t="s">
        <v>2797</v>
      </c>
      <c r="B423" s="44" t="s">
        <v>2824</v>
      </c>
      <c r="C423" s="45" t="s">
        <v>379</v>
      </c>
      <c r="D423" s="45" t="s">
        <v>123</v>
      </c>
      <c r="E423" s="45">
        <v>14123802</v>
      </c>
      <c r="F423" s="118">
        <v>12396.7</v>
      </c>
      <c r="G423" s="119">
        <v>2603.3000000000002</v>
      </c>
      <c r="H423" s="118">
        <v>15000</v>
      </c>
    </row>
    <row r="424" spans="1:8">
      <c r="A424" s="43" t="s">
        <v>2797</v>
      </c>
      <c r="B424" s="44" t="s">
        <v>2825</v>
      </c>
      <c r="C424" s="45" t="s">
        <v>2243</v>
      </c>
      <c r="D424" s="45" t="s">
        <v>123</v>
      </c>
      <c r="E424" s="45">
        <v>17275405</v>
      </c>
      <c r="F424" s="118">
        <v>13223.14</v>
      </c>
      <c r="G424" s="119">
        <v>2776.86</v>
      </c>
      <c r="H424" s="118">
        <v>16000</v>
      </c>
    </row>
    <row r="425" spans="1:8">
      <c r="A425" s="43" t="s">
        <v>2797</v>
      </c>
      <c r="B425" s="44" t="s">
        <v>2826</v>
      </c>
      <c r="C425" s="45" t="s">
        <v>331</v>
      </c>
      <c r="D425" s="45" t="s">
        <v>276</v>
      </c>
      <c r="E425" s="45">
        <v>30685228501</v>
      </c>
      <c r="F425" s="118">
        <v>72727.27</v>
      </c>
      <c r="G425" s="119">
        <v>15272.73</v>
      </c>
      <c r="H425" s="118">
        <v>88000</v>
      </c>
    </row>
    <row r="426" spans="1:8">
      <c r="A426" s="43" t="s">
        <v>2827</v>
      </c>
      <c r="B426" s="44" t="s">
        <v>2850</v>
      </c>
      <c r="C426" s="45" t="s">
        <v>420</v>
      </c>
      <c r="D426" s="45" t="s">
        <v>123</v>
      </c>
      <c r="E426" s="45">
        <v>3955768</v>
      </c>
      <c r="F426" s="118">
        <v>2066.11</v>
      </c>
      <c r="G426" s="119">
        <v>433.89</v>
      </c>
      <c r="H426" s="118">
        <v>2500</v>
      </c>
    </row>
    <row r="427" spans="1:8">
      <c r="A427" s="43" t="s">
        <v>2827</v>
      </c>
      <c r="B427" s="44" t="s">
        <v>2851</v>
      </c>
      <c r="C427" s="45" t="s">
        <v>856</v>
      </c>
      <c r="D427" s="45" t="s">
        <v>123</v>
      </c>
      <c r="E427" s="45">
        <v>36622635</v>
      </c>
      <c r="F427" s="118">
        <v>14545.45</v>
      </c>
      <c r="G427" s="119">
        <v>3054.55</v>
      </c>
      <c r="H427" s="118">
        <v>17600</v>
      </c>
    </row>
    <row r="428" spans="1:8">
      <c r="A428" s="43" t="s">
        <v>2827</v>
      </c>
      <c r="B428" s="44" t="s">
        <v>2852</v>
      </c>
      <c r="C428" s="45" t="s">
        <v>2853</v>
      </c>
      <c r="D428" s="45" t="s">
        <v>123</v>
      </c>
      <c r="E428" s="45" t="s">
        <v>124</v>
      </c>
      <c r="F428" s="118">
        <v>13636.36</v>
      </c>
      <c r="G428" s="119">
        <v>2863.64</v>
      </c>
      <c r="H428" s="118">
        <v>16500</v>
      </c>
    </row>
    <row r="429" spans="1:8">
      <c r="A429" s="43" t="s">
        <v>2827</v>
      </c>
      <c r="B429" s="44" t="s">
        <v>2854</v>
      </c>
      <c r="C429" s="45" t="s">
        <v>1767</v>
      </c>
      <c r="D429" s="45" t="s">
        <v>123</v>
      </c>
      <c r="E429" s="45" t="s">
        <v>124</v>
      </c>
      <c r="F429" s="118">
        <v>18595.04</v>
      </c>
      <c r="G429" s="119">
        <v>3904.96</v>
      </c>
      <c r="H429" s="118">
        <v>22500</v>
      </c>
    </row>
    <row r="430" spans="1:8">
      <c r="A430" s="43" t="s">
        <v>2827</v>
      </c>
      <c r="B430" s="44" t="s">
        <v>2855</v>
      </c>
      <c r="C430" s="45" t="s">
        <v>289</v>
      </c>
      <c r="D430" s="45" t="s">
        <v>123</v>
      </c>
      <c r="E430" s="45">
        <v>5289939</v>
      </c>
      <c r="F430" s="118">
        <v>4958.67</v>
      </c>
      <c r="G430" s="119">
        <v>1041.33</v>
      </c>
      <c r="H430" s="118">
        <v>6000</v>
      </c>
    </row>
    <row r="431" spans="1:8">
      <c r="A431" s="43" t="s">
        <v>2827</v>
      </c>
      <c r="B431" s="44" t="s">
        <v>2856</v>
      </c>
      <c r="C431" s="45" t="s">
        <v>289</v>
      </c>
      <c r="D431" s="45" t="s">
        <v>123</v>
      </c>
      <c r="E431" s="45">
        <v>5289939</v>
      </c>
      <c r="F431" s="118">
        <v>6611.57</v>
      </c>
      <c r="G431" s="119">
        <v>1388.43</v>
      </c>
      <c r="H431" s="118">
        <v>8000</v>
      </c>
    </row>
    <row r="432" spans="1:8">
      <c r="A432" s="43" t="s">
        <v>2827</v>
      </c>
      <c r="B432" s="44" t="s">
        <v>2857</v>
      </c>
      <c r="C432" s="45" t="s">
        <v>289</v>
      </c>
      <c r="D432" s="45" t="s">
        <v>123</v>
      </c>
      <c r="E432" s="45">
        <v>5289939</v>
      </c>
      <c r="F432" s="118">
        <v>3305.78</v>
      </c>
      <c r="G432" s="119">
        <v>694.22</v>
      </c>
      <c r="H432" s="118">
        <v>4000</v>
      </c>
    </row>
    <row r="433" spans="1:8">
      <c r="A433" s="43" t="s">
        <v>2827</v>
      </c>
      <c r="B433" s="44" t="s">
        <v>2858</v>
      </c>
      <c r="C433" s="45" t="s">
        <v>289</v>
      </c>
      <c r="D433" s="45" t="s">
        <v>123</v>
      </c>
      <c r="E433" s="45">
        <v>5289939</v>
      </c>
      <c r="F433" s="118">
        <v>4132.2300000000005</v>
      </c>
      <c r="G433" s="119">
        <v>867.77</v>
      </c>
      <c r="H433" s="118">
        <v>5000</v>
      </c>
    </row>
    <row r="434" spans="1:8">
      <c r="A434" s="43" t="s">
        <v>2859</v>
      </c>
      <c r="B434" s="44" t="s">
        <v>2885</v>
      </c>
      <c r="C434" s="45" t="s">
        <v>409</v>
      </c>
      <c r="D434" s="45" t="s">
        <v>123</v>
      </c>
      <c r="E434" s="45">
        <v>2925288</v>
      </c>
      <c r="F434" s="118">
        <v>15702.48</v>
      </c>
      <c r="G434" s="119">
        <v>3297.52</v>
      </c>
      <c r="H434" s="118">
        <v>19000</v>
      </c>
    </row>
    <row r="435" spans="1:8">
      <c r="A435" s="43" t="s">
        <v>2859</v>
      </c>
      <c r="B435" s="44" t="s">
        <v>2886</v>
      </c>
      <c r="C435" s="45" t="s">
        <v>431</v>
      </c>
      <c r="D435" s="45" t="s">
        <v>123</v>
      </c>
      <c r="E435" s="45" t="s">
        <v>124</v>
      </c>
      <c r="F435" s="118">
        <v>26033.06</v>
      </c>
      <c r="G435" s="119">
        <v>5466.94</v>
      </c>
      <c r="H435" s="118">
        <v>31500</v>
      </c>
    </row>
    <row r="436" spans="1:8">
      <c r="A436" s="43" t="s">
        <v>2887</v>
      </c>
      <c r="B436" s="44" t="s">
        <v>2907</v>
      </c>
      <c r="C436" s="45" t="s">
        <v>344</v>
      </c>
      <c r="D436" s="45" t="s">
        <v>123</v>
      </c>
      <c r="E436" s="45">
        <v>4186965</v>
      </c>
      <c r="F436" s="118">
        <v>15702.48</v>
      </c>
      <c r="G436" s="119">
        <v>3297.52</v>
      </c>
      <c r="H436" s="118">
        <v>19000</v>
      </c>
    </row>
    <row r="437" spans="1:8">
      <c r="A437" s="43" t="s">
        <v>2887</v>
      </c>
      <c r="B437" s="44" t="s">
        <v>2908</v>
      </c>
      <c r="C437" s="45" t="s">
        <v>367</v>
      </c>
      <c r="D437" s="45" t="s">
        <v>123</v>
      </c>
      <c r="E437" s="45">
        <v>17855620</v>
      </c>
      <c r="F437" s="118">
        <v>6611.57</v>
      </c>
      <c r="G437" s="119">
        <v>1388.43</v>
      </c>
      <c r="H437" s="118">
        <v>8000</v>
      </c>
    </row>
    <row r="438" spans="1:8">
      <c r="A438" s="43" t="s">
        <v>2887</v>
      </c>
      <c r="B438" s="44" t="s">
        <v>2909</v>
      </c>
      <c r="C438" s="45" t="s">
        <v>802</v>
      </c>
      <c r="D438" s="45" t="s">
        <v>123</v>
      </c>
      <c r="E438" s="45">
        <v>37904748</v>
      </c>
      <c r="F438" s="118">
        <v>9917.36</v>
      </c>
      <c r="G438" s="119">
        <v>2082.64</v>
      </c>
      <c r="H438" s="118">
        <v>12000</v>
      </c>
    </row>
    <row r="439" spans="1:8">
      <c r="A439" s="43" t="s">
        <v>2887</v>
      </c>
      <c r="B439" s="44" t="s">
        <v>2910</v>
      </c>
      <c r="C439" s="45" t="s">
        <v>426</v>
      </c>
      <c r="D439" s="45" t="s">
        <v>123</v>
      </c>
      <c r="E439" s="45">
        <v>28692323</v>
      </c>
      <c r="F439" s="118">
        <v>14214.88</v>
      </c>
      <c r="G439" s="119">
        <v>2985.12</v>
      </c>
      <c r="H439" s="118">
        <v>17200</v>
      </c>
    </row>
    <row r="440" spans="1:8">
      <c r="A440" s="43" t="s">
        <v>2887</v>
      </c>
      <c r="B440" s="44" t="s">
        <v>2911</v>
      </c>
      <c r="C440" s="45" t="s">
        <v>1882</v>
      </c>
      <c r="D440" s="45" t="s">
        <v>123</v>
      </c>
      <c r="E440" s="45">
        <v>25864351</v>
      </c>
      <c r="F440" s="118">
        <v>9917.36</v>
      </c>
      <c r="G440" s="119">
        <v>2082.64</v>
      </c>
      <c r="H440" s="118">
        <v>12000</v>
      </c>
    </row>
    <row r="441" spans="1:8">
      <c r="A441" s="43" t="s">
        <v>2912</v>
      </c>
      <c r="B441" s="44" t="s">
        <v>2925</v>
      </c>
      <c r="C441" s="45" t="s">
        <v>379</v>
      </c>
      <c r="D441" s="45" t="s">
        <v>123</v>
      </c>
      <c r="E441" s="45">
        <v>14123802</v>
      </c>
      <c r="F441" s="118">
        <v>6033.06</v>
      </c>
      <c r="G441" s="119">
        <v>1266.94</v>
      </c>
      <c r="H441" s="118">
        <v>7300</v>
      </c>
    </row>
    <row r="442" spans="1:8">
      <c r="A442" s="43" t="s">
        <v>2912</v>
      </c>
      <c r="B442" s="44" t="s">
        <v>2926</v>
      </c>
      <c r="C442" s="45" t="s">
        <v>122</v>
      </c>
      <c r="D442" s="45" t="s">
        <v>123</v>
      </c>
      <c r="E442" s="45" t="s">
        <v>124</v>
      </c>
      <c r="F442" s="118">
        <v>9289.25</v>
      </c>
      <c r="G442" s="119">
        <v>1950.75</v>
      </c>
      <c r="H442" s="118">
        <v>11240</v>
      </c>
    </row>
    <row r="443" spans="1:8">
      <c r="A443" s="43" t="s">
        <v>2927</v>
      </c>
      <c r="B443" s="44" t="s">
        <v>2943</v>
      </c>
      <c r="C443" s="45" t="s">
        <v>411</v>
      </c>
      <c r="D443" s="45" t="s">
        <v>123</v>
      </c>
      <c r="E443" s="45">
        <v>13699449</v>
      </c>
      <c r="F443" s="118">
        <v>18595.05</v>
      </c>
      <c r="G443" s="119">
        <v>3904.95</v>
      </c>
      <c r="H443" s="118">
        <v>22500</v>
      </c>
    </row>
    <row r="444" spans="1:8">
      <c r="A444" s="43" t="s">
        <v>2927</v>
      </c>
      <c r="B444" s="44" t="s">
        <v>2944</v>
      </c>
      <c r="C444" s="45" t="s">
        <v>1125</v>
      </c>
      <c r="D444" s="45" t="s">
        <v>123</v>
      </c>
      <c r="E444" s="45">
        <v>8607637</v>
      </c>
      <c r="F444" s="118">
        <v>16528.93</v>
      </c>
      <c r="G444" s="119">
        <v>3471.07</v>
      </c>
      <c r="H444" s="118">
        <v>20000</v>
      </c>
    </row>
    <row r="445" spans="1:8">
      <c r="A445" s="43" t="s">
        <v>2927</v>
      </c>
      <c r="B445" s="44" t="s">
        <v>2945</v>
      </c>
      <c r="C445" s="45" t="s">
        <v>375</v>
      </c>
      <c r="D445" s="45" t="s">
        <v>123</v>
      </c>
      <c r="E445" s="45">
        <v>22990821</v>
      </c>
      <c r="F445" s="118">
        <v>8264.4600000000009</v>
      </c>
      <c r="G445" s="119">
        <v>1735.54</v>
      </c>
      <c r="H445" s="118">
        <v>10000</v>
      </c>
    </row>
    <row r="446" spans="1:8">
      <c r="A446" s="43" t="s">
        <v>2946</v>
      </c>
      <c r="B446" s="44" t="s">
        <v>2963</v>
      </c>
      <c r="C446" s="45" t="s">
        <v>354</v>
      </c>
      <c r="D446" s="45" t="s">
        <v>123</v>
      </c>
      <c r="E446" s="45">
        <v>382591</v>
      </c>
      <c r="F446" s="118">
        <v>6446.28</v>
      </c>
      <c r="G446" s="119">
        <v>1353.72</v>
      </c>
      <c r="H446" s="118">
        <v>7800</v>
      </c>
    </row>
    <row r="447" spans="1:8">
      <c r="A447" s="43" t="s">
        <v>2946</v>
      </c>
      <c r="B447" s="44" t="s">
        <v>2964</v>
      </c>
      <c r="C447" s="45" t="s">
        <v>854</v>
      </c>
      <c r="D447" s="45" t="s">
        <v>123</v>
      </c>
      <c r="E447" s="45">
        <v>24699538</v>
      </c>
      <c r="F447" s="118">
        <v>7851.24</v>
      </c>
      <c r="G447" s="119">
        <v>1648.76</v>
      </c>
      <c r="H447" s="118">
        <v>9500</v>
      </c>
    </row>
    <row r="448" spans="1:8">
      <c r="A448" s="43" t="s">
        <v>2984</v>
      </c>
      <c r="B448" s="44" t="s">
        <v>2999</v>
      </c>
      <c r="C448" s="45" t="s">
        <v>1533</v>
      </c>
      <c r="D448" s="45" t="s">
        <v>123</v>
      </c>
      <c r="E448" s="45">
        <v>22040665</v>
      </c>
      <c r="F448" s="118">
        <v>19834.71</v>
      </c>
      <c r="G448" s="119">
        <v>4165.29</v>
      </c>
      <c r="H448" s="118">
        <v>24000</v>
      </c>
    </row>
    <row r="449" spans="1:8">
      <c r="A449" s="43" t="s">
        <v>3060</v>
      </c>
      <c r="B449" s="44" t="s">
        <v>3074</v>
      </c>
      <c r="C449" s="45" t="s">
        <v>3075</v>
      </c>
      <c r="D449" s="45" t="s">
        <v>123</v>
      </c>
      <c r="E449" s="45">
        <v>16321407</v>
      </c>
      <c r="F449" s="118">
        <v>6115.71</v>
      </c>
      <c r="G449" s="119">
        <v>1284.29</v>
      </c>
      <c r="H449" s="118">
        <v>7400</v>
      </c>
    </row>
    <row r="450" spans="1:8">
      <c r="A450" s="43" t="s">
        <v>2611</v>
      </c>
      <c r="B450" s="44" t="s">
        <v>2612</v>
      </c>
      <c r="C450" s="45" t="s">
        <v>122</v>
      </c>
      <c r="D450" s="45" t="s">
        <v>123</v>
      </c>
      <c r="E450" s="45" t="s">
        <v>124</v>
      </c>
      <c r="F450" s="118">
        <v>-4545.45</v>
      </c>
      <c r="G450" s="119">
        <v>-954.55</v>
      </c>
      <c r="H450" s="118">
        <v>-5500</v>
      </c>
    </row>
    <row r="451" spans="1:8">
      <c r="A451" s="43" t="s">
        <v>3019</v>
      </c>
      <c r="B451" s="44" t="s">
        <v>3020</v>
      </c>
      <c r="C451" s="45" t="s">
        <v>122</v>
      </c>
      <c r="D451" s="45" t="s">
        <v>123</v>
      </c>
      <c r="E451" s="45" t="s">
        <v>124</v>
      </c>
      <c r="F451" s="118">
        <v>-21652.89</v>
      </c>
      <c r="G451" s="119">
        <v>-4547.1099999999997</v>
      </c>
      <c r="H451" s="118">
        <v>-26200</v>
      </c>
    </row>
    <row r="452" spans="1:8">
      <c r="A452" s="43" t="s">
        <v>2686</v>
      </c>
      <c r="B452" s="44" t="s">
        <v>2699</v>
      </c>
      <c r="C452" s="45" t="s">
        <v>884</v>
      </c>
      <c r="D452" s="45" t="s">
        <v>123</v>
      </c>
      <c r="E452" s="45">
        <v>17198648</v>
      </c>
      <c r="F452" s="118">
        <v>-7438.02</v>
      </c>
      <c r="G452" s="119">
        <v>-1561.98</v>
      </c>
      <c r="H452" s="118">
        <v>-9000</v>
      </c>
    </row>
    <row r="453" spans="1:8">
      <c r="A453" s="43" t="s">
        <v>2797</v>
      </c>
      <c r="B453" s="44" t="s">
        <v>2821</v>
      </c>
      <c r="C453" s="45" t="s">
        <v>307</v>
      </c>
      <c r="D453" s="45" t="s">
        <v>276</v>
      </c>
      <c r="E453" s="45">
        <v>30571766287</v>
      </c>
      <c r="F453" s="118">
        <v>-1661.16</v>
      </c>
      <c r="G453" s="119">
        <v>-348.84</v>
      </c>
      <c r="H453" s="118">
        <v>-2010</v>
      </c>
    </row>
    <row r="454" spans="1:8">
      <c r="A454" s="43" t="s">
        <v>2797</v>
      </c>
      <c r="B454" s="44" t="s">
        <v>2822</v>
      </c>
      <c r="C454" s="45" t="s">
        <v>307</v>
      </c>
      <c r="D454" s="45" t="s">
        <v>276</v>
      </c>
      <c r="E454" s="45">
        <v>30571766287</v>
      </c>
      <c r="F454" s="118">
        <v>-1802.48</v>
      </c>
      <c r="G454" s="119">
        <v>-378.52</v>
      </c>
      <c r="H454" s="118">
        <v>-2181</v>
      </c>
    </row>
    <row r="455" spans="1:8">
      <c r="F455" s="121">
        <f>SUM(F86:F454)</f>
        <v>3552682.1100000017</v>
      </c>
      <c r="G455" s="121">
        <f t="shared" ref="G455:H455" si="1">SUM(G86:G454)</f>
        <v>746063.18000000028</v>
      </c>
      <c r="H455" s="121">
        <f t="shared" si="1"/>
        <v>4298745.29</v>
      </c>
    </row>
    <row r="457" spans="1:8">
      <c r="E457" s="122" t="s">
        <v>3077</v>
      </c>
      <c r="F457" s="123">
        <f>F82</f>
        <v>49208561.249999978</v>
      </c>
      <c r="G457" s="123">
        <f t="shared" ref="G457:H457" si="2">G82</f>
        <v>10333797.770000001</v>
      </c>
      <c r="H457" s="123">
        <f t="shared" si="2"/>
        <v>59542359.019999973</v>
      </c>
    </row>
    <row r="458" spans="1:8">
      <c r="E458" s="122" t="s">
        <v>3078</v>
      </c>
      <c r="F458" s="123">
        <f>F455</f>
        <v>3552682.1100000017</v>
      </c>
      <c r="G458" s="123">
        <f t="shared" ref="G458:H458" si="3">G455</f>
        <v>746063.18000000028</v>
      </c>
      <c r="H458" s="123">
        <f t="shared" si="3"/>
        <v>4298745.29</v>
      </c>
    </row>
    <row r="459" spans="1:8">
      <c r="E459" s="122" t="s">
        <v>3079</v>
      </c>
      <c r="F459" s="123">
        <f>SUM(F457:F458)</f>
        <v>52761243.359999977</v>
      </c>
      <c r="G459" s="123">
        <f t="shared" ref="G459:H459" si="4">SUM(G457:G458)</f>
        <v>11079860.950000001</v>
      </c>
      <c r="H459" s="123">
        <f t="shared" si="4"/>
        <v>63841104.309999973</v>
      </c>
    </row>
  </sheetData>
  <autoFilter ref="A85:H455"/>
  <mergeCells count="2">
    <mergeCell ref="A5:B5"/>
    <mergeCell ref="A84:B8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60"/>
  <sheetViews>
    <sheetView workbookViewId="0">
      <selection activeCell="F450" sqref="F450:M450"/>
    </sheetView>
  </sheetViews>
  <sheetFormatPr baseColWidth="10" defaultRowHeight="15"/>
  <cols>
    <col min="2" max="2" width="26.42578125" customWidth="1"/>
    <col min="3" max="3" width="9.5703125" customWidth="1"/>
    <col min="4" max="5" width="5.85546875" customWidth="1"/>
    <col min="6" max="6" width="15.5703125" bestFit="1" customWidth="1"/>
    <col min="7" max="7" width="8.85546875" customWidth="1"/>
    <col min="8" max="8" width="18.28515625" customWidth="1"/>
    <col min="9" max="9" width="15.7109375" customWidth="1"/>
    <col min="10" max="10" width="15.5703125" style="48" customWidth="1"/>
    <col min="11" max="11" width="15.5703125" bestFit="1" customWidth="1"/>
    <col min="12" max="12" width="12.85546875" customWidth="1"/>
    <col min="13" max="13" width="15.5703125" bestFit="1" customWidth="1"/>
  </cols>
  <sheetData>
    <row r="2" spans="1:13" ht="18">
      <c r="A2" s="124" t="s">
        <v>3080</v>
      </c>
    </row>
    <row r="3" spans="1:13" ht="15.75">
      <c r="A3" s="125" t="s">
        <v>2587</v>
      </c>
      <c r="K3" s="126"/>
    </row>
    <row r="5" spans="1:13">
      <c r="A5" s="127" t="s">
        <v>0</v>
      </c>
      <c r="B5" s="127" t="s">
        <v>1</v>
      </c>
      <c r="C5" s="127" t="s">
        <v>2</v>
      </c>
      <c r="D5" s="127" t="s">
        <v>3</v>
      </c>
      <c r="E5" s="127" t="s">
        <v>4</v>
      </c>
      <c r="F5" s="127" t="s">
        <v>5</v>
      </c>
      <c r="G5" s="127" t="s">
        <v>6</v>
      </c>
      <c r="H5" s="127" t="s">
        <v>8</v>
      </c>
      <c r="I5" s="127" t="s">
        <v>9</v>
      </c>
      <c r="J5" s="131" t="s">
        <v>10</v>
      </c>
      <c r="K5" s="127" t="s">
        <v>11</v>
      </c>
      <c r="L5" s="127" t="s">
        <v>12</v>
      </c>
      <c r="M5" s="127" t="s">
        <v>13</v>
      </c>
    </row>
    <row r="6" spans="1:13">
      <c r="A6" s="43" t="s">
        <v>3157</v>
      </c>
      <c r="B6" s="44" t="s">
        <v>3173</v>
      </c>
      <c r="C6" s="45" t="s">
        <v>16</v>
      </c>
      <c r="D6" s="45" t="s">
        <v>17</v>
      </c>
      <c r="E6" s="45">
        <v>30522428163</v>
      </c>
      <c r="F6" s="71">
        <v>3151724.59</v>
      </c>
      <c r="G6" s="71">
        <v>0</v>
      </c>
      <c r="H6" s="49">
        <v>0</v>
      </c>
      <c r="I6" s="49">
        <v>0</v>
      </c>
      <c r="J6" s="49">
        <v>661862.16</v>
      </c>
      <c r="K6" s="49">
        <v>0</v>
      </c>
      <c r="L6" s="71">
        <v>0</v>
      </c>
      <c r="M6" s="71">
        <v>3813586.75</v>
      </c>
    </row>
    <row r="7" spans="1:13">
      <c r="A7" s="43" t="s">
        <v>3184</v>
      </c>
      <c r="B7" s="44" t="s">
        <v>3185</v>
      </c>
      <c r="C7" s="45" t="s">
        <v>16</v>
      </c>
      <c r="D7" s="45" t="s">
        <v>17</v>
      </c>
      <c r="E7" s="45">
        <v>30522428163</v>
      </c>
      <c r="F7" s="71">
        <v>2339752.08</v>
      </c>
      <c r="G7" s="71">
        <v>0</v>
      </c>
      <c r="H7" s="49">
        <v>0</v>
      </c>
      <c r="I7" s="49">
        <v>0</v>
      </c>
      <c r="J7" s="49">
        <v>491347.92</v>
      </c>
      <c r="K7" s="49">
        <v>0</v>
      </c>
      <c r="L7" s="71">
        <v>0</v>
      </c>
      <c r="M7" s="71">
        <v>2831100</v>
      </c>
    </row>
    <row r="8" spans="1:13">
      <c r="A8" s="43" t="s">
        <v>3215</v>
      </c>
      <c r="B8" s="44" t="s">
        <v>3238</v>
      </c>
      <c r="C8" s="45" t="s">
        <v>16</v>
      </c>
      <c r="D8" s="45" t="s">
        <v>17</v>
      </c>
      <c r="E8" s="45">
        <v>30522428163</v>
      </c>
      <c r="F8" s="71">
        <v>8743801.6500000004</v>
      </c>
      <c r="G8" s="71">
        <v>0</v>
      </c>
      <c r="H8" s="49">
        <v>0</v>
      </c>
      <c r="I8" s="49">
        <v>0</v>
      </c>
      <c r="J8" s="49">
        <v>1836198.35</v>
      </c>
      <c r="K8" s="49">
        <v>0</v>
      </c>
      <c r="L8" s="71">
        <v>0</v>
      </c>
      <c r="M8" s="71">
        <v>10580000</v>
      </c>
    </row>
    <row r="9" spans="1:13">
      <c r="A9" s="43" t="s">
        <v>3246</v>
      </c>
      <c r="B9" s="44" t="s">
        <v>3262</v>
      </c>
      <c r="C9" s="45" t="s">
        <v>16</v>
      </c>
      <c r="D9" s="45" t="s">
        <v>17</v>
      </c>
      <c r="E9" s="45">
        <v>30522428163</v>
      </c>
      <c r="F9" s="71">
        <v>3538760.33</v>
      </c>
      <c r="G9" s="71">
        <v>0</v>
      </c>
      <c r="H9" s="49">
        <v>0</v>
      </c>
      <c r="I9" s="49">
        <v>0</v>
      </c>
      <c r="J9" s="49">
        <v>743139.68</v>
      </c>
      <c r="K9" s="49">
        <v>0</v>
      </c>
      <c r="L9" s="71">
        <v>0</v>
      </c>
      <c r="M9" s="71">
        <v>4281900.01</v>
      </c>
    </row>
    <row r="10" spans="1:13">
      <c r="A10" s="43" t="s">
        <v>3446</v>
      </c>
      <c r="B10" s="44" t="s">
        <v>3458</v>
      </c>
      <c r="C10" s="45" t="s">
        <v>16</v>
      </c>
      <c r="D10" s="45" t="s">
        <v>17</v>
      </c>
      <c r="E10" s="45">
        <v>30522428163</v>
      </c>
      <c r="F10" s="71">
        <v>15924876.030000001</v>
      </c>
      <c r="G10" s="71">
        <v>0</v>
      </c>
      <c r="H10" s="49">
        <v>0</v>
      </c>
      <c r="I10" s="49">
        <v>0</v>
      </c>
      <c r="J10" s="49">
        <v>3344223.97</v>
      </c>
      <c r="K10" s="49">
        <v>0</v>
      </c>
      <c r="L10" s="71">
        <v>0</v>
      </c>
      <c r="M10" s="71">
        <v>19269100</v>
      </c>
    </row>
    <row r="11" spans="1:13">
      <c r="A11" s="43" t="s">
        <v>3476</v>
      </c>
      <c r="B11" s="44" t="s">
        <v>3489</v>
      </c>
      <c r="C11" s="45" t="s">
        <v>16</v>
      </c>
      <c r="D11" s="45" t="s">
        <v>17</v>
      </c>
      <c r="E11" s="45">
        <v>30522428163</v>
      </c>
      <c r="F11" s="71">
        <v>10445867.77</v>
      </c>
      <c r="G11" s="71">
        <v>0</v>
      </c>
      <c r="H11" s="49">
        <v>0</v>
      </c>
      <c r="I11" s="49">
        <v>0</v>
      </c>
      <c r="J11" s="49">
        <v>2193632.2400000002</v>
      </c>
      <c r="K11" s="49">
        <v>0</v>
      </c>
      <c r="L11" s="71">
        <v>0</v>
      </c>
      <c r="M11" s="71">
        <v>12639500.01</v>
      </c>
    </row>
    <row r="12" spans="1:13">
      <c r="A12" s="43" t="s">
        <v>3476</v>
      </c>
      <c r="B12" s="44" t="s">
        <v>3490</v>
      </c>
      <c r="C12" s="45" t="s">
        <v>16</v>
      </c>
      <c r="D12" s="45" t="s">
        <v>17</v>
      </c>
      <c r="E12" s="45">
        <v>30522428163</v>
      </c>
      <c r="F12" s="71">
        <v>7012049.5899999999</v>
      </c>
      <c r="G12" s="71">
        <v>0</v>
      </c>
      <c r="H12" s="49">
        <v>0</v>
      </c>
      <c r="I12" s="49">
        <v>0</v>
      </c>
      <c r="J12" s="49">
        <v>1472530.41</v>
      </c>
      <c r="K12" s="49">
        <v>0</v>
      </c>
      <c r="L12" s="71">
        <v>0</v>
      </c>
      <c r="M12" s="71">
        <v>8484580</v>
      </c>
    </row>
    <row r="13" spans="1:13">
      <c r="A13" s="43" t="s">
        <v>3097</v>
      </c>
      <c r="B13" s="44" t="s">
        <v>3111</v>
      </c>
      <c r="C13" s="45" t="s">
        <v>60</v>
      </c>
      <c r="D13" s="45" t="s">
        <v>17</v>
      </c>
      <c r="E13" s="45">
        <v>30710538014</v>
      </c>
      <c r="F13" s="71">
        <v>40433.879999999997</v>
      </c>
      <c r="G13" s="71">
        <v>0</v>
      </c>
      <c r="H13" s="49">
        <v>0</v>
      </c>
      <c r="I13" s="49">
        <v>0</v>
      </c>
      <c r="J13" s="49">
        <v>8491.11</v>
      </c>
      <c r="K13" s="49">
        <v>0</v>
      </c>
      <c r="L13" s="71">
        <v>0</v>
      </c>
      <c r="M13" s="71">
        <v>48924.99</v>
      </c>
    </row>
    <row r="14" spans="1:13">
      <c r="A14" s="43" t="s">
        <v>3097</v>
      </c>
      <c r="B14" s="44" t="s">
        <v>3112</v>
      </c>
      <c r="C14" s="45" t="s">
        <v>60</v>
      </c>
      <c r="D14" s="45" t="s">
        <v>17</v>
      </c>
      <c r="E14" s="45">
        <v>30710538014</v>
      </c>
      <c r="F14" s="71">
        <v>6221.49</v>
      </c>
      <c r="G14" s="71">
        <v>0</v>
      </c>
      <c r="H14" s="49">
        <v>0</v>
      </c>
      <c r="I14" s="49">
        <v>0</v>
      </c>
      <c r="J14" s="49">
        <v>1306.51</v>
      </c>
      <c r="K14" s="49">
        <v>0</v>
      </c>
      <c r="L14" s="71">
        <v>0</v>
      </c>
      <c r="M14" s="71">
        <v>7528</v>
      </c>
    </row>
    <row r="15" spans="1:13">
      <c r="A15" s="43" t="s">
        <v>3097</v>
      </c>
      <c r="B15" s="44" t="s">
        <v>3113</v>
      </c>
      <c r="C15" s="45" t="s">
        <v>57</v>
      </c>
      <c r="D15" s="45" t="s">
        <v>17</v>
      </c>
      <c r="E15" s="45">
        <v>30715186655</v>
      </c>
      <c r="F15" s="71">
        <v>98152.89</v>
      </c>
      <c r="G15" s="71">
        <v>0</v>
      </c>
      <c r="H15" s="49">
        <v>0</v>
      </c>
      <c r="I15" s="49">
        <v>0</v>
      </c>
      <c r="J15" s="49">
        <v>20612.11</v>
      </c>
      <c r="K15" s="49">
        <v>0</v>
      </c>
      <c r="L15" s="71">
        <v>0</v>
      </c>
      <c r="M15" s="71">
        <v>118765</v>
      </c>
    </row>
    <row r="16" spans="1:13">
      <c r="A16" s="43" t="s">
        <v>3097</v>
      </c>
      <c r="B16" s="44" t="s">
        <v>3114</v>
      </c>
      <c r="C16" s="45" t="s">
        <v>57</v>
      </c>
      <c r="D16" s="45" t="s">
        <v>17</v>
      </c>
      <c r="E16" s="45">
        <v>30715186655</v>
      </c>
      <c r="F16" s="71">
        <v>5228.1000000000004</v>
      </c>
      <c r="G16" s="71">
        <v>0</v>
      </c>
      <c r="H16" s="49">
        <v>0</v>
      </c>
      <c r="I16" s="49">
        <v>0</v>
      </c>
      <c r="J16" s="49">
        <v>1097.9000000000001</v>
      </c>
      <c r="K16" s="49">
        <v>0</v>
      </c>
      <c r="L16" s="71">
        <v>0</v>
      </c>
      <c r="M16" s="71">
        <v>6326</v>
      </c>
    </row>
    <row r="17" spans="1:13">
      <c r="A17" s="43" t="s">
        <v>3097</v>
      </c>
      <c r="B17" s="44" t="s">
        <v>3115</v>
      </c>
      <c r="C17" s="45" t="s">
        <v>74</v>
      </c>
      <c r="D17" s="45" t="s">
        <v>17</v>
      </c>
      <c r="E17" s="45">
        <v>30707612971</v>
      </c>
      <c r="F17" s="71">
        <v>19859.5</v>
      </c>
      <c r="G17" s="71">
        <v>0</v>
      </c>
      <c r="H17" s="49">
        <v>0</v>
      </c>
      <c r="I17" s="49">
        <v>0</v>
      </c>
      <c r="J17" s="49">
        <v>4170.5</v>
      </c>
      <c r="K17" s="49">
        <v>0</v>
      </c>
      <c r="L17" s="71">
        <v>0</v>
      </c>
      <c r="M17" s="71">
        <v>24030</v>
      </c>
    </row>
    <row r="18" spans="1:13">
      <c r="A18" s="43" t="s">
        <v>3097</v>
      </c>
      <c r="B18" s="44" t="s">
        <v>3116</v>
      </c>
      <c r="C18" s="45" t="s">
        <v>1872</v>
      </c>
      <c r="D18" s="45" t="s">
        <v>17</v>
      </c>
      <c r="E18" s="45">
        <v>30606274161</v>
      </c>
      <c r="F18" s="71">
        <v>49148.76</v>
      </c>
      <c r="G18" s="71">
        <v>0</v>
      </c>
      <c r="H18" s="49">
        <v>0</v>
      </c>
      <c r="I18" s="49">
        <v>0</v>
      </c>
      <c r="J18" s="49">
        <v>10321.24</v>
      </c>
      <c r="K18" s="49">
        <v>0</v>
      </c>
      <c r="L18" s="71">
        <v>0</v>
      </c>
      <c r="M18" s="71">
        <v>59470</v>
      </c>
    </row>
    <row r="19" spans="1:13">
      <c r="A19" s="43" t="s">
        <v>3097</v>
      </c>
      <c r="B19" s="44" t="s">
        <v>3117</v>
      </c>
      <c r="C19" s="45" t="s">
        <v>66</v>
      </c>
      <c r="D19" s="45" t="s">
        <v>17</v>
      </c>
      <c r="E19" s="45">
        <v>30710961790</v>
      </c>
      <c r="F19" s="71">
        <v>39481.74</v>
      </c>
      <c r="G19" s="71">
        <v>0</v>
      </c>
      <c r="H19" s="49">
        <v>0</v>
      </c>
      <c r="I19" s="49">
        <v>0</v>
      </c>
      <c r="J19" s="49">
        <v>8291.17</v>
      </c>
      <c r="K19" s="49">
        <v>0</v>
      </c>
      <c r="L19" s="71">
        <v>0</v>
      </c>
      <c r="M19" s="71">
        <v>47772.91</v>
      </c>
    </row>
    <row r="20" spans="1:13">
      <c r="A20" s="43" t="s">
        <v>3097</v>
      </c>
      <c r="B20" s="44" t="s">
        <v>3118</v>
      </c>
      <c r="C20" s="45" t="s">
        <v>66</v>
      </c>
      <c r="D20" s="45" t="s">
        <v>17</v>
      </c>
      <c r="E20" s="45">
        <v>30710961790</v>
      </c>
      <c r="F20" s="71">
        <v>5228.1000000000004</v>
      </c>
      <c r="G20" s="71">
        <v>0</v>
      </c>
      <c r="H20" s="49">
        <v>0</v>
      </c>
      <c r="I20" s="49">
        <v>0</v>
      </c>
      <c r="J20" s="49">
        <v>1097.9000000000001</v>
      </c>
      <c r="K20" s="49">
        <v>0</v>
      </c>
      <c r="L20" s="71">
        <v>0</v>
      </c>
      <c r="M20" s="71">
        <v>6326</v>
      </c>
    </row>
    <row r="21" spans="1:13">
      <c r="A21" s="43" t="s">
        <v>3097</v>
      </c>
      <c r="B21" s="44" t="s">
        <v>3119</v>
      </c>
      <c r="C21" s="45" t="s">
        <v>68</v>
      </c>
      <c r="D21" s="45" t="s">
        <v>17</v>
      </c>
      <c r="E21" s="45">
        <v>30711244383</v>
      </c>
      <c r="F21" s="71">
        <v>8175.5</v>
      </c>
      <c r="G21" s="71">
        <v>0</v>
      </c>
      <c r="H21" s="49">
        <v>0</v>
      </c>
      <c r="I21" s="49">
        <v>0</v>
      </c>
      <c r="J21" s="49">
        <v>1716.86</v>
      </c>
      <c r="K21" s="49">
        <v>0</v>
      </c>
      <c r="L21" s="71">
        <v>0</v>
      </c>
      <c r="M21" s="71">
        <v>9892.36</v>
      </c>
    </row>
    <row r="22" spans="1:13">
      <c r="A22" s="43" t="s">
        <v>3097</v>
      </c>
      <c r="B22" s="44" t="s">
        <v>3120</v>
      </c>
      <c r="C22" s="45" t="s">
        <v>70</v>
      </c>
      <c r="D22" s="45" t="s">
        <v>17</v>
      </c>
      <c r="E22" s="45">
        <v>30645337979</v>
      </c>
      <c r="F22" s="71">
        <v>15961.27</v>
      </c>
      <c r="G22" s="71">
        <v>0</v>
      </c>
      <c r="H22" s="49">
        <v>0</v>
      </c>
      <c r="I22" s="49">
        <v>0</v>
      </c>
      <c r="J22" s="49">
        <v>3351.87</v>
      </c>
      <c r="K22" s="49">
        <v>0</v>
      </c>
      <c r="L22" s="71">
        <v>0</v>
      </c>
      <c r="M22" s="71">
        <v>19313.14</v>
      </c>
    </row>
    <row r="23" spans="1:13">
      <c r="A23" s="43" t="s">
        <v>3097</v>
      </c>
      <c r="B23" s="44" t="s">
        <v>3121</v>
      </c>
      <c r="C23" s="45" t="s">
        <v>64</v>
      </c>
      <c r="D23" s="45" t="s">
        <v>17</v>
      </c>
      <c r="E23" s="45">
        <v>30546771314</v>
      </c>
      <c r="F23" s="71">
        <v>5666.12</v>
      </c>
      <c r="G23" s="71">
        <v>0</v>
      </c>
      <c r="H23" s="49">
        <v>0</v>
      </c>
      <c r="I23" s="49">
        <v>0</v>
      </c>
      <c r="J23" s="49">
        <v>1189.8900000000001</v>
      </c>
      <c r="K23" s="49">
        <v>0</v>
      </c>
      <c r="L23" s="71">
        <v>0</v>
      </c>
      <c r="M23" s="71">
        <v>6856.01</v>
      </c>
    </row>
    <row r="24" spans="1:13">
      <c r="A24" s="43" t="s">
        <v>3126</v>
      </c>
      <c r="B24" s="44" t="s">
        <v>3140</v>
      </c>
      <c r="C24" s="45" t="s">
        <v>84</v>
      </c>
      <c r="D24" s="45" t="s">
        <v>17</v>
      </c>
      <c r="E24" s="45">
        <v>30709016012</v>
      </c>
      <c r="F24" s="71">
        <v>52892.55</v>
      </c>
      <c r="G24" s="71">
        <v>0</v>
      </c>
      <c r="H24" s="49">
        <v>0</v>
      </c>
      <c r="I24" s="49">
        <v>0</v>
      </c>
      <c r="J24" s="49">
        <v>11107.44</v>
      </c>
      <c r="K24" s="49">
        <v>0</v>
      </c>
      <c r="L24" s="71">
        <v>0</v>
      </c>
      <c r="M24" s="71">
        <v>63999.99</v>
      </c>
    </row>
    <row r="25" spans="1:13">
      <c r="A25" s="43" t="s">
        <v>3126</v>
      </c>
      <c r="B25" s="44" t="s">
        <v>3141</v>
      </c>
      <c r="C25" s="45" t="s">
        <v>84</v>
      </c>
      <c r="D25" s="45" t="s">
        <v>17</v>
      </c>
      <c r="E25" s="45">
        <v>30709016012</v>
      </c>
      <c r="F25" s="71">
        <v>19972.45</v>
      </c>
      <c r="G25" s="71">
        <v>0</v>
      </c>
      <c r="H25" s="49">
        <v>0</v>
      </c>
      <c r="I25" s="49">
        <v>0</v>
      </c>
      <c r="J25" s="49">
        <v>4194.21</v>
      </c>
      <c r="K25" s="49">
        <v>0</v>
      </c>
      <c r="L25" s="71">
        <v>0</v>
      </c>
      <c r="M25" s="71">
        <v>24166.66</v>
      </c>
    </row>
    <row r="26" spans="1:13">
      <c r="A26" s="43" t="s">
        <v>3126</v>
      </c>
      <c r="B26" s="44" t="s">
        <v>3142</v>
      </c>
      <c r="C26" s="45" t="s">
        <v>80</v>
      </c>
      <c r="D26" s="45" t="s">
        <v>17</v>
      </c>
      <c r="E26" s="45">
        <v>30608716390</v>
      </c>
      <c r="F26" s="71">
        <v>1272.73</v>
      </c>
      <c r="G26" s="71">
        <v>0</v>
      </c>
      <c r="H26" s="49">
        <v>0</v>
      </c>
      <c r="I26" s="49">
        <v>0</v>
      </c>
      <c r="J26" s="49">
        <v>267.27</v>
      </c>
      <c r="K26" s="49">
        <v>0</v>
      </c>
      <c r="L26" s="71">
        <v>0</v>
      </c>
      <c r="M26" s="71">
        <v>1540</v>
      </c>
    </row>
    <row r="27" spans="1:13">
      <c r="A27" s="43" t="s">
        <v>3126</v>
      </c>
      <c r="B27" s="44" t="s">
        <v>3143</v>
      </c>
      <c r="C27" s="45" t="s">
        <v>80</v>
      </c>
      <c r="D27" s="45" t="s">
        <v>17</v>
      </c>
      <c r="E27" s="45">
        <v>30608716390</v>
      </c>
      <c r="F27" s="71">
        <v>2332.23</v>
      </c>
      <c r="G27" s="71">
        <v>0</v>
      </c>
      <c r="H27" s="49">
        <v>0</v>
      </c>
      <c r="I27" s="49">
        <v>0</v>
      </c>
      <c r="J27" s="49">
        <v>489.77</v>
      </c>
      <c r="K27" s="49">
        <v>0</v>
      </c>
      <c r="L27" s="71">
        <v>0</v>
      </c>
      <c r="M27" s="71">
        <v>2822</v>
      </c>
    </row>
    <row r="28" spans="1:13">
      <c r="A28" s="43" t="s">
        <v>3126</v>
      </c>
      <c r="B28" s="44" t="s">
        <v>3144</v>
      </c>
      <c r="C28" s="45" t="s">
        <v>80</v>
      </c>
      <c r="D28" s="45" t="s">
        <v>17</v>
      </c>
      <c r="E28" s="45">
        <v>30608716390</v>
      </c>
      <c r="F28" s="71">
        <v>2332.23</v>
      </c>
      <c r="G28" s="71">
        <v>0</v>
      </c>
      <c r="H28" s="49">
        <v>0</v>
      </c>
      <c r="I28" s="49">
        <v>0</v>
      </c>
      <c r="J28" s="49">
        <v>489.77</v>
      </c>
      <c r="K28" s="49">
        <v>0</v>
      </c>
      <c r="L28" s="71">
        <v>0</v>
      </c>
      <c r="M28" s="71">
        <v>2822</v>
      </c>
    </row>
    <row r="29" spans="1:13">
      <c r="A29" s="43" t="s">
        <v>3126</v>
      </c>
      <c r="B29" s="44" t="s">
        <v>3145</v>
      </c>
      <c r="C29" s="45" t="s">
        <v>80</v>
      </c>
      <c r="D29" s="45" t="s">
        <v>17</v>
      </c>
      <c r="E29" s="45">
        <v>30608716390</v>
      </c>
      <c r="F29" s="71">
        <v>3996.69</v>
      </c>
      <c r="G29" s="71">
        <v>0</v>
      </c>
      <c r="H29" s="49">
        <v>0</v>
      </c>
      <c r="I29" s="49">
        <v>0</v>
      </c>
      <c r="J29" s="49">
        <v>839.3</v>
      </c>
      <c r="K29" s="49">
        <v>0</v>
      </c>
      <c r="L29" s="71">
        <v>0</v>
      </c>
      <c r="M29" s="71">
        <v>4835.99</v>
      </c>
    </row>
    <row r="30" spans="1:13">
      <c r="A30" s="43" t="s">
        <v>3126</v>
      </c>
      <c r="B30" s="44" t="s">
        <v>3146</v>
      </c>
      <c r="C30" s="45" t="s">
        <v>80</v>
      </c>
      <c r="D30" s="45" t="s">
        <v>17</v>
      </c>
      <c r="E30" s="45">
        <v>30608716390</v>
      </c>
      <c r="F30" s="71">
        <v>9326.4500000000007</v>
      </c>
      <c r="G30" s="71">
        <v>0</v>
      </c>
      <c r="H30" s="49">
        <v>0</v>
      </c>
      <c r="I30" s="49">
        <v>0</v>
      </c>
      <c r="J30" s="49">
        <v>1958.55</v>
      </c>
      <c r="K30" s="49">
        <v>0</v>
      </c>
      <c r="L30" s="71">
        <v>0</v>
      </c>
      <c r="M30" s="71">
        <v>11285</v>
      </c>
    </row>
    <row r="31" spans="1:13">
      <c r="A31" s="43" t="s">
        <v>3126</v>
      </c>
      <c r="B31" s="44" t="s">
        <v>3147</v>
      </c>
      <c r="C31" s="45" t="s">
        <v>80</v>
      </c>
      <c r="D31" s="45" t="s">
        <v>17</v>
      </c>
      <c r="E31" s="45">
        <v>30608716390</v>
      </c>
      <c r="F31" s="71">
        <v>6328.92</v>
      </c>
      <c r="G31" s="71">
        <v>0</v>
      </c>
      <c r="H31" s="49">
        <v>0</v>
      </c>
      <c r="I31" s="49">
        <v>0</v>
      </c>
      <c r="J31" s="49">
        <v>1329.07</v>
      </c>
      <c r="K31" s="49">
        <v>0</v>
      </c>
      <c r="L31" s="71">
        <v>0</v>
      </c>
      <c r="M31" s="71">
        <v>7657.99</v>
      </c>
    </row>
    <row r="32" spans="1:13">
      <c r="A32" s="43" t="s">
        <v>3126</v>
      </c>
      <c r="B32" s="44" t="s">
        <v>3148</v>
      </c>
      <c r="C32" s="45" t="s">
        <v>62</v>
      </c>
      <c r="D32" s="45" t="s">
        <v>17</v>
      </c>
      <c r="E32" s="45">
        <v>30713669004</v>
      </c>
      <c r="F32" s="71">
        <v>12060.33</v>
      </c>
      <c r="G32" s="71">
        <v>0</v>
      </c>
      <c r="H32" s="49">
        <v>0</v>
      </c>
      <c r="I32" s="49">
        <v>0</v>
      </c>
      <c r="J32" s="49">
        <v>2532.67</v>
      </c>
      <c r="K32" s="49">
        <v>0</v>
      </c>
      <c r="L32" s="71">
        <v>0</v>
      </c>
      <c r="M32" s="71">
        <v>14593</v>
      </c>
    </row>
    <row r="33" spans="1:13">
      <c r="A33" s="43" t="s">
        <v>3126</v>
      </c>
      <c r="B33" s="44" t="s">
        <v>3149</v>
      </c>
      <c r="C33" s="45" t="s">
        <v>72</v>
      </c>
      <c r="D33" s="45" t="s">
        <v>17</v>
      </c>
      <c r="E33" s="45">
        <v>30657418877</v>
      </c>
      <c r="F33" s="71">
        <v>4362.37</v>
      </c>
      <c r="G33" s="71">
        <v>0</v>
      </c>
      <c r="H33" s="49">
        <v>0</v>
      </c>
      <c r="I33" s="49">
        <v>0</v>
      </c>
      <c r="J33" s="49">
        <v>916.1</v>
      </c>
      <c r="K33" s="49">
        <v>0</v>
      </c>
      <c r="L33" s="71">
        <v>0</v>
      </c>
      <c r="M33" s="71">
        <v>5278.47</v>
      </c>
    </row>
    <row r="34" spans="1:13">
      <c r="A34" s="43" t="s">
        <v>3157</v>
      </c>
      <c r="B34" s="44" t="s">
        <v>3174</v>
      </c>
      <c r="C34" s="45" t="s">
        <v>16</v>
      </c>
      <c r="D34" s="45" t="s">
        <v>17</v>
      </c>
      <c r="E34" s="45">
        <v>30522428163</v>
      </c>
      <c r="F34" s="71">
        <v>441945.85</v>
      </c>
      <c r="G34" s="71">
        <v>0</v>
      </c>
      <c r="H34" s="49">
        <v>0</v>
      </c>
      <c r="I34" s="49">
        <v>0</v>
      </c>
      <c r="J34" s="49">
        <v>92808.63</v>
      </c>
      <c r="K34" s="49">
        <v>0</v>
      </c>
      <c r="L34" s="71">
        <v>0</v>
      </c>
      <c r="M34" s="71">
        <v>534754.48</v>
      </c>
    </row>
    <row r="35" spans="1:13">
      <c r="A35" s="43" t="s">
        <v>3157</v>
      </c>
      <c r="B35" s="44" t="s">
        <v>3175</v>
      </c>
      <c r="C35" s="45" t="s">
        <v>16</v>
      </c>
      <c r="D35" s="45" t="s">
        <v>17</v>
      </c>
      <c r="E35" s="45">
        <v>30522428163</v>
      </c>
      <c r="F35" s="71">
        <v>44888.97</v>
      </c>
      <c r="G35" s="71">
        <v>0</v>
      </c>
      <c r="H35" s="49">
        <v>0</v>
      </c>
      <c r="I35" s="49">
        <v>0</v>
      </c>
      <c r="J35" s="49">
        <v>9426.68</v>
      </c>
      <c r="K35" s="49">
        <v>0</v>
      </c>
      <c r="L35" s="71">
        <v>0</v>
      </c>
      <c r="M35" s="71">
        <v>54315.65</v>
      </c>
    </row>
    <row r="36" spans="1:13">
      <c r="A36" s="43" t="s">
        <v>3157</v>
      </c>
      <c r="B36" s="44" t="s">
        <v>3176</v>
      </c>
      <c r="C36" s="45" t="s">
        <v>16</v>
      </c>
      <c r="D36" s="45" t="s">
        <v>17</v>
      </c>
      <c r="E36" s="45">
        <v>30522428163</v>
      </c>
      <c r="F36" s="71">
        <v>364565.4</v>
      </c>
      <c r="G36" s="71">
        <v>0</v>
      </c>
      <c r="H36" s="49">
        <v>0</v>
      </c>
      <c r="I36" s="49">
        <v>0</v>
      </c>
      <c r="J36" s="49">
        <v>76558.73</v>
      </c>
      <c r="K36" s="49">
        <v>0</v>
      </c>
      <c r="L36" s="71">
        <v>0</v>
      </c>
      <c r="M36" s="71">
        <v>441124.13</v>
      </c>
    </row>
    <row r="37" spans="1:13">
      <c r="A37" s="43" t="s">
        <v>3157</v>
      </c>
      <c r="B37" s="44" t="s">
        <v>3177</v>
      </c>
      <c r="C37" s="45" t="s">
        <v>16</v>
      </c>
      <c r="D37" s="45" t="s">
        <v>17</v>
      </c>
      <c r="E37" s="45">
        <v>30522428163</v>
      </c>
      <c r="F37" s="71">
        <v>26942.15</v>
      </c>
      <c r="G37" s="71">
        <v>0</v>
      </c>
      <c r="H37" s="49">
        <v>0</v>
      </c>
      <c r="I37" s="49">
        <v>0</v>
      </c>
      <c r="J37" s="49">
        <v>5657.85</v>
      </c>
      <c r="K37" s="49">
        <v>0</v>
      </c>
      <c r="L37" s="71">
        <v>0</v>
      </c>
      <c r="M37" s="71">
        <v>32600</v>
      </c>
    </row>
    <row r="38" spans="1:13">
      <c r="A38" s="43" t="s">
        <v>3157</v>
      </c>
      <c r="B38" s="44" t="s">
        <v>3178</v>
      </c>
      <c r="C38" s="45" t="s">
        <v>16</v>
      </c>
      <c r="D38" s="45" t="s">
        <v>17</v>
      </c>
      <c r="E38" s="45">
        <v>30522428163</v>
      </c>
      <c r="F38" s="71">
        <v>359270.43</v>
      </c>
      <c r="G38" s="71">
        <v>0</v>
      </c>
      <c r="H38" s="49">
        <v>0</v>
      </c>
      <c r="I38" s="49">
        <v>0</v>
      </c>
      <c r="J38" s="49">
        <v>75446.789999999994</v>
      </c>
      <c r="K38" s="49">
        <v>0</v>
      </c>
      <c r="L38" s="71">
        <v>0</v>
      </c>
      <c r="M38" s="71">
        <v>434717.22</v>
      </c>
    </row>
    <row r="39" spans="1:13">
      <c r="A39" s="43" t="s">
        <v>3157</v>
      </c>
      <c r="B39" s="44" t="s">
        <v>3179</v>
      </c>
      <c r="C39" s="45" t="s">
        <v>64</v>
      </c>
      <c r="D39" s="45" t="s">
        <v>17</v>
      </c>
      <c r="E39" s="45">
        <v>30546771314</v>
      </c>
      <c r="F39" s="71">
        <v>25462.799999999999</v>
      </c>
      <c r="G39" s="71">
        <v>0</v>
      </c>
      <c r="H39" s="49">
        <v>0</v>
      </c>
      <c r="I39" s="49">
        <v>0</v>
      </c>
      <c r="J39" s="49">
        <v>5347.19</v>
      </c>
      <c r="K39" s="49">
        <v>0</v>
      </c>
      <c r="L39" s="71">
        <v>0</v>
      </c>
      <c r="M39" s="71">
        <v>30809.99</v>
      </c>
    </row>
    <row r="40" spans="1:13">
      <c r="A40" s="43" t="s">
        <v>3186</v>
      </c>
      <c r="B40" s="44" t="s">
        <v>3206</v>
      </c>
      <c r="C40" s="45" t="s">
        <v>76</v>
      </c>
      <c r="D40" s="45" t="s">
        <v>17</v>
      </c>
      <c r="E40" s="45">
        <v>30500053522</v>
      </c>
      <c r="F40" s="71">
        <v>9919.83</v>
      </c>
      <c r="G40" s="71">
        <v>0</v>
      </c>
      <c r="H40" s="49">
        <v>0</v>
      </c>
      <c r="I40" s="49">
        <v>0</v>
      </c>
      <c r="J40" s="49">
        <v>2083.16</v>
      </c>
      <c r="K40" s="49">
        <v>0</v>
      </c>
      <c r="L40" s="71">
        <v>0</v>
      </c>
      <c r="M40" s="71">
        <v>12002.99</v>
      </c>
    </row>
    <row r="41" spans="1:13">
      <c r="A41" s="43" t="s">
        <v>3186</v>
      </c>
      <c r="B41" s="44" t="s">
        <v>3207</v>
      </c>
      <c r="C41" s="45" t="s">
        <v>76</v>
      </c>
      <c r="D41" s="45" t="s">
        <v>17</v>
      </c>
      <c r="E41" s="45">
        <v>30500053522</v>
      </c>
      <c r="F41" s="71">
        <v>7093.38</v>
      </c>
      <c r="G41" s="71">
        <v>0</v>
      </c>
      <c r="H41" s="49">
        <v>0</v>
      </c>
      <c r="I41" s="49">
        <v>0</v>
      </c>
      <c r="J41" s="49">
        <v>1489.61</v>
      </c>
      <c r="K41" s="49">
        <v>0</v>
      </c>
      <c r="L41" s="71">
        <v>0</v>
      </c>
      <c r="M41" s="71">
        <v>8582.99</v>
      </c>
    </row>
    <row r="42" spans="1:13">
      <c r="A42" s="43" t="s">
        <v>3186</v>
      </c>
      <c r="B42" s="44" t="s">
        <v>3208</v>
      </c>
      <c r="C42" s="45" t="s">
        <v>33</v>
      </c>
      <c r="D42" s="45" t="s">
        <v>17</v>
      </c>
      <c r="E42" s="45">
        <v>30683032227</v>
      </c>
      <c r="F42" s="71">
        <v>449583.8</v>
      </c>
      <c r="G42" s="71">
        <v>0</v>
      </c>
      <c r="H42" s="49">
        <v>0</v>
      </c>
      <c r="I42" s="49">
        <v>0</v>
      </c>
      <c r="J42" s="49">
        <v>94412.6</v>
      </c>
      <c r="K42" s="49">
        <v>0</v>
      </c>
      <c r="L42" s="71">
        <v>0</v>
      </c>
      <c r="M42" s="71">
        <v>543996.4</v>
      </c>
    </row>
    <row r="43" spans="1:13">
      <c r="A43" s="43" t="s">
        <v>3186</v>
      </c>
      <c r="B43" s="44" t="s">
        <v>3209</v>
      </c>
      <c r="C43" s="45" t="s">
        <v>33</v>
      </c>
      <c r="D43" s="45" t="s">
        <v>17</v>
      </c>
      <c r="E43" s="45">
        <v>30683032227</v>
      </c>
      <c r="F43" s="71">
        <v>102568.6</v>
      </c>
      <c r="G43" s="71">
        <v>0</v>
      </c>
      <c r="H43" s="49">
        <v>0</v>
      </c>
      <c r="I43" s="49">
        <v>0</v>
      </c>
      <c r="J43" s="49">
        <v>21539.41</v>
      </c>
      <c r="K43" s="49">
        <v>0</v>
      </c>
      <c r="L43" s="71">
        <v>0</v>
      </c>
      <c r="M43" s="71">
        <v>124108.01</v>
      </c>
    </row>
    <row r="44" spans="1:13">
      <c r="A44" s="43" t="s">
        <v>3315</v>
      </c>
      <c r="B44" s="44" t="s">
        <v>3336</v>
      </c>
      <c r="C44" s="45" t="s">
        <v>2383</v>
      </c>
      <c r="D44" s="45" t="s">
        <v>17</v>
      </c>
      <c r="E44" s="45">
        <v>20223256393</v>
      </c>
      <c r="F44" s="71">
        <v>10743.8</v>
      </c>
      <c r="G44" s="71">
        <v>0</v>
      </c>
      <c r="H44" s="49">
        <v>0</v>
      </c>
      <c r="I44" s="49">
        <v>0</v>
      </c>
      <c r="J44" s="49">
        <v>2256.1999999999998</v>
      </c>
      <c r="K44" s="49">
        <v>0</v>
      </c>
      <c r="L44" s="71">
        <v>0</v>
      </c>
      <c r="M44" s="71">
        <v>13000</v>
      </c>
    </row>
    <row r="45" spans="1:13">
      <c r="A45" s="43" t="s">
        <v>3393</v>
      </c>
      <c r="B45" s="44" t="s">
        <v>3403</v>
      </c>
      <c r="C45" s="45" t="s">
        <v>80</v>
      </c>
      <c r="D45" s="45" t="s">
        <v>17</v>
      </c>
      <c r="E45" s="45">
        <v>30608716390</v>
      </c>
      <c r="F45" s="71">
        <v>2332.2400000000002</v>
      </c>
      <c r="G45" s="71">
        <v>0</v>
      </c>
      <c r="H45" s="49">
        <v>0</v>
      </c>
      <c r="I45" s="49">
        <v>0</v>
      </c>
      <c r="J45" s="49">
        <v>489.78</v>
      </c>
      <c r="K45" s="49">
        <v>0</v>
      </c>
      <c r="L45" s="71">
        <v>0</v>
      </c>
      <c r="M45" s="71">
        <v>2822.02</v>
      </c>
    </row>
    <row r="46" spans="1:13">
      <c r="A46" s="43" t="s">
        <v>3393</v>
      </c>
      <c r="B46" s="44" t="s">
        <v>3404</v>
      </c>
      <c r="C46" s="45" t="s">
        <v>80</v>
      </c>
      <c r="D46" s="45" t="s">
        <v>17</v>
      </c>
      <c r="E46" s="45">
        <v>30608716390</v>
      </c>
      <c r="F46" s="71">
        <v>1998.35</v>
      </c>
      <c r="G46" s="71">
        <v>0</v>
      </c>
      <c r="H46" s="49">
        <v>0</v>
      </c>
      <c r="I46" s="49">
        <v>0</v>
      </c>
      <c r="J46" s="49">
        <v>419.65</v>
      </c>
      <c r="K46" s="49">
        <v>0</v>
      </c>
      <c r="L46" s="71">
        <v>0</v>
      </c>
      <c r="M46" s="71">
        <v>2418</v>
      </c>
    </row>
    <row r="47" spans="1:13">
      <c r="A47" s="43" t="s">
        <v>3393</v>
      </c>
      <c r="B47" s="44" t="s">
        <v>3405</v>
      </c>
      <c r="C47" s="45" t="s">
        <v>80</v>
      </c>
      <c r="D47" s="45" t="s">
        <v>17</v>
      </c>
      <c r="E47" s="45">
        <v>30608716390</v>
      </c>
      <c r="F47" s="71">
        <v>4806.62</v>
      </c>
      <c r="G47" s="71">
        <v>0</v>
      </c>
      <c r="H47" s="49">
        <v>0</v>
      </c>
      <c r="I47" s="49">
        <v>0</v>
      </c>
      <c r="J47" s="49">
        <v>1009.4</v>
      </c>
      <c r="K47" s="49">
        <v>0</v>
      </c>
      <c r="L47" s="71">
        <v>0</v>
      </c>
      <c r="M47" s="71">
        <v>5816.02</v>
      </c>
    </row>
    <row r="48" spans="1:13">
      <c r="A48" s="43" t="s">
        <v>3393</v>
      </c>
      <c r="B48" s="44" t="s">
        <v>3406</v>
      </c>
      <c r="C48" s="45" t="s">
        <v>80</v>
      </c>
      <c r="D48" s="45" t="s">
        <v>17</v>
      </c>
      <c r="E48" s="45">
        <v>30608716390</v>
      </c>
      <c r="F48" s="71">
        <v>5176.04</v>
      </c>
      <c r="G48" s="71">
        <v>0</v>
      </c>
      <c r="H48" s="49">
        <v>0</v>
      </c>
      <c r="I48" s="49">
        <v>0</v>
      </c>
      <c r="J48" s="49">
        <v>1086.97</v>
      </c>
      <c r="K48" s="49">
        <v>0</v>
      </c>
      <c r="L48" s="71">
        <v>0</v>
      </c>
      <c r="M48" s="71">
        <v>6263.01</v>
      </c>
    </row>
    <row r="49" spans="1:13">
      <c r="A49" s="43" t="s">
        <v>3446</v>
      </c>
      <c r="B49" s="44" t="s">
        <v>3459</v>
      </c>
      <c r="C49" s="45" t="s">
        <v>16</v>
      </c>
      <c r="D49" s="45" t="s">
        <v>17</v>
      </c>
      <c r="E49" s="45">
        <v>30522428163</v>
      </c>
      <c r="F49" s="71">
        <v>27685.95</v>
      </c>
      <c r="G49" s="71">
        <v>0</v>
      </c>
      <c r="H49" s="49">
        <v>0</v>
      </c>
      <c r="I49" s="49">
        <v>0</v>
      </c>
      <c r="J49" s="49">
        <v>5814.05</v>
      </c>
      <c r="K49" s="49">
        <v>0</v>
      </c>
      <c r="L49" s="71">
        <v>0</v>
      </c>
      <c r="M49" s="71">
        <v>33500</v>
      </c>
    </row>
    <row r="50" spans="1:13">
      <c r="A50" s="43" t="s">
        <v>3446</v>
      </c>
      <c r="B50" s="44" t="s">
        <v>3460</v>
      </c>
      <c r="C50" s="45" t="s">
        <v>33</v>
      </c>
      <c r="D50" s="45" t="s">
        <v>17</v>
      </c>
      <c r="E50" s="45">
        <v>30683032227</v>
      </c>
      <c r="F50" s="71">
        <v>4462.8</v>
      </c>
      <c r="G50" s="71">
        <v>0</v>
      </c>
      <c r="H50" s="49">
        <v>0</v>
      </c>
      <c r="I50" s="49">
        <v>0</v>
      </c>
      <c r="J50" s="49">
        <v>937.19</v>
      </c>
      <c r="K50" s="49">
        <v>0</v>
      </c>
      <c r="L50" s="71">
        <v>0</v>
      </c>
      <c r="M50" s="71">
        <v>5399.99</v>
      </c>
    </row>
    <row r="51" spans="1:13">
      <c r="A51" s="43" t="s">
        <v>3446</v>
      </c>
      <c r="B51" s="44" t="s">
        <v>3461</v>
      </c>
      <c r="C51" s="45" t="s">
        <v>33</v>
      </c>
      <c r="D51" s="45" t="s">
        <v>17</v>
      </c>
      <c r="E51" s="45">
        <v>30683032227</v>
      </c>
      <c r="F51" s="71">
        <v>219008.27</v>
      </c>
      <c r="G51" s="71">
        <v>0</v>
      </c>
      <c r="H51" s="49">
        <v>0</v>
      </c>
      <c r="I51" s="49">
        <v>0</v>
      </c>
      <c r="J51" s="49">
        <v>45991.73</v>
      </c>
      <c r="K51" s="49">
        <v>0</v>
      </c>
      <c r="L51" s="71">
        <v>0</v>
      </c>
      <c r="M51" s="71">
        <v>265000</v>
      </c>
    </row>
    <row r="52" spans="1:13">
      <c r="A52" s="43" t="s">
        <v>3446</v>
      </c>
      <c r="B52" s="44" t="s">
        <v>3462</v>
      </c>
      <c r="C52" s="45" t="s">
        <v>33</v>
      </c>
      <c r="D52" s="45" t="s">
        <v>17</v>
      </c>
      <c r="E52" s="45">
        <v>30683032227</v>
      </c>
      <c r="F52" s="71">
        <v>228099.18</v>
      </c>
      <c r="G52" s="71">
        <v>0</v>
      </c>
      <c r="H52" s="49">
        <v>0</v>
      </c>
      <c r="I52" s="49">
        <v>0</v>
      </c>
      <c r="J52" s="49">
        <v>47900.83</v>
      </c>
      <c r="K52" s="49">
        <v>0</v>
      </c>
      <c r="L52" s="71">
        <v>0</v>
      </c>
      <c r="M52" s="71">
        <v>276000.01</v>
      </c>
    </row>
    <row r="53" spans="1:13">
      <c r="A53" s="43" t="s">
        <v>3476</v>
      </c>
      <c r="B53" s="44" t="s">
        <v>3491</v>
      </c>
      <c r="C53" s="45" t="s">
        <v>80</v>
      </c>
      <c r="D53" s="45" t="s">
        <v>17</v>
      </c>
      <c r="E53" s="45">
        <v>30608716390</v>
      </c>
      <c r="F53" s="71">
        <v>2218.1799999999998</v>
      </c>
      <c r="G53" s="71">
        <v>0</v>
      </c>
      <c r="H53" s="49">
        <v>0</v>
      </c>
      <c r="I53" s="49">
        <v>0</v>
      </c>
      <c r="J53" s="49">
        <v>465.82</v>
      </c>
      <c r="K53" s="49">
        <v>0</v>
      </c>
      <c r="L53" s="71">
        <v>0</v>
      </c>
      <c r="M53" s="71">
        <v>2684</v>
      </c>
    </row>
    <row r="54" spans="1:13">
      <c r="A54" s="43" t="s">
        <v>3476</v>
      </c>
      <c r="B54" s="44" t="s">
        <v>3492</v>
      </c>
      <c r="C54" s="45" t="s">
        <v>80</v>
      </c>
      <c r="D54" s="45" t="s">
        <v>17</v>
      </c>
      <c r="E54" s="45">
        <v>30608716390</v>
      </c>
      <c r="F54" s="71">
        <v>8661.15</v>
      </c>
      <c r="G54" s="71">
        <v>0</v>
      </c>
      <c r="H54" s="49">
        <v>0</v>
      </c>
      <c r="I54" s="49">
        <v>0</v>
      </c>
      <c r="J54" s="49">
        <v>1818.84</v>
      </c>
      <c r="K54" s="49">
        <v>0</v>
      </c>
      <c r="L54" s="71">
        <v>0</v>
      </c>
      <c r="M54" s="71">
        <v>10479.99</v>
      </c>
    </row>
    <row r="55" spans="1:13">
      <c r="A55" s="43" t="s">
        <v>3522</v>
      </c>
      <c r="B55" s="44" t="s">
        <v>3537</v>
      </c>
      <c r="C55" s="45" t="s">
        <v>80</v>
      </c>
      <c r="D55" s="45" t="s">
        <v>17</v>
      </c>
      <c r="E55" s="45">
        <v>30608716390</v>
      </c>
      <c r="F55" s="71">
        <v>1294.22</v>
      </c>
      <c r="G55" s="71">
        <v>0</v>
      </c>
      <c r="H55" s="49">
        <v>0</v>
      </c>
      <c r="I55" s="49">
        <v>0</v>
      </c>
      <c r="J55" s="49">
        <v>271.79000000000002</v>
      </c>
      <c r="K55" s="49">
        <v>0</v>
      </c>
      <c r="L55" s="71">
        <v>0</v>
      </c>
      <c r="M55" s="71">
        <v>1566.01</v>
      </c>
    </row>
    <row r="56" spans="1:13">
      <c r="A56" s="43" t="s">
        <v>3522</v>
      </c>
      <c r="B56" s="44" t="s">
        <v>3538</v>
      </c>
      <c r="C56" s="45" t="s">
        <v>80</v>
      </c>
      <c r="D56" s="45" t="s">
        <v>17</v>
      </c>
      <c r="E56" s="45">
        <v>30608716390</v>
      </c>
      <c r="F56" s="71">
        <v>2825.62</v>
      </c>
      <c r="G56" s="71">
        <v>0</v>
      </c>
      <c r="H56" s="49">
        <v>0</v>
      </c>
      <c r="I56" s="49">
        <v>0</v>
      </c>
      <c r="J56" s="49">
        <v>593.38</v>
      </c>
      <c r="K56" s="49">
        <v>0</v>
      </c>
      <c r="L56" s="71">
        <v>0</v>
      </c>
      <c r="M56" s="71">
        <v>3419</v>
      </c>
    </row>
    <row r="57" spans="1:13">
      <c r="A57" s="43" t="s">
        <v>3522</v>
      </c>
      <c r="B57" s="44" t="s">
        <v>3539</v>
      </c>
      <c r="C57" s="45" t="s">
        <v>16</v>
      </c>
      <c r="D57" s="45" t="s">
        <v>17</v>
      </c>
      <c r="E57" s="45">
        <v>30522428163</v>
      </c>
      <c r="F57" s="71">
        <v>6779.26</v>
      </c>
      <c r="G57" s="71">
        <v>0</v>
      </c>
      <c r="H57" s="49">
        <v>0</v>
      </c>
      <c r="I57" s="49">
        <v>0</v>
      </c>
      <c r="J57" s="49">
        <v>1423.64</v>
      </c>
      <c r="K57" s="49">
        <v>0</v>
      </c>
      <c r="L57" s="71">
        <v>0</v>
      </c>
      <c r="M57" s="71">
        <v>8202.9</v>
      </c>
    </row>
    <row r="58" spans="1:13">
      <c r="A58" s="43" t="s">
        <v>3315</v>
      </c>
      <c r="B58" s="44" t="s">
        <v>3331</v>
      </c>
      <c r="C58" s="45" t="s">
        <v>16</v>
      </c>
      <c r="D58" s="45" t="s">
        <v>17</v>
      </c>
      <c r="E58" s="45">
        <v>30522428163</v>
      </c>
      <c r="F58" s="71">
        <v>-265289.26</v>
      </c>
      <c r="G58" s="71">
        <v>0</v>
      </c>
      <c r="H58" s="49">
        <v>0</v>
      </c>
      <c r="I58" s="49">
        <v>0</v>
      </c>
      <c r="J58" s="49">
        <v>-55710.74</v>
      </c>
      <c r="K58" s="49">
        <v>0</v>
      </c>
      <c r="L58" s="71">
        <v>0</v>
      </c>
      <c r="M58" s="71">
        <v>-321000</v>
      </c>
    </row>
    <row r="59" spans="1:13">
      <c r="A59" s="43" t="s">
        <v>3315</v>
      </c>
      <c r="B59" s="44" t="s">
        <v>3332</v>
      </c>
      <c r="C59" s="45" t="s">
        <v>16</v>
      </c>
      <c r="D59" s="45" t="s">
        <v>17</v>
      </c>
      <c r="E59" s="45">
        <v>30522428163</v>
      </c>
      <c r="F59" s="71">
        <v>-587189.45000000007</v>
      </c>
      <c r="G59" s="71">
        <v>0</v>
      </c>
      <c r="H59" s="49">
        <v>0</v>
      </c>
      <c r="I59" s="49">
        <v>0</v>
      </c>
      <c r="J59" s="49">
        <v>-123309.78</v>
      </c>
      <c r="K59" s="49">
        <v>0</v>
      </c>
      <c r="L59" s="71">
        <v>0</v>
      </c>
      <c r="M59" s="71">
        <v>-710499.23</v>
      </c>
    </row>
    <row r="60" spans="1:13">
      <c r="A60" s="43" t="s">
        <v>3315</v>
      </c>
      <c r="B60" s="44" t="s">
        <v>3333</v>
      </c>
      <c r="C60" s="45" t="s">
        <v>16</v>
      </c>
      <c r="D60" s="45" t="s">
        <v>17</v>
      </c>
      <c r="E60" s="45">
        <v>30522428163</v>
      </c>
      <c r="F60" s="71">
        <v>-84411.21</v>
      </c>
      <c r="G60" s="71">
        <v>0</v>
      </c>
      <c r="H60" s="49">
        <v>0</v>
      </c>
      <c r="I60" s="49">
        <v>0</v>
      </c>
      <c r="J60" s="49">
        <v>-17726.349999999999</v>
      </c>
      <c r="K60" s="49">
        <v>0</v>
      </c>
      <c r="L60" s="71">
        <v>0</v>
      </c>
      <c r="M60" s="71">
        <v>-102137.56</v>
      </c>
    </row>
    <row r="61" spans="1:13">
      <c r="A61" s="43" t="s">
        <v>3097</v>
      </c>
      <c r="B61" s="44" t="s">
        <v>3110</v>
      </c>
      <c r="C61" s="45" t="s">
        <v>57</v>
      </c>
      <c r="D61" s="45" t="s">
        <v>17</v>
      </c>
      <c r="E61" s="45">
        <v>30715186655</v>
      </c>
      <c r="F61" s="71">
        <v>-9929.75</v>
      </c>
      <c r="G61" s="71">
        <v>0</v>
      </c>
      <c r="H61" s="49">
        <v>0</v>
      </c>
      <c r="I61" s="49">
        <v>0</v>
      </c>
      <c r="J61" s="49">
        <v>-2085.25</v>
      </c>
      <c r="K61" s="49">
        <v>0</v>
      </c>
      <c r="L61" s="71">
        <v>0</v>
      </c>
      <c r="M61" s="71">
        <v>-12015</v>
      </c>
    </row>
    <row r="62" spans="1:13">
      <c r="A62" s="43" t="s">
        <v>3315</v>
      </c>
      <c r="B62" s="44" t="s">
        <v>3334</v>
      </c>
      <c r="C62" s="45" t="s">
        <v>16</v>
      </c>
      <c r="D62" s="45" t="s">
        <v>17</v>
      </c>
      <c r="E62" s="45">
        <v>30522428163</v>
      </c>
      <c r="F62" s="71">
        <v>-1545</v>
      </c>
      <c r="G62" s="71">
        <v>0</v>
      </c>
      <c r="H62" s="49">
        <v>0</v>
      </c>
      <c r="I62" s="49">
        <v>0</v>
      </c>
      <c r="J62" s="49">
        <v>-324.45</v>
      </c>
      <c r="K62" s="49">
        <v>0</v>
      </c>
      <c r="L62" s="71">
        <v>0</v>
      </c>
      <c r="M62" s="71">
        <v>-1869.45</v>
      </c>
    </row>
    <row r="63" spans="1:13">
      <c r="A63" s="43" t="s">
        <v>3315</v>
      </c>
      <c r="B63" s="44" t="s">
        <v>3335</v>
      </c>
      <c r="C63" s="45" t="s">
        <v>16</v>
      </c>
      <c r="D63" s="45" t="s">
        <v>17</v>
      </c>
      <c r="E63" s="45">
        <v>30522428163</v>
      </c>
      <c r="F63" s="71">
        <v>-13250.1</v>
      </c>
      <c r="G63" s="71">
        <v>0</v>
      </c>
      <c r="H63" s="49">
        <v>0</v>
      </c>
      <c r="I63" s="49">
        <v>0</v>
      </c>
      <c r="J63" s="49">
        <v>-2782.52</v>
      </c>
      <c r="K63" s="49">
        <v>0</v>
      </c>
      <c r="L63" s="71">
        <v>0</v>
      </c>
      <c r="M63" s="71">
        <v>-16032.62</v>
      </c>
    </row>
    <row r="64" spans="1:13">
      <c r="A64" s="43" t="s">
        <v>3540</v>
      </c>
      <c r="B64" s="44" t="s">
        <v>3549</v>
      </c>
      <c r="C64" s="45" t="s">
        <v>16</v>
      </c>
      <c r="D64" s="45" t="s">
        <v>17</v>
      </c>
      <c r="E64" s="45">
        <v>30522428163</v>
      </c>
      <c r="F64" s="71">
        <v>-6779.26</v>
      </c>
      <c r="G64" s="71">
        <v>0</v>
      </c>
      <c r="H64" s="49">
        <v>0</v>
      </c>
      <c r="I64" s="49">
        <v>0</v>
      </c>
      <c r="J64" s="49">
        <v>-1423.64</v>
      </c>
      <c r="K64" s="49">
        <v>0</v>
      </c>
      <c r="L64" s="71">
        <v>0</v>
      </c>
      <c r="M64" s="71">
        <v>-8202.9</v>
      </c>
    </row>
    <row r="65" spans="1:13">
      <c r="A65" s="43" t="s">
        <v>3540</v>
      </c>
      <c r="B65" s="44" t="s">
        <v>3550</v>
      </c>
      <c r="C65" s="45" t="s">
        <v>3551</v>
      </c>
      <c r="D65" s="45" t="s">
        <v>17</v>
      </c>
      <c r="E65" s="45">
        <v>30712529721</v>
      </c>
      <c r="F65" s="71">
        <v>6779.26</v>
      </c>
      <c r="G65" s="71">
        <v>0</v>
      </c>
      <c r="H65" s="49">
        <v>0</v>
      </c>
      <c r="I65" s="49">
        <v>0</v>
      </c>
      <c r="J65" s="49">
        <v>1423.64</v>
      </c>
      <c r="K65" s="49">
        <v>0</v>
      </c>
      <c r="L65" s="71">
        <v>0</v>
      </c>
      <c r="M65" s="71">
        <v>8202.9</v>
      </c>
    </row>
    <row r="66" spans="1:13">
      <c r="A66" s="128"/>
      <c r="B66" s="129"/>
      <c r="C66" s="130"/>
      <c r="D66" s="130"/>
      <c r="E66" s="130"/>
      <c r="F66" s="135"/>
      <c r="G66" s="135"/>
      <c r="H66" s="132"/>
      <c r="I66" s="132"/>
      <c r="J66" s="132"/>
      <c r="K66" s="132"/>
      <c r="L66" s="135"/>
      <c r="M66" s="135"/>
    </row>
    <row r="67" spans="1:13">
      <c r="A67" s="43" t="s">
        <v>3081</v>
      </c>
      <c r="B67" s="134" t="s">
        <v>3082</v>
      </c>
      <c r="C67" s="45" t="s">
        <v>3083</v>
      </c>
      <c r="D67" s="45" t="s">
        <v>123</v>
      </c>
      <c r="E67" s="45">
        <v>30270219</v>
      </c>
      <c r="F67" s="71">
        <v>10185.950000000001</v>
      </c>
      <c r="G67" s="71">
        <v>0</v>
      </c>
      <c r="H67" s="49">
        <v>0</v>
      </c>
      <c r="I67" s="49">
        <v>0</v>
      </c>
      <c r="J67" s="49">
        <v>2139.0500000000002</v>
      </c>
      <c r="K67" s="49">
        <v>0</v>
      </c>
      <c r="L67" s="71">
        <v>0</v>
      </c>
      <c r="M67" s="71">
        <v>12325</v>
      </c>
    </row>
    <row r="68" spans="1:13">
      <c r="A68" s="43" t="s">
        <v>3081</v>
      </c>
      <c r="B68" s="134" t="s">
        <v>3084</v>
      </c>
      <c r="C68" s="45" t="s">
        <v>122</v>
      </c>
      <c r="D68" s="45" t="s">
        <v>123</v>
      </c>
      <c r="E68" s="45" t="s">
        <v>124</v>
      </c>
      <c r="F68" s="71">
        <v>13884.3</v>
      </c>
      <c r="G68" s="71">
        <v>0</v>
      </c>
      <c r="H68" s="49">
        <v>0</v>
      </c>
      <c r="I68" s="49">
        <v>0</v>
      </c>
      <c r="J68" s="49">
        <v>2915.7</v>
      </c>
      <c r="K68" s="49">
        <v>0</v>
      </c>
      <c r="L68" s="71">
        <v>0</v>
      </c>
      <c r="M68" s="71">
        <v>16800</v>
      </c>
    </row>
    <row r="69" spans="1:13">
      <c r="A69" s="43" t="s">
        <v>3081</v>
      </c>
      <c r="B69" s="134" t="s">
        <v>3085</v>
      </c>
      <c r="C69" s="45" t="s">
        <v>122</v>
      </c>
      <c r="D69" s="45" t="s">
        <v>123</v>
      </c>
      <c r="E69" s="45" t="s">
        <v>124</v>
      </c>
      <c r="F69" s="71">
        <v>8132.23</v>
      </c>
      <c r="G69" s="71">
        <v>0</v>
      </c>
      <c r="H69" s="49">
        <v>0</v>
      </c>
      <c r="I69" s="49">
        <v>0</v>
      </c>
      <c r="J69" s="49">
        <v>1707.77</v>
      </c>
      <c r="K69" s="49">
        <v>0</v>
      </c>
      <c r="L69" s="71">
        <v>0</v>
      </c>
      <c r="M69" s="71">
        <v>9840</v>
      </c>
    </row>
    <row r="70" spans="1:13">
      <c r="A70" s="43" t="s">
        <v>3081</v>
      </c>
      <c r="B70" s="134" t="s">
        <v>3086</v>
      </c>
      <c r="C70" s="45" t="s">
        <v>122</v>
      </c>
      <c r="D70" s="45" t="s">
        <v>123</v>
      </c>
      <c r="E70" s="45" t="s">
        <v>124</v>
      </c>
      <c r="F70" s="71">
        <v>5702.48</v>
      </c>
      <c r="G70" s="71">
        <v>0</v>
      </c>
      <c r="H70" s="49">
        <v>0</v>
      </c>
      <c r="I70" s="49">
        <v>0</v>
      </c>
      <c r="J70" s="49">
        <v>1197.52</v>
      </c>
      <c r="K70" s="49">
        <v>0</v>
      </c>
      <c r="L70" s="71">
        <v>0</v>
      </c>
      <c r="M70" s="71">
        <v>6900</v>
      </c>
    </row>
    <row r="71" spans="1:13">
      <c r="A71" s="43" t="s">
        <v>3081</v>
      </c>
      <c r="B71" s="134" t="s">
        <v>3087</v>
      </c>
      <c r="C71" s="45" t="s">
        <v>122</v>
      </c>
      <c r="D71" s="45" t="s">
        <v>123</v>
      </c>
      <c r="E71" s="45" t="s">
        <v>124</v>
      </c>
      <c r="F71" s="71">
        <v>9669.42</v>
      </c>
      <c r="G71" s="71">
        <v>0</v>
      </c>
      <c r="H71" s="49">
        <v>0</v>
      </c>
      <c r="I71" s="49">
        <v>0</v>
      </c>
      <c r="J71" s="49">
        <v>2030.58</v>
      </c>
      <c r="K71" s="49">
        <v>0</v>
      </c>
      <c r="L71" s="71">
        <v>0</v>
      </c>
      <c r="M71" s="71">
        <v>11700</v>
      </c>
    </row>
    <row r="72" spans="1:13">
      <c r="A72" s="43" t="s">
        <v>3081</v>
      </c>
      <c r="B72" s="134" t="s">
        <v>3088</v>
      </c>
      <c r="C72" s="45" t="s">
        <v>122</v>
      </c>
      <c r="D72" s="45" t="s">
        <v>123</v>
      </c>
      <c r="E72" s="45" t="s">
        <v>124</v>
      </c>
      <c r="F72" s="71">
        <v>7851.24</v>
      </c>
      <c r="G72" s="71">
        <v>0</v>
      </c>
      <c r="H72" s="49">
        <v>0</v>
      </c>
      <c r="I72" s="49">
        <v>0</v>
      </c>
      <c r="J72" s="49">
        <v>1648.76</v>
      </c>
      <c r="K72" s="49">
        <v>0</v>
      </c>
      <c r="L72" s="71">
        <v>0</v>
      </c>
      <c r="M72" s="71">
        <v>9500</v>
      </c>
    </row>
    <row r="73" spans="1:13">
      <c r="A73" s="43" t="s">
        <v>3081</v>
      </c>
      <c r="B73" s="134" t="s">
        <v>3089</v>
      </c>
      <c r="C73" s="45" t="s">
        <v>122</v>
      </c>
      <c r="D73" s="45" t="s">
        <v>123</v>
      </c>
      <c r="E73" s="45" t="s">
        <v>124</v>
      </c>
      <c r="F73" s="71">
        <v>1404.96</v>
      </c>
      <c r="G73" s="71">
        <v>0</v>
      </c>
      <c r="H73" s="49">
        <v>0</v>
      </c>
      <c r="I73" s="49">
        <v>0</v>
      </c>
      <c r="J73" s="49">
        <v>295.04000000000002</v>
      </c>
      <c r="K73" s="49">
        <v>0</v>
      </c>
      <c r="L73" s="71">
        <v>0</v>
      </c>
      <c r="M73" s="71">
        <v>1700</v>
      </c>
    </row>
    <row r="74" spans="1:13">
      <c r="A74" s="43" t="s">
        <v>3081</v>
      </c>
      <c r="B74" s="134" t="s">
        <v>3090</v>
      </c>
      <c r="C74" s="45" t="s">
        <v>122</v>
      </c>
      <c r="D74" s="45" t="s">
        <v>123</v>
      </c>
      <c r="E74" s="45" t="s">
        <v>124</v>
      </c>
      <c r="F74" s="71">
        <v>12479.34</v>
      </c>
      <c r="G74" s="71">
        <v>0</v>
      </c>
      <c r="H74" s="49">
        <v>0</v>
      </c>
      <c r="I74" s="49">
        <v>0</v>
      </c>
      <c r="J74" s="49">
        <v>2620.66</v>
      </c>
      <c r="K74" s="49">
        <v>0</v>
      </c>
      <c r="L74" s="71">
        <v>0</v>
      </c>
      <c r="M74" s="71">
        <v>15100</v>
      </c>
    </row>
    <row r="75" spans="1:13">
      <c r="A75" s="43" t="s">
        <v>3081</v>
      </c>
      <c r="B75" s="134" t="s">
        <v>3091</v>
      </c>
      <c r="C75" s="45" t="s">
        <v>122</v>
      </c>
      <c r="D75" s="45" t="s">
        <v>123</v>
      </c>
      <c r="E75" s="45" t="s">
        <v>124</v>
      </c>
      <c r="F75" s="71">
        <v>13595.04</v>
      </c>
      <c r="G75" s="71">
        <v>0</v>
      </c>
      <c r="H75" s="49">
        <v>0</v>
      </c>
      <c r="I75" s="49">
        <v>0</v>
      </c>
      <c r="J75" s="49">
        <v>2854.96</v>
      </c>
      <c r="K75" s="49">
        <v>0</v>
      </c>
      <c r="L75" s="71">
        <v>0</v>
      </c>
      <c r="M75" s="71">
        <v>16450</v>
      </c>
    </row>
    <row r="76" spans="1:13">
      <c r="A76" s="43" t="s">
        <v>3081</v>
      </c>
      <c r="B76" s="134" t="s">
        <v>3092</v>
      </c>
      <c r="C76" s="45" t="s">
        <v>122</v>
      </c>
      <c r="D76" s="45" t="s">
        <v>123</v>
      </c>
      <c r="E76" s="45" t="s">
        <v>124</v>
      </c>
      <c r="F76" s="71">
        <v>4132.2300000000005</v>
      </c>
      <c r="G76" s="71">
        <v>0</v>
      </c>
      <c r="H76" s="49">
        <v>0</v>
      </c>
      <c r="I76" s="49">
        <v>0</v>
      </c>
      <c r="J76" s="49">
        <v>867.77</v>
      </c>
      <c r="K76" s="49">
        <v>0</v>
      </c>
      <c r="L76" s="71">
        <v>0</v>
      </c>
      <c r="M76" s="71">
        <v>5000</v>
      </c>
    </row>
    <row r="77" spans="1:13">
      <c r="A77" s="43" t="s">
        <v>3081</v>
      </c>
      <c r="B77" s="134" t="s">
        <v>3093</v>
      </c>
      <c r="C77" s="45" t="s">
        <v>122</v>
      </c>
      <c r="D77" s="45" t="s">
        <v>123</v>
      </c>
      <c r="E77" s="45" t="s">
        <v>124</v>
      </c>
      <c r="F77" s="71">
        <v>2479.34</v>
      </c>
      <c r="G77" s="71">
        <v>0</v>
      </c>
      <c r="H77" s="49">
        <v>0</v>
      </c>
      <c r="I77" s="49">
        <v>0</v>
      </c>
      <c r="J77" s="49">
        <v>520.66</v>
      </c>
      <c r="K77" s="49">
        <v>0</v>
      </c>
      <c r="L77" s="71">
        <v>0</v>
      </c>
      <c r="M77" s="71">
        <v>3000</v>
      </c>
    </row>
    <row r="78" spans="1:13">
      <c r="A78" s="43" t="s">
        <v>3081</v>
      </c>
      <c r="B78" s="134" t="s">
        <v>3094</v>
      </c>
      <c r="C78" s="45" t="s">
        <v>122</v>
      </c>
      <c r="D78" s="45" t="s">
        <v>123</v>
      </c>
      <c r="E78" s="45" t="s">
        <v>124</v>
      </c>
      <c r="F78" s="71">
        <v>4958.68</v>
      </c>
      <c r="G78" s="71">
        <v>0</v>
      </c>
      <c r="H78" s="49">
        <v>0</v>
      </c>
      <c r="I78" s="49">
        <v>0</v>
      </c>
      <c r="J78" s="49">
        <v>1041.32</v>
      </c>
      <c r="K78" s="49">
        <v>0</v>
      </c>
      <c r="L78" s="71">
        <v>0</v>
      </c>
      <c r="M78" s="71">
        <v>6000</v>
      </c>
    </row>
    <row r="79" spans="1:13">
      <c r="A79" s="43" t="s">
        <v>3081</v>
      </c>
      <c r="B79" s="134" t="s">
        <v>3095</v>
      </c>
      <c r="C79" s="45" t="s">
        <v>122</v>
      </c>
      <c r="D79" s="45" t="s">
        <v>123</v>
      </c>
      <c r="E79" s="45" t="s">
        <v>124</v>
      </c>
      <c r="F79" s="71">
        <v>7933.88</v>
      </c>
      <c r="G79" s="71">
        <v>0</v>
      </c>
      <c r="H79" s="49">
        <v>0</v>
      </c>
      <c r="I79" s="49">
        <v>0</v>
      </c>
      <c r="J79" s="49">
        <v>1666.12</v>
      </c>
      <c r="K79" s="49">
        <v>0</v>
      </c>
      <c r="L79" s="71">
        <v>0</v>
      </c>
      <c r="M79" s="71">
        <v>9600</v>
      </c>
    </row>
    <row r="80" spans="1:13">
      <c r="A80" s="43" t="s">
        <v>3081</v>
      </c>
      <c r="B80" s="134" t="s">
        <v>3096</v>
      </c>
      <c r="C80" s="45" t="s">
        <v>122</v>
      </c>
      <c r="D80" s="45" t="s">
        <v>123</v>
      </c>
      <c r="E80" s="45" t="s">
        <v>124</v>
      </c>
      <c r="F80" s="71">
        <v>7438.02</v>
      </c>
      <c r="G80" s="71">
        <v>0</v>
      </c>
      <c r="H80" s="49">
        <v>0</v>
      </c>
      <c r="I80" s="49">
        <v>0</v>
      </c>
      <c r="J80" s="49">
        <v>1561.98</v>
      </c>
      <c r="K80" s="49">
        <v>0</v>
      </c>
      <c r="L80" s="71">
        <v>0</v>
      </c>
      <c r="M80" s="71">
        <v>9000</v>
      </c>
    </row>
    <row r="81" spans="1:13">
      <c r="A81" s="43" t="s">
        <v>3097</v>
      </c>
      <c r="B81" s="134" t="s">
        <v>3098</v>
      </c>
      <c r="C81" s="45" t="s">
        <v>122</v>
      </c>
      <c r="D81" s="45" t="s">
        <v>123</v>
      </c>
      <c r="E81" s="45" t="s">
        <v>124</v>
      </c>
      <c r="F81" s="71">
        <v>4132.2300000000005</v>
      </c>
      <c r="G81" s="71">
        <v>0</v>
      </c>
      <c r="H81" s="49">
        <v>0</v>
      </c>
      <c r="I81" s="49">
        <v>0</v>
      </c>
      <c r="J81" s="49">
        <v>867.77</v>
      </c>
      <c r="K81" s="49">
        <v>0</v>
      </c>
      <c r="L81" s="71">
        <v>0</v>
      </c>
      <c r="M81" s="71">
        <v>5000</v>
      </c>
    </row>
    <row r="82" spans="1:13">
      <c r="A82" s="43" t="s">
        <v>3097</v>
      </c>
      <c r="B82" s="134" t="s">
        <v>3099</v>
      </c>
      <c r="C82" s="45" t="s">
        <v>122</v>
      </c>
      <c r="D82" s="45" t="s">
        <v>123</v>
      </c>
      <c r="E82" s="45" t="s">
        <v>124</v>
      </c>
      <c r="F82" s="71">
        <v>2479.34</v>
      </c>
      <c r="G82" s="71">
        <v>0</v>
      </c>
      <c r="H82" s="49">
        <v>0</v>
      </c>
      <c r="I82" s="49">
        <v>0</v>
      </c>
      <c r="J82" s="49">
        <v>520.66</v>
      </c>
      <c r="K82" s="49">
        <v>0</v>
      </c>
      <c r="L82" s="71">
        <v>0</v>
      </c>
      <c r="M82" s="71">
        <v>3000</v>
      </c>
    </row>
    <row r="83" spans="1:13">
      <c r="A83" s="43" t="s">
        <v>3097</v>
      </c>
      <c r="B83" s="134" t="s">
        <v>3100</v>
      </c>
      <c r="C83" s="45" t="s">
        <v>122</v>
      </c>
      <c r="D83" s="45" t="s">
        <v>123</v>
      </c>
      <c r="E83" s="45" t="s">
        <v>124</v>
      </c>
      <c r="F83" s="71">
        <v>9173.5500000000011</v>
      </c>
      <c r="G83" s="71">
        <v>0</v>
      </c>
      <c r="H83" s="49">
        <v>0</v>
      </c>
      <c r="I83" s="49">
        <v>0</v>
      </c>
      <c r="J83" s="49">
        <v>1926.45</v>
      </c>
      <c r="K83" s="49">
        <v>0</v>
      </c>
      <c r="L83" s="71">
        <v>0</v>
      </c>
      <c r="M83" s="71">
        <v>11100</v>
      </c>
    </row>
    <row r="84" spans="1:13">
      <c r="A84" s="43" t="s">
        <v>3097</v>
      </c>
      <c r="B84" s="134" t="s">
        <v>3101</v>
      </c>
      <c r="C84" s="45" t="s">
        <v>122</v>
      </c>
      <c r="D84" s="45" t="s">
        <v>123</v>
      </c>
      <c r="E84" s="45" t="s">
        <v>124</v>
      </c>
      <c r="F84" s="71">
        <v>3719.01</v>
      </c>
      <c r="G84" s="71">
        <v>0</v>
      </c>
      <c r="H84" s="49">
        <v>0</v>
      </c>
      <c r="I84" s="49">
        <v>0</v>
      </c>
      <c r="J84" s="49">
        <v>780.99</v>
      </c>
      <c r="K84" s="49">
        <v>0</v>
      </c>
      <c r="L84" s="71">
        <v>0</v>
      </c>
      <c r="M84" s="71">
        <v>4500</v>
      </c>
    </row>
    <row r="85" spans="1:13">
      <c r="A85" s="43" t="s">
        <v>3097</v>
      </c>
      <c r="B85" s="134" t="s">
        <v>3102</v>
      </c>
      <c r="C85" s="45" t="s">
        <v>122</v>
      </c>
      <c r="D85" s="45" t="s">
        <v>123</v>
      </c>
      <c r="E85" s="45" t="s">
        <v>124</v>
      </c>
      <c r="F85" s="71">
        <v>4132.2300000000005</v>
      </c>
      <c r="G85" s="71">
        <v>0</v>
      </c>
      <c r="H85" s="49">
        <v>0</v>
      </c>
      <c r="I85" s="49">
        <v>0</v>
      </c>
      <c r="J85" s="49">
        <v>867.77</v>
      </c>
      <c r="K85" s="49">
        <v>0</v>
      </c>
      <c r="L85" s="71">
        <v>0</v>
      </c>
      <c r="M85" s="71">
        <v>5000</v>
      </c>
    </row>
    <row r="86" spans="1:13">
      <c r="A86" s="43" t="s">
        <v>3097</v>
      </c>
      <c r="B86" s="134" t="s">
        <v>3103</v>
      </c>
      <c r="C86" s="45" t="s">
        <v>122</v>
      </c>
      <c r="D86" s="45" t="s">
        <v>123</v>
      </c>
      <c r="E86" s="45" t="s">
        <v>124</v>
      </c>
      <c r="F86" s="71">
        <v>4132.2300000000005</v>
      </c>
      <c r="G86" s="71">
        <v>0</v>
      </c>
      <c r="H86" s="49">
        <v>0</v>
      </c>
      <c r="I86" s="49">
        <v>0</v>
      </c>
      <c r="J86" s="49">
        <v>867.77</v>
      </c>
      <c r="K86" s="49">
        <v>0</v>
      </c>
      <c r="L86" s="71">
        <v>0</v>
      </c>
      <c r="M86" s="71">
        <v>5000</v>
      </c>
    </row>
    <row r="87" spans="1:13">
      <c r="A87" s="43" t="s">
        <v>3097</v>
      </c>
      <c r="B87" s="134" t="s">
        <v>3104</v>
      </c>
      <c r="C87" s="45" t="s">
        <v>122</v>
      </c>
      <c r="D87" s="45" t="s">
        <v>123</v>
      </c>
      <c r="E87" s="45" t="s">
        <v>124</v>
      </c>
      <c r="F87" s="71">
        <v>4545.45</v>
      </c>
      <c r="G87" s="71">
        <v>0</v>
      </c>
      <c r="H87" s="49">
        <v>0</v>
      </c>
      <c r="I87" s="49">
        <v>0</v>
      </c>
      <c r="J87" s="49">
        <v>954.55</v>
      </c>
      <c r="K87" s="49">
        <v>0</v>
      </c>
      <c r="L87" s="71">
        <v>0</v>
      </c>
      <c r="M87" s="71">
        <v>5500</v>
      </c>
    </row>
    <row r="88" spans="1:13">
      <c r="A88" s="43" t="s">
        <v>3097</v>
      </c>
      <c r="B88" s="134" t="s">
        <v>3105</v>
      </c>
      <c r="C88" s="45" t="s">
        <v>122</v>
      </c>
      <c r="D88" s="45" t="s">
        <v>123</v>
      </c>
      <c r="E88" s="45" t="s">
        <v>124</v>
      </c>
      <c r="F88" s="71">
        <v>5454.55</v>
      </c>
      <c r="G88" s="71">
        <v>0</v>
      </c>
      <c r="H88" s="49">
        <v>0</v>
      </c>
      <c r="I88" s="49">
        <v>0</v>
      </c>
      <c r="J88" s="49">
        <v>1145.45</v>
      </c>
      <c r="K88" s="49">
        <v>0</v>
      </c>
      <c r="L88" s="71">
        <v>0</v>
      </c>
      <c r="M88" s="71">
        <v>6600</v>
      </c>
    </row>
    <row r="89" spans="1:13">
      <c r="A89" s="43" t="s">
        <v>3097</v>
      </c>
      <c r="B89" s="134" t="s">
        <v>3106</v>
      </c>
      <c r="C89" s="45" t="s">
        <v>122</v>
      </c>
      <c r="D89" s="45" t="s">
        <v>123</v>
      </c>
      <c r="E89" s="45" t="s">
        <v>124</v>
      </c>
      <c r="F89" s="71">
        <v>5454.55</v>
      </c>
      <c r="G89" s="71">
        <v>0</v>
      </c>
      <c r="H89" s="49">
        <v>0</v>
      </c>
      <c r="I89" s="49">
        <v>0</v>
      </c>
      <c r="J89" s="49">
        <v>1145.45</v>
      </c>
      <c r="K89" s="49">
        <v>0</v>
      </c>
      <c r="L89" s="71">
        <v>0</v>
      </c>
      <c r="M89" s="71">
        <v>6600</v>
      </c>
    </row>
    <row r="90" spans="1:13">
      <c r="A90" s="43" t="s">
        <v>3097</v>
      </c>
      <c r="B90" s="134" t="s">
        <v>3107</v>
      </c>
      <c r="C90" s="45" t="s">
        <v>122</v>
      </c>
      <c r="D90" s="45" t="s">
        <v>123</v>
      </c>
      <c r="E90" s="45" t="s">
        <v>124</v>
      </c>
      <c r="F90" s="71">
        <v>2314.0500000000002</v>
      </c>
      <c r="G90" s="71">
        <v>0</v>
      </c>
      <c r="H90" s="49">
        <v>0</v>
      </c>
      <c r="I90" s="49">
        <v>0</v>
      </c>
      <c r="J90" s="49">
        <v>485.95</v>
      </c>
      <c r="K90" s="49">
        <v>0</v>
      </c>
      <c r="L90" s="71">
        <v>0</v>
      </c>
      <c r="M90" s="71">
        <v>2800</v>
      </c>
    </row>
    <row r="91" spans="1:13">
      <c r="A91" s="43" t="s">
        <v>3097</v>
      </c>
      <c r="B91" s="134" t="s">
        <v>3108</v>
      </c>
      <c r="C91" s="45" t="s">
        <v>122</v>
      </c>
      <c r="D91" s="45" t="s">
        <v>123</v>
      </c>
      <c r="E91" s="45" t="s">
        <v>124</v>
      </c>
      <c r="F91" s="71">
        <v>2148.7600000000002</v>
      </c>
      <c r="G91" s="71">
        <v>0</v>
      </c>
      <c r="H91" s="49">
        <v>0</v>
      </c>
      <c r="I91" s="49">
        <v>0</v>
      </c>
      <c r="J91" s="49">
        <v>451.24</v>
      </c>
      <c r="K91" s="49">
        <v>0</v>
      </c>
      <c r="L91" s="71">
        <v>0</v>
      </c>
      <c r="M91" s="71">
        <v>2600</v>
      </c>
    </row>
    <row r="92" spans="1:13">
      <c r="A92" s="43" t="s">
        <v>3097</v>
      </c>
      <c r="B92" s="134" t="s">
        <v>3109</v>
      </c>
      <c r="C92" s="45" t="s">
        <v>122</v>
      </c>
      <c r="D92" s="45" t="s">
        <v>123</v>
      </c>
      <c r="E92" s="45" t="s">
        <v>124</v>
      </c>
      <c r="F92" s="71">
        <v>9132.23</v>
      </c>
      <c r="G92" s="71">
        <v>0</v>
      </c>
      <c r="H92" s="49">
        <v>0</v>
      </c>
      <c r="I92" s="49">
        <v>0</v>
      </c>
      <c r="J92" s="49">
        <v>1917.77</v>
      </c>
      <c r="K92" s="49">
        <v>0</v>
      </c>
      <c r="L92" s="71">
        <v>0</v>
      </c>
      <c r="M92" s="71">
        <v>11050</v>
      </c>
    </row>
    <row r="93" spans="1:13">
      <c r="A93" s="43" t="s">
        <v>3126</v>
      </c>
      <c r="B93" s="134" t="s">
        <v>3127</v>
      </c>
      <c r="C93" s="45" t="s">
        <v>122</v>
      </c>
      <c r="D93" s="45" t="s">
        <v>123</v>
      </c>
      <c r="E93" s="45" t="s">
        <v>124</v>
      </c>
      <c r="F93" s="71">
        <v>3305.79</v>
      </c>
      <c r="G93" s="71">
        <v>0</v>
      </c>
      <c r="H93" s="49">
        <v>0</v>
      </c>
      <c r="I93" s="49">
        <v>0</v>
      </c>
      <c r="J93" s="49">
        <v>694.21</v>
      </c>
      <c r="K93" s="49">
        <v>0</v>
      </c>
      <c r="L93" s="71">
        <v>0</v>
      </c>
      <c r="M93" s="71">
        <v>4000</v>
      </c>
    </row>
    <row r="94" spans="1:13">
      <c r="A94" s="43" t="s">
        <v>3126</v>
      </c>
      <c r="B94" s="134" t="s">
        <v>3128</v>
      </c>
      <c r="C94" s="45" t="s">
        <v>122</v>
      </c>
      <c r="D94" s="45" t="s">
        <v>123</v>
      </c>
      <c r="E94" s="45" t="s">
        <v>124</v>
      </c>
      <c r="F94" s="71">
        <v>13429.75</v>
      </c>
      <c r="G94" s="71">
        <v>0</v>
      </c>
      <c r="H94" s="49">
        <v>0</v>
      </c>
      <c r="I94" s="49">
        <v>0</v>
      </c>
      <c r="J94" s="49">
        <v>2820.25</v>
      </c>
      <c r="K94" s="49">
        <v>0</v>
      </c>
      <c r="L94" s="71">
        <v>0</v>
      </c>
      <c r="M94" s="71">
        <v>16250</v>
      </c>
    </row>
    <row r="95" spans="1:13">
      <c r="A95" s="43" t="s">
        <v>3126</v>
      </c>
      <c r="B95" s="134" t="s">
        <v>3129</v>
      </c>
      <c r="C95" s="45" t="s">
        <v>122</v>
      </c>
      <c r="D95" s="45" t="s">
        <v>123</v>
      </c>
      <c r="E95" s="45" t="s">
        <v>124</v>
      </c>
      <c r="F95" s="71">
        <v>4132.2300000000005</v>
      </c>
      <c r="G95" s="71">
        <v>0</v>
      </c>
      <c r="H95" s="49">
        <v>0</v>
      </c>
      <c r="I95" s="49">
        <v>0</v>
      </c>
      <c r="J95" s="49">
        <v>867.77</v>
      </c>
      <c r="K95" s="49">
        <v>0</v>
      </c>
      <c r="L95" s="71">
        <v>0</v>
      </c>
      <c r="M95" s="71">
        <v>5000</v>
      </c>
    </row>
    <row r="96" spans="1:13">
      <c r="A96" s="43" t="s">
        <v>3126</v>
      </c>
      <c r="B96" s="134" t="s">
        <v>3130</v>
      </c>
      <c r="C96" s="45" t="s">
        <v>122</v>
      </c>
      <c r="D96" s="45" t="s">
        <v>123</v>
      </c>
      <c r="E96" s="45" t="s">
        <v>124</v>
      </c>
      <c r="F96" s="71">
        <v>9504.130000000001</v>
      </c>
      <c r="G96" s="71">
        <v>0</v>
      </c>
      <c r="H96" s="49">
        <v>0</v>
      </c>
      <c r="I96" s="49">
        <v>0</v>
      </c>
      <c r="J96" s="49">
        <v>1995.87</v>
      </c>
      <c r="K96" s="49">
        <v>0</v>
      </c>
      <c r="L96" s="71">
        <v>0</v>
      </c>
      <c r="M96" s="71">
        <v>11500</v>
      </c>
    </row>
    <row r="97" spans="1:13">
      <c r="A97" s="43" t="s">
        <v>3126</v>
      </c>
      <c r="B97" s="134" t="s">
        <v>3131</v>
      </c>
      <c r="C97" s="45" t="s">
        <v>3132</v>
      </c>
      <c r="D97" s="45" t="s">
        <v>123</v>
      </c>
      <c r="E97" s="45">
        <v>17557210</v>
      </c>
      <c r="F97" s="71">
        <v>16074.38</v>
      </c>
      <c r="G97" s="71">
        <v>0</v>
      </c>
      <c r="H97" s="49">
        <v>0</v>
      </c>
      <c r="I97" s="49">
        <v>0</v>
      </c>
      <c r="J97" s="49">
        <v>3375.62</v>
      </c>
      <c r="K97" s="49">
        <v>0</v>
      </c>
      <c r="L97" s="71">
        <v>0</v>
      </c>
      <c r="M97" s="71">
        <v>19450</v>
      </c>
    </row>
    <row r="98" spans="1:13">
      <c r="A98" s="43" t="s">
        <v>3126</v>
      </c>
      <c r="B98" s="134" t="s">
        <v>3133</v>
      </c>
      <c r="C98" s="45" t="s">
        <v>122</v>
      </c>
      <c r="D98" s="45" t="s">
        <v>123</v>
      </c>
      <c r="E98" s="45" t="s">
        <v>124</v>
      </c>
      <c r="F98" s="71">
        <v>4132.2300000000005</v>
      </c>
      <c r="G98" s="71">
        <v>0</v>
      </c>
      <c r="H98" s="49">
        <v>0</v>
      </c>
      <c r="I98" s="49">
        <v>0</v>
      </c>
      <c r="J98" s="49">
        <v>867.77</v>
      </c>
      <c r="K98" s="49">
        <v>0</v>
      </c>
      <c r="L98" s="71">
        <v>0</v>
      </c>
      <c r="M98" s="71">
        <v>5000</v>
      </c>
    </row>
    <row r="99" spans="1:13">
      <c r="A99" s="43" t="s">
        <v>3126</v>
      </c>
      <c r="B99" s="134" t="s">
        <v>3134</v>
      </c>
      <c r="C99" s="45" t="s">
        <v>122</v>
      </c>
      <c r="D99" s="45" t="s">
        <v>123</v>
      </c>
      <c r="E99" s="45" t="s">
        <v>124</v>
      </c>
      <c r="F99" s="71">
        <v>25991.74</v>
      </c>
      <c r="G99" s="71">
        <v>0</v>
      </c>
      <c r="H99" s="49">
        <v>0</v>
      </c>
      <c r="I99" s="49">
        <v>0</v>
      </c>
      <c r="J99" s="49">
        <v>5458.26</v>
      </c>
      <c r="K99" s="49">
        <v>0</v>
      </c>
      <c r="L99" s="71">
        <v>0</v>
      </c>
      <c r="M99" s="71">
        <v>31450</v>
      </c>
    </row>
    <row r="100" spans="1:13">
      <c r="A100" s="43" t="s">
        <v>3126</v>
      </c>
      <c r="B100" s="134" t="s">
        <v>3135</v>
      </c>
      <c r="C100" s="45" t="s">
        <v>122</v>
      </c>
      <c r="D100" s="45" t="s">
        <v>123</v>
      </c>
      <c r="E100" s="45" t="s">
        <v>124</v>
      </c>
      <c r="F100" s="71">
        <v>3553.72</v>
      </c>
      <c r="G100" s="71">
        <v>0</v>
      </c>
      <c r="H100" s="49">
        <v>0</v>
      </c>
      <c r="I100" s="49">
        <v>0</v>
      </c>
      <c r="J100" s="49">
        <v>746.28</v>
      </c>
      <c r="K100" s="49">
        <v>0</v>
      </c>
      <c r="L100" s="71">
        <v>0</v>
      </c>
      <c r="M100" s="71">
        <v>4300</v>
      </c>
    </row>
    <row r="101" spans="1:13">
      <c r="A101" s="43" t="s">
        <v>3126</v>
      </c>
      <c r="B101" s="134" t="s">
        <v>3136</v>
      </c>
      <c r="C101" s="45" t="s">
        <v>122</v>
      </c>
      <c r="D101" s="45" t="s">
        <v>123</v>
      </c>
      <c r="E101" s="45" t="s">
        <v>124</v>
      </c>
      <c r="F101" s="71">
        <v>7851.24</v>
      </c>
      <c r="G101" s="71">
        <v>0</v>
      </c>
      <c r="H101" s="49">
        <v>0</v>
      </c>
      <c r="I101" s="49">
        <v>0</v>
      </c>
      <c r="J101" s="49">
        <v>1648.76</v>
      </c>
      <c r="K101" s="49">
        <v>0</v>
      </c>
      <c r="L101" s="71">
        <v>0</v>
      </c>
      <c r="M101" s="71">
        <v>9500</v>
      </c>
    </row>
    <row r="102" spans="1:13">
      <c r="A102" s="43" t="s">
        <v>3126</v>
      </c>
      <c r="B102" s="134" t="s">
        <v>3137</v>
      </c>
      <c r="C102" s="45" t="s">
        <v>122</v>
      </c>
      <c r="D102" s="45" t="s">
        <v>123</v>
      </c>
      <c r="E102" s="45" t="s">
        <v>124</v>
      </c>
      <c r="F102" s="71">
        <v>5495.87</v>
      </c>
      <c r="G102" s="71">
        <v>0</v>
      </c>
      <c r="H102" s="49">
        <v>0</v>
      </c>
      <c r="I102" s="49">
        <v>0</v>
      </c>
      <c r="J102" s="49">
        <v>1154.1300000000001</v>
      </c>
      <c r="K102" s="49">
        <v>0</v>
      </c>
      <c r="L102" s="71">
        <v>0</v>
      </c>
      <c r="M102" s="71">
        <v>6650</v>
      </c>
    </row>
    <row r="103" spans="1:13">
      <c r="A103" s="43" t="s">
        <v>3126</v>
      </c>
      <c r="B103" s="134" t="s">
        <v>3138</v>
      </c>
      <c r="C103" s="45" t="s">
        <v>122</v>
      </c>
      <c r="D103" s="45" t="s">
        <v>123</v>
      </c>
      <c r="E103" s="45" t="s">
        <v>124</v>
      </c>
      <c r="F103" s="71">
        <v>4958.68</v>
      </c>
      <c r="G103" s="71">
        <v>0</v>
      </c>
      <c r="H103" s="49">
        <v>0</v>
      </c>
      <c r="I103" s="49">
        <v>0</v>
      </c>
      <c r="J103" s="49">
        <v>1041.32</v>
      </c>
      <c r="K103" s="49">
        <v>0</v>
      </c>
      <c r="L103" s="71">
        <v>0</v>
      </c>
      <c r="M103" s="71">
        <v>6000</v>
      </c>
    </row>
    <row r="104" spans="1:13">
      <c r="A104" s="43" t="s">
        <v>3126</v>
      </c>
      <c r="B104" s="134" t="s">
        <v>3139</v>
      </c>
      <c r="C104" s="45" t="s">
        <v>122</v>
      </c>
      <c r="D104" s="45" t="s">
        <v>123</v>
      </c>
      <c r="E104" s="45" t="s">
        <v>124</v>
      </c>
      <c r="F104" s="71">
        <v>3719.01</v>
      </c>
      <c r="G104" s="71">
        <v>0</v>
      </c>
      <c r="H104" s="49">
        <v>0</v>
      </c>
      <c r="I104" s="49">
        <v>0</v>
      </c>
      <c r="J104" s="49">
        <v>780.99</v>
      </c>
      <c r="K104" s="49">
        <v>0</v>
      </c>
      <c r="L104" s="71">
        <v>0</v>
      </c>
      <c r="M104" s="71">
        <v>4500</v>
      </c>
    </row>
    <row r="105" spans="1:13">
      <c r="A105" s="43" t="s">
        <v>3157</v>
      </c>
      <c r="B105" s="134" t="s">
        <v>3158</v>
      </c>
      <c r="C105" s="45" t="s">
        <v>122</v>
      </c>
      <c r="D105" s="45" t="s">
        <v>123</v>
      </c>
      <c r="E105" s="45" t="s">
        <v>124</v>
      </c>
      <c r="F105" s="71">
        <v>2892.56</v>
      </c>
      <c r="G105" s="71">
        <v>0</v>
      </c>
      <c r="H105" s="49">
        <v>0</v>
      </c>
      <c r="I105" s="49">
        <v>0</v>
      </c>
      <c r="J105" s="49">
        <v>607.44000000000005</v>
      </c>
      <c r="K105" s="49">
        <v>0</v>
      </c>
      <c r="L105" s="71">
        <v>0</v>
      </c>
      <c r="M105" s="71">
        <v>3500</v>
      </c>
    </row>
    <row r="106" spans="1:13">
      <c r="A106" s="43" t="s">
        <v>3157</v>
      </c>
      <c r="B106" s="134" t="s">
        <v>3159</v>
      </c>
      <c r="C106" s="45" t="s">
        <v>122</v>
      </c>
      <c r="D106" s="45" t="s">
        <v>123</v>
      </c>
      <c r="E106" s="45" t="s">
        <v>124</v>
      </c>
      <c r="F106" s="71">
        <v>13636.36</v>
      </c>
      <c r="G106" s="71">
        <v>0</v>
      </c>
      <c r="H106" s="49">
        <v>0</v>
      </c>
      <c r="I106" s="49">
        <v>0</v>
      </c>
      <c r="J106" s="49">
        <v>2863.64</v>
      </c>
      <c r="K106" s="49">
        <v>0</v>
      </c>
      <c r="L106" s="71">
        <v>0</v>
      </c>
      <c r="M106" s="71">
        <v>16500</v>
      </c>
    </row>
    <row r="107" spans="1:13">
      <c r="A107" s="43" t="s">
        <v>3157</v>
      </c>
      <c r="B107" s="134" t="s">
        <v>3160</v>
      </c>
      <c r="C107" s="45" t="s">
        <v>122</v>
      </c>
      <c r="D107" s="45" t="s">
        <v>123</v>
      </c>
      <c r="E107" s="45" t="s">
        <v>124</v>
      </c>
      <c r="F107" s="71">
        <v>14752.07</v>
      </c>
      <c r="G107" s="71">
        <v>0</v>
      </c>
      <c r="H107" s="49">
        <v>0</v>
      </c>
      <c r="I107" s="49">
        <v>0</v>
      </c>
      <c r="J107" s="49">
        <v>3097.93</v>
      </c>
      <c r="K107" s="49">
        <v>0</v>
      </c>
      <c r="L107" s="71">
        <v>0</v>
      </c>
      <c r="M107" s="71">
        <v>17850</v>
      </c>
    </row>
    <row r="108" spans="1:13">
      <c r="A108" s="43" t="s">
        <v>3157</v>
      </c>
      <c r="B108" s="134" t="s">
        <v>3161</v>
      </c>
      <c r="C108" s="45" t="s">
        <v>122</v>
      </c>
      <c r="D108" s="45" t="s">
        <v>123</v>
      </c>
      <c r="E108" s="45" t="s">
        <v>124</v>
      </c>
      <c r="F108" s="71">
        <v>10743.8</v>
      </c>
      <c r="G108" s="71">
        <v>0</v>
      </c>
      <c r="H108" s="49">
        <v>0</v>
      </c>
      <c r="I108" s="49">
        <v>0</v>
      </c>
      <c r="J108" s="49">
        <v>2256.1999999999998</v>
      </c>
      <c r="K108" s="49">
        <v>0</v>
      </c>
      <c r="L108" s="71">
        <v>0</v>
      </c>
      <c r="M108" s="71">
        <v>13000</v>
      </c>
    </row>
    <row r="109" spans="1:13">
      <c r="A109" s="43" t="s">
        <v>3157</v>
      </c>
      <c r="B109" s="134" t="s">
        <v>3162</v>
      </c>
      <c r="C109" s="45" t="s">
        <v>122</v>
      </c>
      <c r="D109" s="45" t="s">
        <v>123</v>
      </c>
      <c r="E109" s="45" t="s">
        <v>124</v>
      </c>
      <c r="F109" s="71">
        <v>4132.2300000000005</v>
      </c>
      <c r="G109" s="71">
        <v>0</v>
      </c>
      <c r="H109" s="49">
        <v>0</v>
      </c>
      <c r="I109" s="49">
        <v>0</v>
      </c>
      <c r="J109" s="49">
        <v>867.77</v>
      </c>
      <c r="K109" s="49">
        <v>0</v>
      </c>
      <c r="L109" s="71">
        <v>0</v>
      </c>
      <c r="M109" s="71">
        <v>5000</v>
      </c>
    </row>
    <row r="110" spans="1:13">
      <c r="A110" s="43" t="s">
        <v>3157</v>
      </c>
      <c r="B110" s="134" t="s">
        <v>3163</v>
      </c>
      <c r="C110" s="45" t="s">
        <v>122</v>
      </c>
      <c r="D110" s="45" t="s">
        <v>123</v>
      </c>
      <c r="E110" s="45" t="s">
        <v>124</v>
      </c>
      <c r="F110" s="71">
        <v>3925.62</v>
      </c>
      <c r="G110" s="71">
        <v>0</v>
      </c>
      <c r="H110" s="49">
        <v>0</v>
      </c>
      <c r="I110" s="49">
        <v>0</v>
      </c>
      <c r="J110" s="49">
        <v>824.38</v>
      </c>
      <c r="K110" s="49">
        <v>0</v>
      </c>
      <c r="L110" s="71">
        <v>0</v>
      </c>
      <c r="M110" s="71">
        <v>4750</v>
      </c>
    </row>
    <row r="111" spans="1:13">
      <c r="A111" s="43" t="s">
        <v>3157</v>
      </c>
      <c r="B111" s="134" t="s">
        <v>3164</v>
      </c>
      <c r="C111" s="45" t="s">
        <v>122</v>
      </c>
      <c r="D111" s="45" t="s">
        <v>123</v>
      </c>
      <c r="E111" s="45" t="s">
        <v>124</v>
      </c>
      <c r="F111" s="71">
        <v>3925.62</v>
      </c>
      <c r="G111" s="71">
        <v>0</v>
      </c>
      <c r="H111" s="49">
        <v>0</v>
      </c>
      <c r="I111" s="49">
        <v>0</v>
      </c>
      <c r="J111" s="49">
        <v>824.38</v>
      </c>
      <c r="K111" s="49">
        <v>0</v>
      </c>
      <c r="L111" s="71">
        <v>0</v>
      </c>
      <c r="M111" s="71">
        <v>4750</v>
      </c>
    </row>
    <row r="112" spans="1:13">
      <c r="A112" s="43" t="s">
        <v>3157</v>
      </c>
      <c r="B112" s="134" t="s">
        <v>3165</v>
      </c>
      <c r="C112" s="45" t="s">
        <v>3166</v>
      </c>
      <c r="D112" s="45" t="s">
        <v>123</v>
      </c>
      <c r="E112" s="45">
        <v>29272640</v>
      </c>
      <c r="F112" s="71">
        <v>26694.22</v>
      </c>
      <c r="G112" s="71">
        <v>0</v>
      </c>
      <c r="H112" s="49">
        <v>0</v>
      </c>
      <c r="I112" s="49">
        <v>0</v>
      </c>
      <c r="J112" s="49">
        <v>5605.78</v>
      </c>
      <c r="K112" s="49">
        <v>0</v>
      </c>
      <c r="L112" s="71">
        <v>0</v>
      </c>
      <c r="M112" s="71">
        <v>32300</v>
      </c>
    </row>
    <row r="113" spans="1:13">
      <c r="A113" s="43" t="s">
        <v>3157</v>
      </c>
      <c r="B113" s="134" t="s">
        <v>3167</v>
      </c>
      <c r="C113" s="45" t="s">
        <v>122</v>
      </c>
      <c r="D113" s="45" t="s">
        <v>123</v>
      </c>
      <c r="E113" s="45" t="s">
        <v>124</v>
      </c>
      <c r="F113" s="71">
        <v>8305.7900000000009</v>
      </c>
      <c r="G113" s="71">
        <v>0</v>
      </c>
      <c r="H113" s="49">
        <v>0</v>
      </c>
      <c r="I113" s="49">
        <v>0</v>
      </c>
      <c r="J113" s="49">
        <v>1744.21</v>
      </c>
      <c r="K113" s="49">
        <v>0</v>
      </c>
      <c r="L113" s="71">
        <v>0</v>
      </c>
      <c r="M113" s="71">
        <v>10050</v>
      </c>
    </row>
    <row r="114" spans="1:13">
      <c r="A114" s="43" t="s">
        <v>3157</v>
      </c>
      <c r="B114" s="134" t="s">
        <v>3168</v>
      </c>
      <c r="C114" s="45" t="s">
        <v>122</v>
      </c>
      <c r="D114" s="45" t="s">
        <v>123</v>
      </c>
      <c r="E114" s="45" t="s">
        <v>124</v>
      </c>
      <c r="F114" s="71">
        <v>19504.13</v>
      </c>
      <c r="G114" s="71">
        <v>0</v>
      </c>
      <c r="H114" s="49">
        <v>0</v>
      </c>
      <c r="I114" s="49">
        <v>0</v>
      </c>
      <c r="J114" s="49">
        <v>4095.87</v>
      </c>
      <c r="K114" s="49">
        <v>0</v>
      </c>
      <c r="L114" s="71">
        <v>0</v>
      </c>
      <c r="M114" s="71">
        <v>23600</v>
      </c>
    </row>
    <row r="115" spans="1:13">
      <c r="A115" s="43" t="s">
        <v>3157</v>
      </c>
      <c r="B115" s="134" t="s">
        <v>3169</v>
      </c>
      <c r="C115" s="45" t="s">
        <v>122</v>
      </c>
      <c r="D115" s="45" t="s">
        <v>123</v>
      </c>
      <c r="E115" s="45" t="s">
        <v>124</v>
      </c>
      <c r="F115" s="71">
        <v>4876.03</v>
      </c>
      <c r="G115" s="71">
        <v>0</v>
      </c>
      <c r="H115" s="49">
        <v>0</v>
      </c>
      <c r="I115" s="49">
        <v>0</v>
      </c>
      <c r="J115" s="49">
        <v>1023.97</v>
      </c>
      <c r="K115" s="49">
        <v>0</v>
      </c>
      <c r="L115" s="71">
        <v>0</v>
      </c>
      <c r="M115" s="71">
        <v>5900</v>
      </c>
    </row>
    <row r="116" spans="1:13">
      <c r="A116" s="43" t="s">
        <v>3157</v>
      </c>
      <c r="B116" s="134" t="s">
        <v>3170</v>
      </c>
      <c r="C116" s="45" t="s">
        <v>122</v>
      </c>
      <c r="D116" s="45" t="s">
        <v>123</v>
      </c>
      <c r="E116" s="45" t="s">
        <v>124</v>
      </c>
      <c r="F116" s="71">
        <v>9008.26</v>
      </c>
      <c r="G116" s="71">
        <v>0</v>
      </c>
      <c r="H116" s="49">
        <v>0</v>
      </c>
      <c r="I116" s="49">
        <v>0</v>
      </c>
      <c r="J116" s="49">
        <v>1891.74</v>
      </c>
      <c r="K116" s="49">
        <v>0</v>
      </c>
      <c r="L116" s="71">
        <v>0</v>
      </c>
      <c r="M116" s="71">
        <v>10900</v>
      </c>
    </row>
    <row r="117" spans="1:13">
      <c r="A117" s="43" t="s">
        <v>3157</v>
      </c>
      <c r="B117" s="134" t="s">
        <v>3171</v>
      </c>
      <c r="C117" s="45" t="s">
        <v>122</v>
      </c>
      <c r="D117" s="45" t="s">
        <v>123</v>
      </c>
      <c r="E117" s="45" t="s">
        <v>124</v>
      </c>
      <c r="F117" s="71">
        <v>2148.7600000000002</v>
      </c>
      <c r="G117" s="71">
        <v>0</v>
      </c>
      <c r="H117" s="49">
        <v>0</v>
      </c>
      <c r="I117" s="49">
        <v>0</v>
      </c>
      <c r="J117" s="49">
        <v>451.24</v>
      </c>
      <c r="K117" s="49">
        <v>0</v>
      </c>
      <c r="L117" s="71">
        <v>0</v>
      </c>
      <c r="M117" s="71">
        <v>2600</v>
      </c>
    </row>
    <row r="118" spans="1:13">
      <c r="A118" s="43" t="s">
        <v>3157</v>
      </c>
      <c r="B118" s="134" t="s">
        <v>3172</v>
      </c>
      <c r="C118" s="45" t="s">
        <v>122</v>
      </c>
      <c r="D118" s="45" t="s">
        <v>123</v>
      </c>
      <c r="E118" s="45" t="s">
        <v>124</v>
      </c>
      <c r="F118" s="71">
        <v>13595.04</v>
      </c>
      <c r="G118" s="71">
        <v>0</v>
      </c>
      <c r="H118" s="49">
        <v>0</v>
      </c>
      <c r="I118" s="49">
        <v>0</v>
      </c>
      <c r="J118" s="49">
        <v>2854.96</v>
      </c>
      <c r="K118" s="49">
        <v>0</v>
      </c>
      <c r="L118" s="71">
        <v>0</v>
      </c>
      <c r="M118" s="71">
        <v>16450</v>
      </c>
    </row>
    <row r="119" spans="1:13">
      <c r="A119" s="43" t="s">
        <v>3186</v>
      </c>
      <c r="B119" s="134" t="s">
        <v>3187</v>
      </c>
      <c r="C119" s="45" t="s">
        <v>122</v>
      </c>
      <c r="D119" s="45" t="s">
        <v>123</v>
      </c>
      <c r="E119" s="45" t="s">
        <v>124</v>
      </c>
      <c r="F119" s="71">
        <v>5619.83</v>
      </c>
      <c r="G119" s="71">
        <v>0</v>
      </c>
      <c r="H119" s="49">
        <v>0</v>
      </c>
      <c r="I119" s="49">
        <v>0</v>
      </c>
      <c r="J119" s="49">
        <v>1180.17</v>
      </c>
      <c r="K119" s="49">
        <v>0</v>
      </c>
      <c r="L119" s="71">
        <v>0</v>
      </c>
      <c r="M119" s="71">
        <v>6800</v>
      </c>
    </row>
    <row r="120" spans="1:13">
      <c r="A120" s="43" t="s">
        <v>3186</v>
      </c>
      <c r="B120" s="134" t="s">
        <v>3188</v>
      </c>
      <c r="C120" s="45" t="s">
        <v>122</v>
      </c>
      <c r="D120" s="45" t="s">
        <v>123</v>
      </c>
      <c r="E120" s="45" t="s">
        <v>124</v>
      </c>
      <c r="F120" s="71">
        <v>7479.34</v>
      </c>
      <c r="G120" s="71">
        <v>0</v>
      </c>
      <c r="H120" s="49">
        <v>0</v>
      </c>
      <c r="I120" s="49">
        <v>0</v>
      </c>
      <c r="J120" s="49">
        <v>1570.66</v>
      </c>
      <c r="K120" s="49">
        <v>0</v>
      </c>
      <c r="L120" s="71">
        <v>0</v>
      </c>
      <c r="M120" s="71">
        <v>9050</v>
      </c>
    </row>
    <row r="121" spans="1:13">
      <c r="A121" s="43" t="s">
        <v>3186</v>
      </c>
      <c r="B121" s="134" t="s">
        <v>3189</v>
      </c>
      <c r="C121" s="45" t="s">
        <v>122</v>
      </c>
      <c r="D121" s="45" t="s">
        <v>123</v>
      </c>
      <c r="E121" s="45" t="s">
        <v>124</v>
      </c>
      <c r="F121" s="71">
        <v>7272.73</v>
      </c>
      <c r="G121" s="71">
        <v>0</v>
      </c>
      <c r="H121" s="49">
        <v>0</v>
      </c>
      <c r="I121" s="49">
        <v>0</v>
      </c>
      <c r="J121" s="49">
        <v>1527.27</v>
      </c>
      <c r="K121" s="49">
        <v>0</v>
      </c>
      <c r="L121" s="71">
        <v>0</v>
      </c>
      <c r="M121" s="71">
        <v>8800</v>
      </c>
    </row>
    <row r="122" spans="1:13">
      <c r="A122" s="43" t="s">
        <v>3186</v>
      </c>
      <c r="B122" s="134" t="s">
        <v>3190</v>
      </c>
      <c r="C122" s="45" t="s">
        <v>122</v>
      </c>
      <c r="D122" s="45" t="s">
        <v>123</v>
      </c>
      <c r="E122" s="45" t="s">
        <v>124</v>
      </c>
      <c r="F122" s="71">
        <v>7851.24</v>
      </c>
      <c r="G122" s="71">
        <v>0</v>
      </c>
      <c r="H122" s="49">
        <v>0</v>
      </c>
      <c r="I122" s="49">
        <v>0</v>
      </c>
      <c r="J122" s="49">
        <v>1648.76</v>
      </c>
      <c r="K122" s="49">
        <v>0</v>
      </c>
      <c r="L122" s="71">
        <v>0</v>
      </c>
      <c r="M122" s="71">
        <v>9500</v>
      </c>
    </row>
    <row r="123" spans="1:13">
      <c r="A123" s="43" t="s">
        <v>3186</v>
      </c>
      <c r="B123" s="134" t="s">
        <v>3191</v>
      </c>
      <c r="C123" s="45" t="s">
        <v>122</v>
      </c>
      <c r="D123" s="45" t="s">
        <v>123</v>
      </c>
      <c r="E123" s="45" t="s">
        <v>124</v>
      </c>
      <c r="F123" s="71">
        <v>14958.68</v>
      </c>
      <c r="G123" s="71">
        <v>0</v>
      </c>
      <c r="H123" s="49">
        <v>0</v>
      </c>
      <c r="I123" s="49">
        <v>0</v>
      </c>
      <c r="J123" s="49">
        <v>3141.32</v>
      </c>
      <c r="K123" s="49">
        <v>0</v>
      </c>
      <c r="L123" s="71">
        <v>0</v>
      </c>
      <c r="M123" s="71">
        <v>18100</v>
      </c>
    </row>
    <row r="124" spans="1:13">
      <c r="A124" s="43" t="s">
        <v>3186</v>
      </c>
      <c r="B124" s="134" t="s">
        <v>3192</v>
      </c>
      <c r="C124" s="45" t="s">
        <v>122</v>
      </c>
      <c r="D124" s="45" t="s">
        <v>123</v>
      </c>
      <c r="E124" s="45" t="s">
        <v>124</v>
      </c>
      <c r="F124" s="71">
        <v>4545.45</v>
      </c>
      <c r="G124" s="71">
        <v>0</v>
      </c>
      <c r="H124" s="49">
        <v>0</v>
      </c>
      <c r="I124" s="49">
        <v>0</v>
      </c>
      <c r="J124" s="49">
        <v>954.55</v>
      </c>
      <c r="K124" s="49">
        <v>0</v>
      </c>
      <c r="L124" s="71">
        <v>0</v>
      </c>
      <c r="M124" s="71">
        <v>5500</v>
      </c>
    </row>
    <row r="125" spans="1:13">
      <c r="A125" s="43" t="s">
        <v>3186</v>
      </c>
      <c r="B125" s="134" t="s">
        <v>3193</v>
      </c>
      <c r="C125" s="45" t="s">
        <v>122</v>
      </c>
      <c r="D125" s="45" t="s">
        <v>123</v>
      </c>
      <c r="E125" s="45" t="s">
        <v>124</v>
      </c>
      <c r="F125" s="71">
        <v>3140.5</v>
      </c>
      <c r="G125" s="71">
        <v>0</v>
      </c>
      <c r="H125" s="49">
        <v>0</v>
      </c>
      <c r="I125" s="49">
        <v>0</v>
      </c>
      <c r="J125" s="49">
        <v>659.5</v>
      </c>
      <c r="K125" s="49">
        <v>0</v>
      </c>
      <c r="L125" s="71">
        <v>0</v>
      </c>
      <c r="M125" s="71">
        <v>3800</v>
      </c>
    </row>
    <row r="126" spans="1:13">
      <c r="A126" s="43" t="s">
        <v>3186</v>
      </c>
      <c r="B126" s="134" t="s">
        <v>3194</v>
      </c>
      <c r="C126" s="45" t="s">
        <v>122</v>
      </c>
      <c r="D126" s="45" t="s">
        <v>123</v>
      </c>
      <c r="E126" s="45" t="s">
        <v>124</v>
      </c>
      <c r="F126" s="71">
        <v>19504.13</v>
      </c>
      <c r="G126" s="71">
        <v>0</v>
      </c>
      <c r="H126" s="49">
        <v>0</v>
      </c>
      <c r="I126" s="49">
        <v>0</v>
      </c>
      <c r="J126" s="49">
        <v>4095.87</v>
      </c>
      <c r="K126" s="49">
        <v>0</v>
      </c>
      <c r="L126" s="71">
        <v>0</v>
      </c>
      <c r="M126" s="71">
        <v>23600</v>
      </c>
    </row>
    <row r="127" spans="1:13">
      <c r="A127" s="43" t="s">
        <v>3186</v>
      </c>
      <c r="B127" s="134" t="s">
        <v>3195</v>
      </c>
      <c r="C127" s="45" t="s">
        <v>122</v>
      </c>
      <c r="D127" s="45" t="s">
        <v>123</v>
      </c>
      <c r="E127" s="45" t="s">
        <v>124</v>
      </c>
      <c r="F127" s="71">
        <v>18099.170000000002</v>
      </c>
      <c r="G127" s="71">
        <v>0</v>
      </c>
      <c r="H127" s="49">
        <v>0</v>
      </c>
      <c r="I127" s="49">
        <v>0</v>
      </c>
      <c r="J127" s="49">
        <v>3800.83</v>
      </c>
      <c r="K127" s="49">
        <v>0</v>
      </c>
      <c r="L127" s="71">
        <v>0</v>
      </c>
      <c r="M127" s="71">
        <v>21900</v>
      </c>
    </row>
    <row r="128" spans="1:13">
      <c r="A128" s="43" t="s">
        <v>3186</v>
      </c>
      <c r="B128" s="134" t="s">
        <v>3196</v>
      </c>
      <c r="C128" s="45" t="s">
        <v>122</v>
      </c>
      <c r="D128" s="45" t="s">
        <v>123</v>
      </c>
      <c r="E128" s="45" t="s">
        <v>124</v>
      </c>
      <c r="F128" s="71">
        <v>15702.48</v>
      </c>
      <c r="G128" s="71">
        <v>0</v>
      </c>
      <c r="H128" s="49">
        <v>0</v>
      </c>
      <c r="I128" s="49">
        <v>0</v>
      </c>
      <c r="J128" s="49">
        <v>3297.52</v>
      </c>
      <c r="K128" s="49">
        <v>0</v>
      </c>
      <c r="L128" s="71">
        <v>0</v>
      </c>
      <c r="M128" s="71">
        <v>19000</v>
      </c>
    </row>
    <row r="129" spans="1:13">
      <c r="A129" s="43" t="s">
        <v>3186</v>
      </c>
      <c r="B129" s="134" t="s">
        <v>3197</v>
      </c>
      <c r="C129" s="45" t="s">
        <v>122</v>
      </c>
      <c r="D129" s="45" t="s">
        <v>123</v>
      </c>
      <c r="E129" s="45" t="s">
        <v>124</v>
      </c>
      <c r="F129" s="71">
        <v>2066.12</v>
      </c>
      <c r="G129" s="71">
        <v>0</v>
      </c>
      <c r="H129" s="49">
        <v>0</v>
      </c>
      <c r="I129" s="49">
        <v>0</v>
      </c>
      <c r="J129" s="49">
        <v>433.88</v>
      </c>
      <c r="K129" s="49">
        <v>0</v>
      </c>
      <c r="L129" s="71">
        <v>0</v>
      </c>
      <c r="M129" s="71">
        <v>2500</v>
      </c>
    </row>
    <row r="130" spans="1:13">
      <c r="A130" s="43" t="s">
        <v>3186</v>
      </c>
      <c r="B130" s="134" t="s">
        <v>3198</v>
      </c>
      <c r="C130" s="45" t="s">
        <v>122</v>
      </c>
      <c r="D130" s="45" t="s">
        <v>123</v>
      </c>
      <c r="E130" s="45" t="s">
        <v>124</v>
      </c>
      <c r="F130" s="71">
        <v>3925.62</v>
      </c>
      <c r="G130" s="71">
        <v>0</v>
      </c>
      <c r="H130" s="49">
        <v>0</v>
      </c>
      <c r="I130" s="49">
        <v>0</v>
      </c>
      <c r="J130" s="49">
        <v>824.38</v>
      </c>
      <c r="K130" s="49">
        <v>0</v>
      </c>
      <c r="L130" s="71">
        <v>0</v>
      </c>
      <c r="M130" s="71">
        <v>4750</v>
      </c>
    </row>
    <row r="131" spans="1:13">
      <c r="A131" s="43" t="s">
        <v>3186</v>
      </c>
      <c r="B131" s="134" t="s">
        <v>3199</v>
      </c>
      <c r="C131" s="45" t="s">
        <v>122</v>
      </c>
      <c r="D131" s="45" t="s">
        <v>123</v>
      </c>
      <c r="E131" s="45" t="s">
        <v>124</v>
      </c>
      <c r="F131" s="71">
        <v>6942.15</v>
      </c>
      <c r="G131" s="71">
        <v>0</v>
      </c>
      <c r="H131" s="49">
        <v>0</v>
      </c>
      <c r="I131" s="49">
        <v>0</v>
      </c>
      <c r="J131" s="49">
        <v>1457.85</v>
      </c>
      <c r="K131" s="49">
        <v>0</v>
      </c>
      <c r="L131" s="71">
        <v>0</v>
      </c>
      <c r="M131" s="71">
        <v>8400</v>
      </c>
    </row>
    <row r="132" spans="1:13">
      <c r="A132" s="43" t="s">
        <v>3186</v>
      </c>
      <c r="B132" s="134" t="s">
        <v>3200</v>
      </c>
      <c r="C132" s="45" t="s">
        <v>122</v>
      </c>
      <c r="D132" s="45" t="s">
        <v>123</v>
      </c>
      <c r="E132" s="45" t="s">
        <v>124</v>
      </c>
      <c r="F132" s="71">
        <v>15289.26</v>
      </c>
      <c r="G132" s="71">
        <v>0</v>
      </c>
      <c r="H132" s="49">
        <v>0</v>
      </c>
      <c r="I132" s="49">
        <v>0</v>
      </c>
      <c r="J132" s="49">
        <v>3210.74</v>
      </c>
      <c r="K132" s="49">
        <v>0</v>
      </c>
      <c r="L132" s="71">
        <v>0</v>
      </c>
      <c r="M132" s="71">
        <v>18500</v>
      </c>
    </row>
    <row r="133" spans="1:13">
      <c r="A133" s="43" t="s">
        <v>3186</v>
      </c>
      <c r="B133" s="134" t="s">
        <v>3201</v>
      </c>
      <c r="C133" s="45" t="s">
        <v>122</v>
      </c>
      <c r="D133" s="45" t="s">
        <v>123</v>
      </c>
      <c r="E133" s="45" t="s">
        <v>124</v>
      </c>
      <c r="F133" s="71">
        <v>14049.59</v>
      </c>
      <c r="G133" s="71">
        <v>0</v>
      </c>
      <c r="H133" s="49">
        <v>0</v>
      </c>
      <c r="I133" s="49">
        <v>0</v>
      </c>
      <c r="J133" s="49">
        <v>2950.41</v>
      </c>
      <c r="K133" s="49">
        <v>0</v>
      </c>
      <c r="L133" s="71">
        <v>0</v>
      </c>
      <c r="M133" s="71">
        <v>17000</v>
      </c>
    </row>
    <row r="134" spans="1:13">
      <c r="A134" s="43" t="s">
        <v>3186</v>
      </c>
      <c r="B134" s="134" t="s">
        <v>3202</v>
      </c>
      <c r="C134" s="45" t="s">
        <v>122</v>
      </c>
      <c r="D134" s="45" t="s">
        <v>123</v>
      </c>
      <c r="E134" s="45" t="s">
        <v>124</v>
      </c>
      <c r="F134" s="71">
        <v>18016.53</v>
      </c>
      <c r="G134" s="71">
        <v>0</v>
      </c>
      <c r="H134" s="49">
        <v>0</v>
      </c>
      <c r="I134" s="49">
        <v>0</v>
      </c>
      <c r="J134" s="49">
        <v>3783.47</v>
      </c>
      <c r="K134" s="49">
        <v>0</v>
      </c>
      <c r="L134" s="71">
        <v>0</v>
      </c>
      <c r="M134" s="71">
        <v>21800</v>
      </c>
    </row>
    <row r="135" spans="1:13">
      <c r="A135" s="43" t="s">
        <v>3186</v>
      </c>
      <c r="B135" s="134" t="s">
        <v>3203</v>
      </c>
      <c r="C135" s="45" t="s">
        <v>122</v>
      </c>
      <c r="D135" s="45" t="s">
        <v>123</v>
      </c>
      <c r="E135" s="45" t="s">
        <v>124</v>
      </c>
      <c r="F135" s="71">
        <v>5454.55</v>
      </c>
      <c r="G135" s="71">
        <v>0</v>
      </c>
      <c r="H135" s="49">
        <v>0</v>
      </c>
      <c r="I135" s="49">
        <v>0</v>
      </c>
      <c r="J135" s="49">
        <v>1145.45</v>
      </c>
      <c r="K135" s="49">
        <v>0</v>
      </c>
      <c r="L135" s="71">
        <v>0</v>
      </c>
      <c r="M135" s="71">
        <v>6600</v>
      </c>
    </row>
    <row r="136" spans="1:13">
      <c r="A136" s="43" t="s">
        <v>3186</v>
      </c>
      <c r="B136" s="134" t="s">
        <v>3204</v>
      </c>
      <c r="C136" s="45" t="s">
        <v>122</v>
      </c>
      <c r="D136" s="45" t="s">
        <v>123</v>
      </c>
      <c r="E136" s="45" t="s">
        <v>124</v>
      </c>
      <c r="F136" s="71">
        <v>11231.4</v>
      </c>
      <c r="G136" s="71">
        <v>0</v>
      </c>
      <c r="H136" s="49">
        <v>0</v>
      </c>
      <c r="I136" s="49">
        <v>0</v>
      </c>
      <c r="J136" s="49">
        <v>2358.6</v>
      </c>
      <c r="K136" s="49">
        <v>0</v>
      </c>
      <c r="L136" s="71">
        <v>0</v>
      </c>
      <c r="M136" s="71">
        <v>13590</v>
      </c>
    </row>
    <row r="137" spans="1:13">
      <c r="A137" s="43" t="s">
        <v>3186</v>
      </c>
      <c r="B137" s="134" t="s">
        <v>3205</v>
      </c>
      <c r="C137" s="45" t="s">
        <v>122</v>
      </c>
      <c r="D137" s="45" t="s">
        <v>123</v>
      </c>
      <c r="E137" s="45" t="s">
        <v>124</v>
      </c>
      <c r="F137" s="71">
        <v>19917.350000000002</v>
      </c>
      <c r="G137" s="71">
        <v>0</v>
      </c>
      <c r="H137" s="49">
        <v>0</v>
      </c>
      <c r="I137" s="49">
        <v>0</v>
      </c>
      <c r="J137" s="49">
        <v>4182.6499999999996</v>
      </c>
      <c r="K137" s="49">
        <v>0</v>
      </c>
      <c r="L137" s="71">
        <v>0</v>
      </c>
      <c r="M137" s="71">
        <v>24100</v>
      </c>
    </row>
    <row r="138" spans="1:13">
      <c r="A138" s="43" t="s">
        <v>3215</v>
      </c>
      <c r="B138" s="134" t="s">
        <v>3216</v>
      </c>
      <c r="C138" s="45" t="s">
        <v>122</v>
      </c>
      <c r="D138" s="45" t="s">
        <v>123</v>
      </c>
      <c r="E138" s="45" t="s">
        <v>124</v>
      </c>
      <c r="F138" s="71">
        <v>14049.59</v>
      </c>
      <c r="G138" s="71">
        <v>0</v>
      </c>
      <c r="H138" s="49">
        <v>0</v>
      </c>
      <c r="I138" s="49">
        <v>0</v>
      </c>
      <c r="J138" s="49">
        <v>2950.41</v>
      </c>
      <c r="K138" s="49">
        <v>0</v>
      </c>
      <c r="L138" s="71">
        <v>0</v>
      </c>
      <c r="M138" s="71">
        <v>17000</v>
      </c>
    </row>
    <row r="139" spans="1:13">
      <c r="A139" s="43" t="s">
        <v>3215</v>
      </c>
      <c r="B139" s="134" t="s">
        <v>3217</v>
      </c>
      <c r="C139" s="45" t="s">
        <v>122</v>
      </c>
      <c r="D139" s="45" t="s">
        <v>123</v>
      </c>
      <c r="E139" s="45" t="s">
        <v>124</v>
      </c>
      <c r="F139" s="71">
        <v>10743.8</v>
      </c>
      <c r="G139" s="71">
        <v>0</v>
      </c>
      <c r="H139" s="49">
        <v>0</v>
      </c>
      <c r="I139" s="49">
        <v>0</v>
      </c>
      <c r="J139" s="49">
        <v>2256.1999999999998</v>
      </c>
      <c r="K139" s="49">
        <v>0</v>
      </c>
      <c r="L139" s="71">
        <v>0</v>
      </c>
      <c r="M139" s="71">
        <v>13000</v>
      </c>
    </row>
    <row r="140" spans="1:13">
      <c r="A140" s="43" t="s">
        <v>3215</v>
      </c>
      <c r="B140" s="134" t="s">
        <v>3218</v>
      </c>
      <c r="C140" s="45" t="s">
        <v>122</v>
      </c>
      <c r="D140" s="45" t="s">
        <v>123</v>
      </c>
      <c r="E140" s="45" t="s">
        <v>124</v>
      </c>
      <c r="F140" s="71">
        <v>9008.26</v>
      </c>
      <c r="G140" s="71">
        <v>0</v>
      </c>
      <c r="H140" s="49">
        <v>0</v>
      </c>
      <c r="I140" s="49">
        <v>0</v>
      </c>
      <c r="J140" s="49">
        <v>1891.74</v>
      </c>
      <c r="K140" s="49">
        <v>0</v>
      </c>
      <c r="L140" s="71">
        <v>0</v>
      </c>
      <c r="M140" s="71">
        <v>10900</v>
      </c>
    </row>
    <row r="141" spans="1:13">
      <c r="A141" s="43" t="s">
        <v>3215</v>
      </c>
      <c r="B141" s="134" t="s">
        <v>3219</v>
      </c>
      <c r="C141" s="45" t="s">
        <v>122</v>
      </c>
      <c r="D141" s="45" t="s">
        <v>123</v>
      </c>
      <c r="E141" s="45" t="s">
        <v>124</v>
      </c>
      <c r="F141" s="71">
        <v>13553.72</v>
      </c>
      <c r="G141" s="71">
        <v>0</v>
      </c>
      <c r="H141" s="49">
        <v>0</v>
      </c>
      <c r="I141" s="49">
        <v>0</v>
      </c>
      <c r="J141" s="49">
        <v>2846.28</v>
      </c>
      <c r="K141" s="49">
        <v>0</v>
      </c>
      <c r="L141" s="71">
        <v>0</v>
      </c>
      <c r="M141" s="71">
        <v>16400</v>
      </c>
    </row>
    <row r="142" spans="1:13">
      <c r="A142" s="43" t="s">
        <v>3215</v>
      </c>
      <c r="B142" s="134" t="s">
        <v>3220</v>
      </c>
      <c r="C142" s="45" t="s">
        <v>122</v>
      </c>
      <c r="D142" s="45" t="s">
        <v>123</v>
      </c>
      <c r="E142" s="45" t="s">
        <v>124</v>
      </c>
      <c r="F142" s="71">
        <v>3719.01</v>
      </c>
      <c r="G142" s="71">
        <v>0</v>
      </c>
      <c r="H142" s="49">
        <v>0</v>
      </c>
      <c r="I142" s="49">
        <v>0</v>
      </c>
      <c r="J142" s="49">
        <v>780.99</v>
      </c>
      <c r="K142" s="49">
        <v>0</v>
      </c>
      <c r="L142" s="71">
        <v>0</v>
      </c>
      <c r="M142" s="71">
        <v>4500</v>
      </c>
    </row>
    <row r="143" spans="1:13">
      <c r="A143" s="43" t="s">
        <v>3215</v>
      </c>
      <c r="B143" s="134" t="s">
        <v>3221</v>
      </c>
      <c r="C143" s="45" t="s">
        <v>122</v>
      </c>
      <c r="D143" s="45" t="s">
        <v>123</v>
      </c>
      <c r="E143" s="45" t="s">
        <v>124</v>
      </c>
      <c r="F143" s="71">
        <v>2727.27</v>
      </c>
      <c r="G143" s="71">
        <v>0</v>
      </c>
      <c r="H143" s="49">
        <v>0</v>
      </c>
      <c r="I143" s="49">
        <v>0</v>
      </c>
      <c r="J143" s="49">
        <v>572.73</v>
      </c>
      <c r="K143" s="49">
        <v>0</v>
      </c>
      <c r="L143" s="71">
        <v>0</v>
      </c>
      <c r="M143" s="71">
        <v>3300</v>
      </c>
    </row>
    <row r="144" spans="1:13">
      <c r="A144" s="43" t="s">
        <v>3215</v>
      </c>
      <c r="B144" s="134" t="s">
        <v>3222</v>
      </c>
      <c r="C144" s="45" t="s">
        <v>122</v>
      </c>
      <c r="D144" s="45" t="s">
        <v>123</v>
      </c>
      <c r="E144" s="45" t="s">
        <v>124</v>
      </c>
      <c r="F144" s="71">
        <v>4876.03</v>
      </c>
      <c r="G144" s="71">
        <v>0</v>
      </c>
      <c r="H144" s="49">
        <v>0</v>
      </c>
      <c r="I144" s="49">
        <v>0</v>
      </c>
      <c r="J144" s="49">
        <v>1023.97</v>
      </c>
      <c r="K144" s="49">
        <v>0</v>
      </c>
      <c r="L144" s="71">
        <v>0</v>
      </c>
      <c r="M144" s="71">
        <v>5900</v>
      </c>
    </row>
    <row r="145" spans="1:13">
      <c r="A145" s="43" t="s">
        <v>3215</v>
      </c>
      <c r="B145" s="134" t="s">
        <v>3223</v>
      </c>
      <c r="C145" s="45" t="s">
        <v>122</v>
      </c>
      <c r="D145" s="45" t="s">
        <v>123</v>
      </c>
      <c r="E145" s="45" t="s">
        <v>124</v>
      </c>
      <c r="F145" s="71">
        <v>4504.13</v>
      </c>
      <c r="G145" s="71">
        <v>0</v>
      </c>
      <c r="H145" s="49">
        <v>0</v>
      </c>
      <c r="I145" s="49">
        <v>0</v>
      </c>
      <c r="J145" s="49">
        <v>945.87</v>
      </c>
      <c r="K145" s="49">
        <v>0</v>
      </c>
      <c r="L145" s="71">
        <v>0</v>
      </c>
      <c r="M145" s="71">
        <v>5450</v>
      </c>
    </row>
    <row r="146" spans="1:13">
      <c r="A146" s="43" t="s">
        <v>3215</v>
      </c>
      <c r="B146" s="134" t="s">
        <v>3224</v>
      </c>
      <c r="C146" s="45" t="s">
        <v>122</v>
      </c>
      <c r="D146" s="45" t="s">
        <v>123</v>
      </c>
      <c r="E146" s="45" t="s">
        <v>124</v>
      </c>
      <c r="F146" s="71">
        <v>4545.45</v>
      </c>
      <c r="G146" s="71">
        <v>0</v>
      </c>
      <c r="H146" s="49">
        <v>0</v>
      </c>
      <c r="I146" s="49">
        <v>0</v>
      </c>
      <c r="J146" s="49">
        <v>954.55</v>
      </c>
      <c r="K146" s="49">
        <v>0</v>
      </c>
      <c r="L146" s="71">
        <v>0</v>
      </c>
      <c r="M146" s="71">
        <v>5500</v>
      </c>
    </row>
    <row r="147" spans="1:13">
      <c r="A147" s="43" t="s">
        <v>3215</v>
      </c>
      <c r="B147" s="134" t="s">
        <v>3225</v>
      </c>
      <c r="C147" s="45" t="s">
        <v>122</v>
      </c>
      <c r="D147" s="45" t="s">
        <v>123</v>
      </c>
      <c r="E147" s="45" t="s">
        <v>124</v>
      </c>
      <c r="F147" s="71">
        <v>6611.57</v>
      </c>
      <c r="G147" s="71">
        <v>0</v>
      </c>
      <c r="H147" s="49">
        <v>0</v>
      </c>
      <c r="I147" s="49">
        <v>0</v>
      </c>
      <c r="J147" s="49">
        <v>1388.43</v>
      </c>
      <c r="K147" s="49">
        <v>0</v>
      </c>
      <c r="L147" s="71">
        <v>0</v>
      </c>
      <c r="M147" s="71">
        <v>8000</v>
      </c>
    </row>
    <row r="148" spans="1:13">
      <c r="A148" s="43" t="s">
        <v>3215</v>
      </c>
      <c r="B148" s="134" t="s">
        <v>3226</v>
      </c>
      <c r="C148" s="45" t="s">
        <v>122</v>
      </c>
      <c r="D148" s="45" t="s">
        <v>123</v>
      </c>
      <c r="E148" s="45" t="s">
        <v>124</v>
      </c>
      <c r="F148" s="71">
        <v>8264.4600000000009</v>
      </c>
      <c r="G148" s="71">
        <v>0</v>
      </c>
      <c r="H148" s="49">
        <v>0</v>
      </c>
      <c r="I148" s="49">
        <v>0</v>
      </c>
      <c r="J148" s="49">
        <v>1735.54</v>
      </c>
      <c r="K148" s="49">
        <v>0</v>
      </c>
      <c r="L148" s="71">
        <v>0</v>
      </c>
      <c r="M148" s="71">
        <v>10000</v>
      </c>
    </row>
    <row r="149" spans="1:13">
      <c r="A149" s="43" t="s">
        <v>3215</v>
      </c>
      <c r="B149" s="134" t="s">
        <v>3227</v>
      </c>
      <c r="C149" s="45" t="s">
        <v>122</v>
      </c>
      <c r="D149" s="45" t="s">
        <v>123</v>
      </c>
      <c r="E149" s="45" t="s">
        <v>124</v>
      </c>
      <c r="F149" s="71">
        <v>1983.47</v>
      </c>
      <c r="G149" s="71">
        <v>0</v>
      </c>
      <c r="H149" s="49">
        <v>0</v>
      </c>
      <c r="I149" s="49">
        <v>0</v>
      </c>
      <c r="J149" s="49">
        <v>416.53</v>
      </c>
      <c r="K149" s="49">
        <v>0</v>
      </c>
      <c r="L149" s="71">
        <v>0</v>
      </c>
      <c r="M149" s="71">
        <v>2400</v>
      </c>
    </row>
    <row r="150" spans="1:13">
      <c r="A150" s="43" t="s">
        <v>3215</v>
      </c>
      <c r="B150" s="134" t="s">
        <v>3228</v>
      </c>
      <c r="C150" s="45" t="s">
        <v>122</v>
      </c>
      <c r="D150" s="45" t="s">
        <v>123</v>
      </c>
      <c r="E150" s="45" t="s">
        <v>124</v>
      </c>
      <c r="F150" s="71">
        <v>4132.2300000000005</v>
      </c>
      <c r="G150" s="71">
        <v>0</v>
      </c>
      <c r="H150" s="49">
        <v>0</v>
      </c>
      <c r="I150" s="49">
        <v>0</v>
      </c>
      <c r="J150" s="49">
        <v>867.77</v>
      </c>
      <c r="K150" s="49">
        <v>0</v>
      </c>
      <c r="L150" s="71">
        <v>0</v>
      </c>
      <c r="M150" s="71">
        <v>5000</v>
      </c>
    </row>
    <row r="151" spans="1:13">
      <c r="A151" s="43" t="s">
        <v>3215</v>
      </c>
      <c r="B151" s="134" t="s">
        <v>3229</v>
      </c>
      <c r="C151" s="45" t="s">
        <v>122</v>
      </c>
      <c r="D151" s="45" t="s">
        <v>123</v>
      </c>
      <c r="E151" s="45" t="s">
        <v>124</v>
      </c>
      <c r="F151" s="71">
        <v>3057.85</v>
      </c>
      <c r="G151" s="71">
        <v>0</v>
      </c>
      <c r="H151" s="49">
        <v>0</v>
      </c>
      <c r="I151" s="49">
        <v>0</v>
      </c>
      <c r="J151" s="49">
        <v>642.15</v>
      </c>
      <c r="K151" s="49">
        <v>0</v>
      </c>
      <c r="L151" s="71">
        <v>0</v>
      </c>
      <c r="M151" s="71">
        <v>3700</v>
      </c>
    </row>
    <row r="152" spans="1:13">
      <c r="A152" s="43" t="s">
        <v>3215</v>
      </c>
      <c r="B152" s="134" t="s">
        <v>3230</v>
      </c>
      <c r="C152" s="45" t="s">
        <v>122</v>
      </c>
      <c r="D152" s="45" t="s">
        <v>123</v>
      </c>
      <c r="E152" s="45" t="s">
        <v>124</v>
      </c>
      <c r="F152" s="71">
        <v>4504.13</v>
      </c>
      <c r="G152" s="71">
        <v>0</v>
      </c>
      <c r="H152" s="49">
        <v>0</v>
      </c>
      <c r="I152" s="49">
        <v>0</v>
      </c>
      <c r="J152" s="49">
        <v>945.87</v>
      </c>
      <c r="K152" s="49">
        <v>0</v>
      </c>
      <c r="L152" s="71">
        <v>0</v>
      </c>
      <c r="M152" s="71">
        <v>5450</v>
      </c>
    </row>
    <row r="153" spans="1:13">
      <c r="A153" s="43" t="s">
        <v>3215</v>
      </c>
      <c r="B153" s="134" t="s">
        <v>3231</v>
      </c>
      <c r="C153" s="45" t="s">
        <v>122</v>
      </c>
      <c r="D153" s="45" t="s">
        <v>123</v>
      </c>
      <c r="E153" s="45" t="s">
        <v>124</v>
      </c>
      <c r="F153" s="71">
        <v>6942.15</v>
      </c>
      <c r="G153" s="71">
        <v>0</v>
      </c>
      <c r="H153" s="49">
        <v>0</v>
      </c>
      <c r="I153" s="49">
        <v>0</v>
      </c>
      <c r="J153" s="49">
        <v>1457.85</v>
      </c>
      <c r="K153" s="49">
        <v>0</v>
      </c>
      <c r="L153" s="71">
        <v>0</v>
      </c>
      <c r="M153" s="71">
        <v>8400</v>
      </c>
    </row>
    <row r="154" spans="1:13">
      <c r="A154" s="43" t="s">
        <v>3215</v>
      </c>
      <c r="B154" s="134" t="s">
        <v>3232</v>
      </c>
      <c r="C154" s="45" t="s">
        <v>122</v>
      </c>
      <c r="D154" s="45" t="s">
        <v>123</v>
      </c>
      <c r="E154" s="45" t="s">
        <v>124</v>
      </c>
      <c r="F154" s="71">
        <v>4504.13</v>
      </c>
      <c r="G154" s="71">
        <v>0</v>
      </c>
      <c r="H154" s="49">
        <v>0</v>
      </c>
      <c r="I154" s="49">
        <v>0</v>
      </c>
      <c r="J154" s="49">
        <v>945.87</v>
      </c>
      <c r="K154" s="49">
        <v>0</v>
      </c>
      <c r="L154" s="71">
        <v>0</v>
      </c>
      <c r="M154" s="71">
        <v>5450</v>
      </c>
    </row>
    <row r="155" spans="1:13">
      <c r="A155" s="43" t="s">
        <v>3215</v>
      </c>
      <c r="B155" s="134" t="s">
        <v>3233</v>
      </c>
      <c r="C155" s="45" t="s">
        <v>122</v>
      </c>
      <c r="D155" s="45" t="s">
        <v>123</v>
      </c>
      <c r="E155" s="45" t="s">
        <v>124</v>
      </c>
      <c r="F155" s="71">
        <v>4132.2300000000005</v>
      </c>
      <c r="G155" s="71">
        <v>0</v>
      </c>
      <c r="H155" s="49">
        <v>0</v>
      </c>
      <c r="I155" s="49">
        <v>0</v>
      </c>
      <c r="J155" s="49">
        <v>867.77</v>
      </c>
      <c r="K155" s="49">
        <v>0</v>
      </c>
      <c r="L155" s="71">
        <v>0</v>
      </c>
      <c r="M155" s="71">
        <v>5000</v>
      </c>
    </row>
    <row r="156" spans="1:13">
      <c r="A156" s="43" t="s">
        <v>3215</v>
      </c>
      <c r="B156" s="134" t="s">
        <v>3234</v>
      </c>
      <c r="C156" s="45" t="s">
        <v>122</v>
      </c>
      <c r="D156" s="45" t="s">
        <v>123</v>
      </c>
      <c r="E156" s="45" t="s">
        <v>124</v>
      </c>
      <c r="F156" s="71">
        <v>7851.24</v>
      </c>
      <c r="G156" s="71">
        <v>0</v>
      </c>
      <c r="H156" s="49">
        <v>0</v>
      </c>
      <c r="I156" s="49">
        <v>0</v>
      </c>
      <c r="J156" s="49">
        <v>1648.76</v>
      </c>
      <c r="K156" s="49">
        <v>0</v>
      </c>
      <c r="L156" s="71">
        <v>0</v>
      </c>
      <c r="M156" s="71">
        <v>9500</v>
      </c>
    </row>
    <row r="157" spans="1:13">
      <c r="A157" s="43" t="s">
        <v>3215</v>
      </c>
      <c r="B157" s="134" t="s">
        <v>3235</v>
      </c>
      <c r="C157" s="45" t="s">
        <v>122</v>
      </c>
      <c r="D157" s="45" t="s">
        <v>123</v>
      </c>
      <c r="E157" s="45" t="s">
        <v>124</v>
      </c>
      <c r="F157" s="71">
        <v>10206.61</v>
      </c>
      <c r="G157" s="71">
        <v>0</v>
      </c>
      <c r="H157" s="49">
        <v>0</v>
      </c>
      <c r="I157" s="49">
        <v>0</v>
      </c>
      <c r="J157" s="49">
        <v>2143.39</v>
      </c>
      <c r="K157" s="49">
        <v>0</v>
      </c>
      <c r="L157" s="71">
        <v>0</v>
      </c>
      <c r="M157" s="71">
        <v>12350</v>
      </c>
    </row>
    <row r="158" spans="1:13">
      <c r="A158" s="43" t="s">
        <v>3215</v>
      </c>
      <c r="B158" s="134" t="s">
        <v>3236</v>
      </c>
      <c r="C158" s="45" t="s">
        <v>122</v>
      </c>
      <c r="D158" s="45" t="s">
        <v>123</v>
      </c>
      <c r="E158" s="45" t="s">
        <v>124</v>
      </c>
      <c r="F158" s="71">
        <v>13760.33</v>
      </c>
      <c r="G158" s="71">
        <v>0</v>
      </c>
      <c r="H158" s="49">
        <v>0</v>
      </c>
      <c r="I158" s="49">
        <v>0</v>
      </c>
      <c r="J158" s="49">
        <v>2889.67</v>
      </c>
      <c r="K158" s="49">
        <v>0</v>
      </c>
      <c r="L158" s="71">
        <v>0</v>
      </c>
      <c r="M158" s="71">
        <v>16650</v>
      </c>
    </row>
    <row r="159" spans="1:13">
      <c r="A159" s="43" t="s">
        <v>3215</v>
      </c>
      <c r="B159" s="134" t="s">
        <v>3237</v>
      </c>
      <c r="C159" s="45" t="s">
        <v>122</v>
      </c>
      <c r="D159" s="45" t="s">
        <v>123</v>
      </c>
      <c r="E159" s="45" t="s">
        <v>124</v>
      </c>
      <c r="F159" s="71">
        <v>23140.5</v>
      </c>
      <c r="G159" s="71">
        <v>0</v>
      </c>
      <c r="H159" s="49">
        <v>0</v>
      </c>
      <c r="I159" s="49">
        <v>0</v>
      </c>
      <c r="J159" s="49">
        <v>4859.5</v>
      </c>
      <c r="K159" s="49">
        <v>0</v>
      </c>
      <c r="L159" s="71">
        <v>0</v>
      </c>
      <c r="M159" s="71">
        <v>28000</v>
      </c>
    </row>
    <row r="160" spans="1:13">
      <c r="A160" s="43" t="s">
        <v>3246</v>
      </c>
      <c r="B160" s="134" t="s">
        <v>3247</v>
      </c>
      <c r="C160" s="45" t="s">
        <v>122</v>
      </c>
      <c r="D160" s="45" t="s">
        <v>123</v>
      </c>
      <c r="E160" s="45" t="s">
        <v>124</v>
      </c>
      <c r="F160" s="71">
        <v>9049.59</v>
      </c>
      <c r="G160" s="71">
        <v>0</v>
      </c>
      <c r="H160" s="49">
        <v>0</v>
      </c>
      <c r="I160" s="49">
        <v>0</v>
      </c>
      <c r="J160" s="49">
        <v>1900.41</v>
      </c>
      <c r="K160" s="49">
        <v>0</v>
      </c>
      <c r="L160" s="71">
        <v>0</v>
      </c>
      <c r="M160" s="71">
        <v>10950</v>
      </c>
    </row>
    <row r="161" spans="1:13">
      <c r="A161" s="43" t="s">
        <v>3246</v>
      </c>
      <c r="B161" s="134" t="s">
        <v>3248</v>
      </c>
      <c r="C161" s="45" t="s">
        <v>122</v>
      </c>
      <c r="D161" s="45" t="s">
        <v>123</v>
      </c>
      <c r="E161" s="45" t="s">
        <v>124</v>
      </c>
      <c r="F161" s="71">
        <v>8099.17</v>
      </c>
      <c r="G161" s="71">
        <v>0</v>
      </c>
      <c r="H161" s="49">
        <v>0</v>
      </c>
      <c r="I161" s="49">
        <v>0</v>
      </c>
      <c r="J161" s="49">
        <v>1700.83</v>
      </c>
      <c r="K161" s="49">
        <v>0</v>
      </c>
      <c r="L161" s="71">
        <v>0</v>
      </c>
      <c r="M161" s="71">
        <v>9800</v>
      </c>
    </row>
    <row r="162" spans="1:13">
      <c r="A162" s="43" t="s">
        <v>3246</v>
      </c>
      <c r="B162" s="134" t="s">
        <v>3249</v>
      </c>
      <c r="C162" s="45" t="s">
        <v>122</v>
      </c>
      <c r="D162" s="45" t="s">
        <v>123</v>
      </c>
      <c r="E162" s="45" t="s">
        <v>124</v>
      </c>
      <c r="F162" s="71">
        <v>4793.3900000000003</v>
      </c>
      <c r="G162" s="71">
        <v>0</v>
      </c>
      <c r="H162" s="49">
        <v>0</v>
      </c>
      <c r="I162" s="49">
        <v>0</v>
      </c>
      <c r="J162" s="49">
        <v>1006.61</v>
      </c>
      <c r="K162" s="49">
        <v>0</v>
      </c>
      <c r="L162" s="71">
        <v>0</v>
      </c>
      <c r="M162" s="71">
        <v>5800</v>
      </c>
    </row>
    <row r="163" spans="1:13">
      <c r="A163" s="43" t="s">
        <v>3246</v>
      </c>
      <c r="B163" s="134" t="s">
        <v>3250</v>
      </c>
      <c r="C163" s="45" t="s">
        <v>122</v>
      </c>
      <c r="D163" s="45" t="s">
        <v>123</v>
      </c>
      <c r="E163" s="45" t="s">
        <v>124</v>
      </c>
      <c r="F163" s="71">
        <v>9008.26</v>
      </c>
      <c r="G163" s="71">
        <v>0</v>
      </c>
      <c r="H163" s="49">
        <v>0</v>
      </c>
      <c r="I163" s="49">
        <v>0</v>
      </c>
      <c r="J163" s="49">
        <v>1891.74</v>
      </c>
      <c r="K163" s="49">
        <v>0</v>
      </c>
      <c r="L163" s="71">
        <v>0</v>
      </c>
      <c r="M163" s="71">
        <v>10900</v>
      </c>
    </row>
    <row r="164" spans="1:13">
      <c r="A164" s="43" t="s">
        <v>3246</v>
      </c>
      <c r="B164" s="134" t="s">
        <v>3251</v>
      </c>
      <c r="C164" s="45" t="s">
        <v>122</v>
      </c>
      <c r="D164" s="45" t="s">
        <v>123</v>
      </c>
      <c r="E164" s="45" t="s">
        <v>124</v>
      </c>
      <c r="F164" s="71">
        <v>1487.6</v>
      </c>
      <c r="G164" s="71">
        <v>0</v>
      </c>
      <c r="H164" s="49">
        <v>0</v>
      </c>
      <c r="I164" s="49">
        <v>0</v>
      </c>
      <c r="J164" s="49">
        <v>312.39999999999998</v>
      </c>
      <c r="K164" s="49">
        <v>0</v>
      </c>
      <c r="L164" s="71">
        <v>0</v>
      </c>
      <c r="M164" s="71">
        <v>1800</v>
      </c>
    </row>
    <row r="165" spans="1:13">
      <c r="A165" s="43" t="s">
        <v>3246</v>
      </c>
      <c r="B165" s="134" t="s">
        <v>3252</v>
      </c>
      <c r="C165" s="45" t="s">
        <v>122</v>
      </c>
      <c r="D165" s="45" t="s">
        <v>123</v>
      </c>
      <c r="E165" s="45" t="s">
        <v>124</v>
      </c>
      <c r="F165" s="71">
        <v>4504.13</v>
      </c>
      <c r="G165" s="71">
        <v>0</v>
      </c>
      <c r="H165" s="49">
        <v>0</v>
      </c>
      <c r="I165" s="49">
        <v>0</v>
      </c>
      <c r="J165" s="49">
        <v>945.87</v>
      </c>
      <c r="K165" s="49">
        <v>0</v>
      </c>
      <c r="L165" s="71">
        <v>0</v>
      </c>
      <c r="M165" s="71">
        <v>5450</v>
      </c>
    </row>
    <row r="166" spans="1:13">
      <c r="A166" s="43" t="s">
        <v>3246</v>
      </c>
      <c r="B166" s="134" t="s">
        <v>3253</v>
      </c>
      <c r="C166" s="45" t="s">
        <v>122</v>
      </c>
      <c r="D166" s="45" t="s">
        <v>123</v>
      </c>
      <c r="E166" s="45" t="s">
        <v>124</v>
      </c>
      <c r="F166" s="71">
        <v>16074.38</v>
      </c>
      <c r="G166" s="71">
        <v>0</v>
      </c>
      <c r="H166" s="49">
        <v>0</v>
      </c>
      <c r="I166" s="49">
        <v>0</v>
      </c>
      <c r="J166" s="49">
        <v>3375.62</v>
      </c>
      <c r="K166" s="49">
        <v>0</v>
      </c>
      <c r="L166" s="71">
        <v>0</v>
      </c>
      <c r="M166" s="71">
        <v>19450</v>
      </c>
    </row>
    <row r="167" spans="1:13">
      <c r="A167" s="43" t="s">
        <v>3246</v>
      </c>
      <c r="B167" s="134" t="s">
        <v>3254</v>
      </c>
      <c r="C167" s="45" t="s">
        <v>122</v>
      </c>
      <c r="D167" s="45" t="s">
        <v>123</v>
      </c>
      <c r="E167" s="45" t="s">
        <v>124</v>
      </c>
      <c r="F167" s="71">
        <v>5206.6099999999997</v>
      </c>
      <c r="G167" s="71">
        <v>0</v>
      </c>
      <c r="H167" s="49">
        <v>0</v>
      </c>
      <c r="I167" s="49">
        <v>0</v>
      </c>
      <c r="J167" s="49">
        <v>1093.3900000000001</v>
      </c>
      <c r="K167" s="49">
        <v>0</v>
      </c>
      <c r="L167" s="71">
        <v>0</v>
      </c>
      <c r="M167" s="71">
        <v>6300</v>
      </c>
    </row>
    <row r="168" spans="1:13">
      <c r="A168" s="43" t="s">
        <v>3246</v>
      </c>
      <c r="B168" s="134" t="s">
        <v>3255</v>
      </c>
      <c r="C168" s="45" t="s">
        <v>122</v>
      </c>
      <c r="D168" s="45" t="s">
        <v>123</v>
      </c>
      <c r="E168" s="45" t="s">
        <v>124</v>
      </c>
      <c r="F168" s="71">
        <v>19669.420000000002</v>
      </c>
      <c r="G168" s="71">
        <v>0</v>
      </c>
      <c r="H168" s="49">
        <v>0</v>
      </c>
      <c r="I168" s="49">
        <v>0</v>
      </c>
      <c r="J168" s="49">
        <v>4130.58</v>
      </c>
      <c r="K168" s="49">
        <v>0</v>
      </c>
      <c r="L168" s="71">
        <v>0</v>
      </c>
      <c r="M168" s="71">
        <v>23800</v>
      </c>
    </row>
    <row r="169" spans="1:13">
      <c r="A169" s="43" t="s">
        <v>3246</v>
      </c>
      <c r="B169" s="134" t="s">
        <v>3256</v>
      </c>
      <c r="C169" s="45" t="s">
        <v>122</v>
      </c>
      <c r="D169" s="45" t="s">
        <v>123</v>
      </c>
      <c r="E169" s="45" t="s">
        <v>124</v>
      </c>
      <c r="F169" s="71">
        <v>8429.75</v>
      </c>
      <c r="G169" s="71">
        <v>0</v>
      </c>
      <c r="H169" s="49">
        <v>0</v>
      </c>
      <c r="I169" s="49">
        <v>0</v>
      </c>
      <c r="J169" s="49">
        <v>1770.25</v>
      </c>
      <c r="K169" s="49">
        <v>0</v>
      </c>
      <c r="L169" s="71">
        <v>0</v>
      </c>
      <c r="M169" s="71">
        <v>10200</v>
      </c>
    </row>
    <row r="170" spans="1:13">
      <c r="A170" s="43" t="s">
        <v>3246</v>
      </c>
      <c r="B170" s="134" t="s">
        <v>3257</v>
      </c>
      <c r="C170" s="45" t="s">
        <v>122</v>
      </c>
      <c r="D170" s="45" t="s">
        <v>123</v>
      </c>
      <c r="E170" s="45" t="s">
        <v>124</v>
      </c>
      <c r="F170" s="71">
        <v>7438.02</v>
      </c>
      <c r="G170" s="71">
        <v>0</v>
      </c>
      <c r="H170" s="49">
        <v>0</v>
      </c>
      <c r="I170" s="49">
        <v>0</v>
      </c>
      <c r="J170" s="49">
        <v>1561.98</v>
      </c>
      <c r="K170" s="49">
        <v>0</v>
      </c>
      <c r="L170" s="71">
        <v>0</v>
      </c>
      <c r="M170" s="71">
        <v>9000</v>
      </c>
    </row>
    <row r="171" spans="1:13">
      <c r="A171" s="43" t="s">
        <v>3246</v>
      </c>
      <c r="B171" s="134" t="s">
        <v>3258</v>
      </c>
      <c r="C171" s="45" t="s">
        <v>122</v>
      </c>
      <c r="D171" s="45" t="s">
        <v>123</v>
      </c>
      <c r="E171" s="45" t="s">
        <v>124</v>
      </c>
      <c r="F171" s="71">
        <v>6942.15</v>
      </c>
      <c r="G171" s="71">
        <v>0</v>
      </c>
      <c r="H171" s="49">
        <v>0</v>
      </c>
      <c r="I171" s="49">
        <v>0</v>
      </c>
      <c r="J171" s="49">
        <v>1457.85</v>
      </c>
      <c r="K171" s="49">
        <v>0</v>
      </c>
      <c r="L171" s="71">
        <v>0</v>
      </c>
      <c r="M171" s="71">
        <v>8400</v>
      </c>
    </row>
    <row r="172" spans="1:13">
      <c r="A172" s="43" t="s">
        <v>3246</v>
      </c>
      <c r="B172" s="134" t="s">
        <v>3259</v>
      </c>
      <c r="C172" s="45" t="s">
        <v>122</v>
      </c>
      <c r="D172" s="45" t="s">
        <v>123</v>
      </c>
      <c r="E172" s="45" t="s">
        <v>124</v>
      </c>
      <c r="F172" s="71">
        <v>1322.31</v>
      </c>
      <c r="G172" s="71">
        <v>0</v>
      </c>
      <c r="H172" s="49">
        <v>0</v>
      </c>
      <c r="I172" s="49">
        <v>0</v>
      </c>
      <c r="J172" s="49">
        <v>277.69</v>
      </c>
      <c r="K172" s="49">
        <v>0</v>
      </c>
      <c r="L172" s="71">
        <v>0</v>
      </c>
      <c r="M172" s="71">
        <v>1600</v>
      </c>
    </row>
    <row r="173" spans="1:13">
      <c r="A173" s="43" t="s">
        <v>3246</v>
      </c>
      <c r="B173" s="134" t="s">
        <v>3260</v>
      </c>
      <c r="C173" s="45" t="s">
        <v>122</v>
      </c>
      <c r="D173" s="45" t="s">
        <v>123</v>
      </c>
      <c r="E173" s="45" t="s">
        <v>124</v>
      </c>
      <c r="F173" s="71">
        <v>26033.06</v>
      </c>
      <c r="G173" s="71">
        <v>0</v>
      </c>
      <c r="H173" s="49">
        <v>0</v>
      </c>
      <c r="I173" s="49">
        <v>0</v>
      </c>
      <c r="J173" s="49">
        <v>5466.94</v>
      </c>
      <c r="K173" s="49">
        <v>0</v>
      </c>
      <c r="L173" s="71">
        <v>0</v>
      </c>
      <c r="M173" s="71">
        <v>31500</v>
      </c>
    </row>
    <row r="174" spans="1:13">
      <c r="A174" s="43" t="s">
        <v>3246</v>
      </c>
      <c r="B174" s="134" t="s">
        <v>3261</v>
      </c>
      <c r="C174" s="45" t="s">
        <v>122</v>
      </c>
      <c r="D174" s="45" t="s">
        <v>123</v>
      </c>
      <c r="E174" s="45" t="s">
        <v>124</v>
      </c>
      <c r="F174" s="71">
        <v>15702.48</v>
      </c>
      <c r="G174" s="71">
        <v>0</v>
      </c>
      <c r="H174" s="49">
        <v>0</v>
      </c>
      <c r="I174" s="49">
        <v>0</v>
      </c>
      <c r="J174" s="49">
        <v>3297.52</v>
      </c>
      <c r="K174" s="49">
        <v>0</v>
      </c>
      <c r="L174" s="71">
        <v>0</v>
      </c>
      <c r="M174" s="71">
        <v>19000</v>
      </c>
    </row>
    <row r="175" spans="1:13">
      <c r="A175" s="43" t="s">
        <v>3269</v>
      </c>
      <c r="B175" s="134" t="s">
        <v>3270</v>
      </c>
      <c r="C175" s="45" t="s">
        <v>122</v>
      </c>
      <c r="D175" s="45" t="s">
        <v>123</v>
      </c>
      <c r="E175" s="45" t="s">
        <v>124</v>
      </c>
      <c r="F175" s="71">
        <v>5165.29</v>
      </c>
      <c r="G175" s="71">
        <v>0</v>
      </c>
      <c r="H175" s="49">
        <v>0</v>
      </c>
      <c r="I175" s="49">
        <v>0</v>
      </c>
      <c r="J175" s="49">
        <v>1084.71</v>
      </c>
      <c r="K175" s="49">
        <v>0</v>
      </c>
      <c r="L175" s="71">
        <v>0</v>
      </c>
      <c r="M175" s="71">
        <v>6250</v>
      </c>
    </row>
    <row r="176" spans="1:13">
      <c r="A176" s="43" t="s">
        <v>3269</v>
      </c>
      <c r="B176" s="134" t="s">
        <v>3271</v>
      </c>
      <c r="C176" s="45" t="s">
        <v>122</v>
      </c>
      <c r="D176" s="45" t="s">
        <v>123</v>
      </c>
      <c r="E176" s="45" t="s">
        <v>124</v>
      </c>
      <c r="F176" s="71">
        <v>7004.13</v>
      </c>
      <c r="G176" s="71">
        <v>0</v>
      </c>
      <c r="H176" s="49">
        <v>0</v>
      </c>
      <c r="I176" s="49">
        <v>0</v>
      </c>
      <c r="J176" s="49">
        <v>1470.87</v>
      </c>
      <c r="K176" s="49">
        <v>0</v>
      </c>
      <c r="L176" s="71">
        <v>0</v>
      </c>
      <c r="M176" s="71">
        <v>8475</v>
      </c>
    </row>
    <row r="177" spans="1:13">
      <c r="A177" s="43" t="s">
        <v>3269</v>
      </c>
      <c r="B177" s="134" t="s">
        <v>3272</v>
      </c>
      <c r="C177" s="45" t="s">
        <v>122</v>
      </c>
      <c r="D177" s="45" t="s">
        <v>123</v>
      </c>
      <c r="E177" s="45" t="s">
        <v>124</v>
      </c>
      <c r="F177" s="71">
        <v>4132.2300000000005</v>
      </c>
      <c r="G177" s="71">
        <v>0</v>
      </c>
      <c r="H177" s="49">
        <v>0</v>
      </c>
      <c r="I177" s="49">
        <v>0</v>
      </c>
      <c r="J177" s="49">
        <v>867.77</v>
      </c>
      <c r="K177" s="49">
        <v>0</v>
      </c>
      <c r="L177" s="71">
        <v>0</v>
      </c>
      <c r="M177" s="71">
        <v>5000</v>
      </c>
    </row>
    <row r="178" spans="1:13">
      <c r="A178" s="43" t="s">
        <v>3269</v>
      </c>
      <c r="B178" s="134" t="s">
        <v>3273</v>
      </c>
      <c r="C178" s="45" t="s">
        <v>122</v>
      </c>
      <c r="D178" s="45" t="s">
        <v>123</v>
      </c>
      <c r="E178" s="45" t="s">
        <v>124</v>
      </c>
      <c r="F178" s="71">
        <v>17024.79</v>
      </c>
      <c r="G178" s="71">
        <v>0</v>
      </c>
      <c r="H178" s="49">
        <v>0</v>
      </c>
      <c r="I178" s="49">
        <v>0</v>
      </c>
      <c r="J178" s="49">
        <v>3575.21</v>
      </c>
      <c r="K178" s="49">
        <v>0</v>
      </c>
      <c r="L178" s="71">
        <v>0</v>
      </c>
      <c r="M178" s="71">
        <v>20600</v>
      </c>
    </row>
    <row r="179" spans="1:13">
      <c r="A179" s="43" t="s">
        <v>3269</v>
      </c>
      <c r="B179" s="134" t="s">
        <v>3274</v>
      </c>
      <c r="C179" s="45" t="s">
        <v>122</v>
      </c>
      <c r="D179" s="45" t="s">
        <v>123</v>
      </c>
      <c r="E179" s="45" t="s">
        <v>124</v>
      </c>
      <c r="F179" s="71">
        <v>4132.2300000000005</v>
      </c>
      <c r="G179" s="71">
        <v>0</v>
      </c>
      <c r="H179" s="49">
        <v>0</v>
      </c>
      <c r="I179" s="49">
        <v>0</v>
      </c>
      <c r="J179" s="49">
        <v>867.77</v>
      </c>
      <c r="K179" s="49">
        <v>0</v>
      </c>
      <c r="L179" s="71">
        <v>0</v>
      </c>
      <c r="M179" s="71">
        <v>5000</v>
      </c>
    </row>
    <row r="180" spans="1:13">
      <c r="A180" s="43" t="s">
        <v>3269</v>
      </c>
      <c r="B180" s="134" t="s">
        <v>3275</v>
      </c>
      <c r="C180" s="45" t="s">
        <v>122</v>
      </c>
      <c r="D180" s="45" t="s">
        <v>123</v>
      </c>
      <c r="E180" s="45" t="s">
        <v>124</v>
      </c>
      <c r="F180" s="71">
        <v>8264.4600000000009</v>
      </c>
      <c r="G180" s="71">
        <v>0</v>
      </c>
      <c r="H180" s="49">
        <v>0</v>
      </c>
      <c r="I180" s="49">
        <v>0</v>
      </c>
      <c r="J180" s="49">
        <v>1735.54</v>
      </c>
      <c r="K180" s="49">
        <v>0</v>
      </c>
      <c r="L180" s="71">
        <v>0</v>
      </c>
      <c r="M180" s="71">
        <v>10000</v>
      </c>
    </row>
    <row r="181" spans="1:13">
      <c r="A181" s="43" t="s">
        <v>3269</v>
      </c>
      <c r="B181" s="134" t="s">
        <v>3276</v>
      </c>
      <c r="C181" s="45" t="s">
        <v>122</v>
      </c>
      <c r="D181" s="45" t="s">
        <v>123</v>
      </c>
      <c r="E181" s="45" t="s">
        <v>124</v>
      </c>
      <c r="F181" s="71">
        <v>7479.34</v>
      </c>
      <c r="G181" s="71">
        <v>0</v>
      </c>
      <c r="H181" s="49">
        <v>0</v>
      </c>
      <c r="I181" s="49">
        <v>0</v>
      </c>
      <c r="J181" s="49">
        <v>1570.66</v>
      </c>
      <c r="K181" s="49">
        <v>0</v>
      </c>
      <c r="L181" s="71">
        <v>0</v>
      </c>
      <c r="M181" s="71">
        <v>9050</v>
      </c>
    </row>
    <row r="182" spans="1:13">
      <c r="A182" s="43" t="s">
        <v>3269</v>
      </c>
      <c r="B182" s="134" t="s">
        <v>3277</v>
      </c>
      <c r="C182" s="45" t="s">
        <v>122</v>
      </c>
      <c r="D182" s="45" t="s">
        <v>123</v>
      </c>
      <c r="E182" s="45" t="s">
        <v>124</v>
      </c>
      <c r="F182" s="71">
        <v>9008.26</v>
      </c>
      <c r="G182" s="71">
        <v>0</v>
      </c>
      <c r="H182" s="49">
        <v>0</v>
      </c>
      <c r="I182" s="49">
        <v>0</v>
      </c>
      <c r="J182" s="49">
        <v>1891.74</v>
      </c>
      <c r="K182" s="49">
        <v>0</v>
      </c>
      <c r="L182" s="71">
        <v>0</v>
      </c>
      <c r="M182" s="71">
        <v>10900</v>
      </c>
    </row>
    <row r="183" spans="1:13">
      <c r="A183" s="43" t="s">
        <v>3269</v>
      </c>
      <c r="B183" s="134" t="s">
        <v>3278</v>
      </c>
      <c r="C183" s="45" t="s">
        <v>122</v>
      </c>
      <c r="D183" s="45" t="s">
        <v>123</v>
      </c>
      <c r="E183" s="45" t="s">
        <v>124</v>
      </c>
      <c r="F183" s="71">
        <v>9008.26</v>
      </c>
      <c r="G183" s="71">
        <v>0</v>
      </c>
      <c r="H183" s="49">
        <v>0</v>
      </c>
      <c r="I183" s="49">
        <v>0</v>
      </c>
      <c r="J183" s="49">
        <v>1891.74</v>
      </c>
      <c r="K183" s="49">
        <v>0</v>
      </c>
      <c r="L183" s="71">
        <v>0</v>
      </c>
      <c r="M183" s="71">
        <v>10900</v>
      </c>
    </row>
    <row r="184" spans="1:13">
      <c r="A184" s="43" t="s">
        <v>3269</v>
      </c>
      <c r="B184" s="134" t="s">
        <v>3279</v>
      </c>
      <c r="C184" s="45" t="s">
        <v>122</v>
      </c>
      <c r="D184" s="45" t="s">
        <v>123</v>
      </c>
      <c r="E184" s="45" t="s">
        <v>124</v>
      </c>
      <c r="F184" s="71">
        <v>9008.26</v>
      </c>
      <c r="G184" s="71">
        <v>0</v>
      </c>
      <c r="H184" s="49">
        <v>0</v>
      </c>
      <c r="I184" s="49">
        <v>0</v>
      </c>
      <c r="J184" s="49">
        <v>1891.74</v>
      </c>
      <c r="K184" s="49">
        <v>0</v>
      </c>
      <c r="L184" s="71">
        <v>0</v>
      </c>
      <c r="M184" s="71">
        <v>10900</v>
      </c>
    </row>
    <row r="185" spans="1:13">
      <c r="A185" s="43" t="s">
        <v>3269</v>
      </c>
      <c r="B185" s="134" t="s">
        <v>3280</v>
      </c>
      <c r="C185" s="45" t="s">
        <v>122</v>
      </c>
      <c r="D185" s="45" t="s">
        <v>123</v>
      </c>
      <c r="E185" s="45" t="s">
        <v>124</v>
      </c>
      <c r="F185" s="71">
        <v>10743.8</v>
      </c>
      <c r="G185" s="71">
        <v>0</v>
      </c>
      <c r="H185" s="49">
        <v>0</v>
      </c>
      <c r="I185" s="49">
        <v>0</v>
      </c>
      <c r="J185" s="49">
        <v>2256.1999999999998</v>
      </c>
      <c r="K185" s="49">
        <v>0</v>
      </c>
      <c r="L185" s="71">
        <v>0</v>
      </c>
      <c r="M185" s="71">
        <v>13000</v>
      </c>
    </row>
    <row r="186" spans="1:13">
      <c r="A186" s="43" t="s">
        <v>3269</v>
      </c>
      <c r="B186" s="134" t="s">
        <v>3281</v>
      </c>
      <c r="C186" s="45" t="s">
        <v>122</v>
      </c>
      <c r="D186" s="45" t="s">
        <v>123</v>
      </c>
      <c r="E186" s="45" t="s">
        <v>124</v>
      </c>
      <c r="F186" s="71">
        <v>6198.35</v>
      </c>
      <c r="G186" s="71">
        <v>0</v>
      </c>
      <c r="H186" s="49">
        <v>0</v>
      </c>
      <c r="I186" s="49">
        <v>0</v>
      </c>
      <c r="J186" s="49">
        <v>1301.6500000000001</v>
      </c>
      <c r="K186" s="49">
        <v>0</v>
      </c>
      <c r="L186" s="71">
        <v>0</v>
      </c>
      <c r="M186" s="71">
        <v>7500</v>
      </c>
    </row>
    <row r="187" spans="1:13">
      <c r="A187" s="43" t="s">
        <v>3269</v>
      </c>
      <c r="B187" s="134" t="s">
        <v>3282</v>
      </c>
      <c r="C187" s="45" t="s">
        <v>122</v>
      </c>
      <c r="D187" s="45" t="s">
        <v>123</v>
      </c>
      <c r="E187" s="45" t="s">
        <v>124</v>
      </c>
      <c r="F187" s="71">
        <v>5454.55</v>
      </c>
      <c r="G187" s="71">
        <v>0</v>
      </c>
      <c r="H187" s="49">
        <v>0</v>
      </c>
      <c r="I187" s="49">
        <v>0</v>
      </c>
      <c r="J187" s="49">
        <v>1145.45</v>
      </c>
      <c r="K187" s="49">
        <v>0</v>
      </c>
      <c r="L187" s="71">
        <v>0</v>
      </c>
      <c r="M187" s="71">
        <v>6600</v>
      </c>
    </row>
    <row r="188" spans="1:13">
      <c r="A188" s="43" t="s">
        <v>3291</v>
      </c>
      <c r="B188" s="134" t="s">
        <v>3293</v>
      </c>
      <c r="C188" s="45" t="s">
        <v>122</v>
      </c>
      <c r="D188" s="45" t="s">
        <v>123</v>
      </c>
      <c r="E188" s="45" t="s">
        <v>124</v>
      </c>
      <c r="F188" s="71">
        <v>15702.48</v>
      </c>
      <c r="G188" s="71">
        <v>0</v>
      </c>
      <c r="H188" s="49">
        <v>0</v>
      </c>
      <c r="I188" s="49">
        <v>0</v>
      </c>
      <c r="J188" s="49">
        <v>3297.52</v>
      </c>
      <c r="K188" s="49">
        <v>0</v>
      </c>
      <c r="L188" s="71">
        <v>0</v>
      </c>
      <c r="M188" s="71">
        <v>19000</v>
      </c>
    </row>
    <row r="189" spans="1:13">
      <c r="A189" s="43" t="s">
        <v>3291</v>
      </c>
      <c r="B189" s="134" t="s">
        <v>3294</v>
      </c>
      <c r="C189" s="45" t="s">
        <v>122</v>
      </c>
      <c r="D189" s="45" t="s">
        <v>123</v>
      </c>
      <c r="E189" s="45" t="s">
        <v>124</v>
      </c>
      <c r="F189" s="71">
        <v>19421.490000000002</v>
      </c>
      <c r="G189" s="71">
        <v>0</v>
      </c>
      <c r="H189" s="49">
        <v>0</v>
      </c>
      <c r="I189" s="49">
        <v>0</v>
      </c>
      <c r="J189" s="49">
        <v>4078.51</v>
      </c>
      <c r="K189" s="49">
        <v>0</v>
      </c>
      <c r="L189" s="71">
        <v>0</v>
      </c>
      <c r="M189" s="71">
        <v>23500</v>
      </c>
    </row>
    <row r="190" spans="1:13">
      <c r="A190" s="43" t="s">
        <v>3291</v>
      </c>
      <c r="B190" s="134" t="s">
        <v>3295</v>
      </c>
      <c r="C190" s="45" t="s">
        <v>122</v>
      </c>
      <c r="D190" s="45" t="s">
        <v>123</v>
      </c>
      <c r="E190" s="45" t="s">
        <v>124</v>
      </c>
      <c r="F190" s="71">
        <v>12396.69</v>
      </c>
      <c r="G190" s="71">
        <v>0</v>
      </c>
      <c r="H190" s="49">
        <v>0</v>
      </c>
      <c r="I190" s="49">
        <v>0</v>
      </c>
      <c r="J190" s="49">
        <v>2603.31</v>
      </c>
      <c r="K190" s="49">
        <v>0</v>
      </c>
      <c r="L190" s="71">
        <v>0</v>
      </c>
      <c r="M190" s="71">
        <v>15000</v>
      </c>
    </row>
    <row r="191" spans="1:13">
      <c r="A191" s="43" t="s">
        <v>3291</v>
      </c>
      <c r="B191" s="134" t="s">
        <v>3296</v>
      </c>
      <c r="C191" s="45" t="s">
        <v>122</v>
      </c>
      <c r="D191" s="45" t="s">
        <v>123</v>
      </c>
      <c r="E191" s="45" t="s">
        <v>124</v>
      </c>
      <c r="F191" s="71">
        <v>13636.36</v>
      </c>
      <c r="G191" s="71">
        <v>0</v>
      </c>
      <c r="H191" s="49">
        <v>0</v>
      </c>
      <c r="I191" s="49">
        <v>0</v>
      </c>
      <c r="J191" s="49">
        <v>2863.64</v>
      </c>
      <c r="K191" s="49">
        <v>0</v>
      </c>
      <c r="L191" s="71">
        <v>0</v>
      </c>
      <c r="M191" s="71">
        <v>16500</v>
      </c>
    </row>
    <row r="192" spans="1:13">
      <c r="A192" s="43" t="s">
        <v>3291</v>
      </c>
      <c r="B192" s="134" t="s">
        <v>3297</v>
      </c>
      <c r="C192" s="45" t="s">
        <v>122</v>
      </c>
      <c r="D192" s="45" t="s">
        <v>123</v>
      </c>
      <c r="E192" s="45" t="s">
        <v>124</v>
      </c>
      <c r="F192" s="71">
        <v>11983.47</v>
      </c>
      <c r="G192" s="71">
        <v>0</v>
      </c>
      <c r="H192" s="49">
        <v>0</v>
      </c>
      <c r="I192" s="49">
        <v>0</v>
      </c>
      <c r="J192" s="49">
        <v>2516.5300000000002</v>
      </c>
      <c r="K192" s="49">
        <v>0</v>
      </c>
      <c r="L192" s="71">
        <v>0</v>
      </c>
      <c r="M192" s="71">
        <v>14500</v>
      </c>
    </row>
    <row r="193" spans="1:13">
      <c r="A193" s="43" t="s">
        <v>3291</v>
      </c>
      <c r="B193" s="134" t="s">
        <v>3298</v>
      </c>
      <c r="C193" s="45" t="s">
        <v>122</v>
      </c>
      <c r="D193" s="45" t="s">
        <v>123</v>
      </c>
      <c r="E193" s="45" t="s">
        <v>124</v>
      </c>
      <c r="F193" s="71">
        <v>2727.27</v>
      </c>
      <c r="G193" s="71">
        <v>0</v>
      </c>
      <c r="H193" s="49">
        <v>0</v>
      </c>
      <c r="I193" s="49">
        <v>0</v>
      </c>
      <c r="J193" s="49">
        <v>572.73</v>
      </c>
      <c r="K193" s="49">
        <v>0</v>
      </c>
      <c r="L193" s="71">
        <v>0</v>
      </c>
      <c r="M193" s="71">
        <v>3300</v>
      </c>
    </row>
    <row r="194" spans="1:13">
      <c r="A194" s="43" t="s">
        <v>3291</v>
      </c>
      <c r="B194" s="134" t="s">
        <v>3299</v>
      </c>
      <c r="C194" s="45" t="s">
        <v>122</v>
      </c>
      <c r="D194" s="45" t="s">
        <v>123</v>
      </c>
      <c r="E194" s="45" t="s">
        <v>124</v>
      </c>
      <c r="F194" s="71">
        <v>16115.7</v>
      </c>
      <c r="G194" s="71">
        <v>0</v>
      </c>
      <c r="H194" s="49">
        <v>0</v>
      </c>
      <c r="I194" s="49">
        <v>0</v>
      </c>
      <c r="J194" s="49">
        <v>3384.3</v>
      </c>
      <c r="K194" s="49">
        <v>0</v>
      </c>
      <c r="L194" s="71">
        <v>0</v>
      </c>
      <c r="M194" s="71">
        <v>19500</v>
      </c>
    </row>
    <row r="195" spans="1:13">
      <c r="A195" s="43" t="s">
        <v>3291</v>
      </c>
      <c r="B195" s="134" t="s">
        <v>3300</v>
      </c>
      <c r="C195" s="45" t="s">
        <v>122</v>
      </c>
      <c r="D195" s="45" t="s">
        <v>123</v>
      </c>
      <c r="E195" s="45" t="s">
        <v>124</v>
      </c>
      <c r="F195" s="71">
        <v>16528.93</v>
      </c>
      <c r="G195" s="71">
        <v>0</v>
      </c>
      <c r="H195" s="49">
        <v>0</v>
      </c>
      <c r="I195" s="49">
        <v>0</v>
      </c>
      <c r="J195" s="49">
        <v>3471.07</v>
      </c>
      <c r="K195" s="49">
        <v>0</v>
      </c>
      <c r="L195" s="71">
        <v>0</v>
      </c>
      <c r="M195" s="71">
        <v>20000</v>
      </c>
    </row>
    <row r="196" spans="1:13">
      <c r="A196" s="43" t="s">
        <v>3291</v>
      </c>
      <c r="B196" s="134" t="s">
        <v>3301</v>
      </c>
      <c r="C196" s="45" t="s">
        <v>122</v>
      </c>
      <c r="D196" s="45" t="s">
        <v>123</v>
      </c>
      <c r="E196" s="45" t="s">
        <v>124</v>
      </c>
      <c r="F196" s="71">
        <v>7479.34</v>
      </c>
      <c r="G196" s="71">
        <v>0</v>
      </c>
      <c r="H196" s="49">
        <v>0</v>
      </c>
      <c r="I196" s="49">
        <v>0</v>
      </c>
      <c r="J196" s="49">
        <v>1570.66</v>
      </c>
      <c r="K196" s="49">
        <v>0</v>
      </c>
      <c r="L196" s="71">
        <v>0</v>
      </c>
      <c r="M196" s="71">
        <v>9050</v>
      </c>
    </row>
    <row r="197" spans="1:13">
      <c r="A197" s="43" t="s">
        <v>3291</v>
      </c>
      <c r="B197" s="134" t="s">
        <v>3302</v>
      </c>
      <c r="C197" s="45" t="s">
        <v>122</v>
      </c>
      <c r="D197" s="45" t="s">
        <v>123</v>
      </c>
      <c r="E197" s="45" t="s">
        <v>124</v>
      </c>
      <c r="F197" s="71">
        <v>5123.97</v>
      </c>
      <c r="G197" s="71">
        <v>0</v>
      </c>
      <c r="H197" s="49">
        <v>0</v>
      </c>
      <c r="I197" s="49">
        <v>0</v>
      </c>
      <c r="J197" s="49">
        <v>1076.03</v>
      </c>
      <c r="K197" s="49">
        <v>0</v>
      </c>
      <c r="L197" s="71">
        <v>0</v>
      </c>
      <c r="M197" s="71">
        <v>6200</v>
      </c>
    </row>
    <row r="198" spans="1:13">
      <c r="A198" s="43" t="s">
        <v>3291</v>
      </c>
      <c r="B198" s="134" t="s">
        <v>3303</v>
      </c>
      <c r="C198" s="45" t="s">
        <v>122</v>
      </c>
      <c r="D198" s="45" t="s">
        <v>123</v>
      </c>
      <c r="E198" s="45" t="s">
        <v>124</v>
      </c>
      <c r="F198" s="71">
        <v>15702.48</v>
      </c>
      <c r="G198" s="71">
        <v>0</v>
      </c>
      <c r="H198" s="49">
        <v>0</v>
      </c>
      <c r="I198" s="49">
        <v>0</v>
      </c>
      <c r="J198" s="49">
        <v>3297.52</v>
      </c>
      <c r="K198" s="49">
        <v>0</v>
      </c>
      <c r="L198" s="71">
        <v>0</v>
      </c>
      <c r="M198" s="71">
        <v>19000</v>
      </c>
    </row>
    <row r="199" spans="1:13">
      <c r="A199" s="43" t="s">
        <v>3291</v>
      </c>
      <c r="B199" s="134" t="s">
        <v>3304</v>
      </c>
      <c r="C199" s="45" t="s">
        <v>122</v>
      </c>
      <c r="D199" s="45" t="s">
        <v>123</v>
      </c>
      <c r="E199" s="45" t="s">
        <v>124</v>
      </c>
      <c r="F199" s="71">
        <v>16942.150000000001</v>
      </c>
      <c r="G199" s="71">
        <v>0</v>
      </c>
      <c r="H199" s="49">
        <v>0</v>
      </c>
      <c r="I199" s="49">
        <v>0</v>
      </c>
      <c r="J199" s="49">
        <v>3557.85</v>
      </c>
      <c r="K199" s="49">
        <v>0</v>
      </c>
      <c r="L199" s="71">
        <v>0</v>
      </c>
      <c r="M199" s="71">
        <v>20500</v>
      </c>
    </row>
    <row r="200" spans="1:13">
      <c r="A200" s="43" t="s">
        <v>3315</v>
      </c>
      <c r="B200" s="134" t="s">
        <v>3316</v>
      </c>
      <c r="C200" s="45" t="s">
        <v>122</v>
      </c>
      <c r="D200" s="45" t="s">
        <v>123</v>
      </c>
      <c r="E200" s="45" t="s">
        <v>124</v>
      </c>
      <c r="F200" s="71">
        <v>15702.48</v>
      </c>
      <c r="G200" s="71">
        <v>0</v>
      </c>
      <c r="H200" s="49">
        <v>0</v>
      </c>
      <c r="I200" s="49">
        <v>0</v>
      </c>
      <c r="J200" s="49">
        <v>3297.52</v>
      </c>
      <c r="K200" s="49">
        <v>0</v>
      </c>
      <c r="L200" s="71">
        <v>0</v>
      </c>
      <c r="M200" s="71">
        <v>19000</v>
      </c>
    </row>
    <row r="201" spans="1:13">
      <c r="A201" s="43" t="s">
        <v>3315</v>
      </c>
      <c r="B201" s="134" t="s">
        <v>3317</v>
      </c>
      <c r="C201" s="45" t="s">
        <v>122</v>
      </c>
      <c r="D201" s="45" t="s">
        <v>123</v>
      </c>
      <c r="E201" s="45" t="s">
        <v>124</v>
      </c>
      <c r="F201" s="71">
        <v>5495.87</v>
      </c>
      <c r="G201" s="71">
        <v>0</v>
      </c>
      <c r="H201" s="49">
        <v>0</v>
      </c>
      <c r="I201" s="49">
        <v>0</v>
      </c>
      <c r="J201" s="49">
        <v>1154.1300000000001</v>
      </c>
      <c r="K201" s="49">
        <v>0</v>
      </c>
      <c r="L201" s="71">
        <v>0</v>
      </c>
      <c r="M201" s="71">
        <v>6650</v>
      </c>
    </row>
    <row r="202" spans="1:13">
      <c r="A202" s="43" t="s">
        <v>3315</v>
      </c>
      <c r="B202" s="134" t="s">
        <v>3318</v>
      </c>
      <c r="C202" s="45" t="s">
        <v>122</v>
      </c>
      <c r="D202" s="45" t="s">
        <v>123</v>
      </c>
      <c r="E202" s="45" t="s">
        <v>124</v>
      </c>
      <c r="F202" s="71">
        <v>4876.03</v>
      </c>
      <c r="G202" s="71">
        <v>0</v>
      </c>
      <c r="H202" s="49">
        <v>0</v>
      </c>
      <c r="I202" s="49">
        <v>0</v>
      </c>
      <c r="J202" s="49">
        <v>1023.97</v>
      </c>
      <c r="K202" s="49">
        <v>0</v>
      </c>
      <c r="L202" s="71">
        <v>0</v>
      </c>
      <c r="M202" s="71">
        <v>5900</v>
      </c>
    </row>
    <row r="203" spans="1:13">
      <c r="A203" s="43" t="s">
        <v>3315</v>
      </c>
      <c r="B203" s="134" t="s">
        <v>3319</v>
      </c>
      <c r="C203" s="45" t="s">
        <v>122</v>
      </c>
      <c r="D203" s="45" t="s">
        <v>123</v>
      </c>
      <c r="E203" s="45" t="s">
        <v>124</v>
      </c>
      <c r="F203" s="71">
        <v>1818.18</v>
      </c>
      <c r="G203" s="71">
        <v>0</v>
      </c>
      <c r="H203" s="49">
        <v>0</v>
      </c>
      <c r="I203" s="49">
        <v>0</v>
      </c>
      <c r="J203" s="49">
        <v>381.82</v>
      </c>
      <c r="K203" s="49">
        <v>0</v>
      </c>
      <c r="L203" s="71">
        <v>0</v>
      </c>
      <c r="M203" s="71">
        <v>2200</v>
      </c>
    </row>
    <row r="204" spans="1:13">
      <c r="A204" s="43" t="s">
        <v>3315</v>
      </c>
      <c r="B204" s="134" t="s">
        <v>3320</v>
      </c>
      <c r="C204" s="45" t="s">
        <v>122</v>
      </c>
      <c r="D204" s="45" t="s">
        <v>123</v>
      </c>
      <c r="E204" s="45" t="s">
        <v>124</v>
      </c>
      <c r="F204" s="71">
        <v>16528.93</v>
      </c>
      <c r="G204" s="71">
        <v>0</v>
      </c>
      <c r="H204" s="49">
        <v>0</v>
      </c>
      <c r="I204" s="49">
        <v>0</v>
      </c>
      <c r="J204" s="49">
        <v>3471.07</v>
      </c>
      <c r="K204" s="49">
        <v>0</v>
      </c>
      <c r="L204" s="71">
        <v>0</v>
      </c>
      <c r="M204" s="71">
        <v>20000</v>
      </c>
    </row>
    <row r="205" spans="1:13">
      <c r="A205" s="43" t="s">
        <v>3315</v>
      </c>
      <c r="B205" s="134" t="s">
        <v>3321</v>
      </c>
      <c r="C205" s="45" t="s">
        <v>122</v>
      </c>
      <c r="D205" s="45" t="s">
        <v>123</v>
      </c>
      <c r="E205" s="45" t="s">
        <v>124</v>
      </c>
      <c r="F205" s="71">
        <v>1900.83</v>
      </c>
      <c r="G205" s="71">
        <v>0</v>
      </c>
      <c r="H205" s="49">
        <v>0</v>
      </c>
      <c r="I205" s="49">
        <v>0</v>
      </c>
      <c r="J205" s="49">
        <v>399.17</v>
      </c>
      <c r="K205" s="49">
        <v>0</v>
      </c>
      <c r="L205" s="71">
        <v>0</v>
      </c>
      <c r="M205" s="71">
        <v>2300</v>
      </c>
    </row>
    <row r="206" spans="1:13">
      <c r="A206" s="43" t="s">
        <v>3315</v>
      </c>
      <c r="B206" s="134" t="s">
        <v>3322</v>
      </c>
      <c r="C206" s="45" t="s">
        <v>122</v>
      </c>
      <c r="D206" s="45" t="s">
        <v>123</v>
      </c>
      <c r="E206" s="45" t="s">
        <v>124</v>
      </c>
      <c r="F206" s="71">
        <v>8264.4600000000009</v>
      </c>
      <c r="G206" s="71">
        <v>0</v>
      </c>
      <c r="H206" s="49">
        <v>0</v>
      </c>
      <c r="I206" s="49">
        <v>0</v>
      </c>
      <c r="J206" s="49">
        <v>1735.54</v>
      </c>
      <c r="K206" s="49">
        <v>0</v>
      </c>
      <c r="L206" s="71">
        <v>0</v>
      </c>
      <c r="M206" s="71">
        <v>10000</v>
      </c>
    </row>
    <row r="207" spans="1:13">
      <c r="A207" s="43" t="s">
        <v>3315</v>
      </c>
      <c r="B207" s="134" t="s">
        <v>3323</v>
      </c>
      <c r="C207" s="45" t="s">
        <v>122</v>
      </c>
      <c r="D207" s="45" t="s">
        <v>123</v>
      </c>
      <c r="E207" s="45" t="s">
        <v>124</v>
      </c>
      <c r="F207" s="71">
        <v>7438.02</v>
      </c>
      <c r="G207" s="71">
        <v>0</v>
      </c>
      <c r="H207" s="49">
        <v>0</v>
      </c>
      <c r="I207" s="49">
        <v>0</v>
      </c>
      <c r="J207" s="49">
        <v>1561.98</v>
      </c>
      <c r="K207" s="49">
        <v>0</v>
      </c>
      <c r="L207" s="71">
        <v>0</v>
      </c>
      <c r="M207" s="71">
        <v>9000</v>
      </c>
    </row>
    <row r="208" spans="1:13">
      <c r="A208" s="43" t="s">
        <v>3315</v>
      </c>
      <c r="B208" s="134" t="s">
        <v>3324</v>
      </c>
      <c r="C208" s="45" t="s">
        <v>122</v>
      </c>
      <c r="D208" s="45" t="s">
        <v>123</v>
      </c>
      <c r="E208" s="45" t="s">
        <v>124</v>
      </c>
      <c r="F208" s="71">
        <v>9008.26</v>
      </c>
      <c r="G208" s="71">
        <v>0</v>
      </c>
      <c r="H208" s="49">
        <v>0</v>
      </c>
      <c r="I208" s="49">
        <v>0</v>
      </c>
      <c r="J208" s="49">
        <v>1891.74</v>
      </c>
      <c r="K208" s="49">
        <v>0</v>
      </c>
      <c r="L208" s="71">
        <v>0</v>
      </c>
      <c r="M208" s="71">
        <v>10900</v>
      </c>
    </row>
    <row r="209" spans="1:13">
      <c r="A209" s="43" t="s">
        <v>3315</v>
      </c>
      <c r="B209" s="134" t="s">
        <v>3325</v>
      </c>
      <c r="C209" s="45" t="s">
        <v>122</v>
      </c>
      <c r="D209" s="45" t="s">
        <v>123</v>
      </c>
      <c r="E209" s="45" t="s">
        <v>124</v>
      </c>
      <c r="F209" s="71">
        <v>8264.4600000000009</v>
      </c>
      <c r="G209" s="71">
        <v>0</v>
      </c>
      <c r="H209" s="49">
        <v>0</v>
      </c>
      <c r="I209" s="49">
        <v>0</v>
      </c>
      <c r="J209" s="49">
        <v>1735.54</v>
      </c>
      <c r="K209" s="49">
        <v>0</v>
      </c>
      <c r="L209" s="71">
        <v>0</v>
      </c>
      <c r="M209" s="71">
        <v>10000</v>
      </c>
    </row>
    <row r="210" spans="1:13">
      <c r="A210" s="43" t="s">
        <v>3315</v>
      </c>
      <c r="B210" s="134" t="s">
        <v>3326</v>
      </c>
      <c r="C210" s="45" t="s">
        <v>122</v>
      </c>
      <c r="D210" s="45" t="s">
        <v>123</v>
      </c>
      <c r="E210" s="45" t="s">
        <v>124</v>
      </c>
      <c r="F210" s="71">
        <v>4132.2300000000005</v>
      </c>
      <c r="G210" s="71">
        <v>0</v>
      </c>
      <c r="H210" s="49">
        <v>0</v>
      </c>
      <c r="I210" s="49">
        <v>0</v>
      </c>
      <c r="J210" s="49">
        <v>867.77</v>
      </c>
      <c r="K210" s="49">
        <v>0</v>
      </c>
      <c r="L210" s="71">
        <v>0</v>
      </c>
      <c r="M210" s="71">
        <v>5000</v>
      </c>
    </row>
    <row r="211" spans="1:13">
      <c r="A211" s="43" t="s">
        <v>3315</v>
      </c>
      <c r="B211" s="134" t="s">
        <v>3327</v>
      </c>
      <c r="C211" s="45" t="s">
        <v>122</v>
      </c>
      <c r="D211" s="45" t="s">
        <v>123</v>
      </c>
      <c r="E211" s="45" t="s">
        <v>124</v>
      </c>
      <c r="F211" s="71">
        <v>4876.03</v>
      </c>
      <c r="G211" s="71">
        <v>0</v>
      </c>
      <c r="H211" s="49">
        <v>0</v>
      </c>
      <c r="I211" s="49">
        <v>0</v>
      </c>
      <c r="J211" s="49">
        <v>1023.97</v>
      </c>
      <c r="K211" s="49">
        <v>0</v>
      </c>
      <c r="L211" s="71">
        <v>0</v>
      </c>
      <c r="M211" s="71">
        <v>5900</v>
      </c>
    </row>
    <row r="212" spans="1:13">
      <c r="A212" s="43" t="s">
        <v>3315</v>
      </c>
      <c r="B212" s="134" t="s">
        <v>3328</v>
      </c>
      <c r="C212" s="45" t="s">
        <v>122</v>
      </c>
      <c r="D212" s="45" t="s">
        <v>123</v>
      </c>
      <c r="E212" s="45" t="s">
        <v>124</v>
      </c>
      <c r="F212" s="71">
        <v>19834.71</v>
      </c>
      <c r="G212" s="71">
        <v>0</v>
      </c>
      <c r="H212" s="49">
        <v>0</v>
      </c>
      <c r="I212" s="49">
        <v>0</v>
      </c>
      <c r="J212" s="49">
        <v>4165.29</v>
      </c>
      <c r="K212" s="49">
        <v>0</v>
      </c>
      <c r="L212" s="71">
        <v>0</v>
      </c>
      <c r="M212" s="71">
        <v>24000</v>
      </c>
    </row>
    <row r="213" spans="1:13">
      <c r="A213" s="43" t="s">
        <v>3315</v>
      </c>
      <c r="B213" s="134" t="s">
        <v>3329</v>
      </c>
      <c r="C213" s="45" t="s">
        <v>122</v>
      </c>
      <c r="D213" s="45" t="s">
        <v>123</v>
      </c>
      <c r="E213" s="45" t="s">
        <v>124</v>
      </c>
      <c r="F213" s="71">
        <v>5123.97</v>
      </c>
      <c r="G213" s="71">
        <v>0</v>
      </c>
      <c r="H213" s="49">
        <v>0</v>
      </c>
      <c r="I213" s="49">
        <v>0</v>
      </c>
      <c r="J213" s="49">
        <v>1076.03</v>
      </c>
      <c r="K213" s="49">
        <v>0</v>
      </c>
      <c r="L213" s="71">
        <v>0</v>
      </c>
      <c r="M213" s="71">
        <v>6200</v>
      </c>
    </row>
    <row r="214" spans="1:13">
      <c r="A214" s="43" t="s">
        <v>3315</v>
      </c>
      <c r="B214" s="134" t="s">
        <v>3330</v>
      </c>
      <c r="C214" s="45" t="s">
        <v>122</v>
      </c>
      <c r="D214" s="45" t="s">
        <v>123</v>
      </c>
      <c r="E214" s="45" t="s">
        <v>124</v>
      </c>
      <c r="F214" s="71">
        <v>16074.38</v>
      </c>
      <c r="G214" s="71">
        <v>0</v>
      </c>
      <c r="H214" s="49">
        <v>0</v>
      </c>
      <c r="I214" s="49">
        <v>0</v>
      </c>
      <c r="J214" s="49">
        <v>3375.62</v>
      </c>
      <c r="K214" s="49">
        <v>0</v>
      </c>
      <c r="L214" s="71">
        <v>0</v>
      </c>
      <c r="M214" s="71">
        <v>19450</v>
      </c>
    </row>
    <row r="215" spans="1:13">
      <c r="A215" s="43" t="s">
        <v>3340</v>
      </c>
      <c r="B215" s="134" t="s">
        <v>3341</v>
      </c>
      <c r="C215" s="45" t="s">
        <v>122</v>
      </c>
      <c r="D215" s="45" t="s">
        <v>123</v>
      </c>
      <c r="E215" s="45" t="s">
        <v>124</v>
      </c>
      <c r="F215" s="71">
        <v>12685.95</v>
      </c>
      <c r="G215" s="71">
        <v>0</v>
      </c>
      <c r="H215" s="49">
        <v>0</v>
      </c>
      <c r="I215" s="49">
        <v>0</v>
      </c>
      <c r="J215" s="49">
        <v>2664.05</v>
      </c>
      <c r="K215" s="49">
        <v>0</v>
      </c>
      <c r="L215" s="71">
        <v>0</v>
      </c>
      <c r="M215" s="71">
        <v>15350</v>
      </c>
    </row>
    <row r="216" spans="1:13">
      <c r="A216" s="43" t="s">
        <v>3340</v>
      </c>
      <c r="B216" s="134" t="s">
        <v>3342</v>
      </c>
      <c r="C216" s="45" t="s">
        <v>122</v>
      </c>
      <c r="D216" s="45" t="s">
        <v>123</v>
      </c>
      <c r="E216" s="45" t="s">
        <v>124</v>
      </c>
      <c r="F216" s="71">
        <v>13760.33</v>
      </c>
      <c r="G216" s="71">
        <v>0</v>
      </c>
      <c r="H216" s="49">
        <v>0</v>
      </c>
      <c r="I216" s="49">
        <v>0</v>
      </c>
      <c r="J216" s="49">
        <v>2889.67</v>
      </c>
      <c r="K216" s="49">
        <v>0</v>
      </c>
      <c r="L216" s="71">
        <v>0</v>
      </c>
      <c r="M216" s="71">
        <v>16650</v>
      </c>
    </row>
    <row r="217" spans="1:13">
      <c r="A217" s="43" t="s">
        <v>3340</v>
      </c>
      <c r="B217" s="134" t="s">
        <v>3343</v>
      </c>
      <c r="C217" s="45" t="s">
        <v>122</v>
      </c>
      <c r="D217" s="45" t="s">
        <v>123</v>
      </c>
      <c r="E217" s="45" t="s">
        <v>124</v>
      </c>
      <c r="F217" s="71">
        <v>7438.02</v>
      </c>
      <c r="G217" s="71">
        <v>0</v>
      </c>
      <c r="H217" s="49">
        <v>0</v>
      </c>
      <c r="I217" s="49">
        <v>0</v>
      </c>
      <c r="J217" s="49">
        <v>1561.98</v>
      </c>
      <c r="K217" s="49">
        <v>0</v>
      </c>
      <c r="L217" s="71">
        <v>0</v>
      </c>
      <c r="M217" s="71">
        <v>9000</v>
      </c>
    </row>
    <row r="218" spans="1:13">
      <c r="A218" s="43" t="s">
        <v>3340</v>
      </c>
      <c r="B218" s="134" t="s">
        <v>3344</v>
      </c>
      <c r="C218" s="45" t="s">
        <v>122</v>
      </c>
      <c r="D218" s="45" t="s">
        <v>123</v>
      </c>
      <c r="E218" s="45" t="s">
        <v>124</v>
      </c>
      <c r="F218" s="71">
        <v>5619.83</v>
      </c>
      <c r="G218" s="71">
        <v>0</v>
      </c>
      <c r="H218" s="49">
        <v>0</v>
      </c>
      <c r="I218" s="49">
        <v>0</v>
      </c>
      <c r="J218" s="49">
        <v>1180.17</v>
      </c>
      <c r="K218" s="49">
        <v>0</v>
      </c>
      <c r="L218" s="71">
        <v>0</v>
      </c>
      <c r="M218" s="71">
        <v>6800</v>
      </c>
    </row>
    <row r="219" spans="1:13">
      <c r="A219" s="43" t="s">
        <v>3340</v>
      </c>
      <c r="B219" s="134" t="s">
        <v>3345</v>
      </c>
      <c r="C219" s="45" t="s">
        <v>122</v>
      </c>
      <c r="D219" s="45" t="s">
        <v>123</v>
      </c>
      <c r="E219" s="45" t="s">
        <v>124</v>
      </c>
      <c r="F219" s="71">
        <v>2479.34</v>
      </c>
      <c r="G219" s="71">
        <v>0</v>
      </c>
      <c r="H219" s="49">
        <v>0</v>
      </c>
      <c r="I219" s="49">
        <v>0</v>
      </c>
      <c r="J219" s="49">
        <v>520.66</v>
      </c>
      <c r="K219" s="49">
        <v>0</v>
      </c>
      <c r="L219" s="71">
        <v>0</v>
      </c>
      <c r="M219" s="71">
        <v>3000</v>
      </c>
    </row>
    <row r="220" spans="1:13">
      <c r="A220" s="43" t="s">
        <v>3340</v>
      </c>
      <c r="B220" s="134" t="s">
        <v>3346</v>
      </c>
      <c r="C220" s="45" t="s">
        <v>122</v>
      </c>
      <c r="D220" s="45" t="s">
        <v>123</v>
      </c>
      <c r="E220" s="45" t="s">
        <v>124</v>
      </c>
      <c r="F220" s="71">
        <v>9504.130000000001</v>
      </c>
      <c r="G220" s="71">
        <v>0</v>
      </c>
      <c r="H220" s="49">
        <v>0</v>
      </c>
      <c r="I220" s="49">
        <v>0</v>
      </c>
      <c r="J220" s="49">
        <v>1995.87</v>
      </c>
      <c r="K220" s="49">
        <v>0</v>
      </c>
      <c r="L220" s="71">
        <v>0</v>
      </c>
      <c r="M220" s="71">
        <v>11500</v>
      </c>
    </row>
    <row r="221" spans="1:13">
      <c r="A221" s="43" t="s">
        <v>3340</v>
      </c>
      <c r="B221" s="134" t="s">
        <v>3347</v>
      </c>
      <c r="C221" s="45" t="s">
        <v>122</v>
      </c>
      <c r="D221" s="45" t="s">
        <v>123</v>
      </c>
      <c r="E221" s="45" t="s">
        <v>124</v>
      </c>
      <c r="F221" s="71">
        <v>9504.130000000001</v>
      </c>
      <c r="G221" s="71">
        <v>0</v>
      </c>
      <c r="H221" s="49">
        <v>0</v>
      </c>
      <c r="I221" s="49">
        <v>0</v>
      </c>
      <c r="J221" s="49">
        <v>1995.87</v>
      </c>
      <c r="K221" s="49">
        <v>0</v>
      </c>
      <c r="L221" s="71">
        <v>0</v>
      </c>
      <c r="M221" s="71">
        <v>11500</v>
      </c>
    </row>
    <row r="222" spans="1:13">
      <c r="A222" s="43" t="s">
        <v>3340</v>
      </c>
      <c r="B222" s="134" t="s">
        <v>3348</v>
      </c>
      <c r="C222" s="45" t="s">
        <v>122</v>
      </c>
      <c r="D222" s="45" t="s">
        <v>123</v>
      </c>
      <c r="E222" s="45" t="s">
        <v>124</v>
      </c>
      <c r="F222" s="71">
        <v>4876.03</v>
      </c>
      <c r="G222" s="71">
        <v>0</v>
      </c>
      <c r="H222" s="49">
        <v>0</v>
      </c>
      <c r="I222" s="49">
        <v>0</v>
      </c>
      <c r="J222" s="49">
        <v>1023.97</v>
      </c>
      <c r="K222" s="49">
        <v>0</v>
      </c>
      <c r="L222" s="71">
        <v>0</v>
      </c>
      <c r="M222" s="71">
        <v>5900</v>
      </c>
    </row>
    <row r="223" spans="1:13">
      <c r="A223" s="43" t="s">
        <v>3340</v>
      </c>
      <c r="B223" s="134" t="s">
        <v>3349</v>
      </c>
      <c r="C223" s="45" t="s">
        <v>122</v>
      </c>
      <c r="D223" s="45" t="s">
        <v>123</v>
      </c>
      <c r="E223" s="45" t="s">
        <v>124</v>
      </c>
      <c r="F223" s="71">
        <v>1818.18</v>
      </c>
      <c r="G223" s="71">
        <v>0</v>
      </c>
      <c r="H223" s="49">
        <v>0</v>
      </c>
      <c r="I223" s="49">
        <v>0</v>
      </c>
      <c r="J223" s="49">
        <v>381.82</v>
      </c>
      <c r="K223" s="49">
        <v>0</v>
      </c>
      <c r="L223" s="71">
        <v>0</v>
      </c>
      <c r="M223" s="71">
        <v>2200</v>
      </c>
    </row>
    <row r="224" spans="1:13">
      <c r="A224" s="43" t="s">
        <v>3340</v>
      </c>
      <c r="B224" s="134" t="s">
        <v>3350</v>
      </c>
      <c r="C224" s="45" t="s">
        <v>122</v>
      </c>
      <c r="D224" s="45" t="s">
        <v>123</v>
      </c>
      <c r="E224" s="45" t="s">
        <v>124</v>
      </c>
      <c r="F224" s="71">
        <v>3347.11</v>
      </c>
      <c r="G224" s="71">
        <v>0</v>
      </c>
      <c r="H224" s="49">
        <v>0</v>
      </c>
      <c r="I224" s="49">
        <v>0</v>
      </c>
      <c r="J224" s="49">
        <v>702.89</v>
      </c>
      <c r="K224" s="49">
        <v>0</v>
      </c>
      <c r="L224" s="71">
        <v>0</v>
      </c>
      <c r="M224" s="71">
        <v>4050</v>
      </c>
    </row>
    <row r="225" spans="1:13">
      <c r="A225" s="43" t="s">
        <v>3340</v>
      </c>
      <c r="B225" s="134" t="s">
        <v>3351</v>
      </c>
      <c r="C225" s="45" t="s">
        <v>122</v>
      </c>
      <c r="D225" s="45" t="s">
        <v>123</v>
      </c>
      <c r="E225" s="45" t="s">
        <v>124</v>
      </c>
      <c r="F225" s="71">
        <v>10743.8</v>
      </c>
      <c r="G225" s="71">
        <v>0</v>
      </c>
      <c r="H225" s="49">
        <v>0</v>
      </c>
      <c r="I225" s="49">
        <v>0</v>
      </c>
      <c r="J225" s="49">
        <v>2256.1999999999998</v>
      </c>
      <c r="K225" s="49">
        <v>0</v>
      </c>
      <c r="L225" s="71">
        <v>0</v>
      </c>
      <c r="M225" s="71">
        <v>13000</v>
      </c>
    </row>
    <row r="226" spans="1:13">
      <c r="A226" s="43" t="s">
        <v>3340</v>
      </c>
      <c r="B226" s="134" t="s">
        <v>3352</v>
      </c>
      <c r="C226" s="45" t="s">
        <v>122</v>
      </c>
      <c r="D226" s="45" t="s">
        <v>123</v>
      </c>
      <c r="E226" s="45" t="s">
        <v>124</v>
      </c>
      <c r="F226" s="71">
        <v>4132.2300000000005</v>
      </c>
      <c r="G226" s="71">
        <v>0</v>
      </c>
      <c r="H226" s="49">
        <v>0</v>
      </c>
      <c r="I226" s="49">
        <v>0</v>
      </c>
      <c r="J226" s="49">
        <v>867.77</v>
      </c>
      <c r="K226" s="49">
        <v>0</v>
      </c>
      <c r="L226" s="71">
        <v>0</v>
      </c>
      <c r="M226" s="71">
        <v>5000</v>
      </c>
    </row>
    <row r="227" spans="1:13">
      <c r="A227" s="43" t="s">
        <v>3340</v>
      </c>
      <c r="B227" s="134" t="s">
        <v>3353</v>
      </c>
      <c r="C227" s="45" t="s">
        <v>122</v>
      </c>
      <c r="D227" s="45" t="s">
        <v>123</v>
      </c>
      <c r="E227" s="45" t="s">
        <v>124</v>
      </c>
      <c r="F227" s="71">
        <v>5537.19</v>
      </c>
      <c r="G227" s="71">
        <v>0</v>
      </c>
      <c r="H227" s="49">
        <v>0</v>
      </c>
      <c r="I227" s="49">
        <v>0</v>
      </c>
      <c r="J227" s="49">
        <v>1162.81</v>
      </c>
      <c r="K227" s="49">
        <v>0</v>
      </c>
      <c r="L227" s="71">
        <v>0</v>
      </c>
      <c r="M227" s="71">
        <v>6700</v>
      </c>
    </row>
    <row r="228" spans="1:13">
      <c r="A228" s="43" t="s">
        <v>3340</v>
      </c>
      <c r="B228" s="134" t="s">
        <v>3354</v>
      </c>
      <c r="C228" s="45" t="s">
        <v>122</v>
      </c>
      <c r="D228" s="45" t="s">
        <v>123</v>
      </c>
      <c r="E228" s="45" t="s">
        <v>124</v>
      </c>
      <c r="F228" s="71">
        <v>5454.55</v>
      </c>
      <c r="G228" s="71">
        <v>0</v>
      </c>
      <c r="H228" s="49">
        <v>0</v>
      </c>
      <c r="I228" s="49">
        <v>0</v>
      </c>
      <c r="J228" s="49">
        <v>1145.45</v>
      </c>
      <c r="K228" s="49">
        <v>0</v>
      </c>
      <c r="L228" s="71">
        <v>0</v>
      </c>
      <c r="M228" s="71">
        <v>6600</v>
      </c>
    </row>
    <row r="229" spans="1:13">
      <c r="A229" s="43" t="s">
        <v>3340</v>
      </c>
      <c r="B229" s="134" t="s">
        <v>3355</v>
      </c>
      <c r="C229" s="45" t="s">
        <v>122</v>
      </c>
      <c r="D229" s="45" t="s">
        <v>123</v>
      </c>
      <c r="E229" s="45" t="s">
        <v>124</v>
      </c>
      <c r="F229" s="71">
        <v>7851.24</v>
      </c>
      <c r="G229" s="71">
        <v>0</v>
      </c>
      <c r="H229" s="49">
        <v>0</v>
      </c>
      <c r="I229" s="49">
        <v>0</v>
      </c>
      <c r="J229" s="49">
        <v>1648.76</v>
      </c>
      <c r="K229" s="49">
        <v>0</v>
      </c>
      <c r="L229" s="71">
        <v>0</v>
      </c>
      <c r="M229" s="71">
        <v>9500</v>
      </c>
    </row>
    <row r="230" spans="1:13">
      <c r="A230" s="43" t="s">
        <v>3340</v>
      </c>
      <c r="B230" s="134" t="s">
        <v>3356</v>
      </c>
      <c r="C230" s="45" t="s">
        <v>122</v>
      </c>
      <c r="D230" s="45" t="s">
        <v>123</v>
      </c>
      <c r="E230" s="45" t="s">
        <v>124</v>
      </c>
      <c r="F230" s="71">
        <v>4132.2300000000005</v>
      </c>
      <c r="G230" s="71">
        <v>0</v>
      </c>
      <c r="H230" s="49">
        <v>0</v>
      </c>
      <c r="I230" s="49">
        <v>0</v>
      </c>
      <c r="J230" s="49">
        <v>867.77</v>
      </c>
      <c r="K230" s="49">
        <v>0</v>
      </c>
      <c r="L230" s="71">
        <v>0</v>
      </c>
      <c r="M230" s="71">
        <v>5000</v>
      </c>
    </row>
    <row r="231" spans="1:13">
      <c r="A231" s="43" t="s">
        <v>3340</v>
      </c>
      <c r="B231" s="134" t="s">
        <v>3357</v>
      </c>
      <c r="C231" s="45" t="s">
        <v>122</v>
      </c>
      <c r="D231" s="45" t="s">
        <v>123</v>
      </c>
      <c r="E231" s="45" t="s">
        <v>124</v>
      </c>
      <c r="F231" s="71">
        <v>24545.46</v>
      </c>
      <c r="G231" s="71">
        <v>0</v>
      </c>
      <c r="H231" s="49">
        <v>0</v>
      </c>
      <c r="I231" s="49">
        <v>0</v>
      </c>
      <c r="J231" s="49">
        <v>5154.54</v>
      </c>
      <c r="K231" s="49">
        <v>0</v>
      </c>
      <c r="L231" s="71">
        <v>0</v>
      </c>
      <c r="M231" s="71">
        <v>29700</v>
      </c>
    </row>
    <row r="232" spans="1:13">
      <c r="A232" s="43" t="s">
        <v>3340</v>
      </c>
      <c r="B232" s="134" t="s">
        <v>3358</v>
      </c>
      <c r="C232" s="45" t="s">
        <v>122</v>
      </c>
      <c r="D232" s="45" t="s">
        <v>123</v>
      </c>
      <c r="E232" s="45" t="s">
        <v>124</v>
      </c>
      <c r="F232" s="71">
        <v>17024.79</v>
      </c>
      <c r="G232" s="71">
        <v>0</v>
      </c>
      <c r="H232" s="49">
        <v>0</v>
      </c>
      <c r="I232" s="49">
        <v>0</v>
      </c>
      <c r="J232" s="49">
        <v>3575.21</v>
      </c>
      <c r="K232" s="49">
        <v>0</v>
      </c>
      <c r="L232" s="71">
        <v>0</v>
      </c>
      <c r="M232" s="71">
        <v>20600</v>
      </c>
    </row>
    <row r="233" spans="1:13">
      <c r="A233" s="43" t="s">
        <v>3340</v>
      </c>
      <c r="B233" s="134" t="s">
        <v>3359</v>
      </c>
      <c r="C233" s="45" t="s">
        <v>122</v>
      </c>
      <c r="D233" s="45" t="s">
        <v>123</v>
      </c>
      <c r="E233" s="45" t="s">
        <v>124</v>
      </c>
      <c r="F233" s="71">
        <v>7190.08</v>
      </c>
      <c r="G233" s="71">
        <v>0</v>
      </c>
      <c r="H233" s="49">
        <v>0</v>
      </c>
      <c r="I233" s="49">
        <v>0</v>
      </c>
      <c r="J233" s="49">
        <v>1509.92</v>
      </c>
      <c r="K233" s="49">
        <v>0</v>
      </c>
      <c r="L233" s="71">
        <v>0</v>
      </c>
      <c r="M233" s="71">
        <v>8700</v>
      </c>
    </row>
    <row r="234" spans="1:13">
      <c r="A234" s="43" t="s">
        <v>3361</v>
      </c>
      <c r="B234" s="134" t="s">
        <v>3362</v>
      </c>
      <c r="C234" s="45" t="s">
        <v>122</v>
      </c>
      <c r="D234" s="45" t="s">
        <v>123</v>
      </c>
      <c r="E234" s="45" t="s">
        <v>124</v>
      </c>
      <c r="F234" s="71">
        <v>8264.4699999999993</v>
      </c>
      <c r="G234" s="71">
        <v>0</v>
      </c>
      <c r="H234" s="49">
        <v>0</v>
      </c>
      <c r="I234" s="49">
        <v>0</v>
      </c>
      <c r="J234" s="49">
        <v>1735.53</v>
      </c>
      <c r="K234" s="49">
        <v>0</v>
      </c>
      <c r="L234" s="71">
        <v>0</v>
      </c>
      <c r="M234" s="71">
        <v>10000</v>
      </c>
    </row>
    <row r="235" spans="1:13">
      <c r="A235" s="43" t="s">
        <v>3361</v>
      </c>
      <c r="B235" s="134" t="s">
        <v>3363</v>
      </c>
      <c r="C235" s="45" t="s">
        <v>122</v>
      </c>
      <c r="D235" s="45" t="s">
        <v>123</v>
      </c>
      <c r="E235" s="45" t="s">
        <v>124</v>
      </c>
      <c r="F235" s="71">
        <v>4132.2300000000005</v>
      </c>
      <c r="G235" s="71">
        <v>0</v>
      </c>
      <c r="H235" s="49">
        <v>0</v>
      </c>
      <c r="I235" s="49">
        <v>0</v>
      </c>
      <c r="J235" s="49">
        <v>867.77</v>
      </c>
      <c r="K235" s="49">
        <v>0</v>
      </c>
      <c r="L235" s="71">
        <v>0</v>
      </c>
      <c r="M235" s="71">
        <v>5000</v>
      </c>
    </row>
    <row r="236" spans="1:13">
      <c r="A236" s="43" t="s">
        <v>3361</v>
      </c>
      <c r="B236" s="134" t="s">
        <v>3364</v>
      </c>
      <c r="C236" s="45" t="s">
        <v>122</v>
      </c>
      <c r="D236" s="45" t="s">
        <v>123</v>
      </c>
      <c r="E236" s="45" t="s">
        <v>124</v>
      </c>
      <c r="F236" s="71">
        <v>7438.02</v>
      </c>
      <c r="G236" s="71">
        <v>0</v>
      </c>
      <c r="H236" s="49">
        <v>0</v>
      </c>
      <c r="I236" s="49">
        <v>0</v>
      </c>
      <c r="J236" s="49">
        <v>1561.98</v>
      </c>
      <c r="K236" s="49">
        <v>0</v>
      </c>
      <c r="L236" s="71">
        <v>0</v>
      </c>
      <c r="M236" s="71">
        <v>9000</v>
      </c>
    </row>
    <row r="237" spans="1:13">
      <c r="A237" s="43" t="s">
        <v>3361</v>
      </c>
      <c r="B237" s="134" t="s">
        <v>3365</v>
      </c>
      <c r="C237" s="45" t="s">
        <v>122</v>
      </c>
      <c r="D237" s="45" t="s">
        <v>123</v>
      </c>
      <c r="E237" s="45" t="s">
        <v>124</v>
      </c>
      <c r="F237" s="71">
        <v>15702.48</v>
      </c>
      <c r="G237" s="71">
        <v>0</v>
      </c>
      <c r="H237" s="49">
        <v>0</v>
      </c>
      <c r="I237" s="49">
        <v>0</v>
      </c>
      <c r="J237" s="49">
        <v>3297.52</v>
      </c>
      <c r="K237" s="49">
        <v>0</v>
      </c>
      <c r="L237" s="71">
        <v>0</v>
      </c>
      <c r="M237" s="71">
        <v>19000</v>
      </c>
    </row>
    <row r="238" spans="1:13">
      <c r="A238" s="43" t="s">
        <v>3361</v>
      </c>
      <c r="B238" s="134" t="s">
        <v>3366</v>
      </c>
      <c r="C238" s="45" t="s">
        <v>122</v>
      </c>
      <c r="D238" s="45" t="s">
        <v>123</v>
      </c>
      <c r="E238" s="45" t="s">
        <v>124</v>
      </c>
      <c r="F238" s="71">
        <v>4132.2300000000005</v>
      </c>
      <c r="G238" s="71">
        <v>0</v>
      </c>
      <c r="H238" s="49">
        <v>0</v>
      </c>
      <c r="I238" s="49">
        <v>0</v>
      </c>
      <c r="J238" s="49">
        <v>867.77</v>
      </c>
      <c r="K238" s="49">
        <v>0</v>
      </c>
      <c r="L238" s="71">
        <v>0</v>
      </c>
      <c r="M238" s="71">
        <v>5000</v>
      </c>
    </row>
    <row r="239" spans="1:13">
      <c r="A239" s="43" t="s">
        <v>3361</v>
      </c>
      <c r="B239" s="134" t="s">
        <v>3367</v>
      </c>
      <c r="C239" s="45" t="s">
        <v>122</v>
      </c>
      <c r="D239" s="45" t="s">
        <v>123</v>
      </c>
      <c r="E239" s="45" t="s">
        <v>124</v>
      </c>
      <c r="F239" s="71">
        <v>13140.5</v>
      </c>
      <c r="G239" s="71">
        <v>0</v>
      </c>
      <c r="H239" s="49">
        <v>0</v>
      </c>
      <c r="I239" s="49">
        <v>0</v>
      </c>
      <c r="J239" s="49">
        <v>2759.5</v>
      </c>
      <c r="K239" s="49">
        <v>0</v>
      </c>
      <c r="L239" s="71">
        <v>0</v>
      </c>
      <c r="M239" s="71">
        <v>15900</v>
      </c>
    </row>
    <row r="240" spans="1:13">
      <c r="A240" s="43" t="s">
        <v>3361</v>
      </c>
      <c r="B240" s="134" t="s">
        <v>3368</v>
      </c>
      <c r="C240" s="45" t="s">
        <v>122</v>
      </c>
      <c r="D240" s="45" t="s">
        <v>123</v>
      </c>
      <c r="E240" s="45" t="s">
        <v>124</v>
      </c>
      <c r="F240" s="71">
        <v>5785.12</v>
      </c>
      <c r="G240" s="71">
        <v>0</v>
      </c>
      <c r="H240" s="49">
        <v>0</v>
      </c>
      <c r="I240" s="49">
        <v>0</v>
      </c>
      <c r="J240" s="49">
        <v>1214.8800000000001</v>
      </c>
      <c r="K240" s="49">
        <v>0</v>
      </c>
      <c r="L240" s="71">
        <v>0</v>
      </c>
      <c r="M240" s="71">
        <v>7000</v>
      </c>
    </row>
    <row r="241" spans="1:13">
      <c r="A241" s="43" t="s">
        <v>3361</v>
      </c>
      <c r="B241" s="134" t="s">
        <v>3369</v>
      </c>
      <c r="C241" s="45" t="s">
        <v>122</v>
      </c>
      <c r="D241" s="45" t="s">
        <v>123</v>
      </c>
      <c r="E241" s="45" t="s">
        <v>124</v>
      </c>
      <c r="F241" s="71">
        <v>2975.21</v>
      </c>
      <c r="G241" s="71">
        <v>0</v>
      </c>
      <c r="H241" s="49">
        <v>0</v>
      </c>
      <c r="I241" s="49">
        <v>0</v>
      </c>
      <c r="J241" s="49">
        <v>624.79</v>
      </c>
      <c r="K241" s="49">
        <v>0</v>
      </c>
      <c r="L241" s="71">
        <v>0</v>
      </c>
      <c r="M241" s="71">
        <v>3600</v>
      </c>
    </row>
    <row r="242" spans="1:13">
      <c r="A242" s="43" t="s">
        <v>3361</v>
      </c>
      <c r="B242" s="134" t="s">
        <v>3370</v>
      </c>
      <c r="C242" s="45" t="s">
        <v>122</v>
      </c>
      <c r="D242" s="45" t="s">
        <v>123</v>
      </c>
      <c r="E242" s="45" t="s">
        <v>124</v>
      </c>
      <c r="F242" s="71">
        <v>6942.15</v>
      </c>
      <c r="G242" s="71">
        <v>0</v>
      </c>
      <c r="H242" s="49">
        <v>0</v>
      </c>
      <c r="I242" s="49">
        <v>0</v>
      </c>
      <c r="J242" s="49">
        <v>1457.85</v>
      </c>
      <c r="K242" s="49">
        <v>0</v>
      </c>
      <c r="L242" s="71">
        <v>0</v>
      </c>
      <c r="M242" s="71">
        <v>8400</v>
      </c>
    </row>
    <row r="243" spans="1:13">
      <c r="A243" s="43" t="s">
        <v>3361</v>
      </c>
      <c r="B243" s="134" t="s">
        <v>3371</v>
      </c>
      <c r="C243" s="45" t="s">
        <v>122</v>
      </c>
      <c r="D243" s="45" t="s">
        <v>123</v>
      </c>
      <c r="E243" s="45" t="s">
        <v>124</v>
      </c>
      <c r="F243" s="71">
        <v>7851.24</v>
      </c>
      <c r="G243" s="71">
        <v>0</v>
      </c>
      <c r="H243" s="49">
        <v>0</v>
      </c>
      <c r="I243" s="49">
        <v>0</v>
      </c>
      <c r="J243" s="49">
        <v>1648.76</v>
      </c>
      <c r="K243" s="49">
        <v>0</v>
      </c>
      <c r="L243" s="71">
        <v>0</v>
      </c>
      <c r="M243" s="71">
        <v>9500</v>
      </c>
    </row>
    <row r="244" spans="1:13">
      <c r="A244" s="43" t="s">
        <v>3361</v>
      </c>
      <c r="B244" s="134" t="s">
        <v>3372</v>
      </c>
      <c r="C244" s="45" t="s">
        <v>122</v>
      </c>
      <c r="D244" s="45" t="s">
        <v>123</v>
      </c>
      <c r="E244" s="45" t="s">
        <v>124</v>
      </c>
      <c r="F244" s="71">
        <v>58016.53</v>
      </c>
      <c r="G244" s="71">
        <v>0</v>
      </c>
      <c r="H244" s="49">
        <v>0</v>
      </c>
      <c r="I244" s="49">
        <v>0</v>
      </c>
      <c r="J244" s="49">
        <v>12183.47</v>
      </c>
      <c r="K244" s="49">
        <v>0</v>
      </c>
      <c r="L244" s="71">
        <v>0</v>
      </c>
      <c r="M244" s="71">
        <v>70200</v>
      </c>
    </row>
    <row r="245" spans="1:13">
      <c r="A245" s="43" t="s">
        <v>3361</v>
      </c>
      <c r="B245" s="134" t="s">
        <v>3373</v>
      </c>
      <c r="C245" s="45" t="s">
        <v>122</v>
      </c>
      <c r="D245" s="45" t="s">
        <v>123</v>
      </c>
      <c r="E245" s="45" t="s">
        <v>124</v>
      </c>
      <c r="F245" s="71">
        <v>43512.4</v>
      </c>
      <c r="G245" s="71">
        <v>0</v>
      </c>
      <c r="H245" s="49">
        <v>0</v>
      </c>
      <c r="I245" s="49">
        <v>0</v>
      </c>
      <c r="J245" s="49">
        <v>9137.6</v>
      </c>
      <c r="K245" s="49">
        <v>0</v>
      </c>
      <c r="L245" s="71">
        <v>0</v>
      </c>
      <c r="M245" s="71">
        <v>52650</v>
      </c>
    </row>
    <row r="246" spans="1:13">
      <c r="A246" s="43" t="s">
        <v>3361</v>
      </c>
      <c r="B246" s="134" t="s">
        <v>3374</v>
      </c>
      <c r="C246" s="45" t="s">
        <v>122</v>
      </c>
      <c r="D246" s="45" t="s">
        <v>123</v>
      </c>
      <c r="E246" s="45" t="s">
        <v>124</v>
      </c>
      <c r="F246" s="71">
        <v>8264.4600000000009</v>
      </c>
      <c r="G246" s="71">
        <v>0</v>
      </c>
      <c r="H246" s="49">
        <v>0</v>
      </c>
      <c r="I246" s="49">
        <v>0</v>
      </c>
      <c r="J246" s="49">
        <v>1735.54</v>
      </c>
      <c r="K246" s="49">
        <v>0</v>
      </c>
      <c r="L246" s="71">
        <v>0</v>
      </c>
      <c r="M246" s="71">
        <v>10000</v>
      </c>
    </row>
    <row r="247" spans="1:13">
      <c r="A247" s="43" t="s">
        <v>3361</v>
      </c>
      <c r="B247" s="134" t="s">
        <v>3375</v>
      </c>
      <c r="C247" s="45" t="s">
        <v>122</v>
      </c>
      <c r="D247" s="45" t="s">
        <v>123</v>
      </c>
      <c r="E247" s="45" t="s">
        <v>124</v>
      </c>
      <c r="F247" s="71">
        <v>20413.22</v>
      </c>
      <c r="G247" s="71">
        <v>0</v>
      </c>
      <c r="H247" s="49">
        <v>0</v>
      </c>
      <c r="I247" s="49">
        <v>0</v>
      </c>
      <c r="J247" s="49">
        <v>4286.78</v>
      </c>
      <c r="K247" s="49">
        <v>0</v>
      </c>
      <c r="L247" s="71">
        <v>0</v>
      </c>
      <c r="M247" s="71">
        <v>24700</v>
      </c>
    </row>
    <row r="248" spans="1:13">
      <c r="A248" s="43" t="s">
        <v>3361</v>
      </c>
      <c r="B248" s="134" t="s">
        <v>3376</v>
      </c>
      <c r="C248" s="45" t="s">
        <v>122</v>
      </c>
      <c r="D248" s="45" t="s">
        <v>123</v>
      </c>
      <c r="E248" s="45" t="s">
        <v>124</v>
      </c>
      <c r="F248" s="71">
        <v>5537.19</v>
      </c>
      <c r="G248" s="71">
        <v>0</v>
      </c>
      <c r="H248" s="49">
        <v>0</v>
      </c>
      <c r="I248" s="49">
        <v>0</v>
      </c>
      <c r="J248" s="49">
        <v>1162.81</v>
      </c>
      <c r="K248" s="49">
        <v>0</v>
      </c>
      <c r="L248" s="71">
        <v>0</v>
      </c>
      <c r="M248" s="71">
        <v>6700</v>
      </c>
    </row>
    <row r="249" spans="1:13">
      <c r="A249" s="43" t="s">
        <v>3361</v>
      </c>
      <c r="B249" s="134" t="s">
        <v>3377</v>
      </c>
      <c r="C249" s="45" t="s">
        <v>122</v>
      </c>
      <c r="D249" s="45" t="s">
        <v>123</v>
      </c>
      <c r="E249" s="45" t="s">
        <v>124</v>
      </c>
      <c r="F249" s="71">
        <v>6942.15</v>
      </c>
      <c r="G249" s="71">
        <v>0</v>
      </c>
      <c r="H249" s="49">
        <v>0</v>
      </c>
      <c r="I249" s="49">
        <v>0</v>
      </c>
      <c r="J249" s="49">
        <v>1457.85</v>
      </c>
      <c r="K249" s="49">
        <v>0</v>
      </c>
      <c r="L249" s="71">
        <v>0</v>
      </c>
      <c r="M249" s="71">
        <v>8400</v>
      </c>
    </row>
    <row r="250" spans="1:13">
      <c r="A250" s="43" t="s">
        <v>3361</v>
      </c>
      <c r="B250" s="134" t="s">
        <v>3378</v>
      </c>
      <c r="C250" s="45" t="s">
        <v>3379</v>
      </c>
      <c r="D250" s="45" t="s">
        <v>123</v>
      </c>
      <c r="E250" s="45">
        <v>40639068</v>
      </c>
      <c r="F250" s="71">
        <v>15702.48</v>
      </c>
      <c r="G250" s="71">
        <v>0</v>
      </c>
      <c r="H250" s="49">
        <v>0</v>
      </c>
      <c r="I250" s="49">
        <v>0</v>
      </c>
      <c r="J250" s="49">
        <v>3297.52</v>
      </c>
      <c r="K250" s="49">
        <v>0</v>
      </c>
      <c r="L250" s="71">
        <v>0</v>
      </c>
      <c r="M250" s="71">
        <v>19000</v>
      </c>
    </row>
    <row r="251" spans="1:13">
      <c r="A251" s="43" t="s">
        <v>3361</v>
      </c>
      <c r="B251" s="134" t="s">
        <v>3380</v>
      </c>
      <c r="C251" s="45" t="s">
        <v>122</v>
      </c>
      <c r="D251" s="45" t="s">
        <v>123</v>
      </c>
      <c r="E251" s="45" t="s">
        <v>124</v>
      </c>
      <c r="F251" s="71">
        <v>1487.6</v>
      </c>
      <c r="G251" s="71">
        <v>0</v>
      </c>
      <c r="H251" s="49">
        <v>0</v>
      </c>
      <c r="I251" s="49">
        <v>0</v>
      </c>
      <c r="J251" s="49">
        <v>312.39999999999998</v>
      </c>
      <c r="K251" s="49">
        <v>0</v>
      </c>
      <c r="L251" s="71">
        <v>0</v>
      </c>
      <c r="M251" s="71">
        <v>1800</v>
      </c>
    </row>
    <row r="252" spans="1:13">
      <c r="A252" s="43" t="s">
        <v>3361</v>
      </c>
      <c r="B252" s="134" t="s">
        <v>3381</v>
      </c>
      <c r="C252" s="45" t="s">
        <v>122</v>
      </c>
      <c r="D252" s="45" t="s">
        <v>123</v>
      </c>
      <c r="E252" s="45" t="s">
        <v>124</v>
      </c>
      <c r="F252" s="71">
        <v>16528.93</v>
      </c>
      <c r="G252" s="71">
        <v>0</v>
      </c>
      <c r="H252" s="49">
        <v>0</v>
      </c>
      <c r="I252" s="49">
        <v>0</v>
      </c>
      <c r="J252" s="49">
        <v>3471.07</v>
      </c>
      <c r="K252" s="49">
        <v>0</v>
      </c>
      <c r="L252" s="71">
        <v>0</v>
      </c>
      <c r="M252" s="71">
        <v>20000</v>
      </c>
    </row>
    <row r="253" spans="1:13">
      <c r="A253" s="43" t="s">
        <v>3361</v>
      </c>
      <c r="B253" s="134" t="s">
        <v>3382</v>
      </c>
      <c r="C253" s="45" t="s">
        <v>122</v>
      </c>
      <c r="D253" s="45" t="s">
        <v>123</v>
      </c>
      <c r="E253" s="45" t="s">
        <v>124</v>
      </c>
      <c r="F253" s="71">
        <v>4132.2300000000005</v>
      </c>
      <c r="G253" s="71">
        <v>0</v>
      </c>
      <c r="H253" s="49">
        <v>0</v>
      </c>
      <c r="I253" s="49">
        <v>0</v>
      </c>
      <c r="J253" s="49">
        <v>867.77</v>
      </c>
      <c r="K253" s="49">
        <v>0</v>
      </c>
      <c r="L253" s="71">
        <v>0</v>
      </c>
      <c r="M253" s="71">
        <v>5000</v>
      </c>
    </row>
    <row r="254" spans="1:13">
      <c r="A254" s="43" t="s">
        <v>3361</v>
      </c>
      <c r="B254" s="134" t="s">
        <v>3383</v>
      </c>
      <c r="C254" s="45" t="s">
        <v>122</v>
      </c>
      <c r="D254" s="45" t="s">
        <v>123</v>
      </c>
      <c r="E254" s="45" t="s">
        <v>124</v>
      </c>
      <c r="F254" s="71">
        <v>9008.26</v>
      </c>
      <c r="G254" s="71">
        <v>0</v>
      </c>
      <c r="H254" s="49">
        <v>0</v>
      </c>
      <c r="I254" s="49">
        <v>0</v>
      </c>
      <c r="J254" s="49">
        <v>1891.74</v>
      </c>
      <c r="K254" s="49">
        <v>0</v>
      </c>
      <c r="L254" s="71">
        <v>0</v>
      </c>
      <c r="M254" s="71">
        <v>10900</v>
      </c>
    </row>
    <row r="255" spans="1:13">
      <c r="A255" s="43" t="s">
        <v>3361</v>
      </c>
      <c r="B255" s="134" t="s">
        <v>3384</v>
      </c>
      <c r="C255" s="45" t="s">
        <v>122</v>
      </c>
      <c r="D255" s="45" t="s">
        <v>123</v>
      </c>
      <c r="E255" s="45" t="s">
        <v>124</v>
      </c>
      <c r="F255" s="71">
        <v>3760.33</v>
      </c>
      <c r="G255" s="71">
        <v>0</v>
      </c>
      <c r="H255" s="49">
        <v>0</v>
      </c>
      <c r="I255" s="49">
        <v>0</v>
      </c>
      <c r="J255" s="49">
        <v>789.67</v>
      </c>
      <c r="K255" s="49">
        <v>0</v>
      </c>
      <c r="L255" s="71">
        <v>0</v>
      </c>
      <c r="M255" s="71">
        <v>4550</v>
      </c>
    </row>
    <row r="256" spans="1:13">
      <c r="A256" s="43" t="s">
        <v>3361</v>
      </c>
      <c r="B256" s="134" t="s">
        <v>3385</v>
      </c>
      <c r="C256" s="45" t="s">
        <v>122</v>
      </c>
      <c r="D256" s="45" t="s">
        <v>123</v>
      </c>
      <c r="E256" s="45" t="s">
        <v>124</v>
      </c>
      <c r="F256" s="71">
        <v>2314.0500000000002</v>
      </c>
      <c r="G256" s="71">
        <v>0</v>
      </c>
      <c r="H256" s="49">
        <v>0</v>
      </c>
      <c r="I256" s="49">
        <v>0</v>
      </c>
      <c r="J256" s="49">
        <v>485.95</v>
      </c>
      <c r="K256" s="49">
        <v>0</v>
      </c>
      <c r="L256" s="71">
        <v>0</v>
      </c>
      <c r="M256" s="71">
        <v>2800</v>
      </c>
    </row>
    <row r="257" spans="1:13">
      <c r="A257" s="43" t="s">
        <v>3361</v>
      </c>
      <c r="B257" s="134" t="s">
        <v>3386</v>
      </c>
      <c r="C257" s="45" t="s">
        <v>122</v>
      </c>
      <c r="D257" s="45" t="s">
        <v>123</v>
      </c>
      <c r="E257" s="45" t="s">
        <v>124</v>
      </c>
      <c r="F257" s="71">
        <v>11570.24</v>
      </c>
      <c r="G257" s="71">
        <v>0</v>
      </c>
      <c r="H257" s="49">
        <v>0</v>
      </c>
      <c r="I257" s="49">
        <v>0</v>
      </c>
      <c r="J257" s="49">
        <v>2429.7600000000002</v>
      </c>
      <c r="K257" s="49">
        <v>0</v>
      </c>
      <c r="L257" s="71">
        <v>0</v>
      </c>
      <c r="M257" s="71">
        <v>14000</v>
      </c>
    </row>
    <row r="258" spans="1:13">
      <c r="A258" s="43" t="s">
        <v>3361</v>
      </c>
      <c r="B258" s="134" t="s">
        <v>3387</v>
      </c>
      <c r="C258" s="45" t="s">
        <v>122</v>
      </c>
      <c r="D258" s="45" t="s">
        <v>123</v>
      </c>
      <c r="E258" s="45" t="s">
        <v>124</v>
      </c>
      <c r="F258" s="71">
        <v>10743.8</v>
      </c>
      <c r="G258" s="71">
        <v>0</v>
      </c>
      <c r="H258" s="49">
        <v>0</v>
      </c>
      <c r="I258" s="49">
        <v>0</v>
      </c>
      <c r="J258" s="49">
        <v>2256.1999999999998</v>
      </c>
      <c r="K258" s="49">
        <v>0</v>
      </c>
      <c r="L258" s="71">
        <v>0</v>
      </c>
      <c r="M258" s="71">
        <v>13000</v>
      </c>
    </row>
    <row r="259" spans="1:13">
      <c r="A259" s="43" t="s">
        <v>3393</v>
      </c>
      <c r="B259" s="134" t="s">
        <v>3394</v>
      </c>
      <c r="C259" s="45" t="s">
        <v>122</v>
      </c>
      <c r="D259" s="45" t="s">
        <v>123</v>
      </c>
      <c r="E259" s="45" t="s">
        <v>124</v>
      </c>
      <c r="F259" s="71">
        <v>3925.62</v>
      </c>
      <c r="G259" s="71">
        <v>0</v>
      </c>
      <c r="H259" s="49">
        <v>0</v>
      </c>
      <c r="I259" s="49">
        <v>0</v>
      </c>
      <c r="J259" s="49">
        <v>824.38</v>
      </c>
      <c r="K259" s="49">
        <v>0</v>
      </c>
      <c r="L259" s="71">
        <v>0</v>
      </c>
      <c r="M259" s="71">
        <v>4750</v>
      </c>
    </row>
    <row r="260" spans="1:13">
      <c r="A260" s="43" t="s">
        <v>3393</v>
      </c>
      <c r="B260" s="134" t="s">
        <v>3395</v>
      </c>
      <c r="C260" s="45" t="s">
        <v>122</v>
      </c>
      <c r="D260" s="45" t="s">
        <v>123</v>
      </c>
      <c r="E260" s="45" t="s">
        <v>124</v>
      </c>
      <c r="F260" s="71">
        <v>3347.11</v>
      </c>
      <c r="G260" s="71">
        <v>0</v>
      </c>
      <c r="H260" s="49">
        <v>0</v>
      </c>
      <c r="I260" s="49">
        <v>0</v>
      </c>
      <c r="J260" s="49">
        <v>702.89</v>
      </c>
      <c r="K260" s="49">
        <v>0</v>
      </c>
      <c r="L260" s="71">
        <v>0</v>
      </c>
      <c r="M260" s="71">
        <v>4050</v>
      </c>
    </row>
    <row r="261" spans="1:13">
      <c r="A261" s="43" t="s">
        <v>3393</v>
      </c>
      <c r="B261" s="134" t="s">
        <v>3396</v>
      </c>
      <c r="C261" s="45" t="s">
        <v>122</v>
      </c>
      <c r="D261" s="45" t="s">
        <v>123</v>
      </c>
      <c r="E261" s="45" t="s">
        <v>124</v>
      </c>
      <c r="F261" s="71">
        <v>17024.79</v>
      </c>
      <c r="G261" s="71">
        <v>0</v>
      </c>
      <c r="H261" s="49">
        <v>0</v>
      </c>
      <c r="I261" s="49">
        <v>0</v>
      </c>
      <c r="J261" s="49">
        <v>3575.21</v>
      </c>
      <c r="K261" s="49">
        <v>0</v>
      </c>
      <c r="L261" s="71">
        <v>0</v>
      </c>
      <c r="M261" s="71">
        <v>20600</v>
      </c>
    </row>
    <row r="262" spans="1:13">
      <c r="A262" s="43" t="s">
        <v>3393</v>
      </c>
      <c r="B262" s="134" t="s">
        <v>3397</v>
      </c>
      <c r="C262" s="45" t="s">
        <v>122</v>
      </c>
      <c r="D262" s="45" t="s">
        <v>123</v>
      </c>
      <c r="E262" s="45" t="s">
        <v>124</v>
      </c>
      <c r="F262" s="71">
        <v>14008.26</v>
      </c>
      <c r="G262" s="71">
        <v>0</v>
      </c>
      <c r="H262" s="49">
        <v>0</v>
      </c>
      <c r="I262" s="49">
        <v>0</v>
      </c>
      <c r="J262" s="49">
        <v>2941.74</v>
      </c>
      <c r="K262" s="49">
        <v>0</v>
      </c>
      <c r="L262" s="71">
        <v>0</v>
      </c>
      <c r="M262" s="71">
        <v>16950</v>
      </c>
    </row>
    <row r="263" spans="1:13">
      <c r="A263" s="43" t="s">
        <v>3393</v>
      </c>
      <c r="B263" s="134" t="s">
        <v>3398</v>
      </c>
      <c r="C263" s="45" t="s">
        <v>122</v>
      </c>
      <c r="D263" s="45" t="s">
        <v>123</v>
      </c>
      <c r="E263" s="45" t="s">
        <v>124</v>
      </c>
      <c r="F263" s="71">
        <v>31404.959999999999</v>
      </c>
      <c r="G263" s="71">
        <v>0</v>
      </c>
      <c r="H263" s="49">
        <v>0</v>
      </c>
      <c r="I263" s="49">
        <v>0</v>
      </c>
      <c r="J263" s="49">
        <v>6595.04</v>
      </c>
      <c r="K263" s="49">
        <v>0</v>
      </c>
      <c r="L263" s="71">
        <v>0</v>
      </c>
      <c r="M263" s="71">
        <v>38000</v>
      </c>
    </row>
    <row r="264" spans="1:13">
      <c r="A264" s="43" t="s">
        <v>3393</v>
      </c>
      <c r="B264" s="134" t="s">
        <v>3399</v>
      </c>
      <c r="C264" s="45" t="s">
        <v>122</v>
      </c>
      <c r="D264" s="45" t="s">
        <v>123</v>
      </c>
      <c r="E264" s="45" t="s">
        <v>124</v>
      </c>
      <c r="F264" s="71">
        <v>10743.8</v>
      </c>
      <c r="G264" s="71">
        <v>0</v>
      </c>
      <c r="H264" s="49">
        <v>0</v>
      </c>
      <c r="I264" s="49">
        <v>0</v>
      </c>
      <c r="J264" s="49">
        <v>2256.1999999999998</v>
      </c>
      <c r="K264" s="49">
        <v>0</v>
      </c>
      <c r="L264" s="71">
        <v>0</v>
      </c>
      <c r="M264" s="71">
        <v>13000</v>
      </c>
    </row>
    <row r="265" spans="1:13">
      <c r="A265" s="43" t="s">
        <v>3393</v>
      </c>
      <c r="B265" s="134" t="s">
        <v>3400</v>
      </c>
      <c r="C265" s="45" t="s">
        <v>122</v>
      </c>
      <c r="D265" s="45" t="s">
        <v>123</v>
      </c>
      <c r="E265" s="45" t="s">
        <v>124</v>
      </c>
      <c r="F265" s="71">
        <v>1297.52</v>
      </c>
      <c r="G265" s="71">
        <v>0</v>
      </c>
      <c r="H265" s="49">
        <v>0</v>
      </c>
      <c r="I265" s="49">
        <v>0</v>
      </c>
      <c r="J265" s="49">
        <v>272.48</v>
      </c>
      <c r="K265" s="49">
        <v>0</v>
      </c>
      <c r="L265" s="71">
        <v>0</v>
      </c>
      <c r="M265" s="71">
        <v>1570</v>
      </c>
    </row>
    <row r="266" spans="1:13">
      <c r="A266" s="43" t="s">
        <v>3393</v>
      </c>
      <c r="B266" s="134" t="s">
        <v>3401</v>
      </c>
      <c r="C266" s="45" t="s">
        <v>122</v>
      </c>
      <c r="D266" s="45" t="s">
        <v>123</v>
      </c>
      <c r="E266" s="45" t="s">
        <v>124</v>
      </c>
      <c r="F266" s="71">
        <v>7438.02</v>
      </c>
      <c r="G266" s="71">
        <v>0</v>
      </c>
      <c r="H266" s="49">
        <v>0</v>
      </c>
      <c r="I266" s="49">
        <v>0</v>
      </c>
      <c r="J266" s="49">
        <v>1561.98</v>
      </c>
      <c r="K266" s="49">
        <v>0</v>
      </c>
      <c r="L266" s="71">
        <v>0</v>
      </c>
      <c r="M266" s="71">
        <v>9000</v>
      </c>
    </row>
    <row r="267" spans="1:13">
      <c r="A267" s="43" t="s">
        <v>3393</v>
      </c>
      <c r="B267" s="134" t="s">
        <v>3402</v>
      </c>
      <c r="C267" s="45" t="s">
        <v>122</v>
      </c>
      <c r="D267" s="45" t="s">
        <v>123</v>
      </c>
      <c r="E267" s="45" t="s">
        <v>124</v>
      </c>
      <c r="F267" s="71">
        <v>2892.56</v>
      </c>
      <c r="G267" s="71">
        <v>0</v>
      </c>
      <c r="H267" s="49">
        <v>0</v>
      </c>
      <c r="I267" s="49">
        <v>0</v>
      </c>
      <c r="J267" s="49">
        <v>607.44000000000005</v>
      </c>
      <c r="K267" s="49">
        <v>0</v>
      </c>
      <c r="L267" s="71">
        <v>0</v>
      </c>
      <c r="M267" s="71">
        <v>3500</v>
      </c>
    </row>
    <row r="268" spans="1:13">
      <c r="A268" s="43" t="s">
        <v>3411</v>
      </c>
      <c r="B268" s="134" t="s">
        <v>3412</v>
      </c>
      <c r="C268" s="45" t="s">
        <v>122</v>
      </c>
      <c r="D268" s="45" t="s">
        <v>123</v>
      </c>
      <c r="E268" s="45" t="s">
        <v>124</v>
      </c>
      <c r="F268" s="71">
        <v>7438.02</v>
      </c>
      <c r="G268" s="71">
        <v>0</v>
      </c>
      <c r="H268" s="49">
        <v>0</v>
      </c>
      <c r="I268" s="49">
        <v>0</v>
      </c>
      <c r="J268" s="49">
        <v>1561.98</v>
      </c>
      <c r="K268" s="49">
        <v>0</v>
      </c>
      <c r="L268" s="71">
        <v>0</v>
      </c>
      <c r="M268" s="71">
        <v>9000</v>
      </c>
    </row>
    <row r="269" spans="1:13">
      <c r="A269" s="43" t="s">
        <v>3411</v>
      </c>
      <c r="B269" s="134" t="s">
        <v>3413</v>
      </c>
      <c r="C269" s="45" t="s">
        <v>122</v>
      </c>
      <c r="D269" s="45" t="s">
        <v>123</v>
      </c>
      <c r="E269" s="45" t="s">
        <v>124</v>
      </c>
      <c r="F269" s="71">
        <v>9008.26</v>
      </c>
      <c r="G269" s="71">
        <v>0</v>
      </c>
      <c r="H269" s="49">
        <v>0</v>
      </c>
      <c r="I269" s="49">
        <v>0</v>
      </c>
      <c r="J269" s="49">
        <v>1891.74</v>
      </c>
      <c r="K269" s="49">
        <v>0</v>
      </c>
      <c r="L269" s="71">
        <v>0</v>
      </c>
      <c r="M269" s="71">
        <v>10900</v>
      </c>
    </row>
    <row r="270" spans="1:13">
      <c r="A270" s="43" t="s">
        <v>3411</v>
      </c>
      <c r="B270" s="134" t="s">
        <v>3414</v>
      </c>
      <c r="C270" s="45" t="s">
        <v>122</v>
      </c>
      <c r="D270" s="45" t="s">
        <v>123</v>
      </c>
      <c r="E270" s="45" t="s">
        <v>124</v>
      </c>
      <c r="F270" s="71">
        <v>1404.96</v>
      </c>
      <c r="G270" s="71">
        <v>0</v>
      </c>
      <c r="H270" s="49">
        <v>0</v>
      </c>
      <c r="I270" s="49">
        <v>0</v>
      </c>
      <c r="J270" s="49">
        <v>295.04000000000002</v>
      </c>
      <c r="K270" s="49">
        <v>0</v>
      </c>
      <c r="L270" s="71">
        <v>0</v>
      </c>
      <c r="M270" s="71">
        <v>1700</v>
      </c>
    </row>
    <row r="271" spans="1:13">
      <c r="A271" s="43" t="s">
        <v>3411</v>
      </c>
      <c r="B271" s="134" t="s">
        <v>3415</v>
      </c>
      <c r="C271" s="45" t="s">
        <v>122</v>
      </c>
      <c r="D271" s="45" t="s">
        <v>123</v>
      </c>
      <c r="E271" s="45" t="s">
        <v>124</v>
      </c>
      <c r="F271" s="71">
        <v>9008.26</v>
      </c>
      <c r="G271" s="71">
        <v>0</v>
      </c>
      <c r="H271" s="49">
        <v>0</v>
      </c>
      <c r="I271" s="49">
        <v>0</v>
      </c>
      <c r="J271" s="49">
        <v>1891.74</v>
      </c>
      <c r="K271" s="49">
        <v>0</v>
      </c>
      <c r="L271" s="71">
        <v>0</v>
      </c>
      <c r="M271" s="71">
        <v>10900</v>
      </c>
    </row>
    <row r="272" spans="1:13">
      <c r="A272" s="43" t="s">
        <v>3411</v>
      </c>
      <c r="B272" s="134" t="s">
        <v>3416</v>
      </c>
      <c r="C272" s="45" t="s">
        <v>122</v>
      </c>
      <c r="D272" s="45" t="s">
        <v>123</v>
      </c>
      <c r="E272" s="45" t="s">
        <v>124</v>
      </c>
      <c r="F272" s="71">
        <v>8264.4600000000009</v>
      </c>
      <c r="G272" s="71">
        <v>0</v>
      </c>
      <c r="H272" s="49">
        <v>0</v>
      </c>
      <c r="I272" s="49">
        <v>0</v>
      </c>
      <c r="J272" s="49">
        <v>1735.54</v>
      </c>
      <c r="K272" s="49">
        <v>0</v>
      </c>
      <c r="L272" s="71">
        <v>0</v>
      </c>
      <c r="M272" s="71">
        <v>10000</v>
      </c>
    </row>
    <row r="273" spans="1:13">
      <c r="A273" s="43" t="s">
        <v>3411</v>
      </c>
      <c r="B273" s="134" t="s">
        <v>3417</v>
      </c>
      <c r="C273" s="45" t="s">
        <v>122</v>
      </c>
      <c r="D273" s="45" t="s">
        <v>123</v>
      </c>
      <c r="E273" s="45" t="s">
        <v>124</v>
      </c>
      <c r="F273" s="71">
        <v>4090.9100000000003</v>
      </c>
      <c r="G273" s="71">
        <v>0</v>
      </c>
      <c r="H273" s="49">
        <v>0</v>
      </c>
      <c r="I273" s="49">
        <v>0</v>
      </c>
      <c r="J273" s="49">
        <v>859.09</v>
      </c>
      <c r="K273" s="49">
        <v>0</v>
      </c>
      <c r="L273" s="71">
        <v>0</v>
      </c>
      <c r="M273" s="71">
        <v>4950</v>
      </c>
    </row>
    <row r="274" spans="1:13">
      <c r="A274" s="43" t="s">
        <v>3411</v>
      </c>
      <c r="B274" s="134" t="s">
        <v>3418</v>
      </c>
      <c r="C274" s="45" t="s">
        <v>122</v>
      </c>
      <c r="D274" s="45" t="s">
        <v>123</v>
      </c>
      <c r="E274" s="45" t="s">
        <v>124</v>
      </c>
      <c r="F274" s="71">
        <v>8264.4600000000009</v>
      </c>
      <c r="G274" s="71">
        <v>0</v>
      </c>
      <c r="H274" s="49">
        <v>0</v>
      </c>
      <c r="I274" s="49">
        <v>0</v>
      </c>
      <c r="J274" s="49">
        <v>1735.54</v>
      </c>
      <c r="K274" s="49">
        <v>0</v>
      </c>
      <c r="L274" s="71">
        <v>0</v>
      </c>
      <c r="M274" s="71">
        <v>10000</v>
      </c>
    </row>
    <row r="275" spans="1:13">
      <c r="A275" s="43" t="s">
        <v>3411</v>
      </c>
      <c r="B275" s="134" t="s">
        <v>3419</v>
      </c>
      <c r="C275" s="45" t="s">
        <v>122</v>
      </c>
      <c r="D275" s="45" t="s">
        <v>123</v>
      </c>
      <c r="E275" s="45" t="s">
        <v>124</v>
      </c>
      <c r="F275" s="71">
        <v>16446.28</v>
      </c>
      <c r="G275" s="71">
        <v>0</v>
      </c>
      <c r="H275" s="49">
        <v>0</v>
      </c>
      <c r="I275" s="49">
        <v>0</v>
      </c>
      <c r="J275" s="49">
        <v>3453.72</v>
      </c>
      <c r="K275" s="49">
        <v>0</v>
      </c>
      <c r="L275" s="71">
        <v>0</v>
      </c>
      <c r="M275" s="71">
        <v>19900</v>
      </c>
    </row>
    <row r="276" spans="1:13">
      <c r="A276" s="43" t="s">
        <v>3411</v>
      </c>
      <c r="B276" s="134" t="s">
        <v>3420</v>
      </c>
      <c r="C276" s="45" t="s">
        <v>122</v>
      </c>
      <c r="D276" s="45" t="s">
        <v>123</v>
      </c>
      <c r="E276" s="45" t="s">
        <v>124</v>
      </c>
      <c r="F276" s="71">
        <v>16528.93</v>
      </c>
      <c r="G276" s="71">
        <v>0</v>
      </c>
      <c r="H276" s="49">
        <v>0</v>
      </c>
      <c r="I276" s="49">
        <v>0</v>
      </c>
      <c r="J276" s="49">
        <v>3471.07</v>
      </c>
      <c r="K276" s="49">
        <v>0</v>
      </c>
      <c r="L276" s="71">
        <v>0</v>
      </c>
      <c r="M276" s="71">
        <v>20000</v>
      </c>
    </row>
    <row r="277" spans="1:13">
      <c r="A277" s="43" t="s">
        <v>3411</v>
      </c>
      <c r="B277" s="134" t="s">
        <v>3421</v>
      </c>
      <c r="C277" s="45" t="s">
        <v>122</v>
      </c>
      <c r="D277" s="45" t="s">
        <v>123</v>
      </c>
      <c r="E277" s="45" t="s">
        <v>124</v>
      </c>
      <c r="F277" s="71">
        <v>4132.2300000000005</v>
      </c>
      <c r="G277" s="71">
        <v>0</v>
      </c>
      <c r="H277" s="49">
        <v>0</v>
      </c>
      <c r="I277" s="49">
        <v>0</v>
      </c>
      <c r="J277" s="49">
        <v>867.77</v>
      </c>
      <c r="K277" s="49">
        <v>0</v>
      </c>
      <c r="L277" s="71">
        <v>0</v>
      </c>
      <c r="M277" s="71">
        <v>5000</v>
      </c>
    </row>
    <row r="278" spans="1:13">
      <c r="A278" s="43" t="s">
        <v>3411</v>
      </c>
      <c r="B278" s="134" t="s">
        <v>3422</v>
      </c>
      <c r="C278" s="45" t="s">
        <v>122</v>
      </c>
      <c r="D278" s="45" t="s">
        <v>123</v>
      </c>
      <c r="E278" s="45" t="s">
        <v>124</v>
      </c>
      <c r="F278" s="71">
        <v>6611.57</v>
      </c>
      <c r="G278" s="71">
        <v>0</v>
      </c>
      <c r="H278" s="49">
        <v>0</v>
      </c>
      <c r="I278" s="49">
        <v>0</v>
      </c>
      <c r="J278" s="49">
        <v>1388.43</v>
      </c>
      <c r="K278" s="49">
        <v>0</v>
      </c>
      <c r="L278" s="71">
        <v>0</v>
      </c>
      <c r="M278" s="71">
        <v>8000</v>
      </c>
    </row>
    <row r="279" spans="1:13">
      <c r="A279" s="43" t="s">
        <v>3411</v>
      </c>
      <c r="B279" s="134" t="s">
        <v>3423</v>
      </c>
      <c r="C279" s="45" t="s">
        <v>122</v>
      </c>
      <c r="D279" s="45" t="s">
        <v>123</v>
      </c>
      <c r="E279" s="45" t="s">
        <v>124</v>
      </c>
      <c r="F279" s="71">
        <v>12190.08</v>
      </c>
      <c r="G279" s="71">
        <v>0</v>
      </c>
      <c r="H279" s="49">
        <v>0</v>
      </c>
      <c r="I279" s="49">
        <v>0</v>
      </c>
      <c r="J279" s="49">
        <v>2559.92</v>
      </c>
      <c r="K279" s="49">
        <v>0</v>
      </c>
      <c r="L279" s="71">
        <v>0</v>
      </c>
      <c r="M279" s="71">
        <v>14750</v>
      </c>
    </row>
    <row r="280" spans="1:13">
      <c r="A280" s="43" t="s">
        <v>3411</v>
      </c>
      <c r="B280" s="134" t="s">
        <v>3424</v>
      </c>
      <c r="C280" s="45" t="s">
        <v>122</v>
      </c>
      <c r="D280" s="45" t="s">
        <v>123</v>
      </c>
      <c r="E280" s="45" t="s">
        <v>124</v>
      </c>
      <c r="F280" s="71">
        <v>12396.69</v>
      </c>
      <c r="G280" s="71">
        <v>0</v>
      </c>
      <c r="H280" s="49">
        <v>0</v>
      </c>
      <c r="I280" s="49">
        <v>0</v>
      </c>
      <c r="J280" s="49">
        <v>2603.31</v>
      </c>
      <c r="K280" s="49">
        <v>0</v>
      </c>
      <c r="L280" s="71">
        <v>0</v>
      </c>
      <c r="M280" s="71">
        <v>15000</v>
      </c>
    </row>
    <row r="281" spans="1:13">
      <c r="A281" s="43" t="s">
        <v>3411</v>
      </c>
      <c r="B281" s="134" t="s">
        <v>3425</v>
      </c>
      <c r="C281" s="45" t="s">
        <v>122</v>
      </c>
      <c r="D281" s="45" t="s">
        <v>123</v>
      </c>
      <c r="E281" s="45" t="s">
        <v>124</v>
      </c>
      <c r="F281" s="71">
        <v>4958.68</v>
      </c>
      <c r="G281" s="71">
        <v>0</v>
      </c>
      <c r="H281" s="49">
        <v>0</v>
      </c>
      <c r="I281" s="49">
        <v>0</v>
      </c>
      <c r="J281" s="49">
        <v>1041.32</v>
      </c>
      <c r="K281" s="49">
        <v>0</v>
      </c>
      <c r="L281" s="71">
        <v>0</v>
      </c>
      <c r="M281" s="71">
        <v>6000</v>
      </c>
    </row>
    <row r="282" spans="1:13">
      <c r="A282" s="43" t="s">
        <v>3411</v>
      </c>
      <c r="B282" s="134" t="s">
        <v>3426</v>
      </c>
      <c r="C282" s="45" t="s">
        <v>122</v>
      </c>
      <c r="D282" s="45" t="s">
        <v>123</v>
      </c>
      <c r="E282" s="45" t="s">
        <v>124</v>
      </c>
      <c r="F282" s="71">
        <v>16074.38</v>
      </c>
      <c r="G282" s="71">
        <v>0</v>
      </c>
      <c r="H282" s="49">
        <v>0</v>
      </c>
      <c r="I282" s="49">
        <v>0</v>
      </c>
      <c r="J282" s="49">
        <v>3375.62</v>
      </c>
      <c r="K282" s="49">
        <v>0</v>
      </c>
      <c r="L282" s="71">
        <v>0</v>
      </c>
      <c r="M282" s="71">
        <v>19450</v>
      </c>
    </row>
    <row r="283" spans="1:13">
      <c r="A283" s="43" t="s">
        <v>3411</v>
      </c>
      <c r="B283" s="134" t="s">
        <v>3427</v>
      </c>
      <c r="C283" s="45" t="s">
        <v>3428</v>
      </c>
      <c r="D283" s="45" t="s">
        <v>123</v>
      </c>
      <c r="E283" s="45">
        <v>11078795</v>
      </c>
      <c r="F283" s="71">
        <v>15702.48</v>
      </c>
      <c r="G283" s="71">
        <v>0</v>
      </c>
      <c r="H283" s="49">
        <v>0</v>
      </c>
      <c r="I283" s="49">
        <v>0</v>
      </c>
      <c r="J283" s="49">
        <v>3297.52</v>
      </c>
      <c r="K283" s="49">
        <v>0</v>
      </c>
      <c r="L283" s="71">
        <v>0</v>
      </c>
      <c r="M283" s="71">
        <v>19000</v>
      </c>
    </row>
    <row r="284" spans="1:13">
      <c r="A284" s="43" t="s">
        <v>3411</v>
      </c>
      <c r="B284" s="134" t="s">
        <v>3429</v>
      </c>
      <c r="C284" s="45" t="s">
        <v>122</v>
      </c>
      <c r="D284" s="45" t="s">
        <v>123</v>
      </c>
      <c r="E284" s="45" t="s">
        <v>124</v>
      </c>
      <c r="F284" s="71">
        <v>7438.02</v>
      </c>
      <c r="G284" s="71">
        <v>0</v>
      </c>
      <c r="H284" s="49">
        <v>0</v>
      </c>
      <c r="I284" s="49">
        <v>0</v>
      </c>
      <c r="J284" s="49">
        <v>1561.98</v>
      </c>
      <c r="K284" s="49">
        <v>0</v>
      </c>
      <c r="L284" s="71">
        <v>0</v>
      </c>
      <c r="M284" s="71">
        <v>9000</v>
      </c>
    </row>
    <row r="285" spans="1:13">
      <c r="A285" s="43" t="s">
        <v>3411</v>
      </c>
      <c r="B285" s="134" t="s">
        <v>3430</v>
      </c>
      <c r="C285" s="45" t="s">
        <v>122</v>
      </c>
      <c r="D285" s="45" t="s">
        <v>123</v>
      </c>
      <c r="E285" s="45" t="s">
        <v>124</v>
      </c>
      <c r="F285" s="71">
        <v>43388.43</v>
      </c>
      <c r="G285" s="71">
        <v>0</v>
      </c>
      <c r="H285" s="49">
        <v>0</v>
      </c>
      <c r="I285" s="49">
        <v>0</v>
      </c>
      <c r="J285" s="49">
        <v>9111.57</v>
      </c>
      <c r="K285" s="49">
        <v>0</v>
      </c>
      <c r="L285" s="71">
        <v>0</v>
      </c>
      <c r="M285" s="71">
        <v>52500</v>
      </c>
    </row>
    <row r="286" spans="1:13">
      <c r="A286" s="43" t="s">
        <v>3411</v>
      </c>
      <c r="B286" s="134" t="s">
        <v>3431</v>
      </c>
      <c r="C286" s="45" t="s">
        <v>122</v>
      </c>
      <c r="D286" s="45" t="s">
        <v>123</v>
      </c>
      <c r="E286" s="45" t="s">
        <v>124</v>
      </c>
      <c r="F286" s="71">
        <v>4132.2300000000005</v>
      </c>
      <c r="G286" s="71">
        <v>0</v>
      </c>
      <c r="H286" s="49">
        <v>0</v>
      </c>
      <c r="I286" s="49">
        <v>0</v>
      </c>
      <c r="J286" s="49">
        <v>867.77</v>
      </c>
      <c r="K286" s="49">
        <v>0</v>
      </c>
      <c r="L286" s="71">
        <v>0</v>
      </c>
      <c r="M286" s="71">
        <v>5000</v>
      </c>
    </row>
    <row r="287" spans="1:13">
      <c r="A287" s="43" t="s">
        <v>3411</v>
      </c>
      <c r="B287" s="134" t="s">
        <v>3432</v>
      </c>
      <c r="C287" s="45" t="s">
        <v>122</v>
      </c>
      <c r="D287" s="45" t="s">
        <v>123</v>
      </c>
      <c r="E287" s="45" t="s">
        <v>124</v>
      </c>
      <c r="F287" s="71">
        <v>9008.26</v>
      </c>
      <c r="G287" s="71">
        <v>0</v>
      </c>
      <c r="H287" s="49">
        <v>0</v>
      </c>
      <c r="I287" s="49">
        <v>0</v>
      </c>
      <c r="J287" s="49">
        <v>1891.74</v>
      </c>
      <c r="K287" s="49">
        <v>0</v>
      </c>
      <c r="L287" s="71">
        <v>0</v>
      </c>
      <c r="M287" s="71">
        <v>10900</v>
      </c>
    </row>
    <row r="288" spans="1:13">
      <c r="A288" s="43" t="s">
        <v>3411</v>
      </c>
      <c r="B288" s="134" t="s">
        <v>3433</v>
      </c>
      <c r="C288" s="45" t="s">
        <v>122</v>
      </c>
      <c r="D288" s="45" t="s">
        <v>123</v>
      </c>
      <c r="E288" s="45" t="s">
        <v>124</v>
      </c>
      <c r="F288" s="71">
        <v>7438.02</v>
      </c>
      <c r="G288" s="71">
        <v>0</v>
      </c>
      <c r="H288" s="49">
        <v>0</v>
      </c>
      <c r="I288" s="49">
        <v>0</v>
      </c>
      <c r="J288" s="49">
        <v>1561.98</v>
      </c>
      <c r="K288" s="49">
        <v>0</v>
      </c>
      <c r="L288" s="71">
        <v>0</v>
      </c>
      <c r="M288" s="71">
        <v>9000</v>
      </c>
    </row>
    <row r="289" spans="1:13">
      <c r="A289" s="43" t="s">
        <v>3446</v>
      </c>
      <c r="B289" s="134" t="s">
        <v>3447</v>
      </c>
      <c r="C289" s="45" t="s">
        <v>122</v>
      </c>
      <c r="D289" s="45" t="s">
        <v>123</v>
      </c>
      <c r="E289" s="45" t="s">
        <v>124</v>
      </c>
      <c r="F289" s="71">
        <v>10909.09</v>
      </c>
      <c r="G289" s="71">
        <v>0</v>
      </c>
      <c r="H289" s="49">
        <v>0</v>
      </c>
      <c r="I289" s="49">
        <v>0</v>
      </c>
      <c r="J289" s="49">
        <v>2290.91</v>
      </c>
      <c r="K289" s="49">
        <v>0</v>
      </c>
      <c r="L289" s="71">
        <v>0</v>
      </c>
      <c r="M289" s="71">
        <v>13200</v>
      </c>
    </row>
    <row r="290" spans="1:13">
      <c r="A290" s="43" t="s">
        <v>3446</v>
      </c>
      <c r="B290" s="134" t="s">
        <v>3448</v>
      </c>
      <c r="C290" s="45" t="s">
        <v>122</v>
      </c>
      <c r="D290" s="45" t="s">
        <v>123</v>
      </c>
      <c r="E290" s="45" t="s">
        <v>124</v>
      </c>
      <c r="F290" s="71">
        <v>2975.21</v>
      </c>
      <c r="G290" s="71">
        <v>0</v>
      </c>
      <c r="H290" s="49">
        <v>0</v>
      </c>
      <c r="I290" s="49">
        <v>0</v>
      </c>
      <c r="J290" s="49">
        <v>624.79</v>
      </c>
      <c r="K290" s="49">
        <v>0</v>
      </c>
      <c r="L290" s="71">
        <v>0</v>
      </c>
      <c r="M290" s="71">
        <v>3600</v>
      </c>
    </row>
    <row r="291" spans="1:13">
      <c r="A291" s="43" t="s">
        <v>3446</v>
      </c>
      <c r="B291" s="134" t="s">
        <v>3449</v>
      </c>
      <c r="C291" s="45" t="s">
        <v>122</v>
      </c>
      <c r="D291" s="45" t="s">
        <v>123</v>
      </c>
      <c r="E291" s="45" t="s">
        <v>124</v>
      </c>
      <c r="F291" s="71">
        <v>3347.11</v>
      </c>
      <c r="G291" s="71">
        <v>0</v>
      </c>
      <c r="H291" s="49">
        <v>0</v>
      </c>
      <c r="I291" s="49">
        <v>0</v>
      </c>
      <c r="J291" s="49">
        <v>702.89</v>
      </c>
      <c r="K291" s="49">
        <v>0</v>
      </c>
      <c r="L291" s="71">
        <v>0</v>
      </c>
      <c r="M291" s="71">
        <v>4050</v>
      </c>
    </row>
    <row r="292" spans="1:13">
      <c r="A292" s="43" t="s">
        <v>3446</v>
      </c>
      <c r="B292" s="134" t="s">
        <v>3450</v>
      </c>
      <c r="C292" s="45" t="s">
        <v>122</v>
      </c>
      <c r="D292" s="45" t="s">
        <v>123</v>
      </c>
      <c r="E292" s="45" t="s">
        <v>124</v>
      </c>
      <c r="F292" s="71">
        <v>2066.12</v>
      </c>
      <c r="G292" s="71">
        <v>0</v>
      </c>
      <c r="H292" s="49">
        <v>0</v>
      </c>
      <c r="I292" s="49">
        <v>0</v>
      </c>
      <c r="J292" s="49">
        <v>433.88</v>
      </c>
      <c r="K292" s="49">
        <v>0</v>
      </c>
      <c r="L292" s="71">
        <v>0</v>
      </c>
      <c r="M292" s="71">
        <v>2500</v>
      </c>
    </row>
    <row r="293" spans="1:13">
      <c r="A293" s="43" t="s">
        <v>3446</v>
      </c>
      <c r="B293" s="134" t="s">
        <v>3451</v>
      </c>
      <c r="C293" s="45" t="s">
        <v>122</v>
      </c>
      <c r="D293" s="45" t="s">
        <v>123</v>
      </c>
      <c r="E293" s="45" t="s">
        <v>124</v>
      </c>
      <c r="F293" s="71">
        <v>2892.56</v>
      </c>
      <c r="G293" s="71">
        <v>0</v>
      </c>
      <c r="H293" s="49">
        <v>0</v>
      </c>
      <c r="I293" s="49">
        <v>0</v>
      </c>
      <c r="J293" s="49">
        <v>607.44000000000005</v>
      </c>
      <c r="K293" s="49">
        <v>0</v>
      </c>
      <c r="L293" s="71">
        <v>0</v>
      </c>
      <c r="M293" s="71">
        <v>3500</v>
      </c>
    </row>
    <row r="294" spans="1:13">
      <c r="A294" s="43" t="s">
        <v>3446</v>
      </c>
      <c r="B294" s="134" t="s">
        <v>3452</v>
      </c>
      <c r="C294" s="45" t="s">
        <v>122</v>
      </c>
      <c r="D294" s="45" t="s">
        <v>123</v>
      </c>
      <c r="E294" s="45" t="s">
        <v>124</v>
      </c>
      <c r="F294" s="71">
        <v>24793.39</v>
      </c>
      <c r="G294" s="71">
        <v>0</v>
      </c>
      <c r="H294" s="49">
        <v>0</v>
      </c>
      <c r="I294" s="49">
        <v>0</v>
      </c>
      <c r="J294" s="49">
        <v>5206.6099999999997</v>
      </c>
      <c r="K294" s="49">
        <v>0</v>
      </c>
      <c r="L294" s="71">
        <v>0</v>
      </c>
      <c r="M294" s="71">
        <v>30000</v>
      </c>
    </row>
    <row r="295" spans="1:13">
      <c r="A295" s="43" t="s">
        <v>3446</v>
      </c>
      <c r="B295" s="134" t="s">
        <v>3453</v>
      </c>
      <c r="C295" s="45" t="s">
        <v>122</v>
      </c>
      <c r="D295" s="45" t="s">
        <v>123</v>
      </c>
      <c r="E295" s="45" t="s">
        <v>124</v>
      </c>
      <c r="F295" s="71">
        <v>3925.62</v>
      </c>
      <c r="G295" s="71">
        <v>0</v>
      </c>
      <c r="H295" s="49">
        <v>0</v>
      </c>
      <c r="I295" s="49">
        <v>0</v>
      </c>
      <c r="J295" s="49">
        <v>824.38</v>
      </c>
      <c r="K295" s="49">
        <v>0</v>
      </c>
      <c r="L295" s="71">
        <v>0</v>
      </c>
      <c r="M295" s="71">
        <v>4750</v>
      </c>
    </row>
    <row r="296" spans="1:13">
      <c r="A296" s="43" t="s">
        <v>3446</v>
      </c>
      <c r="B296" s="134" t="s">
        <v>3454</v>
      </c>
      <c r="C296" s="45" t="s">
        <v>122</v>
      </c>
      <c r="D296" s="45" t="s">
        <v>123</v>
      </c>
      <c r="E296" s="45" t="s">
        <v>124</v>
      </c>
      <c r="F296" s="71">
        <v>6942.15</v>
      </c>
      <c r="G296" s="71">
        <v>0</v>
      </c>
      <c r="H296" s="49">
        <v>0</v>
      </c>
      <c r="I296" s="49">
        <v>0</v>
      </c>
      <c r="J296" s="49">
        <v>1457.85</v>
      </c>
      <c r="K296" s="49">
        <v>0</v>
      </c>
      <c r="L296" s="71">
        <v>0</v>
      </c>
      <c r="M296" s="71">
        <v>8400</v>
      </c>
    </row>
    <row r="297" spans="1:13">
      <c r="A297" s="43" t="s">
        <v>3446</v>
      </c>
      <c r="B297" s="134" t="s">
        <v>3455</v>
      </c>
      <c r="C297" s="45" t="s">
        <v>122</v>
      </c>
      <c r="D297" s="45" t="s">
        <v>123</v>
      </c>
      <c r="E297" s="45" t="s">
        <v>124</v>
      </c>
      <c r="F297" s="71">
        <v>19628.100000000002</v>
      </c>
      <c r="G297" s="71">
        <v>0</v>
      </c>
      <c r="H297" s="49">
        <v>0</v>
      </c>
      <c r="I297" s="49">
        <v>0</v>
      </c>
      <c r="J297" s="49">
        <v>4121.8999999999996</v>
      </c>
      <c r="K297" s="49">
        <v>0</v>
      </c>
      <c r="L297" s="71">
        <v>0</v>
      </c>
      <c r="M297" s="71">
        <v>23750</v>
      </c>
    </row>
    <row r="298" spans="1:13">
      <c r="A298" s="43" t="s">
        <v>3446</v>
      </c>
      <c r="B298" s="134" t="s">
        <v>3456</v>
      </c>
      <c r="C298" s="45" t="s">
        <v>122</v>
      </c>
      <c r="D298" s="45" t="s">
        <v>123</v>
      </c>
      <c r="E298" s="45" t="s">
        <v>124</v>
      </c>
      <c r="F298" s="71">
        <v>1487.6</v>
      </c>
      <c r="G298" s="71">
        <v>0</v>
      </c>
      <c r="H298" s="49">
        <v>0</v>
      </c>
      <c r="I298" s="49">
        <v>0</v>
      </c>
      <c r="J298" s="49">
        <v>312.39999999999998</v>
      </c>
      <c r="K298" s="49">
        <v>0</v>
      </c>
      <c r="L298" s="71">
        <v>0</v>
      </c>
      <c r="M298" s="71">
        <v>1800</v>
      </c>
    </row>
    <row r="299" spans="1:13">
      <c r="A299" s="43" t="s">
        <v>3446</v>
      </c>
      <c r="B299" s="134" t="s">
        <v>3457</v>
      </c>
      <c r="C299" s="45" t="s">
        <v>122</v>
      </c>
      <c r="D299" s="45" t="s">
        <v>123</v>
      </c>
      <c r="E299" s="45" t="s">
        <v>124</v>
      </c>
      <c r="F299" s="71">
        <v>6446.28</v>
      </c>
      <c r="G299" s="71">
        <v>0</v>
      </c>
      <c r="H299" s="49">
        <v>0</v>
      </c>
      <c r="I299" s="49">
        <v>0</v>
      </c>
      <c r="J299" s="49">
        <v>1353.72</v>
      </c>
      <c r="K299" s="49">
        <v>0</v>
      </c>
      <c r="L299" s="71">
        <v>0</v>
      </c>
      <c r="M299" s="71">
        <v>7800</v>
      </c>
    </row>
    <row r="300" spans="1:13">
      <c r="A300" s="43" t="s">
        <v>3476</v>
      </c>
      <c r="B300" s="134" t="s">
        <v>3477</v>
      </c>
      <c r="C300" s="45" t="s">
        <v>122</v>
      </c>
      <c r="D300" s="45" t="s">
        <v>123</v>
      </c>
      <c r="E300" s="45" t="s">
        <v>124</v>
      </c>
      <c r="F300" s="71">
        <v>4504.13</v>
      </c>
      <c r="G300" s="71">
        <v>0</v>
      </c>
      <c r="H300" s="49">
        <v>0</v>
      </c>
      <c r="I300" s="49">
        <v>0</v>
      </c>
      <c r="J300" s="49">
        <v>945.87</v>
      </c>
      <c r="K300" s="49">
        <v>0</v>
      </c>
      <c r="L300" s="71">
        <v>0</v>
      </c>
      <c r="M300" s="71">
        <v>5450</v>
      </c>
    </row>
    <row r="301" spans="1:13">
      <c r="A301" s="43" t="s">
        <v>3476</v>
      </c>
      <c r="B301" s="134" t="s">
        <v>3478</v>
      </c>
      <c r="C301" s="45" t="s">
        <v>122</v>
      </c>
      <c r="D301" s="45" t="s">
        <v>123</v>
      </c>
      <c r="E301" s="45" t="s">
        <v>124</v>
      </c>
      <c r="F301" s="71">
        <v>9008.26</v>
      </c>
      <c r="G301" s="71">
        <v>0</v>
      </c>
      <c r="H301" s="49">
        <v>0</v>
      </c>
      <c r="I301" s="49">
        <v>0</v>
      </c>
      <c r="J301" s="49">
        <v>1891.74</v>
      </c>
      <c r="K301" s="49">
        <v>0</v>
      </c>
      <c r="L301" s="71">
        <v>0</v>
      </c>
      <c r="M301" s="71">
        <v>10900</v>
      </c>
    </row>
    <row r="302" spans="1:13">
      <c r="A302" s="43" t="s">
        <v>3476</v>
      </c>
      <c r="B302" s="134" t="s">
        <v>3479</v>
      </c>
      <c r="C302" s="45" t="s">
        <v>122</v>
      </c>
      <c r="D302" s="45" t="s">
        <v>123</v>
      </c>
      <c r="E302" s="45" t="s">
        <v>124</v>
      </c>
      <c r="F302" s="71">
        <v>4462.8100000000004</v>
      </c>
      <c r="G302" s="71">
        <v>0</v>
      </c>
      <c r="H302" s="49">
        <v>0</v>
      </c>
      <c r="I302" s="49">
        <v>0</v>
      </c>
      <c r="J302" s="49">
        <v>937.19</v>
      </c>
      <c r="K302" s="49">
        <v>0</v>
      </c>
      <c r="L302" s="71">
        <v>0</v>
      </c>
      <c r="M302" s="71">
        <v>5400</v>
      </c>
    </row>
    <row r="303" spans="1:13">
      <c r="A303" s="43" t="s">
        <v>3476</v>
      </c>
      <c r="B303" s="134" t="s">
        <v>3480</v>
      </c>
      <c r="C303" s="45" t="s">
        <v>122</v>
      </c>
      <c r="D303" s="45" t="s">
        <v>123</v>
      </c>
      <c r="E303" s="45" t="s">
        <v>124</v>
      </c>
      <c r="F303" s="71">
        <v>14008.26</v>
      </c>
      <c r="G303" s="71">
        <v>0</v>
      </c>
      <c r="H303" s="49">
        <v>0</v>
      </c>
      <c r="I303" s="49">
        <v>0</v>
      </c>
      <c r="J303" s="49">
        <v>2941.74</v>
      </c>
      <c r="K303" s="49">
        <v>0</v>
      </c>
      <c r="L303" s="71">
        <v>0</v>
      </c>
      <c r="M303" s="71">
        <v>16950</v>
      </c>
    </row>
    <row r="304" spans="1:13">
      <c r="A304" s="43" t="s">
        <v>3476</v>
      </c>
      <c r="B304" s="134" t="s">
        <v>3481</v>
      </c>
      <c r="C304" s="45" t="s">
        <v>122</v>
      </c>
      <c r="D304" s="45" t="s">
        <v>123</v>
      </c>
      <c r="E304" s="45" t="s">
        <v>124</v>
      </c>
      <c r="F304" s="71">
        <v>11983.47</v>
      </c>
      <c r="G304" s="71">
        <v>0</v>
      </c>
      <c r="H304" s="49">
        <v>0</v>
      </c>
      <c r="I304" s="49">
        <v>0</v>
      </c>
      <c r="J304" s="49">
        <v>2516.5300000000002</v>
      </c>
      <c r="K304" s="49">
        <v>0</v>
      </c>
      <c r="L304" s="71">
        <v>0</v>
      </c>
      <c r="M304" s="71">
        <v>14500</v>
      </c>
    </row>
    <row r="305" spans="1:13">
      <c r="A305" s="43" t="s">
        <v>3476</v>
      </c>
      <c r="B305" s="134" t="s">
        <v>3482</v>
      </c>
      <c r="C305" s="45" t="s">
        <v>122</v>
      </c>
      <c r="D305" s="45" t="s">
        <v>123</v>
      </c>
      <c r="E305" s="45" t="s">
        <v>124</v>
      </c>
      <c r="F305" s="71">
        <v>2231.4</v>
      </c>
      <c r="G305" s="71">
        <v>0</v>
      </c>
      <c r="H305" s="49">
        <v>0</v>
      </c>
      <c r="I305" s="49">
        <v>0</v>
      </c>
      <c r="J305" s="49">
        <v>468.6</v>
      </c>
      <c r="K305" s="49">
        <v>0</v>
      </c>
      <c r="L305" s="71">
        <v>0</v>
      </c>
      <c r="M305" s="71">
        <v>2700</v>
      </c>
    </row>
    <row r="306" spans="1:13">
      <c r="A306" s="43" t="s">
        <v>3476</v>
      </c>
      <c r="B306" s="134" t="s">
        <v>3483</v>
      </c>
      <c r="C306" s="45" t="s">
        <v>122</v>
      </c>
      <c r="D306" s="45" t="s">
        <v>123</v>
      </c>
      <c r="E306" s="45" t="s">
        <v>124</v>
      </c>
      <c r="F306" s="71">
        <v>10743.8</v>
      </c>
      <c r="G306" s="71">
        <v>0</v>
      </c>
      <c r="H306" s="49">
        <v>0</v>
      </c>
      <c r="I306" s="49">
        <v>0</v>
      </c>
      <c r="J306" s="49">
        <v>2256.1999999999998</v>
      </c>
      <c r="K306" s="49">
        <v>0</v>
      </c>
      <c r="L306" s="71">
        <v>0</v>
      </c>
      <c r="M306" s="71">
        <v>13000</v>
      </c>
    </row>
    <row r="307" spans="1:13">
      <c r="A307" s="43" t="s">
        <v>3476</v>
      </c>
      <c r="B307" s="134" t="s">
        <v>3484</v>
      </c>
      <c r="C307" s="45" t="s">
        <v>122</v>
      </c>
      <c r="D307" s="45" t="s">
        <v>123</v>
      </c>
      <c r="E307" s="45" t="s">
        <v>124</v>
      </c>
      <c r="F307" s="71">
        <v>24793.39</v>
      </c>
      <c r="G307" s="71">
        <v>0</v>
      </c>
      <c r="H307" s="49">
        <v>0</v>
      </c>
      <c r="I307" s="49">
        <v>0</v>
      </c>
      <c r="J307" s="49">
        <v>5206.6099999999997</v>
      </c>
      <c r="K307" s="49">
        <v>0</v>
      </c>
      <c r="L307" s="71">
        <v>0</v>
      </c>
      <c r="M307" s="71">
        <v>30000</v>
      </c>
    </row>
    <row r="308" spans="1:13">
      <c r="A308" s="43" t="s">
        <v>3476</v>
      </c>
      <c r="B308" s="134" t="s">
        <v>3485</v>
      </c>
      <c r="C308" s="45" t="s">
        <v>122</v>
      </c>
      <c r="D308" s="45" t="s">
        <v>123</v>
      </c>
      <c r="E308" s="45" t="s">
        <v>124</v>
      </c>
      <c r="F308" s="71">
        <v>4876.03</v>
      </c>
      <c r="G308" s="71">
        <v>0</v>
      </c>
      <c r="H308" s="49">
        <v>0</v>
      </c>
      <c r="I308" s="49">
        <v>0</v>
      </c>
      <c r="J308" s="49">
        <v>1023.97</v>
      </c>
      <c r="K308" s="49">
        <v>0</v>
      </c>
      <c r="L308" s="71">
        <v>0</v>
      </c>
      <c r="M308" s="71">
        <v>5900</v>
      </c>
    </row>
    <row r="309" spans="1:13">
      <c r="A309" s="43" t="s">
        <v>3476</v>
      </c>
      <c r="B309" s="134" t="s">
        <v>3486</v>
      </c>
      <c r="C309" s="45" t="s">
        <v>122</v>
      </c>
      <c r="D309" s="45" t="s">
        <v>123</v>
      </c>
      <c r="E309" s="45" t="s">
        <v>124</v>
      </c>
      <c r="F309" s="71">
        <v>18181.82</v>
      </c>
      <c r="G309" s="71">
        <v>0</v>
      </c>
      <c r="H309" s="49">
        <v>0</v>
      </c>
      <c r="I309" s="49">
        <v>0</v>
      </c>
      <c r="J309" s="49">
        <v>3818.18</v>
      </c>
      <c r="K309" s="49">
        <v>0</v>
      </c>
      <c r="L309" s="71">
        <v>0</v>
      </c>
      <c r="M309" s="71">
        <v>22000</v>
      </c>
    </row>
    <row r="310" spans="1:13">
      <c r="A310" s="43" t="s">
        <v>3476</v>
      </c>
      <c r="B310" s="134" t="s">
        <v>3487</v>
      </c>
      <c r="C310" s="45" t="s">
        <v>122</v>
      </c>
      <c r="D310" s="45" t="s">
        <v>123</v>
      </c>
      <c r="E310" s="45" t="s">
        <v>124</v>
      </c>
      <c r="F310" s="71">
        <v>4504.13</v>
      </c>
      <c r="G310" s="71">
        <v>0</v>
      </c>
      <c r="H310" s="49">
        <v>0</v>
      </c>
      <c r="I310" s="49">
        <v>0</v>
      </c>
      <c r="J310" s="49">
        <v>945.87</v>
      </c>
      <c r="K310" s="49">
        <v>0</v>
      </c>
      <c r="L310" s="71">
        <v>0</v>
      </c>
      <c r="M310" s="71">
        <v>5450</v>
      </c>
    </row>
    <row r="311" spans="1:13">
      <c r="A311" s="43" t="s">
        <v>3476</v>
      </c>
      <c r="B311" s="134" t="s">
        <v>3488</v>
      </c>
      <c r="C311" s="45" t="s">
        <v>122</v>
      </c>
      <c r="D311" s="45" t="s">
        <v>123</v>
      </c>
      <c r="E311" s="45" t="s">
        <v>124</v>
      </c>
      <c r="F311" s="71">
        <v>11570.25</v>
      </c>
      <c r="G311" s="71">
        <v>0</v>
      </c>
      <c r="H311" s="49">
        <v>0</v>
      </c>
      <c r="I311" s="49">
        <v>0</v>
      </c>
      <c r="J311" s="49">
        <v>2429.75</v>
      </c>
      <c r="K311" s="49">
        <v>0</v>
      </c>
      <c r="L311" s="71">
        <v>0</v>
      </c>
      <c r="M311" s="71">
        <v>14000</v>
      </c>
    </row>
    <row r="312" spans="1:13">
      <c r="A312" s="43" t="s">
        <v>3497</v>
      </c>
      <c r="B312" s="134" t="s">
        <v>3499</v>
      </c>
      <c r="C312" s="45" t="s">
        <v>122</v>
      </c>
      <c r="D312" s="45" t="s">
        <v>123</v>
      </c>
      <c r="E312" s="45" t="s">
        <v>124</v>
      </c>
      <c r="F312" s="71">
        <v>4504.13</v>
      </c>
      <c r="G312" s="71">
        <v>0</v>
      </c>
      <c r="H312" s="49">
        <v>0</v>
      </c>
      <c r="I312" s="49">
        <v>0</v>
      </c>
      <c r="J312" s="49">
        <v>945.87</v>
      </c>
      <c r="K312" s="49">
        <v>0</v>
      </c>
      <c r="L312" s="71">
        <v>0</v>
      </c>
      <c r="M312" s="71">
        <v>5450</v>
      </c>
    </row>
    <row r="313" spans="1:13">
      <c r="A313" s="43" t="s">
        <v>3497</v>
      </c>
      <c r="B313" s="134" t="s">
        <v>3500</v>
      </c>
      <c r="C313" s="45" t="s">
        <v>3501</v>
      </c>
      <c r="D313" s="45" t="s">
        <v>123</v>
      </c>
      <c r="E313" s="45">
        <v>48460576</v>
      </c>
      <c r="F313" s="71">
        <v>7479.34</v>
      </c>
      <c r="G313" s="71">
        <v>0</v>
      </c>
      <c r="H313" s="49">
        <v>0</v>
      </c>
      <c r="I313" s="49">
        <v>0</v>
      </c>
      <c r="J313" s="49">
        <v>1570.66</v>
      </c>
      <c r="K313" s="49">
        <v>0</v>
      </c>
      <c r="L313" s="71">
        <v>0</v>
      </c>
      <c r="M313" s="71">
        <v>9050</v>
      </c>
    </row>
    <row r="314" spans="1:13">
      <c r="A314" s="43" t="s">
        <v>3497</v>
      </c>
      <c r="B314" s="134" t="s">
        <v>3502</v>
      </c>
      <c r="C314" s="45" t="s">
        <v>122</v>
      </c>
      <c r="D314" s="45" t="s">
        <v>123</v>
      </c>
      <c r="E314" s="45" t="s">
        <v>124</v>
      </c>
      <c r="F314" s="71">
        <v>4049.59</v>
      </c>
      <c r="G314" s="71">
        <v>0</v>
      </c>
      <c r="H314" s="49">
        <v>0</v>
      </c>
      <c r="I314" s="49">
        <v>0</v>
      </c>
      <c r="J314" s="49">
        <v>850.41</v>
      </c>
      <c r="K314" s="49">
        <v>0</v>
      </c>
      <c r="L314" s="71">
        <v>0</v>
      </c>
      <c r="M314" s="71">
        <v>4900</v>
      </c>
    </row>
    <row r="315" spans="1:13">
      <c r="A315" s="43" t="s">
        <v>3497</v>
      </c>
      <c r="B315" s="134" t="s">
        <v>3503</v>
      </c>
      <c r="C315" s="45" t="s">
        <v>122</v>
      </c>
      <c r="D315" s="45" t="s">
        <v>123</v>
      </c>
      <c r="E315" s="45" t="s">
        <v>124</v>
      </c>
      <c r="F315" s="71">
        <v>7190.08</v>
      </c>
      <c r="G315" s="71">
        <v>0</v>
      </c>
      <c r="H315" s="49">
        <v>0</v>
      </c>
      <c r="I315" s="49">
        <v>0</v>
      </c>
      <c r="J315" s="49">
        <v>1509.92</v>
      </c>
      <c r="K315" s="49">
        <v>0</v>
      </c>
      <c r="L315" s="71">
        <v>0</v>
      </c>
      <c r="M315" s="71">
        <v>8700</v>
      </c>
    </row>
    <row r="316" spans="1:13">
      <c r="A316" s="43" t="s">
        <v>3497</v>
      </c>
      <c r="B316" s="134" t="s">
        <v>3504</v>
      </c>
      <c r="C316" s="45" t="s">
        <v>122</v>
      </c>
      <c r="D316" s="45" t="s">
        <v>123</v>
      </c>
      <c r="E316" s="45" t="s">
        <v>124</v>
      </c>
      <c r="F316" s="71">
        <v>19173.55</v>
      </c>
      <c r="G316" s="71">
        <v>0</v>
      </c>
      <c r="H316" s="49">
        <v>0</v>
      </c>
      <c r="I316" s="49">
        <v>0</v>
      </c>
      <c r="J316" s="49">
        <v>4026.45</v>
      </c>
      <c r="K316" s="49">
        <v>0</v>
      </c>
      <c r="L316" s="71">
        <v>0</v>
      </c>
      <c r="M316" s="71">
        <v>23200</v>
      </c>
    </row>
    <row r="317" spans="1:13">
      <c r="A317" s="43" t="s">
        <v>3497</v>
      </c>
      <c r="B317" s="134" t="s">
        <v>3505</v>
      </c>
      <c r="C317" s="45" t="s">
        <v>3506</v>
      </c>
      <c r="D317" s="45" t="s">
        <v>123</v>
      </c>
      <c r="E317" s="45">
        <v>4678181</v>
      </c>
      <c r="F317" s="71">
        <v>106198.35</v>
      </c>
      <c r="G317" s="71">
        <v>0</v>
      </c>
      <c r="H317" s="49">
        <v>0</v>
      </c>
      <c r="I317" s="49">
        <v>0</v>
      </c>
      <c r="J317" s="49">
        <v>22301.65</v>
      </c>
      <c r="K317" s="49">
        <v>0</v>
      </c>
      <c r="L317" s="71">
        <v>0</v>
      </c>
      <c r="M317" s="71">
        <v>128500</v>
      </c>
    </row>
    <row r="318" spans="1:13">
      <c r="A318" s="43" t="s">
        <v>3497</v>
      </c>
      <c r="B318" s="134" t="s">
        <v>3507</v>
      </c>
      <c r="C318" s="45" t="s">
        <v>122</v>
      </c>
      <c r="D318" s="45" t="s">
        <v>123</v>
      </c>
      <c r="E318" s="45" t="s">
        <v>124</v>
      </c>
      <c r="F318" s="71">
        <v>7479.34</v>
      </c>
      <c r="G318" s="71">
        <v>0</v>
      </c>
      <c r="H318" s="49">
        <v>0</v>
      </c>
      <c r="I318" s="49">
        <v>0</v>
      </c>
      <c r="J318" s="49">
        <v>1570.66</v>
      </c>
      <c r="K318" s="49">
        <v>0</v>
      </c>
      <c r="L318" s="71">
        <v>0</v>
      </c>
      <c r="M318" s="71">
        <v>9050</v>
      </c>
    </row>
    <row r="319" spans="1:13">
      <c r="A319" s="43" t="s">
        <v>3497</v>
      </c>
      <c r="B319" s="134" t="s">
        <v>3508</v>
      </c>
      <c r="C319" s="45" t="s">
        <v>122</v>
      </c>
      <c r="D319" s="45" t="s">
        <v>123</v>
      </c>
      <c r="E319" s="45" t="s">
        <v>124</v>
      </c>
      <c r="F319" s="71">
        <v>4132.2300000000005</v>
      </c>
      <c r="G319" s="71">
        <v>0</v>
      </c>
      <c r="H319" s="49">
        <v>0</v>
      </c>
      <c r="I319" s="49">
        <v>0</v>
      </c>
      <c r="J319" s="49">
        <v>867.77</v>
      </c>
      <c r="K319" s="49">
        <v>0</v>
      </c>
      <c r="L319" s="71">
        <v>0</v>
      </c>
      <c r="M319" s="71">
        <v>5000</v>
      </c>
    </row>
    <row r="320" spans="1:13">
      <c r="A320" s="43" t="s">
        <v>3497</v>
      </c>
      <c r="B320" s="134" t="s">
        <v>3509</v>
      </c>
      <c r="C320" s="45" t="s">
        <v>122</v>
      </c>
      <c r="D320" s="45" t="s">
        <v>123</v>
      </c>
      <c r="E320" s="45" t="s">
        <v>124</v>
      </c>
      <c r="F320" s="71">
        <v>1487.6</v>
      </c>
      <c r="G320" s="71">
        <v>0</v>
      </c>
      <c r="H320" s="49">
        <v>0</v>
      </c>
      <c r="I320" s="49">
        <v>0</v>
      </c>
      <c r="J320" s="49">
        <v>312.39999999999998</v>
      </c>
      <c r="K320" s="49">
        <v>0</v>
      </c>
      <c r="L320" s="71">
        <v>0</v>
      </c>
      <c r="M320" s="71">
        <v>1800</v>
      </c>
    </row>
    <row r="321" spans="1:13">
      <c r="A321" s="43" t="s">
        <v>3497</v>
      </c>
      <c r="B321" s="134" t="s">
        <v>3510</v>
      </c>
      <c r="C321" s="45" t="s">
        <v>122</v>
      </c>
      <c r="D321" s="45" t="s">
        <v>123</v>
      </c>
      <c r="E321" s="45" t="s">
        <v>124</v>
      </c>
      <c r="F321" s="71">
        <v>2975.21</v>
      </c>
      <c r="G321" s="71">
        <v>0</v>
      </c>
      <c r="H321" s="49">
        <v>0</v>
      </c>
      <c r="I321" s="49">
        <v>0</v>
      </c>
      <c r="J321" s="49">
        <v>624.79</v>
      </c>
      <c r="K321" s="49">
        <v>0</v>
      </c>
      <c r="L321" s="71">
        <v>0</v>
      </c>
      <c r="M321" s="71">
        <v>3600</v>
      </c>
    </row>
    <row r="322" spans="1:13">
      <c r="A322" s="43" t="s">
        <v>3497</v>
      </c>
      <c r="B322" s="134" t="s">
        <v>3511</v>
      </c>
      <c r="C322" s="45" t="s">
        <v>3512</v>
      </c>
      <c r="D322" s="45" t="s">
        <v>123</v>
      </c>
      <c r="E322" s="45">
        <v>51241386</v>
      </c>
      <c r="F322" s="71">
        <v>9008.26</v>
      </c>
      <c r="G322" s="71">
        <v>0</v>
      </c>
      <c r="H322" s="49">
        <v>0</v>
      </c>
      <c r="I322" s="49">
        <v>0</v>
      </c>
      <c r="J322" s="49">
        <v>1891.74</v>
      </c>
      <c r="K322" s="49">
        <v>0</v>
      </c>
      <c r="L322" s="71">
        <v>0</v>
      </c>
      <c r="M322" s="71">
        <v>10900</v>
      </c>
    </row>
    <row r="323" spans="1:13">
      <c r="A323" s="43" t="s">
        <v>3497</v>
      </c>
      <c r="B323" s="134" t="s">
        <v>3513</v>
      </c>
      <c r="C323" s="45" t="s">
        <v>122</v>
      </c>
      <c r="D323" s="45" t="s">
        <v>123</v>
      </c>
      <c r="E323" s="45" t="s">
        <v>124</v>
      </c>
      <c r="F323" s="71">
        <v>4132.2300000000005</v>
      </c>
      <c r="G323" s="71">
        <v>0</v>
      </c>
      <c r="H323" s="49">
        <v>0</v>
      </c>
      <c r="I323" s="49">
        <v>0</v>
      </c>
      <c r="J323" s="49">
        <v>867.77</v>
      </c>
      <c r="K323" s="49">
        <v>0</v>
      </c>
      <c r="L323" s="71">
        <v>0</v>
      </c>
      <c r="M323" s="71">
        <v>5000</v>
      </c>
    </row>
    <row r="324" spans="1:13">
      <c r="A324" s="43" t="s">
        <v>3497</v>
      </c>
      <c r="B324" s="134" t="s">
        <v>3514</v>
      </c>
      <c r="C324" s="45" t="s">
        <v>122</v>
      </c>
      <c r="D324" s="45" t="s">
        <v>123</v>
      </c>
      <c r="E324" s="45" t="s">
        <v>124</v>
      </c>
      <c r="F324" s="71">
        <v>11983.47</v>
      </c>
      <c r="G324" s="71">
        <v>0</v>
      </c>
      <c r="H324" s="49">
        <v>0</v>
      </c>
      <c r="I324" s="49">
        <v>0</v>
      </c>
      <c r="J324" s="49">
        <v>2516.5300000000002</v>
      </c>
      <c r="K324" s="49">
        <v>0</v>
      </c>
      <c r="L324" s="71">
        <v>0</v>
      </c>
      <c r="M324" s="71">
        <v>14500</v>
      </c>
    </row>
    <row r="325" spans="1:13">
      <c r="A325" s="43" t="s">
        <v>3497</v>
      </c>
      <c r="B325" s="134" t="s">
        <v>3515</v>
      </c>
      <c r="C325" s="45" t="s">
        <v>122</v>
      </c>
      <c r="D325" s="45" t="s">
        <v>123</v>
      </c>
      <c r="E325" s="45" t="s">
        <v>124</v>
      </c>
      <c r="F325" s="71">
        <v>20413.22</v>
      </c>
      <c r="G325" s="71">
        <v>0</v>
      </c>
      <c r="H325" s="49">
        <v>0</v>
      </c>
      <c r="I325" s="49">
        <v>0</v>
      </c>
      <c r="J325" s="49">
        <v>4286.78</v>
      </c>
      <c r="K325" s="49">
        <v>0</v>
      </c>
      <c r="L325" s="71">
        <v>0</v>
      </c>
      <c r="M325" s="71">
        <v>24700</v>
      </c>
    </row>
    <row r="326" spans="1:13">
      <c r="A326" s="43" t="s">
        <v>3497</v>
      </c>
      <c r="B326" s="134" t="s">
        <v>3516</v>
      </c>
      <c r="C326" s="45" t="s">
        <v>122</v>
      </c>
      <c r="D326" s="45" t="s">
        <v>123</v>
      </c>
      <c r="E326" s="45" t="s">
        <v>124</v>
      </c>
      <c r="F326" s="71">
        <v>3305.79</v>
      </c>
      <c r="G326" s="71">
        <v>0</v>
      </c>
      <c r="H326" s="49">
        <v>0</v>
      </c>
      <c r="I326" s="49">
        <v>0</v>
      </c>
      <c r="J326" s="49">
        <v>694.21</v>
      </c>
      <c r="K326" s="49">
        <v>0</v>
      </c>
      <c r="L326" s="71">
        <v>0</v>
      </c>
      <c r="M326" s="71">
        <v>4000</v>
      </c>
    </row>
    <row r="327" spans="1:13">
      <c r="A327" s="43" t="s">
        <v>3522</v>
      </c>
      <c r="B327" s="134" t="s">
        <v>3523</v>
      </c>
      <c r="C327" s="45" t="s">
        <v>122</v>
      </c>
      <c r="D327" s="45" t="s">
        <v>123</v>
      </c>
      <c r="E327" s="45" t="s">
        <v>124</v>
      </c>
      <c r="F327" s="71">
        <v>10743.8</v>
      </c>
      <c r="G327" s="71">
        <v>0</v>
      </c>
      <c r="H327" s="49">
        <v>0</v>
      </c>
      <c r="I327" s="49">
        <v>0</v>
      </c>
      <c r="J327" s="49">
        <v>2256.1999999999998</v>
      </c>
      <c r="K327" s="49">
        <v>0</v>
      </c>
      <c r="L327" s="71">
        <v>0</v>
      </c>
      <c r="M327" s="71">
        <v>13000</v>
      </c>
    </row>
    <row r="328" spans="1:13">
      <c r="A328" s="43" t="s">
        <v>3522</v>
      </c>
      <c r="B328" s="134" t="s">
        <v>3524</v>
      </c>
      <c r="C328" s="45" t="s">
        <v>122</v>
      </c>
      <c r="D328" s="45" t="s">
        <v>123</v>
      </c>
      <c r="E328" s="45" t="s">
        <v>124</v>
      </c>
      <c r="F328" s="71">
        <v>7851.24</v>
      </c>
      <c r="G328" s="71">
        <v>0</v>
      </c>
      <c r="H328" s="49">
        <v>0</v>
      </c>
      <c r="I328" s="49">
        <v>0</v>
      </c>
      <c r="J328" s="49">
        <v>1648.76</v>
      </c>
      <c r="K328" s="49">
        <v>0</v>
      </c>
      <c r="L328" s="71">
        <v>0</v>
      </c>
      <c r="M328" s="71">
        <v>9500</v>
      </c>
    </row>
    <row r="329" spans="1:13">
      <c r="A329" s="43" t="s">
        <v>3522</v>
      </c>
      <c r="B329" s="134" t="s">
        <v>3525</v>
      </c>
      <c r="C329" s="45" t="s">
        <v>122</v>
      </c>
      <c r="D329" s="45" t="s">
        <v>123</v>
      </c>
      <c r="E329" s="45" t="s">
        <v>124</v>
      </c>
      <c r="F329" s="71">
        <v>5454.55</v>
      </c>
      <c r="G329" s="71">
        <v>0</v>
      </c>
      <c r="H329" s="49">
        <v>0</v>
      </c>
      <c r="I329" s="49">
        <v>0</v>
      </c>
      <c r="J329" s="49">
        <v>1145.45</v>
      </c>
      <c r="K329" s="49">
        <v>0</v>
      </c>
      <c r="L329" s="71">
        <v>0</v>
      </c>
      <c r="M329" s="71">
        <v>6600</v>
      </c>
    </row>
    <row r="330" spans="1:13">
      <c r="A330" s="43" t="s">
        <v>3522</v>
      </c>
      <c r="B330" s="134" t="s">
        <v>3526</v>
      </c>
      <c r="C330" s="45" t="s">
        <v>122</v>
      </c>
      <c r="D330" s="45" t="s">
        <v>123</v>
      </c>
      <c r="E330" s="45" t="s">
        <v>124</v>
      </c>
      <c r="F330" s="71">
        <v>32148.76</v>
      </c>
      <c r="G330" s="71">
        <v>0</v>
      </c>
      <c r="H330" s="49">
        <v>0</v>
      </c>
      <c r="I330" s="49">
        <v>0</v>
      </c>
      <c r="J330" s="49">
        <v>6751.24</v>
      </c>
      <c r="K330" s="49">
        <v>0</v>
      </c>
      <c r="L330" s="71">
        <v>0</v>
      </c>
      <c r="M330" s="71">
        <v>38900</v>
      </c>
    </row>
    <row r="331" spans="1:13">
      <c r="A331" s="43" t="s">
        <v>3522</v>
      </c>
      <c r="B331" s="134" t="s">
        <v>3527</v>
      </c>
      <c r="C331" s="45" t="s">
        <v>122</v>
      </c>
      <c r="D331" s="45" t="s">
        <v>123</v>
      </c>
      <c r="E331" s="45" t="s">
        <v>124</v>
      </c>
      <c r="F331" s="71">
        <v>13760.33</v>
      </c>
      <c r="G331" s="71">
        <v>0</v>
      </c>
      <c r="H331" s="49">
        <v>0</v>
      </c>
      <c r="I331" s="49">
        <v>0</v>
      </c>
      <c r="J331" s="49">
        <v>2889.67</v>
      </c>
      <c r="K331" s="49">
        <v>0</v>
      </c>
      <c r="L331" s="71">
        <v>0</v>
      </c>
      <c r="M331" s="71">
        <v>16650</v>
      </c>
    </row>
    <row r="332" spans="1:13">
      <c r="A332" s="43" t="s">
        <v>3522</v>
      </c>
      <c r="B332" s="134" t="s">
        <v>3528</v>
      </c>
      <c r="C332" s="45" t="s">
        <v>122</v>
      </c>
      <c r="D332" s="45" t="s">
        <v>123</v>
      </c>
      <c r="E332" s="45" t="s">
        <v>124</v>
      </c>
      <c r="F332" s="71">
        <v>10495.87</v>
      </c>
      <c r="G332" s="71">
        <v>0</v>
      </c>
      <c r="H332" s="49">
        <v>0</v>
      </c>
      <c r="I332" s="49">
        <v>0</v>
      </c>
      <c r="J332" s="49">
        <v>2204.13</v>
      </c>
      <c r="K332" s="49">
        <v>0</v>
      </c>
      <c r="L332" s="71">
        <v>0</v>
      </c>
      <c r="M332" s="71">
        <v>12700</v>
      </c>
    </row>
    <row r="333" spans="1:13">
      <c r="A333" s="43" t="s">
        <v>3522</v>
      </c>
      <c r="B333" s="134" t="s">
        <v>3529</v>
      </c>
      <c r="C333" s="45" t="s">
        <v>122</v>
      </c>
      <c r="D333" s="45" t="s">
        <v>123</v>
      </c>
      <c r="E333" s="45" t="s">
        <v>124</v>
      </c>
      <c r="F333" s="71">
        <v>14876.03</v>
      </c>
      <c r="G333" s="71">
        <v>0</v>
      </c>
      <c r="H333" s="49">
        <v>0</v>
      </c>
      <c r="I333" s="49">
        <v>0</v>
      </c>
      <c r="J333" s="49">
        <v>3123.97</v>
      </c>
      <c r="K333" s="49">
        <v>0</v>
      </c>
      <c r="L333" s="71">
        <v>0</v>
      </c>
      <c r="M333" s="71">
        <v>18000</v>
      </c>
    </row>
    <row r="334" spans="1:13">
      <c r="A334" s="43" t="s">
        <v>3522</v>
      </c>
      <c r="B334" s="134" t="s">
        <v>3530</v>
      </c>
      <c r="C334" s="45" t="s">
        <v>122</v>
      </c>
      <c r="D334" s="45" t="s">
        <v>123</v>
      </c>
      <c r="E334" s="45" t="s">
        <v>124</v>
      </c>
      <c r="F334" s="71">
        <v>3305.79</v>
      </c>
      <c r="G334" s="71">
        <v>0</v>
      </c>
      <c r="H334" s="49">
        <v>0</v>
      </c>
      <c r="I334" s="49">
        <v>0</v>
      </c>
      <c r="J334" s="49">
        <v>694.21</v>
      </c>
      <c r="K334" s="49">
        <v>0</v>
      </c>
      <c r="L334" s="71">
        <v>0</v>
      </c>
      <c r="M334" s="71">
        <v>4000</v>
      </c>
    </row>
    <row r="335" spans="1:13">
      <c r="A335" s="43" t="s">
        <v>3522</v>
      </c>
      <c r="B335" s="134" t="s">
        <v>3531</v>
      </c>
      <c r="C335" s="45" t="s">
        <v>122</v>
      </c>
      <c r="D335" s="45" t="s">
        <v>123</v>
      </c>
      <c r="E335" s="45" t="s">
        <v>124</v>
      </c>
      <c r="F335" s="71">
        <v>7004.13</v>
      </c>
      <c r="G335" s="71">
        <v>0</v>
      </c>
      <c r="H335" s="49">
        <v>0</v>
      </c>
      <c r="I335" s="49">
        <v>0</v>
      </c>
      <c r="J335" s="49">
        <v>1470.87</v>
      </c>
      <c r="K335" s="49">
        <v>0</v>
      </c>
      <c r="L335" s="71">
        <v>0</v>
      </c>
      <c r="M335" s="71">
        <v>8475</v>
      </c>
    </row>
    <row r="336" spans="1:13">
      <c r="A336" s="43" t="s">
        <v>3522</v>
      </c>
      <c r="B336" s="134" t="s">
        <v>3532</v>
      </c>
      <c r="C336" s="45" t="s">
        <v>122</v>
      </c>
      <c r="D336" s="45" t="s">
        <v>123</v>
      </c>
      <c r="E336" s="45" t="s">
        <v>124</v>
      </c>
      <c r="F336" s="71">
        <v>6611.57</v>
      </c>
      <c r="G336" s="71">
        <v>0</v>
      </c>
      <c r="H336" s="49">
        <v>0</v>
      </c>
      <c r="I336" s="49">
        <v>0</v>
      </c>
      <c r="J336" s="49">
        <v>1388.43</v>
      </c>
      <c r="K336" s="49">
        <v>0</v>
      </c>
      <c r="L336" s="71">
        <v>0</v>
      </c>
      <c r="M336" s="71">
        <v>8000</v>
      </c>
    </row>
    <row r="337" spans="1:13">
      <c r="A337" s="43" t="s">
        <v>3522</v>
      </c>
      <c r="B337" s="134" t="s">
        <v>3533</v>
      </c>
      <c r="C337" s="45" t="s">
        <v>122</v>
      </c>
      <c r="D337" s="45" t="s">
        <v>123</v>
      </c>
      <c r="E337" s="45" t="s">
        <v>124</v>
      </c>
      <c r="F337" s="71">
        <v>7438.02</v>
      </c>
      <c r="G337" s="71">
        <v>0</v>
      </c>
      <c r="H337" s="49">
        <v>0</v>
      </c>
      <c r="I337" s="49">
        <v>0</v>
      </c>
      <c r="J337" s="49">
        <v>1561.98</v>
      </c>
      <c r="K337" s="49">
        <v>0</v>
      </c>
      <c r="L337" s="71">
        <v>0</v>
      </c>
      <c r="M337" s="71">
        <v>9000</v>
      </c>
    </row>
    <row r="338" spans="1:13">
      <c r="A338" s="43" t="s">
        <v>3522</v>
      </c>
      <c r="B338" s="134" t="s">
        <v>3534</v>
      </c>
      <c r="C338" s="45" t="s">
        <v>122</v>
      </c>
      <c r="D338" s="45" t="s">
        <v>123</v>
      </c>
      <c r="E338" s="45" t="s">
        <v>124</v>
      </c>
      <c r="F338" s="71">
        <v>4958.68</v>
      </c>
      <c r="G338" s="71">
        <v>0</v>
      </c>
      <c r="H338" s="49">
        <v>0</v>
      </c>
      <c r="I338" s="49">
        <v>0</v>
      </c>
      <c r="J338" s="49">
        <v>1041.32</v>
      </c>
      <c r="K338" s="49">
        <v>0</v>
      </c>
      <c r="L338" s="71">
        <v>0</v>
      </c>
      <c r="M338" s="71">
        <v>6000</v>
      </c>
    </row>
    <row r="339" spans="1:13">
      <c r="A339" s="43" t="s">
        <v>3522</v>
      </c>
      <c r="B339" s="134" t="s">
        <v>3535</v>
      </c>
      <c r="C339" s="45" t="s">
        <v>122</v>
      </c>
      <c r="D339" s="45" t="s">
        <v>123</v>
      </c>
      <c r="E339" s="45" t="s">
        <v>124</v>
      </c>
      <c r="F339" s="71">
        <v>4090.9100000000003</v>
      </c>
      <c r="G339" s="71">
        <v>0</v>
      </c>
      <c r="H339" s="49">
        <v>0</v>
      </c>
      <c r="I339" s="49">
        <v>0</v>
      </c>
      <c r="J339" s="49">
        <v>859.09</v>
      </c>
      <c r="K339" s="49">
        <v>0</v>
      </c>
      <c r="L339" s="71">
        <v>0</v>
      </c>
      <c r="M339" s="71">
        <v>4950</v>
      </c>
    </row>
    <row r="340" spans="1:13">
      <c r="A340" s="43" t="s">
        <v>3522</v>
      </c>
      <c r="B340" s="134" t="s">
        <v>3536</v>
      </c>
      <c r="C340" s="45" t="s">
        <v>122</v>
      </c>
      <c r="D340" s="45" t="s">
        <v>123</v>
      </c>
      <c r="E340" s="45" t="s">
        <v>124</v>
      </c>
      <c r="F340" s="71">
        <v>4545.45</v>
      </c>
      <c r="G340" s="71">
        <v>0</v>
      </c>
      <c r="H340" s="49">
        <v>0</v>
      </c>
      <c r="I340" s="49">
        <v>0</v>
      </c>
      <c r="J340" s="49">
        <v>954.55</v>
      </c>
      <c r="K340" s="49">
        <v>0</v>
      </c>
      <c r="L340" s="71">
        <v>0</v>
      </c>
      <c r="M340" s="71">
        <v>5500</v>
      </c>
    </row>
    <row r="341" spans="1:13">
      <c r="A341" s="43" t="s">
        <v>3540</v>
      </c>
      <c r="B341" s="134" t="s">
        <v>3541</v>
      </c>
      <c r="C341" s="45" t="s">
        <v>3542</v>
      </c>
      <c r="D341" s="45" t="s">
        <v>123</v>
      </c>
      <c r="E341" s="45">
        <v>27544805</v>
      </c>
      <c r="F341" s="71">
        <v>12479.34</v>
      </c>
      <c r="G341" s="71">
        <v>0</v>
      </c>
      <c r="H341" s="49">
        <v>0</v>
      </c>
      <c r="I341" s="49">
        <v>0</v>
      </c>
      <c r="J341" s="49">
        <v>2620.66</v>
      </c>
      <c r="K341" s="49">
        <v>0</v>
      </c>
      <c r="L341" s="71">
        <v>0</v>
      </c>
      <c r="M341" s="71">
        <v>15100</v>
      </c>
    </row>
    <row r="342" spans="1:13">
      <c r="A342" s="43" t="s">
        <v>3540</v>
      </c>
      <c r="B342" s="134" t="s">
        <v>3543</v>
      </c>
      <c r="C342" s="45" t="s">
        <v>122</v>
      </c>
      <c r="D342" s="45" t="s">
        <v>123</v>
      </c>
      <c r="E342" s="45" t="s">
        <v>124</v>
      </c>
      <c r="F342" s="71">
        <v>5454.55</v>
      </c>
      <c r="G342" s="71">
        <v>0</v>
      </c>
      <c r="H342" s="49">
        <v>0</v>
      </c>
      <c r="I342" s="49">
        <v>0</v>
      </c>
      <c r="J342" s="49">
        <v>1145.45</v>
      </c>
      <c r="K342" s="49">
        <v>0</v>
      </c>
      <c r="L342" s="71">
        <v>0</v>
      </c>
      <c r="M342" s="71">
        <v>6600</v>
      </c>
    </row>
    <row r="343" spans="1:13">
      <c r="A343" s="43" t="s">
        <v>3540</v>
      </c>
      <c r="B343" s="134" t="s">
        <v>3544</v>
      </c>
      <c r="C343" s="45" t="s">
        <v>122</v>
      </c>
      <c r="D343" s="45" t="s">
        <v>123</v>
      </c>
      <c r="E343" s="45" t="s">
        <v>124</v>
      </c>
      <c r="F343" s="71">
        <v>4132.2300000000005</v>
      </c>
      <c r="G343" s="71">
        <v>0</v>
      </c>
      <c r="H343" s="49">
        <v>0</v>
      </c>
      <c r="I343" s="49">
        <v>0</v>
      </c>
      <c r="J343" s="49">
        <v>867.77</v>
      </c>
      <c r="K343" s="49">
        <v>0</v>
      </c>
      <c r="L343" s="71">
        <v>0</v>
      </c>
      <c r="M343" s="71">
        <v>5000</v>
      </c>
    </row>
    <row r="344" spans="1:13">
      <c r="A344" s="43" t="s">
        <v>3540</v>
      </c>
      <c r="B344" s="134" t="s">
        <v>3545</v>
      </c>
      <c r="C344" s="45" t="s">
        <v>122</v>
      </c>
      <c r="D344" s="45" t="s">
        <v>123</v>
      </c>
      <c r="E344" s="45" t="s">
        <v>124</v>
      </c>
      <c r="F344" s="71">
        <v>19669.420000000002</v>
      </c>
      <c r="G344" s="71">
        <v>0</v>
      </c>
      <c r="H344" s="49">
        <v>0</v>
      </c>
      <c r="I344" s="49">
        <v>0</v>
      </c>
      <c r="J344" s="49">
        <v>4130.58</v>
      </c>
      <c r="K344" s="49">
        <v>0</v>
      </c>
      <c r="L344" s="71">
        <v>0</v>
      </c>
      <c r="M344" s="71">
        <v>23800</v>
      </c>
    </row>
    <row r="345" spans="1:13">
      <c r="A345" s="43" t="s">
        <v>3540</v>
      </c>
      <c r="B345" s="134" t="s">
        <v>3546</v>
      </c>
      <c r="C345" s="45" t="s">
        <v>122</v>
      </c>
      <c r="D345" s="45" t="s">
        <v>123</v>
      </c>
      <c r="E345" s="45" t="s">
        <v>124</v>
      </c>
      <c r="F345" s="71">
        <v>19504.13</v>
      </c>
      <c r="G345" s="71">
        <v>0</v>
      </c>
      <c r="H345" s="49">
        <v>0</v>
      </c>
      <c r="I345" s="49">
        <v>0</v>
      </c>
      <c r="J345" s="49">
        <v>4095.87</v>
      </c>
      <c r="K345" s="49">
        <v>0</v>
      </c>
      <c r="L345" s="71">
        <v>0</v>
      </c>
      <c r="M345" s="71">
        <v>23600</v>
      </c>
    </row>
    <row r="346" spans="1:13">
      <c r="A346" s="43" t="s">
        <v>3540</v>
      </c>
      <c r="B346" s="134" t="s">
        <v>3547</v>
      </c>
      <c r="C346" s="45" t="s">
        <v>122</v>
      </c>
      <c r="D346" s="45" t="s">
        <v>123</v>
      </c>
      <c r="E346" s="45" t="s">
        <v>124</v>
      </c>
      <c r="F346" s="71">
        <v>8099.17</v>
      </c>
      <c r="G346" s="71">
        <v>0</v>
      </c>
      <c r="H346" s="49">
        <v>0</v>
      </c>
      <c r="I346" s="49">
        <v>0</v>
      </c>
      <c r="J346" s="49">
        <v>1700.83</v>
      </c>
      <c r="K346" s="49">
        <v>0</v>
      </c>
      <c r="L346" s="71">
        <v>0</v>
      </c>
      <c r="M346" s="71">
        <v>9800</v>
      </c>
    </row>
    <row r="347" spans="1:13">
      <c r="A347" s="43" t="s">
        <v>3540</v>
      </c>
      <c r="B347" s="134" t="s">
        <v>3548</v>
      </c>
      <c r="C347" s="45" t="s">
        <v>122</v>
      </c>
      <c r="D347" s="45" t="s">
        <v>123</v>
      </c>
      <c r="E347" s="45" t="s">
        <v>124</v>
      </c>
      <c r="F347" s="71">
        <v>34173.550000000003</v>
      </c>
      <c r="G347" s="71">
        <v>0</v>
      </c>
      <c r="H347" s="49">
        <v>0</v>
      </c>
      <c r="I347" s="49">
        <v>0</v>
      </c>
      <c r="J347" s="49">
        <v>7176.45</v>
      </c>
      <c r="K347" s="49">
        <v>0</v>
      </c>
      <c r="L347" s="71">
        <v>0</v>
      </c>
      <c r="M347" s="71">
        <v>41350</v>
      </c>
    </row>
    <row r="348" spans="1:13">
      <c r="A348" s="43" t="s">
        <v>3097</v>
      </c>
      <c r="B348" s="134" t="s">
        <v>3122</v>
      </c>
      <c r="C348" s="45" t="s">
        <v>3123</v>
      </c>
      <c r="D348" s="45" t="s">
        <v>123</v>
      </c>
      <c r="E348" s="45">
        <v>8557300</v>
      </c>
      <c r="F348" s="71">
        <v>49586.77</v>
      </c>
      <c r="G348" s="71">
        <v>0</v>
      </c>
      <c r="H348" s="49">
        <v>0</v>
      </c>
      <c r="I348" s="49">
        <v>0</v>
      </c>
      <c r="J348" s="49">
        <v>10413.23</v>
      </c>
      <c r="K348" s="49">
        <v>0</v>
      </c>
      <c r="L348" s="71">
        <v>0</v>
      </c>
      <c r="M348" s="71">
        <v>60000</v>
      </c>
    </row>
    <row r="349" spans="1:13">
      <c r="A349" s="43" t="s">
        <v>3097</v>
      </c>
      <c r="B349" s="134" t="s">
        <v>3124</v>
      </c>
      <c r="C349" s="45" t="s">
        <v>1599</v>
      </c>
      <c r="D349" s="45" t="s">
        <v>123</v>
      </c>
      <c r="E349" s="45">
        <v>17814995</v>
      </c>
      <c r="F349" s="71">
        <v>8264.4699999999993</v>
      </c>
      <c r="G349" s="71">
        <v>0</v>
      </c>
      <c r="H349" s="49">
        <v>0</v>
      </c>
      <c r="I349" s="49">
        <v>0</v>
      </c>
      <c r="J349" s="49">
        <v>1735.53</v>
      </c>
      <c r="K349" s="49">
        <v>0</v>
      </c>
      <c r="L349" s="71">
        <v>0</v>
      </c>
      <c r="M349" s="71">
        <v>10000</v>
      </c>
    </row>
    <row r="350" spans="1:13">
      <c r="A350" s="43" t="s">
        <v>3097</v>
      </c>
      <c r="B350" s="134" t="s">
        <v>3125</v>
      </c>
      <c r="C350" s="45" t="s">
        <v>275</v>
      </c>
      <c r="D350" s="45" t="s">
        <v>276</v>
      </c>
      <c r="E350" s="45">
        <v>30590354798</v>
      </c>
      <c r="F350" s="71">
        <v>329878.26</v>
      </c>
      <c r="G350" s="71">
        <v>0</v>
      </c>
      <c r="H350" s="49">
        <v>0</v>
      </c>
      <c r="I350" s="49">
        <v>0</v>
      </c>
      <c r="J350" s="49">
        <v>69274.44</v>
      </c>
      <c r="K350" s="49">
        <v>0</v>
      </c>
      <c r="L350" s="71">
        <v>0</v>
      </c>
      <c r="M350" s="71">
        <v>399152.7</v>
      </c>
    </row>
    <row r="351" spans="1:13">
      <c r="A351" s="43" t="s">
        <v>3126</v>
      </c>
      <c r="B351" s="134" t="s">
        <v>3150</v>
      </c>
      <c r="C351" s="45" t="s">
        <v>360</v>
      </c>
      <c r="D351" s="45" t="s">
        <v>123</v>
      </c>
      <c r="E351" s="45">
        <v>5804480</v>
      </c>
      <c r="F351" s="71">
        <v>5785.12</v>
      </c>
      <c r="G351" s="71">
        <v>0</v>
      </c>
      <c r="H351" s="49">
        <v>0</v>
      </c>
      <c r="I351" s="49">
        <v>0</v>
      </c>
      <c r="J351" s="49">
        <v>1214.8800000000001</v>
      </c>
      <c r="K351" s="49">
        <v>0</v>
      </c>
      <c r="L351" s="71">
        <v>0</v>
      </c>
      <c r="M351" s="71">
        <v>7000</v>
      </c>
    </row>
    <row r="352" spans="1:13">
      <c r="A352" s="43" t="s">
        <v>3126</v>
      </c>
      <c r="B352" s="134" t="s">
        <v>3151</v>
      </c>
      <c r="C352" s="45" t="s">
        <v>3152</v>
      </c>
      <c r="D352" s="45" t="s">
        <v>123</v>
      </c>
      <c r="E352" s="45">
        <v>3292785</v>
      </c>
      <c r="F352" s="71">
        <v>1272.72</v>
      </c>
      <c r="G352" s="71">
        <v>0</v>
      </c>
      <c r="H352" s="49">
        <v>0</v>
      </c>
      <c r="I352" s="49">
        <v>0</v>
      </c>
      <c r="J352" s="49">
        <v>267.27999999999997</v>
      </c>
      <c r="K352" s="49">
        <v>0</v>
      </c>
      <c r="L352" s="71">
        <v>0</v>
      </c>
      <c r="M352" s="71">
        <v>1540</v>
      </c>
    </row>
    <row r="353" spans="1:13">
      <c r="A353" s="43" t="s">
        <v>3126</v>
      </c>
      <c r="B353" s="134" t="s">
        <v>3153</v>
      </c>
      <c r="C353" s="45" t="s">
        <v>3154</v>
      </c>
      <c r="D353" s="45" t="s">
        <v>123</v>
      </c>
      <c r="E353" s="45">
        <v>3213857</v>
      </c>
      <c r="F353" s="71">
        <v>16453.72</v>
      </c>
      <c r="G353" s="71">
        <v>0</v>
      </c>
      <c r="H353" s="49">
        <v>0</v>
      </c>
      <c r="I353" s="49">
        <v>0</v>
      </c>
      <c r="J353" s="49">
        <v>3455.28</v>
      </c>
      <c r="K353" s="49">
        <v>0</v>
      </c>
      <c r="L353" s="71">
        <v>0</v>
      </c>
      <c r="M353" s="71">
        <v>19909</v>
      </c>
    </row>
    <row r="354" spans="1:13">
      <c r="A354" s="43" t="s">
        <v>3126</v>
      </c>
      <c r="B354" s="134" t="s">
        <v>3155</v>
      </c>
      <c r="C354" s="45" t="s">
        <v>314</v>
      </c>
      <c r="D354" s="45" t="s">
        <v>276</v>
      </c>
      <c r="E354" s="45">
        <v>30658137642</v>
      </c>
      <c r="F354" s="71">
        <v>69524.36</v>
      </c>
      <c r="G354" s="71">
        <v>0</v>
      </c>
      <c r="H354" s="49">
        <v>0</v>
      </c>
      <c r="I354" s="49">
        <v>0</v>
      </c>
      <c r="J354" s="49">
        <v>14600.11</v>
      </c>
      <c r="K354" s="49">
        <v>0</v>
      </c>
      <c r="L354" s="71">
        <v>0</v>
      </c>
      <c r="M354" s="71">
        <v>84124.47</v>
      </c>
    </row>
    <row r="355" spans="1:13">
      <c r="A355" s="43" t="s">
        <v>3126</v>
      </c>
      <c r="B355" s="134" t="s">
        <v>3156</v>
      </c>
      <c r="C355" s="45" t="s">
        <v>314</v>
      </c>
      <c r="D355" s="45" t="s">
        <v>276</v>
      </c>
      <c r="E355" s="45">
        <v>30658137642</v>
      </c>
      <c r="F355" s="71">
        <v>17165.29</v>
      </c>
      <c r="G355" s="71">
        <v>0</v>
      </c>
      <c r="H355" s="49">
        <v>0</v>
      </c>
      <c r="I355" s="49">
        <v>0</v>
      </c>
      <c r="J355" s="49">
        <v>3604.71</v>
      </c>
      <c r="K355" s="49">
        <v>0</v>
      </c>
      <c r="L355" s="71">
        <v>0</v>
      </c>
      <c r="M355" s="71">
        <v>20770</v>
      </c>
    </row>
    <row r="356" spans="1:13">
      <c r="A356" s="43" t="s">
        <v>3157</v>
      </c>
      <c r="B356" s="134" t="s">
        <v>3180</v>
      </c>
      <c r="C356" s="45" t="s">
        <v>304</v>
      </c>
      <c r="D356" s="45" t="s">
        <v>123</v>
      </c>
      <c r="E356" s="45">
        <v>93354584</v>
      </c>
      <c r="F356" s="71">
        <v>6611.57</v>
      </c>
      <c r="G356" s="71">
        <v>0</v>
      </c>
      <c r="H356" s="49">
        <v>0</v>
      </c>
      <c r="I356" s="49">
        <v>0</v>
      </c>
      <c r="J356" s="49">
        <v>1388.43</v>
      </c>
      <c r="K356" s="49">
        <v>0</v>
      </c>
      <c r="L356" s="71">
        <v>0</v>
      </c>
      <c r="M356" s="71">
        <v>8000</v>
      </c>
    </row>
    <row r="357" spans="1:13">
      <c r="A357" s="43" t="s">
        <v>3157</v>
      </c>
      <c r="B357" s="134" t="s">
        <v>3181</v>
      </c>
      <c r="C357" s="45" t="s">
        <v>348</v>
      </c>
      <c r="D357" s="45" t="s">
        <v>123</v>
      </c>
      <c r="E357" s="45">
        <v>26542077</v>
      </c>
      <c r="F357" s="71">
        <v>12644.63</v>
      </c>
      <c r="G357" s="71">
        <v>0</v>
      </c>
      <c r="H357" s="49">
        <v>0</v>
      </c>
      <c r="I357" s="49">
        <v>0</v>
      </c>
      <c r="J357" s="49">
        <v>2655.37</v>
      </c>
      <c r="K357" s="49">
        <v>0</v>
      </c>
      <c r="L357" s="71">
        <v>0</v>
      </c>
      <c r="M357" s="71">
        <v>15300</v>
      </c>
    </row>
    <row r="358" spans="1:13">
      <c r="A358" s="43" t="s">
        <v>3157</v>
      </c>
      <c r="B358" s="134" t="s">
        <v>3182</v>
      </c>
      <c r="C358" s="45" t="s">
        <v>1547</v>
      </c>
      <c r="D358" s="45" t="s">
        <v>123</v>
      </c>
      <c r="E358" s="45">
        <v>14547747</v>
      </c>
      <c r="F358" s="71">
        <v>9090.91</v>
      </c>
      <c r="G358" s="71">
        <v>0</v>
      </c>
      <c r="H358" s="49">
        <v>0</v>
      </c>
      <c r="I358" s="49">
        <v>0</v>
      </c>
      <c r="J358" s="49">
        <v>1909.09</v>
      </c>
      <c r="K358" s="49">
        <v>0</v>
      </c>
      <c r="L358" s="71">
        <v>0</v>
      </c>
      <c r="M358" s="71">
        <v>11000</v>
      </c>
    </row>
    <row r="359" spans="1:13">
      <c r="A359" s="43" t="s">
        <v>3157</v>
      </c>
      <c r="B359" s="134" t="s">
        <v>3183</v>
      </c>
      <c r="C359" s="45" t="s">
        <v>350</v>
      </c>
      <c r="D359" s="45" t="s">
        <v>123</v>
      </c>
      <c r="E359" s="45">
        <v>21645724</v>
      </c>
      <c r="F359" s="71">
        <v>9917.36</v>
      </c>
      <c r="G359" s="71">
        <v>0</v>
      </c>
      <c r="H359" s="49">
        <v>0</v>
      </c>
      <c r="I359" s="49">
        <v>0</v>
      </c>
      <c r="J359" s="49">
        <v>2082.64</v>
      </c>
      <c r="K359" s="49">
        <v>0</v>
      </c>
      <c r="L359" s="71">
        <v>0</v>
      </c>
      <c r="M359" s="71">
        <v>12000</v>
      </c>
    </row>
    <row r="360" spans="1:13">
      <c r="A360" s="43" t="s">
        <v>3186</v>
      </c>
      <c r="B360" s="134" t="s">
        <v>3210</v>
      </c>
      <c r="C360" s="45" t="s">
        <v>2352</v>
      </c>
      <c r="D360" s="45" t="s">
        <v>123</v>
      </c>
      <c r="E360" s="45">
        <v>93332052</v>
      </c>
      <c r="F360" s="71">
        <v>1294.21</v>
      </c>
      <c r="G360" s="71">
        <v>0</v>
      </c>
      <c r="H360" s="49">
        <v>0</v>
      </c>
      <c r="I360" s="49">
        <v>0</v>
      </c>
      <c r="J360" s="49">
        <v>271.79000000000002</v>
      </c>
      <c r="K360" s="49">
        <v>0</v>
      </c>
      <c r="L360" s="71">
        <v>0</v>
      </c>
      <c r="M360" s="71">
        <v>1566</v>
      </c>
    </row>
    <row r="361" spans="1:13">
      <c r="A361" s="43" t="s">
        <v>3186</v>
      </c>
      <c r="B361" s="134" t="s">
        <v>3211</v>
      </c>
      <c r="C361" s="45" t="s">
        <v>3212</v>
      </c>
      <c r="D361" s="45" t="s">
        <v>123</v>
      </c>
      <c r="E361" s="45">
        <v>5607654</v>
      </c>
      <c r="F361" s="71">
        <v>9917.36</v>
      </c>
      <c r="G361" s="71">
        <v>0</v>
      </c>
      <c r="H361" s="49">
        <v>0</v>
      </c>
      <c r="I361" s="49">
        <v>0</v>
      </c>
      <c r="J361" s="49">
        <v>2082.64</v>
      </c>
      <c r="K361" s="49">
        <v>0</v>
      </c>
      <c r="L361" s="71">
        <v>0</v>
      </c>
      <c r="M361" s="71">
        <v>12000</v>
      </c>
    </row>
    <row r="362" spans="1:13">
      <c r="A362" s="43" t="s">
        <v>3186</v>
      </c>
      <c r="B362" s="134" t="s">
        <v>3213</v>
      </c>
      <c r="C362" s="45" t="s">
        <v>331</v>
      </c>
      <c r="D362" s="45" t="s">
        <v>276</v>
      </c>
      <c r="E362" s="45">
        <v>30685228501</v>
      </c>
      <c r="F362" s="71">
        <v>473140.49</v>
      </c>
      <c r="G362" s="71">
        <v>0</v>
      </c>
      <c r="H362" s="49">
        <v>0</v>
      </c>
      <c r="I362" s="49">
        <v>0</v>
      </c>
      <c r="J362" s="49">
        <v>99359.51</v>
      </c>
      <c r="K362" s="49">
        <v>0</v>
      </c>
      <c r="L362" s="71">
        <v>0</v>
      </c>
      <c r="M362" s="71">
        <v>572500</v>
      </c>
    </row>
    <row r="363" spans="1:13">
      <c r="A363" s="43" t="s">
        <v>3186</v>
      </c>
      <c r="B363" s="134" t="s">
        <v>3214</v>
      </c>
      <c r="C363" s="45" t="s">
        <v>307</v>
      </c>
      <c r="D363" s="45" t="s">
        <v>276</v>
      </c>
      <c r="E363" s="45">
        <v>30571766287</v>
      </c>
      <c r="F363" s="71">
        <v>28076.86</v>
      </c>
      <c r="G363" s="71">
        <v>0</v>
      </c>
      <c r="H363" s="49">
        <v>0</v>
      </c>
      <c r="I363" s="49">
        <v>0</v>
      </c>
      <c r="J363" s="49">
        <v>5896.14</v>
      </c>
      <c r="K363" s="49">
        <v>0</v>
      </c>
      <c r="L363" s="71">
        <v>0</v>
      </c>
      <c r="M363" s="71">
        <v>33973</v>
      </c>
    </row>
    <row r="364" spans="1:13">
      <c r="A364" s="43" t="s">
        <v>3215</v>
      </c>
      <c r="B364" s="134" t="s">
        <v>3239</v>
      </c>
      <c r="C364" s="45" t="s">
        <v>884</v>
      </c>
      <c r="D364" s="45" t="s">
        <v>123</v>
      </c>
      <c r="E364" s="45">
        <v>17198648</v>
      </c>
      <c r="F364" s="71">
        <v>7438.02</v>
      </c>
      <c r="G364" s="71">
        <v>0</v>
      </c>
      <c r="H364" s="49">
        <v>0</v>
      </c>
      <c r="I364" s="49">
        <v>0</v>
      </c>
      <c r="J364" s="49">
        <v>1561.98</v>
      </c>
      <c r="K364" s="49">
        <v>0</v>
      </c>
      <c r="L364" s="71">
        <v>0</v>
      </c>
      <c r="M364" s="71">
        <v>9000</v>
      </c>
    </row>
    <row r="365" spans="1:13">
      <c r="A365" s="43" t="s">
        <v>3215</v>
      </c>
      <c r="B365" s="134" t="s">
        <v>3240</v>
      </c>
      <c r="C365" s="45" t="s">
        <v>354</v>
      </c>
      <c r="D365" s="45" t="s">
        <v>123</v>
      </c>
      <c r="E365" s="45">
        <v>382591</v>
      </c>
      <c r="F365" s="71">
        <v>6611.57</v>
      </c>
      <c r="G365" s="71">
        <v>0</v>
      </c>
      <c r="H365" s="49">
        <v>0</v>
      </c>
      <c r="I365" s="49">
        <v>0</v>
      </c>
      <c r="J365" s="49">
        <v>1388.43</v>
      </c>
      <c r="K365" s="49">
        <v>0</v>
      </c>
      <c r="L365" s="71">
        <v>0</v>
      </c>
      <c r="M365" s="71">
        <v>8000</v>
      </c>
    </row>
    <row r="366" spans="1:13">
      <c r="A366" s="43" t="s">
        <v>3215</v>
      </c>
      <c r="B366" s="134" t="s">
        <v>3241</v>
      </c>
      <c r="C366" s="45" t="s">
        <v>362</v>
      </c>
      <c r="D366" s="45" t="s">
        <v>123</v>
      </c>
      <c r="E366" s="45">
        <v>3192296</v>
      </c>
      <c r="F366" s="71">
        <v>4958.68</v>
      </c>
      <c r="G366" s="71">
        <v>0</v>
      </c>
      <c r="H366" s="49">
        <v>0</v>
      </c>
      <c r="I366" s="49">
        <v>0</v>
      </c>
      <c r="J366" s="49">
        <v>1041.32</v>
      </c>
      <c r="K366" s="49">
        <v>0</v>
      </c>
      <c r="L366" s="71">
        <v>0</v>
      </c>
      <c r="M366" s="71">
        <v>6000</v>
      </c>
    </row>
    <row r="367" spans="1:13">
      <c r="A367" s="43" t="s">
        <v>3215</v>
      </c>
      <c r="B367" s="134" t="s">
        <v>3242</v>
      </c>
      <c r="C367" s="45" t="s">
        <v>364</v>
      </c>
      <c r="D367" s="45" t="s">
        <v>123</v>
      </c>
      <c r="E367" s="45">
        <v>13211322</v>
      </c>
      <c r="F367" s="71">
        <v>4380.16</v>
      </c>
      <c r="G367" s="71">
        <v>0</v>
      </c>
      <c r="H367" s="49">
        <v>0</v>
      </c>
      <c r="I367" s="49">
        <v>0</v>
      </c>
      <c r="J367" s="49">
        <v>919.84</v>
      </c>
      <c r="K367" s="49">
        <v>0</v>
      </c>
      <c r="L367" s="71">
        <v>0</v>
      </c>
      <c r="M367" s="71">
        <v>5300</v>
      </c>
    </row>
    <row r="368" spans="1:13">
      <c r="A368" s="43" t="s">
        <v>3215</v>
      </c>
      <c r="B368" s="134" t="s">
        <v>3243</v>
      </c>
      <c r="C368" s="45" t="s">
        <v>1622</v>
      </c>
      <c r="D368" s="45" t="s">
        <v>123</v>
      </c>
      <c r="E368" s="45">
        <v>16994318</v>
      </c>
      <c r="F368" s="71">
        <v>13553.72</v>
      </c>
      <c r="G368" s="71">
        <v>0</v>
      </c>
      <c r="H368" s="49">
        <v>0</v>
      </c>
      <c r="I368" s="49">
        <v>0</v>
      </c>
      <c r="J368" s="49">
        <v>2846.28</v>
      </c>
      <c r="K368" s="49">
        <v>0</v>
      </c>
      <c r="L368" s="71">
        <v>0</v>
      </c>
      <c r="M368" s="71">
        <v>16400</v>
      </c>
    </row>
    <row r="369" spans="1:13">
      <c r="A369" s="43" t="s">
        <v>3215</v>
      </c>
      <c r="B369" s="134" t="s">
        <v>3244</v>
      </c>
      <c r="C369" s="45" t="s">
        <v>298</v>
      </c>
      <c r="D369" s="45" t="s">
        <v>123</v>
      </c>
      <c r="E369" s="45">
        <v>24448662</v>
      </c>
      <c r="F369" s="71">
        <v>7685.95</v>
      </c>
      <c r="G369" s="71">
        <v>0</v>
      </c>
      <c r="H369" s="49">
        <v>0</v>
      </c>
      <c r="I369" s="49">
        <v>0</v>
      </c>
      <c r="J369" s="49">
        <v>1614.05</v>
      </c>
      <c r="K369" s="49">
        <v>0</v>
      </c>
      <c r="L369" s="71">
        <v>0</v>
      </c>
      <c r="M369" s="71">
        <v>9300</v>
      </c>
    </row>
    <row r="370" spans="1:13">
      <c r="A370" s="43" t="s">
        <v>3215</v>
      </c>
      <c r="B370" s="134" t="s">
        <v>3245</v>
      </c>
      <c r="C370" s="45" t="s">
        <v>358</v>
      </c>
      <c r="D370" s="45" t="s">
        <v>123</v>
      </c>
      <c r="E370" s="45">
        <v>93195134</v>
      </c>
      <c r="F370" s="71">
        <v>716.95</v>
      </c>
      <c r="G370" s="71">
        <v>0</v>
      </c>
      <c r="H370" s="49">
        <v>0</v>
      </c>
      <c r="I370" s="49">
        <v>0</v>
      </c>
      <c r="J370" s="49">
        <v>150.56</v>
      </c>
      <c r="K370" s="49">
        <v>0</v>
      </c>
      <c r="L370" s="71">
        <v>0</v>
      </c>
      <c r="M370" s="71">
        <v>867.51</v>
      </c>
    </row>
    <row r="371" spans="1:13">
      <c r="A371" s="43" t="s">
        <v>3246</v>
      </c>
      <c r="B371" s="134" t="s">
        <v>3263</v>
      </c>
      <c r="C371" s="45" t="s">
        <v>399</v>
      </c>
      <c r="D371" s="45" t="s">
        <v>123</v>
      </c>
      <c r="E371" s="45" t="s">
        <v>124</v>
      </c>
      <c r="F371" s="71">
        <v>10165.290000000001</v>
      </c>
      <c r="G371" s="71">
        <v>0</v>
      </c>
      <c r="H371" s="49">
        <v>0</v>
      </c>
      <c r="I371" s="49">
        <v>0</v>
      </c>
      <c r="J371" s="49">
        <v>2134.71</v>
      </c>
      <c r="K371" s="49">
        <v>0</v>
      </c>
      <c r="L371" s="71">
        <v>0</v>
      </c>
      <c r="M371" s="71">
        <v>12300</v>
      </c>
    </row>
    <row r="372" spans="1:13">
      <c r="A372" s="43" t="s">
        <v>3246</v>
      </c>
      <c r="B372" s="134" t="s">
        <v>3264</v>
      </c>
      <c r="C372" s="45" t="s">
        <v>335</v>
      </c>
      <c r="D372" s="45" t="s">
        <v>123</v>
      </c>
      <c r="E372" s="45">
        <v>902191</v>
      </c>
      <c r="F372" s="71">
        <v>6198.34</v>
      </c>
      <c r="G372" s="71">
        <v>0</v>
      </c>
      <c r="H372" s="49">
        <v>0</v>
      </c>
      <c r="I372" s="49">
        <v>0</v>
      </c>
      <c r="J372" s="49">
        <v>1301.6600000000001</v>
      </c>
      <c r="K372" s="49">
        <v>0</v>
      </c>
      <c r="L372" s="71">
        <v>0</v>
      </c>
      <c r="M372" s="71">
        <v>7500</v>
      </c>
    </row>
    <row r="373" spans="1:13">
      <c r="A373" s="43" t="s">
        <v>3246</v>
      </c>
      <c r="B373" s="134" t="s">
        <v>3265</v>
      </c>
      <c r="C373" s="45" t="s">
        <v>281</v>
      </c>
      <c r="D373" s="45" t="s">
        <v>123</v>
      </c>
      <c r="E373" s="45">
        <v>16246667</v>
      </c>
      <c r="F373" s="71">
        <v>11983.47</v>
      </c>
      <c r="G373" s="71">
        <v>0</v>
      </c>
      <c r="H373" s="49">
        <v>0</v>
      </c>
      <c r="I373" s="49">
        <v>0</v>
      </c>
      <c r="J373" s="49">
        <v>2516.5300000000002</v>
      </c>
      <c r="K373" s="49">
        <v>0</v>
      </c>
      <c r="L373" s="71">
        <v>0</v>
      </c>
      <c r="M373" s="71">
        <v>14500</v>
      </c>
    </row>
    <row r="374" spans="1:13">
      <c r="A374" s="43" t="s">
        <v>3246</v>
      </c>
      <c r="B374" s="134" t="s">
        <v>3266</v>
      </c>
      <c r="C374" s="45" t="s">
        <v>428</v>
      </c>
      <c r="D374" s="45" t="s">
        <v>123</v>
      </c>
      <c r="E374" s="45">
        <v>30206585</v>
      </c>
      <c r="F374" s="71">
        <v>5950.41</v>
      </c>
      <c r="G374" s="71">
        <v>0</v>
      </c>
      <c r="H374" s="49">
        <v>0</v>
      </c>
      <c r="I374" s="49">
        <v>0</v>
      </c>
      <c r="J374" s="49">
        <v>1249.5899999999999</v>
      </c>
      <c r="K374" s="49">
        <v>0</v>
      </c>
      <c r="L374" s="71">
        <v>0</v>
      </c>
      <c r="M374" s="71">
        <v>7200</v>
      </c>
    </row>
    <row r="375" spans="1:13">
      <c r="A375" s="43" t="s">
        <v>3246</v>
      </c>
      <c r="B375" s="134" t="s">
        <v>3267</v>
      </c>
      <c r="C375" s="45" t="s">
        <v>424</v>
      </c>
      <c r="D375" s="45" t="s">
        <v>123</v>
      </c>
      <c r="E375" s="45">
        <v>29654556</v>
      </c>
      <c r="F375" s="71">
        <v>9917.36</v>
      </c>
      <c r="G375" s="71">
        <v>0</v>
      </c>
      <c r="H375" s="49">
        <v>0</v>
      </c>
      <c r="I375" s="49">
        <v>0</v>
      </c>
      <c r="J375" s="49">
        <v>2082.64</v>
      </c>
      <c r="K375" s="49">
        <v>0</v>
      </c>
      <c r="L375" s="71">
        <v>0</v>
      </c>
      <c r="M375" s="71">
        <v>12000</v>
      </c>
    </row>
    <row r="376" spans="1:13">
      <c r="A376" s="43" t="s">
        <v>3246</v>
      </c>
      <c r="B376" s="134" t="s">
        <v>3268</v>
      </c>
      <c r="C376" s="45" t="s">
        <v>379</v>
      </c>
      <c r="D376" s="45" t="s">
        <v>123</v>
      </c>
      <c r="E376" s="45">
        <v>14123802</v>
      </c>
      <c r="F376" s="71">
        <v>12396.69</v>
      </c>
      <c r="G376" s="71">
        <v>0</v>
      </c>
      <c r="H376" s="49">
        <v>0</v>
      </c>
      <c r="I376" s="49">
        <v>0</v>
      </c>
      <c r="J376" s="49">
        <v>2603.31</v>
      </c>
      <c r="K376" s="49">
        <v>0</v>
      </c>
      <c r="L376" s="71">
        <v>0</v>
      </c>
      <c r="M376" s="71">
        <v>15000</v>
      </c>
    </row>
    <row r="377" spans="1:13">
      <c r="A377" s="43" t="s">
        <v>3269</v>
      </c>
      <c r="B377" s="134" t="s">
        <v>3283</v>
      </c>
      <c r="C377" s="45" t="s">
        <v>358</v>
      </c>
      <c r="D377" s="45" t="s">
        <v>123</v>
      </c>
      <c r="E377" s="45">
        <v>93195134</v>
      </c>
      <c r="F377" s="71">
        <v>5176.04</v>
      </c>
      <c r="G377" s="71">
        <v>0</v>
      </c>
      <c r="H377" s="49">
        <v>0</v>
      </c>
      <c r="I377" s="49">
        <v>0</v>
      </c>
      <c r="J377" s="49">
        <v>1086.96</v>
      </c>
      <c r="K377" s="49">
        <v>0</v>
      </c>
      <c r="L377" s="71">
        <v>0</v>
      </c>
      <c r="M377" s="71">
        <v>6263</v>
      </c>
    </row>
    <row r="378" spans="1:13">
      <c r="A378" s="43" t="s">
        <v>3269</v>
      </c>
      <c r="B378" s="134" t="s">
        <v>3284</v>
      </c>
      <c r="C378" s="45" t="s">
        <v>752</v>
      </c>
      <c r="D378" s="45" t="s">
        <v>123</v>
      </c>
      <c r="E378" s="45">
        <v>16481086</v>
      </c>
      <c r="F378" s="71">
        <v>8099.18</v>
      </c>
      <c r="G378" s="71">
        <v>0</v>
      </c>
      <c r="H378" s="49">
        <v>0</v>
      </c>
      <c r="I378" s="49">
        <v>0</v>
      </c>
      <c r="J378" s="49">
        <v>1700.82</v>
      </c>
      <c r="K378" s="49">
        <v>0</v>
      </c>
      <c r="L378" s="71">
        <v>0</v>
      </c>
      <c r="M378" s="71">
        <v>9800</v>
      </c>
    </row>
    <row r="379" spans="1:13">
      <c r="A379" s="43" t="s">
        <v>3269</v>
      </c>
      <c r="B379" s="134" t="s">
        <v>3285</v>
      </c>
      <c r="C379" s="45" t="s">
        <v>1795</v>
      </c>
      <c r="D379" s="45" t="s">
        <v>123</v>
      </c>
      <c r="E379" s="45">
        <v>42470342</v>
      </c>
      <c r="F379" s="71">
        <v>7272.72</v>
      </c>
      <c r="G379" s="71">
        <v>0</v>
      </c>
      <c r="H379" s="49">
        <v>0</v>
      </c>
      <c r="I379" s="49">
        <v>0</v>
      </c>
      <c r="J379" s="49">
        <v>1527.28</v>
      </c>
      <c r="K379" s="49">
        <v>0</v>
      </c>
      <c r="L379" s="71">
        <v>0</v>
      </c>
      <c r="M379" s="71">
        <v>8800</v>
      </c>
    </row>
    <row r="380" spans="1:13">
      <c r="A380" s="43" t="s">
        <v>3269</v>
      </c>
      <c r="B380" s="134" t="s">
        <v>3286</v>
      </c>
      <c r="C380" s="45" t="s">
        <v>2243</v>
      </c>
      <c r="D380" s="45" t="s">
        <v>123</v>
      </c>
      <c r="E380" s="45">
        <v>17275405</v>
      </c>
      <c r="F380" s="71">
        <v>13223.15</v>
      </c>
      <c r="G380" s="71">
        <v>0</v>
      </c>
      <c r="H380" s="49">
        <v>0</v>
      </c>
      <c r="I380" s="49">
        <v>0</v>
      </c>
      <c r="J380" s="49">
        <v>2776.85</v>
      </c>
      <c r="K380" s="49">
        <v>0</v>
      </c>
      <c r="L380" s="71">
        <v>0</v>
      </c>
      <c r="M380" s="71">
        <v>16000</v>
      </c>
    </row>
    <row r="381" spans="1:13">
      <c r="A381" s="43" t="s">
        <v>3269</v>
      </c>
      <c r="B381" s="134" t="s">
        <v>3287</v>
      </c>
      <c r="C381" s="45" t="s">
        <v>2455</v>
      </c>
      <c r="D381" s="45" t="s">
        <v>123</v>
      </c>
      <c r="E381" s="45">
        <v>11383159</v>
      </c>
      <c r="F381" s="71">
        <v>9917.36</v>
      </c>
      <c r="G381" s="71">
        <v>0</v>
      </c>
      <c r="H381" s="49">
        <v>0</v>
      </c>
      <c r="I381" s="49">
        <v>0</v>
      </c>
      <c r="J381" s="49">
        <v>2082.64</v>
      </c>
      <c r="K381" s="49">
        <v>0</v>
      </c>
      <c r="L381" s="71">
        <v>0</v>
      </c>
      <c r="M381" s="71">
        <v>12000</v>
      </c>
    </row>
    <row r="382" spans="1:13">
      <c r="A382" s="43" t="s">
        <v>3269</v>
      </c>
      <c r="B382" s="134" t="s">
        <v>3288</v>
      </c>
      <c r="C382" s="45" t="s">
        <v>2749</v>
      </c>
      <c r="D382" s="45" t="s">
        <v>123</v>
      </c>
      <c r="E382" s="45">
        <v>27807195</v>
      </c>
      <c r="F382" s="71">
        <v>10743.8</v>
      </c>
      <c r="G382" s="71">
        <v>0</v>
      </c>
      <c r="H382" s="49">
        <v>0</v>
      </c>
      <c r="I382" s="49">
        <v>0</v>
      </c>
      <c r="J382" s="49">
        <v>2256.1999999999998</v>
      </c>
      <c r="K382" s="49">
        <v>0</v>
      </c>
      <c r="L382" s="71">
        <v>0</v>
      </c>
      <c r="M382" s="71">
        <v>13000</v>
      </c>
    </row>
    <row r="383" spans="1:13">
      <c r="A383" s="43" t="s">
        <v>3269</v>
      </c>
      <c r="B383" s="134" t="s">
        <v>3289</v>
      </c>
      <c r="C383" s="45" t="s">
        <v>2641</v>
      </c>
      <c r="D383" s="45" t="s">
        <v>123</v>
      </c>
      <c r="E383" s="45">
        <v>18883368</v>
      </c>
      <c r="F383" s="71">
        <v>9090.91</v>
      </c>
      <c r="G383" s="71">
        <v>0</v>
      </c>
      <c r="H383" s="49">
        <v>0</v>
      </c>
      <c r="I383" s="49">
        <v>0</v>
      </c>
      <c r="J383" s="49">
        <v>1909.09</v>
      </c>
      <c r="K383" s="49">
        <v>0</v>
      </c>
      <c r="L383" s="71">
        <v>0</v>
      </c>
      <c r="M383" s="71">
        <v>11000</v>
      </c>
    </row>
    <row r="384" spans="1:13">
      <c r="A384" s="43" t="s">
        <v>3269</v>
      </c>
      <c r="B384" s="134" t="s">
        <v>3290</v>
      </c>
      <c r="C384" s="45" t="s">
        <v>2639</v>
      </c>
      <c r="D384" s="45" t="s">
        <v>123</v>
      </c>
      <c r="E384" s="45">
        <v>10373067</v>
      </c>
      <c r="F384" s="71">
        <v>20454.55</v>
      </c>
      <c r="G384" s="71">
        <v>0</v>
      </c>
      <c r="H384" s="49">
        <v>0</v>
      </c>
      <c r="I384" s="49">
        <v>0</v>
      </c>
      <c r="J384" s="49">
        <v>4295.45</v>
      </c>
      <c r="K384" s="49">
        <v>0</v>
      </c>
      <c r="L384" s="71">
        <v>0</v>
      </c>
      <c r="M384" s="71">
        <v>24750</v>
      </c>
    </row>
    <row r="385" spans="1:13">
      <c r="A385" s="43" t="s">
        <v>3291</v>
      </c>
      <c r="B385" s="134" t="s">
        <v>3305</v>
      </c>
      <c r="C385" s="45" t="s">
        <v>775</v>
      </c>
      <c r="D385" s="45" t="s">
        <v>123</v>
      </c>
      <c r="E385" s="45">
        <v>20404430</v>
      </c>
      <c r="F385" s="71">
        <v>8264.4699999999993</v>
      </c>
      <c r="G385" s="71">
        <v>0</v>
      </c>
      <c r="H385" s="49">
        <v>0</v>
      </c>
      <c r="I385" s="49">
        <v>0</v>
      </c>
      <c r="J385" s="49">
        <v>1735.53</v>
      </c>
      <c r="K385" s="49">
        <v>0</v>
      </c>
      <c r="L385" s="71">
        <v>0</v>
      </c>
      <c r="M385" s="71">
        <v>10000</v>
      </c>
    </row>
    <row r="386" spans="1:13">
      <c r="A386" s="43" t="s">
        <v>3291</v>
      </c>
      <c r="B386" s="134" t="s">
        <v>3306</v>
      </c>
      <c r="C386" s="45" t="s">
        <v>772</v>
      </c>
      <c r="D386" s="45" t="s">
        <v>123</v>
      </c>
      <c r="E386" s="45">
        <v>705467</v>
      </c>
      <c r="F386" s="71">
        <v>5785.12</v>
      </c>
      <c r="G386" s="71">
        <v>0</v>
      </c>
      <c r="H386" s="49">
        <v>0</v>
      </c>
      <c r="I386" s="49">
        <v>0</v>
      </c>
      <c r="J386" s="49">
        <v>1214.8800000000001</v>
      </c>
      <c r="K386" s="49">
        <v>0</v>
      </c>
      <c r="L386" s="71">
        <v>0</v>
      </c>
      <c r="M386" s="71">
        <v>7000</v>
      </c>
    </row>
    <row r="387" spans="1:13">
      <c r="A387" s="43" t="s">
        <v>3291</v>
      </c>
      <c r="B387" s="134" t="s">
        <v>3307</v>
      </c>
      <c r="C387" s="45" t="s">
        <v>406</v>
      </c>
      <c r="D387" s="45" t="s">
        <v>123</v>
      </c>
      <c r="E387" s="45">
        <v>12791306</v>
      </c>
      <c r="F387" s="71">
        <v>9917.36</v>
      </c>
      <c r="G387" s="71">
        <v>0</v>
      </c>
      <c r="H387" s="49">
        <v>0</v>
      </c>
      <c r="I387" s="49">
        <v>0</v>
      </c>
      <c r="J387" s="49">
        <v>2082.64</v>
      </c>
      <c r="K387" s="49">
        <v>0</v>
      </c>
      <c r="L387" s="71">
        <v>0</v>
      </c>
      <c r="M387" s="71">
        <v>12000</v>
      </c>
    </row>
    <row r="388" spans="1:13">
      <c r="A388" s="43" t="s">
        <v>3291</v>
      </c>
      <c r="B388" s="134" t="s">
        <v>3308</v>
      </c>
      <c r="C388" s="45" t="s">
        <v>286</v>
      </c>
      <c r="D388" s="45" t="s">
        <v>123</v>
      </c>
      <c r="E388" s="45">
        <v>10138957</v>
      </c>
      <c r="F388" s="71">
        <v>5371.9</v>
      </c>
      <c r="G388" s="71">
        <v>0</v>
      </c>
      <c r="H388" s="49">
        <v>0</v>
      </c>
      <c r="I388" s="49">
        <v>0</v>
      </c>
      <c r="J388" s="49">
        <v>1128.0999999999999</v>
      </c>
      <c r="K388" s="49">
        <v>0</v>
      </c>
      <c r="L388" s="71">
        <v>0</v>
      </c>
      <c r="M388" s="71">
        <v>6500</v>
      </c>
    </row>
    <row r="389" spans="1:13">
      <c r="A389" s="43" t="s">
        <v>3291</v>
      </c>
      <c r="B389" s="134" t="s">
        <v>3309</v>
      </c>
      <c r="C389" s="45" t="s">
        <v>854</v>
      </c>
      <c r="D389" s="45" t="s">
        <v>123</v>
      </c>
      <c r="E389" s="45">
        <v>24699538</v>
      </c>
      <c r="F389" s="71">
        <v>7851.24</v>
      </c>
      <c r="G389" s="71">
        <v>0</v>
      </c>
      <c r="H389" s="49">
        <v>0</v>
      </c>
      <c r="I389" s="49">
        <v>0</v>
      </c>
      <c r="J389" s="49">
        <v>1648.76</v>
      </c>
      <c r="K389" s="49">
        <v>0</v>
      </c>
      <c r="L389" s="71">
        <v>0</v>
      </c>
      <c r="M389" s="71">
        <v>9500</v>
      </c>
    </row>
    <row r="390" spans="1:13">
      <c r="A390" s="43" t="s">
        <v>3291</v>
      </c>
      <c r="B390" s="134" t="s">
        <v>3310</v>
      </c>
      <c r="C390" s="45" t="s">
        <v>3311</v>
      </c>
      <c r="D390" s="45" t="s">
        <v>276</v>
      </c>
      <c r="E390" s="45">
        <v>30707046399</v>
      </c>
      <c r="F390" s="71">
        <v>314049.59000000003</v>
      </c>
      <c r="G390" s="71">
        <v>0</v>
      </c>
      <c r="H390" s="49">
        <v>0</v>
      </c>
      <c r="I390" s="49">
        <v>0</v>
      </c>
      <c r="J390" s="49">
        <v>65950.41</v>
      </c>
      <c r="K390" s="49">
        <v>0</v>
      </c>
      <c r="L390" s="71">
        <v>0</v>
      </c>
      <c r="M390" s="71">
        <v>380000</v>
      </c>
    </row>
    <row r="391" spans="1:13">
      <c r="A391" s="43" t="s">
        <v>3291</v>
      </c>
      <c r="B391" s="134" t="s">
        <v>3312</v>
      </c>
      <c r="C391" s="45" t="s">
        <v>765</v>
      </c>
      <c r="D391" s="45" t="s">
        <v>123</v>
      </c>
      <c r="E391" s="45">
        <v>56980</v>
      </c>
      <c r="F391" s="71">
        <v>4958.68</v>
      </c>
      <c r="G391" s="71">
        <v>0</v>
      </c>
      <c r="H391" s="49">
        <v>0</v>
      </c>
      <c r="I391" s="49">
        <v>0</v>
      </c>
      <c r="J391" s="49">
        <v>1041.32</v>
      </c>
      <c r="K391" s="49">
        <v>0</v>
      </c>
      <c r="L391" s="71">
        <v>0</v>
      </c>
      <c r="M391" s="71">
        <v>6000</v>
      </c>
    </row>
    <row r="392" spans="1:13">
      <c r="A392" s="43" t="s">
        <v>3291</v>
      </c>
      <c r="B392" s="134" t="s">
        <v>3313</v>
      </c>
      <c r="C392" s="45" t="s">
        <v>275</v>
      </c>
      <c r="D392" s="45" t="s">
        <v>276</v>
      </c>
      <c r="E392" s="45">
        <v>30590354798</v>
      </c>
      <c r="F392" s="71">
        <v>50413.23</v>
      </c>
      <c r="G392" s="71">
        <v>0</v>
      </c>
      <c r="H392" s="49">
        <v>0</v>
      </c>
      <c r="I392" s="49">
        <v>0</v>
      </c>
      <c r="J392" s="49">
        <v>10586.77</v>
      </c>
      <c r="K392" s="49">
        <v>0</v>
      </c>
      <c r="L392" s="71">
        <v>0</v>
      </c>
      <c r="M392" s="71">
        <v>61000</v>
      </c>
    </row>
    <row r="393" spans="1:13">
      <c r="A393" s="43" t="s">
        <v>3291</v>
      </c>
      <c r="B393" s="134" t="s">
        <v>3314</v>
      </c>
      <c r="C393" s="45" t="s">
        <v>275</v>
      </c>
      <c r="D393" s="45" t="s">
        <v>276</v>
      </c>
      <c r="E393" s="45">
        <v>30590354798</v>
      </c>
      <c r="F393" s="71">
        <v>56198.35</v>
      </c>
      <c r="G393" s="71">
        <v>0</v>
      </c>
      <c r="H393" s="49">
        <v>0</v>
      </c>
      <c r="I393" s="49">
        <v>0</v>
      </c>
      <c r="J393" s="49">
        <v>11801.65</v>
      </c>
      <c r="K393" s="49">
        <v>0</v>
      </c>
      <c r="L393" s="71">
        <v>0</v>
      </c>
      <c r="M393" s="71">
        <v>68000</v>
      </c>
    </row>
    <row r="394" spans="1:13">
      <c r="A394" s="43" t="s">
        <v>3315</v>
      </c>
      <c r="B394" s="134" t="s">
        <v>3337</v>
      </c>
      <c r="C394" s="45" t="s">
        <v>1882</v>
      </c>
      <c r="D394" s="45" t="s">
        <v>123</v>
      </c>
      <c r="E394" s="45">
        <v>25864351</v>
      </c>
      <c r="F394" s="71">
        <v>10743.8</v>
      </c>
      <c r="G394" s="71">
        <v>0</v>
      </c>
      <c r="H394" s="49">
        <v>0</v>
      </c>
      <c r="I394" s="49">
        <v>0</v>
      </c>
      <c r="J394" s="49">
        <v>2256.1999999999998</v>
      </c>
      <c r="K394" s="49">
        <v>0</v>
      </c>
      <c r="L394" s="71">
        <v>0</v>
      </c>
      <c r="M394" s="71">
        <v>13000</v>
      </c>
    </row>
    <row r="395" spans="1:13">
      <c r="A395" s="43" t="s">
        <v>3315</v>
      </c>
      <c r="B395" s="134" t="s">
        <v>3338</v>
      </c>
      <c r="C395" s="45" t="s">
        <v>426</v>
      </c>
      <c r="D395" s="45" t="s">
        <v>123</v>
      </c>
      <c r="E395" s="45">
        <v>28692323</v>
      </c>
      <c r="F395" s="71">
        <v>17107.439999999999</v>
      </c>
      <c r="G395" s="71">
        <v>0</v>
      </c>
      <c r="H395" s="49">
        <v>0</v>
      </c>
      <c r="I395" s="49">
        <v>0</v>
      </c>
      <c r="J395" s="49">
        <v>3592.56</v>
      </c>
      <c r="K395" s="49">
        <v>0</v>
      </c>
      <c r="L395" s="71">
        <v>0</v>
      </c>
      <c r="M395" s="71">
        <v>20700</v>
      </c>
    </row>
    <row r="396" spans="1:13">
      <c r="A396" s="43" t="s">
        <v>3315</v>
      </c>
      <c r="B396" s="134" t="s">
        <v>3339</v>
      </c>
      <c r="C396" s="45" t="s">
        <v>802</v>
      </c>
      <c r="D396" s="45" t="s">
        <v>123</v>
      </c>
      <c r="E396" s="45">
        <v>37904748</v>
      </c>
      <c r="F396" s="71">
        <v>9917.36</v>
      </c>
      <c r="G396" s="71">
        <v>0</v>
      </c>
      <c r="H396" s="49">
        <v>0</v>
      </c>
      <c r="I396" s="49">
        <v>0</v>
      </c>
      <c r="J396" s="49">
        <v>2082.64</v>
      </c>
      <c r="K396" s="49">
        <v>0</v>
      </c>
      <c r="L396" s="71">
        <v>0</v>
      </c>
      <c r="M396" s="71">
        <v>12000</v>
      </c>
    </row>
    <row r="397" spans="1:13">
      <c r="A397" s="43" t="s">
        <v>3340</v>
      </c>
      <c r="B397" s="134" t="s">
        <v>3360</v>
      </c>
      <c r="C397" s="45" t="s">
        <v>393</v>
      </c>
      <c r="D397" s="45" t="s">
        <v>123</v>
      </c>
      <c r="E397" s="45" t="s">
        <v>124</v>
      </c>
      <c r="F397" s="71">
        <v>6446.28</v>
      </c>
      <c r="G397" s="71">
        <v>0</v>
      </c>
      <c r="H397" s="49">
        <v>0</v>
      </c>
      <c r="I397" s="49">
        <v>0</v>
      </c>
      <c r="J397" s="49">
        <v>1353.72</v>
      </c>
      <c r="K397" s="49">
        <v>0</v>
      </c>
      <c r="L397" s="71">
        <v>0</v>
      </c>
      <c r="M397" s="71">
        <v>7800</v>
      </c>
    </row>
    <row r="398" spans="1:13">
      <c r="A398" s="43" t="s">
        <v>3361</v>
      </c>
      <c r="B398" s="134" t="s">
        <v>3388</v>
      </c>
      <c r="C398" s="45" t="s">
        <v>3389</v>
      </c>
      <c r="D398" s="45" t="s">
        <v>123</v>
      </c>
      <c r="E398" s="45">
        <v>3626857</v>
      </c>
      <c r="F398" s="71">
        <v>17203.3</v>
      </c>
      <c r="G398" s="71">
        <v>0</v>
      </c>
      <c r="H398" s="49">
        <v>0</v>
      </c>
      <c r="I398" s="49">
        <v>0</v>
      </c>
      <c r="J398" s="49">
        <v>3612.7</v>
      </c>
      <c r="K398" s="49">
        <v>0</v>
      </c>
      <c r="L398" s="71">
        <v>0</v>
      </c>
      <c r="M398" s="71">
        <v>20816</v>
      </c>
    </row>
    <row r="399" spans="1:13">
      <c r="A399" s="43" t="s">
        <v>3361</v>
      </c>
      <c r="B399" s="134" t="s">
        <v>3390</v>
      </c>
      <c r="C399" s="45" t="s">
        <v>302</v>
      </c>
      <c r="D399" s="45" t="s">
        <v>123</v>
      </c>
      <c r="E399" s="45">
        <v>4648296</v>
      </c>
      <c r="F399" s="71">
        <v>14876.03</v>
      </c>
      <c r="G399" s="71">
        <v>0</v>
      </c>
      <c r="H399" s="49">
        <v>0</v>
      </c>
      <c r="I399" s="49">
        <v>0</v>
      </c>
      <c r="J399" s="49">
        <v>3123.97</v>
      </c>
      <c r="K399" s="49">
        <v>0</v>
      </c>
      <c r="L399" s="71">
        <v>0</v>
      </c>
      <c r="M399" s="71">
        <v>18000</v>
      </c>
    </row>
    <row r="400" spans="1:13">
      <c r="A400" s="43" t="s">
        <v>3361</v>
      </c>
      <c r="B400" s="134" t="s">
        <v>3391</v>
      </c>
      <c r="C400" s="45" t="s">
        <v>367</v>
      </c>
      <c r="D400" s="45" t="s">
        <v>123</v>
      </c>
      <c r="E400" s="45">
        <v>17855620</v>
      </c>
      <c r="F400" s="71">
        <v>6611.57</v>
      </c>
      <c r="G400" s="71">
        <v>0</v>
      </c>
      <c r="H400" s="49">
        <v>0</v>
      </c>
      <c r="I400" s="49">
        <v>0</v>
      </c>
      <c r="J400" s="49">
        <v>1388.43</v>
      </c>
      <c r="K400" s="49">
        <v>0</v>
      </c>
      <c r="L400" s="71">
        <v>0</v>
      </c>
      <c r="M400" s="71">
        <v>8000</v>
      </c>
    </row>
    <row r="401" spans="1:13">
      <c r="A401" s="43" t="s">
        <v>3361</v>
      </c>
      <c r="B401" s="134" t="s">
        <v>3392</v>
      </c>
      <c r="C401" s="45" t="s">
        <v>379</v>
      </c>
      <c r="D401" s="45" t="s">
        <v>123</v>
      </c>
      <c r="E401" s="45">
        <v>14123802</v>
      </c>
      <c r="F401" s="71">
        <v>6859.5</v>
      </c>
      <c r="G401" s="71">
        <v>0</v>
      </c>
      <c r="H401" s="49">
        <v>0</v>
      </c>
      <c r="I401" s="49">
        <v>0</v>
      </c>
      <c r="J401" s="49">
        <v>1440.5</v>
      </c>
      <c r="K401" s="49">
        <v>0</v>
      </c>
      <c r="L401" s="71">
        <v>0</v>
      </c>
      <c r="M401" s="71">
        <v>8300</v>
      </c>
    </row>
    <row r="402" spans="1:13">
      <c r="A402" s="43" t="s">
        <v>3393</v>
      </c>
      <c r="B402" s="134" t="s">
        <v>3407</v>
      </c>
      <c r="C402" s="45" t="s">
        <v>344</v>
      </c>
      <c r="D402" s="45" t="s">
        <v>123</v>
      </c>
      <c r="E402" s="45">
        <v>4186965</v>
      </c>
      <c r="F402" s="71">
        <v>7851.24</v>
      </c>
      <c r="G402" s="71">
        <v>0</v>
      </c>
      <c r="H402" s="49">
        <v>0</v>
      </c>
      <c r="I402" s="49">
        <v>0</v>
      </c>
      <c r="J402" s="49">
        <v>1648.76</v>
      </c>
      <c r="K402" s="49">
        <v>0</v>
      </c>
      <c r="L402" s="71">
        <v>0</v>
      </c>
      <c r="M402" s="71">
        <v>9500</v>
      </c>
    </row>
    <row r="403" spans="1:13">
      <c r="A403" s="43" t="s">
        <v>3393</v>
      </c>
      <c r="B403" s="134" t="s">
        <v>3408</v>
      </c>
      <c r="C403" s="45" t="s">
        <v>2550</v>
      </c>
      <c r="D403" s="45" t="s">
        <v>123</v>
      </c>
      <c r="E403" s="45">
        <v>643000</v>
      </c>
      <c r="F403" s="71">
        <v>867.77</v>
      </c>
      <c r="G403" s="71">
        <v>0</v>
      </c>
      <c r="H403" s="49">
        <v>0</v>
      </c>
      <c r="I403" s="49">
        <v>0</v>
      </c>
      <c r="J403" s="49">
        <v>182.23</v>
      </c>
      <c r="K403" s="49">
        <v>0</v>
      </c>
      <c r="L403" s="71">
        <v>0</v>
      </c>
      <c r="M403" s="71">
        <v>1050</v>
      </c>
    </row>
    <row r="404" spans="1:13">
      <c r="A404" s="43" t="s">
        <v>3393</v>
      </c>
      <c r="B404" s="134" t="s">
        <v>3409</v>
      </c>
      <c r="C404" s="45" t="s">
        <v>321</v>
      </c>
      <c r="D404" s="45" t="s">
        <v>123</v>
      </c>
      <c r="E404" s="45">
        <v>4838627</v>
      </c>
      <c r="F404" s="71">
        <v>2332.23</v>
      </c>
      <c r="G404" s="71">
        <v>0</v>
      </c>
      <c r="H404" s="49">
        <v>0</v>
      </c>
      <c r="I404" s="49">
        <v>0</v>
      </c>
      <c r="J404" s="49">
        <v>489.77</v>
      </c>
      <c r="K404" s="49">
        <v>0</v>
      </c>
      <c r="L404" s="71">
        <v>0</v>
      </c>
      <c r="M404" s="71">
        <v>2822</v>
      </c>
    </row>
    <row r="405" spans="1:13">
      <c r="A405" s="43" t="s">
        <v>3393</v>
      </c>
      <c r="B405" s="134" t="s">
        <v>3410</v>
      </c>
      <c r="C405" s="45" t="s">
        <v>1973</v>
      </c>
      <c r="D405" s="45" t="s">
        <v>123</v>
      </c>
      <c r="E405" s="45">
        <v>3865973</v>
      </c>
      <c r="F405" s="71">
        <v>4401.6500000000005</v>
      </c>
      <c r="G405" s="71">
        <v>0</v>
      </c>
      <c r="H405" s="49">
        <v>0</v>
      </c>
      <c r="I405" s="49">
        <v>0</v>
      </c>
      <c r="J405" s="49">
        <v>924.35</v>
      </c>
      <c r="K405" s="49">
        <v>0</v>
      </c>
      <c r="L405" s="71">
        <v>0</v>
      </c>
      <c r="M405" s="71">
        <v>5326</v>
      </c>
    </row>
    <row r="406" spans="1:13">
      <c r="A406" s="43" t="s">
        <v>3411</v>
      </c>
      <c r="B406" s="134" t="s">
        <v>3434</v>
      </c>
      <c r="C406" s="45" t="s">
        <v>2550</v>
      </c>
      <c r="D406" s="45" t="s">
        <v>123</v>
      </c>
      <c r="E406" s="45">
        <v>643000</v>
      </c>
      <c r="F406" s="71">
        <v>942.15</v>
      </c>
      <c r="G406" s="71">
        <v>0</v>
      </c>
      <c r="H406" s="49">
        <v>0</v>
      </c>
      <c r="I406" s="49">
        <v>0</v>
      </c>
      <c r="J406" s="49">
        <v>197.85</v>
      </c>
      <c r="K406" s="49">
        <v>0</v>
      </c>
      <c r="L406" s="71">
        <v>0</v>
      </c>
      <c r="M406" s="71">
        <v>1140</v>
      </c>
    </row>
    <row r="407" spans="1:13">
      <c r="A407" s="43" t="s">
        <v>3411</v>
      </c>
      <c r="B407" s="134" t="s">
        <v>3435</v>
      </c>
      <c r="C407" s="45" t="s">
        <v>1605</v>
      </c>
      <c r="D407" s="45" t="s">
        <v>123</v>
      </c>
      <c r="E407" s="45">
        <v>12394145</v>
      </c>
      <c r="F407" s="71">
        <v>31173.55</v>
      </c>
      <c r="G407" s="71">
        <v>0</v>
      </c>
      <c r="H407" s="49">
        <v>0</v>
      </c>
      <c r="I407" s="49">
        <v>0</v>
      </c>
      <c r="J407" s="49">
        <v>6546.45</v>
      </c>
      <c r="K407" s="49">
        <v>0</v>
      </c>
      <c r="L407" s="71">
        <v>0</v>
      </c>
      <c r="M407" s="71">
        <v>37720</v>
      </c>
    </row>
    <row r="408" spans="1:13">
      <c r="A408" s="43" t="s">
        <v>3411</v>
      </c>
      <c r="B408" s="134" t="s">
        <v>3436</v>
      </c>
      <c r="C408" s="45" t="s">
        <v>321</v>
      </c>
      <c r="D408" s="45" t="s">
        <v>123</v>
      </c>
      <c r="E408" s="45">
        <v>4838627</v>
      </c>
      <c r="F408" s="71">
        <v>2588.42</v>
      </c>
      <c r="G408" s="71">
        <v>0</v>
      </c>
      <c r="H408" s="49">
        <v>0</v>
      </c>
      <c r="I408" s="49">
        <v>0</v>
      </c>
      <c r="J408" s="49">
        <v>543.58000000000004</v>
      </c>
      <c r="K408" s="49">
        <v>0</v>
      </c>
      <c r="L408" s="71">
        <v>0</v>
      </c>
      <c r="M408" s="71">
        <v>3132</v>
      </c>
    </row>
    <row r="409" spans="1:13">
      <c r="A409" s="43" t="s">
        <v>3411</v>
      </c>
      <c r="B409" s="134" t="s">
        <v>3437</v>
      </c>
      <c r="C409" s="45" t="s">
        <v>354</v>
      </c>
      <c r="D409" s="45" t="s">
        <v>123</v>
      </c>
      <c r="E409" s="45">
        <v>382591</v>
      </c>
      <c r="F409" s="71">
        <v>6446.28</v>
      </c>
      <c r="G409" s="71">
        <v>0</v>
      </c>
      <c r="H409" s="49">
        <v>0</v>
      </c>
      <c r="I409" s="49">
        <v>0</v>
      </c>
      <c r="J409" s="49">
        <v>1353.72</v>
      </c>
      <c r="K409" s="49">
        <v>0</v>
      </c>
      <c r="L409" s="71">
        <v>0</v>
      </c>
      <c r="M409" s="71">
        <v>7800</v>
      </c>
    </row>
    <row r="410" spans="1:13">
      <c r="A410" s="43" t="s">
        <v>3411</v>
      </c>
      <c r="B410" s="134" t="s">
        <v>3438</v>
      </c>
      <c r="C410" s="45" t="s">
        <v>752</v>
      </c>
      <c r="D410" s="45" t="s">
        <v>123</v>
      </c>
      <c r="E410" s="45">
        <v>16481086</v>
      </c>
      <c r="F410" s="71">
        <v>9090.91</v>
      </c>
      <c r="G410" s="71">
        <v>0</v>
      </c>
      <c r="H410" s="49">
        <v>0</v>
      </c>
      <c r="I410" s="49">
        <v>0</v>
      </c>
      <c r="J410" s="49">
        <v>1909.09</v>
      </c>
      <c r="K410" s="49">
        <v>0</v>
      </c>
      <c r="L410" s="71">
        <v>0</v>
      </c>
      <c r="M410" s="71">
        <v>11000</v>
      </c>
    </row>
    <row r="411" spans="1:13">
      <c r="A411" s="43" t="s">
        <v>3411</v>
      </c>
      <c r="B411" s="134" t="s">
        <v>3439</v>
      </c>
      <c r="C411" s="45" t="s">
        <v>354</v>
      </c>
      <c r="D411" s="45" t="s">
        <v>123</v>
      </c>
      <c r="E411" s="45">
        <v>382591</v>
      </c>
      <c r="F411" s="71">
        <v>6611.57</v>
      </c>
      <c r="G411" s="71">
        <v>0</v>
      </c>
      <c r="H411" s="49">
        <v>0</v>
      </c>
      <c r="I411" s="49">
        <v>0</v>
      </c>
      <c r="J411" s="49">
        <v>1388.43</v>
      </c>
      <c r="K411" s="49">
        <v>0</v>
      </c>
      <c r="L411" s="71">
        <v>0</v>
      </c>
      <c r="M411" s="71">
        <v>8000</v>
      </c>
    </row>
    <row r="412" spans="1:13">
      <c r="A412" s="43" t="s">
        <v>3411</v>
      </c>
      <c r="B412" s="134" t="s">
        <v>3440</v>
      </c>
      <c r="C412" s="45" t="s">
        <v>2530</v>
      </c>
      <c r="D412" s="45" t="s">
        <v>123</v>
      </c>
      <c r="E412" s="45" t="s">
        <v>124</v>
      </c>
      <c r="F412" s="71">
        <v>11570.25</v>
      </c>
      <c r="G412" s="71">
        <v>0</v>
      </c>
      <c r="H412" s="49">
        <v>0</v>
      </c>
      <c r="I412" s="49">
        <v>0</v>
      </c>
      <c r="J412" s="49">
        <v>2429.75</v>
      </c>
      <c r="K412" s="49">
        <v>0</v>
      </c>
      <c r="L412" s="71">
        <v>0</v>
      </c>
      <c r="M412" s="71">
        <v>14000</v>
      </c>
    </row>
    <row r="413" spans="1:13">
      <c r="A413" s="43" t="s">
        <v>3411</v>
      </c>
      <c r="B413" s="134" t="s">
        <v>3441</v>
      </c>
      <c r="C413" s="45" t="s">
        <v>3212</v>
      </c>
      <c r="D413" s="45" t="s">
        <v>123</v>
      </c>
      <c r="E413" s="45">
        <v>5607654</v>
      </c>
      <c r="F413" s="71">
        <v>10743.8</v>
      </c>
      <c r="G413" s="71">
        <v>0</v>
      </c>
      <c r="H413" s="49">
        <v>0</v>
      </c>
      <c r="I413" s="49">
        <v>0</v>
      </c>
      <c r="J413" s="49">
        <v>2256.1999999999998</v>
      </c>
      <c r="K413" s="49">
        <v>0</v>
      </c>
      <c r="L413" s="71">
        <v>0</v>
      </c>
      <c r="M413" s="71">
        <v>13000</v>
      </c>
    </row>
    <row r="414" spans="1:13">
      <c r="A414" s="43" t="s">
        <v>3411</v>
      </c>
      <c r="B414" s="134" t="s">
        <v>3442</v>
      </c>
      <c r="C414" s="45" t="s">
        <v>1125</v>
      </c>
      <c r="D414" s="45" t="s">
        <v>123</v>
      </c>
      <c r="E414" s="45">
        <v>8607637</v>
      </c>
      <c r="F414" s="71">
        <v>20909.09</v>
      </c>
      <c r="G414" s="71">
        <v>0</v>
      </c>
      <c r="H414" s="49">
        <v>0</v>
      </c>
      <c r="I414" s="49">
        <v>0</v>
      </c>
      <c r="J414" s="49">
        <v>4390.91</v>
      </c>
      <c r="K414" s="49">
        <v>0</v>
      </c>
      <c r="L414" s="71">
        <v>0</v>
      </c>
      <c r="M414" s="71">
        <v>25300</v>
      </c>
    </row>
    <row r="415" spans="1:13">
      <c r="A415" s="43" t="s">
        <v>3411</v>
      </c>
      <c r="B415" s="134" t="s">
        <v>3443</v>
      </c>
      <c r="C415" s="45" t="s">
        <v>3444</v>
      </c>
      <c r="D415" s="45" t="s">
        <v>123</v>
      </c>
      <c r="E415" s="45">
        <v>17976550</v>
      </c>
      <c r="F415" s="71">
        <v>11570.25</v>
      </c>
      <c r="G415" s="71">
        <v>0</v>
      </c>
      <c r="H415" s="49">
        <v>0</v>
      </c>
      <c r="I415" s="49">
        <v>0</v>
      </c>
      <c r="J415" s="49">
        <v>2429.75</v>
      </c>
      <c r="K415" s="49">
        <v>0</v>
      </c>
      <c r="L415" s="71">
        <v>0</v>
      </c>
      <c r="M415" s="71">
        <v>14000</v>
      </c>
    </row>
    <row r="416" spans="1:13">
      <c r="A416" s="43" t="s">
        <v>3411</v>
      </c>
      <c r="B416" s="44" t="s">
        <v>3445</v>
      </c>
      <c r="C416" s="45" t="s">
        <v>3444</v>
      </c>
      <c r="D416" s="45" t="s">
        <v>123</v>
      </c>
      <c r="E416" s="45">
        <v>17976550</v>
      </c>
      <c r="F416" s="71">
        <v>14049.59</v>
      </c>
      <c r="G416" s="71">
        <v>0</v>
      </c>
      <c r="H416" s="49">
        <v>0</v>
      </c>
      <c r="I416" s="49">
        <v>0</v>
      </c>
      <c r="J416" s="49">
        <v>2950.41</v>
      </c>
      <c r="K416" s="49">
        <v>0</v>
      </c>
      <c r="L416" s="71">
        <v>0</v>
      </c>
      <c r="M416" s="71">
        <v>17000</v>
      </c>
    </row>
    <row r="417" spans="1:13">
      <c r="A417" s="43" t="s">
        <v>3446</v>
      </c>
      <c r="B417" s="44" t="s">
        <v>3463</v>
      </c>
      <c r="C417" s="45" t="s">
        <v>2196</v>
      </c>
      <c r="D417" s="45" t="s">
        <v>123</v>
      </c>
      <c r="E417" s="45">
        <v>20435515</v>
      </c>
      <c r="F417" s="71">
        <v>27272.73</v>
      </c>
      <c r="G417" s="71">
        <v>0</v>
      </c>
      <c r="H417" s="49">
        <v>0</v>
      </c>
      <c r="I417" s="49">
        <v>0</v>
      </c>
      <c r="J417" s="49">
        <v>5727.27</v>
      </c>
      <c r="K417" s="49">
        <v>0</v>
      </c>
      <c r="L417" s="71">
        <v>0</v>
      </c>
      <c r="M417" s="71">
        <v>33000</v>
      </c>
    </row>
    <row r="418" spans="1:13">
      <c r="A418" s="43" t="s">
        <v>3446</v>
      </c>
      <c r="B418" s="44" t="s">
        <v>3464</v>
      </c>
      <c r="C418" s="45" t="s">
        <v>1588</v>
      </c>
      <c r="D418" s="45" t="s">
        <v>123</v>
      </c>
      <c r="E418" s="45">
        <v>18375246</v>
      </c>
      <c r="F418" s="71">
        <v>14876.03</v>
      </c>
      <c r="G418" s="71">
        <v>0</v>
      </c>
      <c r="H418" s="49">
        <v>0</v>
      </c>
      <c r="I418" s="49">
        <v>0</v>
      </c>
      <c r="J418" s="49">
        <v>3123.97</v>
      </c>
      <c r="K418" s="49">
        <v>0</v>
      </c>
      <c r="L418" s="71">
        <v>0</v>
      </c>
      <c r="M418" s="71">
        <v>18000</v>
      </c>
    </row>
    <row r="419" spans="1:13">
      <c r="A419" s="43" t="s">
        <v>3446</v>
      </c>
      <c r="B419" s="44" t="s">
        <v>3465</v>
      </c>
      <c r="C419" s="45" t="s">
        <v>1599</v>
      </c>
      <c r="D419" s="45" t="s">
        <v>123</v>
      </c>
      <c r="E419" s="45">
        <v>17814995</v>
      </c>
      <c r="F419" s="71">
        <v>8264.4600000000009</v>
      </c>
      <c r="G419" s="71">
        <v>0</v>
      </c>
      <c r="H419" s="49">
        <v>0</v>
      </c>
      <c r="I419" s="49">
        <v>0</v>
      </c>
      <c r="J419" s="49">
        <v>1735.54</v>
      </c>
      <c r="K419" s="49">
        <v>0</v>
      </c>
      <c r="L419" s="71">
        <v>0</v>
      </c>
      <c r="M419" s="71">
        <v>10000</v>
      </c>
    </row>
    <row r="420" spans="1:13">
      <c r="A420" s="43" t="s">
        <v>3446</v>
      </c>
      <c r="B420" s="44" t="s">
        <v>3466</v>
      </c>
      <c r="C420" s="45" t="s">
        <v>769</v>
      </c>
      <c r="D420" s="45" t="s">
        <v>123</v>
      </c>
      <c r="E420" s="45">
        <v>21363216</v>
      </c>
      <c r="F420" s="71">
        <v>6611.57</v>
      </c>
      <c r="G420" s="71">
        <v>0</v>
      </c>
      <c r="H420" s="49">
        <v>0</v>
      </c>
      <c r="I420" s="49">
        <v>0</v>
      </c>
      <c r="J420" s="49">
        <v>1388.43</v>
      </c>
      <c r="K420" s="49">
        <v>0</v>
      </c>
      <c r="L420" s="71">
        <v>0</v>
      </c>
      <c r="M420" s="71">
        <v>8000</v>
      </c>
    </row>
    <row r="421" spans="1:13">
      <c r="A421" s="43" t="s">
        <v>3446</v>
      </c>
      <c r="B421" s="44" t="s">
        <v>3467</v>
      </c>
      <c r="C421" s="45" t="s">
        <v>428</v>
      </c>
      <c r="D421" s="45" t="s">
        <v>123</v>
      </c>
      <c r="E421" s="45">
        <v>30206585</v>
      </c>
      <c r="F421" s="71">
        <v>7272.72</v>
      </c>
      <c r="G421" s="71">
        <v>0</v>
      </c>
      <c r="H421" s="49">
        <v>0</v>
      </c>
      <c r="I421" s="49">
        <v>0</v>
      </c>
      <c r="J421" s="49">
        <v>1527.28</v>
      </c>
      <c r="K421" s="49">
        <v>0</v>
      </c>
      <c r="L421" s="71">
        <v>0</v>
      </c>
      <c r="M421" s="71">
        <v>8800</v>
      </c>
    </row>
    <row r="422" spans="1:13">
      <c r="A422" s="43" t="s">
        <v>3446</v>
      </c>
      <c r="B422" s="44" t="s">
        <v>3468</v>
      </c>
      <c r="C422" s="45" t="s">
        <v>2452</v>
      </c>
      <c r="D422" s="45" t="s">
        <v>123</v>
      </c>
      <c r="E422" s="45">
        <v>12453213</v>
      </c>
      <c r="F422" s="71">
        <v>20661.16</v>
      </c>
      <c r="G422" s="71">
        <v>0</v>
      </c>
      <c r="H422" s="49">
        <v>0</v>
      </c>
      <c r="I422" s="49">
        <v>0</v>
      </c>
      <c r="J422" s="49">
        <v>4338.84</v>
      </c>
      <c r="K422" s="49">
        <v>0</v>
      </c>
      <c r="L422" s="71">
        <v>0</v>
      </c>
      <c r="M422" s="71">
        <v>25000</v>
      </c>
    </row>
    <row r="423" spans="1:13">
      <c r="A423" s="43" t="s">
        <v>3446</v>
      </c>
      <c r="B423" s="44" t="s">
        <v>3469</v>
      </c>
      <c r="C423" s="45" t="s">
        <v>2773</v>
      </c>
      <c r="D423" s="45" t="s">
        <v>123</v>
      </c>
      <c r="E423" s="45">
        <v>22717507</v>
      </c>
      <c r="F423" s="71">
        <v>14049.59</v>
      </c>
      <c r="G423" s="71">
        <v>0</v>
      </c>
      <c r="H423" s="49">
        <v>0</v>
      </c>
      <c r="I423" s="49">
        <v>0</v>
      </c>
      <c r="J423" s="49">
        <v>2950.41</v>
      </c>
      <c r="K423" s="49">
        <v>0</v>
      </c>
      <c r="L423" s="71">
        <v>0</v>
      </c>
      <c r="M423" s="71">
        <v>17000</v>
      </c>
    </row>
    <row r="424" spans="1:13">
      <c r="A424" s="43" t="s">
        <v>3446</v>
      </c>
      <c r="B424" s="44" t="s">
        <v>3470</v>
      </c>
      <c r="C424" s="45" t="s">
        <v>3471</v>
      </c>
      <c r="D424" s="45" t="s">
        <v>123</v>
      </c>
      <c r="E424" s="45">
        <v>2719694</v>
      </c>
      <c r="F424" s="71">
        <v>1166.1100000000001</v>
      </c>
      <c r="G424" s="71">
        <v>0</v>
      </c>
      <c r="H424" s="49">
        <v>0</v>
      </c>
      <c r="I424" s="49">
        <v>0</v>
      </c>
      <c r="J424" s="49">
        <v>244.89</v>
      </c>
      <c r="K424" s="49">
        <v>0</v>
      </c>
      <c r="L424" s="71">
        <v>0</v>
      </c>
      <c r="M424" s="71">
        <v>1411</v>
      </c>
    </row>
    <row r="425" spans="1:13">
      <c r="A425" s="43" t="s">
        <v>3446</v>
      </c>
      <c r="B425" s="44" t="s">
        <v>3472</v>
      </c>
      <c r="C425" s="45" t="s">
        <v>289</v>
      </c>
      <c r="D425" s="45" t="s">
        <v>123</v>
      </c>
      <c r="E425" s="45">
        <v>5289939</v>
      </c>
      <c r="F425" s="71">
        <v>4132.2300000000005</v>
      </c>
      <c r="G425" s="71">
        <v>0</v>
      </c>
      <c r="H425" s="49">
        <v>0</v>
      </c>
      <c r="I425" s="49">
        <v>0</v>
      </c>
      <c r="J425" s="49">
        <v>867.77</v>
      </c>
      <c r="K425" s="49">
        <v>0</v>
      </c>
      <c r="L425" s="71">
        <v>0</v>
      </c>
      <c r="M425" s="71">
        <v>5000</v>
      </c>
    </row>
    <row r="426" spans="1:13">
      <c r="A426" s="43" t="s">
        <v>3446</v>
      </c>
      <c r="B426" s="44" t="s">
        <v>3473</v>
      </c>
      <c r="C426" s="45" t="s">
        <v>289</v>
      </c>
      <c r="D426" s="45" t="s">
        <v>123</v>
      </c>
      <c r="E426" s="45">
        <v>5289939</v>
      </c>
      <c r="F426" s="71">
        <v>6611.57</v>
      </c>
      <c r="G426" s="71">
        <v>0</v>
      </c>
      <c r="H426" s="49">
        <v>0</v>
      </c>
      <c r="I426" s="49">
        <v>0</v>
      </c>
      <c r="J426" s="49">
        <v>1388.43</v>
      </c>
      <c r="K426" s="49">
        <v>0</v>
      </c>
      <c r="L426" s="71">
        <v>0</v>
      </c>
      <c r="M426" s="71">
        <v>8000</v>
      </c>
    </row>
    <row r="427" spans="1:13">
      <c r="A427" s="43" t="s">
        <v>3446</v>
      </c>
      <c r="B427" s="44" t="s">
        <v>3474</v>
      </c>
      <c r="C427" s="45" t="s">
        <v>3475</v>
      </c>
      <c r="D427" s="45" t="s">
        <v>123</v>
      </c>
      <c r="E427" s="45">
        <v>17577310</v>
      </c>
      <c r="F427" s="71">
        <v>22314.05</v>
      </c>
      <c r="G427" s="71">
        <v>0</v>
      </c>
      <c r="H427" s="49">
        <v>0</v>
      </c>
      <c r="I427" s="49">
        <v>0</v>
      </c>
      <c r="J427" s="49">
        <v>4685.95</v>
      </c>
      <c r="K427" s="49">
        <v>0</v>
      </c>
      <c r="L427" s="71">
        <v>0</v>
      </c>
      <c r="M427" s="71">
        <v>27000</v>
      </c>
    </row>
    <row r="428" spans="1:13">
      <c r="A428" s="43" t="s">
        <v>3476</v>
      </c>
      <c r="B428" s="44" t="s">
        <v>3493</v>
      </c>
      <c r="C428" s="45" t="s">
        <v>420</v>
      </c>
      <c r="D428" s="45" t="s">
        <v>123</v>
      </c>
      <c r="E428" s="45">
        <v>3955768</v>
      </c>
      <c r="F428" s="71">
        <v>2218.19</v>
      </c>
      <c r="G428" s="71">
        <v>0</v>
      </c>
      <c r="H428" s="49">
        <v>0</v>
      </c>
      <c r="I428" s="49">
        <v>0</v>
      </c>
      <c r="J428" s="49">
        <v>465.81</v>
      </c>
      <c r="K428" s="49">
        <v>0</v>
      </c>
      <c r="L428" s="71">
        <v>0</v>
      </c>
      <c r="M428" s="71">
        <v>2684</v>
      </c>
    </row>
    <row r="429" spans="1:13">
      <c r="A429" s="43" t="s">
        <v>3476</v>
      </c>
      <c r="B429" s="44" t="s">
        <v>3494</v>
      </c>
      <c r="C429" s="45" t="s">
        <v>420</v>
      </c>
      <c r="D429" s="45" t="s">
        <v>123</v>
      </c>
      <c r="E429" s="45">
        <v>3955768</v>
      </c>
      <c r="F429" s="71">
        <v>1294.21</v>
      </c>
      <c r="G429" s="71">
        <v>0</v>
      </c>
      <c r="H429" s="49">
        <v>0</v>
      </c>
      <c r="I429" s="49">
        <v>0</v>
      </c>
      <c r="J429" s="49">
        <v>271.79000000000002</v>
      </c>
      <c r="K429" s="49">
        <v>0</v>
      </c>
      <c r="L429" s="71">
        <v>0</v>
      </c>
      <c r="M429" s="71">
        <v>1566</v>
      </c>
    </row>
    <row r="430" spans="1:13">
      <c r="A430" s="43" t="s">
        <v>3476</v>
      </c>
      <c r="B430" s="44" t="s">
        <v>3495</v>
      </c>
      <c r="C430" s="45" t="s">
        <v>3496</v>
      </c>
      <c r="D430" s="45" t="s">
        <v>123</v>
      </c>
      <c r="E430" s="45">
        <v>94284197</v>
      </c>
      <c r="F430" s="71">
        <v>14049.59</v>
      </c>
      <c r="G430" s="71">
        <v>0</v>
      </c>
      <c r="H430" s="49">
        <v>0</v>
      </c>
      <c r="I430" s="49">
        <v>0</v>
      </c>
      <c r="J430" s="49">
        <v>2950.41</v>
      </c>
      <c r="K430" s="49">
        <v>0</v>
      </c>
      <c r="L430" s="71">
        <v>0</v>
      </c>
      <c r="M430" s="71">
        <v>17000</v>
      </c>
    </row>
    <row r="431" spans="1:13">
      <c r="A431" s="43" t="s">
        <v>3497</v>
      </c>
      <c r="B431" s="44" t="s">
        <v>3517</v>
      </c>
      <c r="C431" s="45" t="s">
        <v>375</v>
      </c>
      <c r="D431" s="45" t="s">
        <v>123</v>
      </c>
      <c r="E431" s="45">
        <v>22990821</v>
      </c>
      <c r="F431" s="71">
        <v>8264.4699999999993</v>
      </c>
      <c r="G431" s="71">
        <v>0</v>
      </c>
      <c r="H431" s="49">
        <v>0</v>
      </c>
      <c r="I431" s="49">
        <v>0</v>
      </c>
      <c r="J431" s="49">
        <v>1735.53</v>
      </c>
      <c r="K431" s="49">
        <v>0</v>
      </c>
      <c r="L431" s="71">
        <v>0</v>
      </c>
      <c r="M431" s="71">
        <v>10000</v>
      </c>
    </row>
    <row r="432" spans="1:13">
      <c r="A432" s="43" t="s">
        <v>3497</v>
      </c>
      <c r="B432" s="44" t="s">
        <v>3518</v>
      </c>
      <c r="C432" s="45" t="s">
        <v>3519</v>
      </c>
      <c r="D432" s="45" t="s">
        <v>123</v>
      </c>
      <c r="E432" s="45">
        <v>3784360</v>
      </c>
      <c r="F432" s="71">
        <v>49586.78</v>
      </c>
      <c r="G432" s="71">
        <v>0</v>
      </c>
      <c r="H432" s="49">
        <v>0</v>
      </c>
      <c r="I432" s="49">
        <v>0</v>
      </c>
      <c r="J432" s="49">
        <v>10413.219999999999</v>
      </c>
      <c r="K432" s="49">
        <v>0</v>
      </c>
      <c r="L432" s="71">
        <v>0</v>
      </c>
      <c r="M432" s="71">
        <v>60000</v>
      </c>
    </row>
    <row r="433" spans="1:13">
      <c r="A433" s="43" t="s">
        <v>3497</v>
      </c>
      <c r="B433" s="44" t="s">
        <v>3520</v>
      </c>
      <c r="C433" s="45" t="s">
        <v>3521</v>
      </c>
      <c r="D433" s="45" t="s">
        <v>123</v>
      </c>
      <c r="E433" s="45">
        <v>29502287</v>
      </c>
      <c r="F433" s="71">
        <v>7272.72</v>
      </c>
      <c r="G433" s="71">
        <v>0</v>
      </c>
      <c r="H433" s="49">
        <v>0</v>
      </c>
      <c r="I433" s="49">
        <v>0</v>
      </c>
      <c r="J433" s="49">
        <v>1527.28</v>
      </c>
      <c r="K433" s="49">
        <v>0</v>
      </c>
      <c r="L433" s="71">
        <v>0</v>
      </c>
      <c r="M433" s="71">
        <v>8800</v>
      </c>
    </row>
    <row r="434" spans="1:13">
      <c r="A434" s="43" t="s">
        <v>3291</v>
      </c>
      <c r="B434" s="134" t="s">
        <v>3292</v>
      </c>
      <c r="C434" s="45" t="s">
        <v>122</v>
      </c>
      <c r="D434" s="45" t="s">
        <v>123</v>
      </c>
      <c r="E434" s="45" t="s">
        <v>124</v>
      </c>
      <c r="F434" s="71">
        <v>-16115.7</v>
      </c>
      <c r="G434" s="71">
        <v>0</v>
      </c>
      <c r="H434" s="49">
        <v>0</v>
      </c>
      <c r="I434" s="49">
        <v>0</v>
      </c>
      <c r="J434" s="49">
        <v>-3384.3</v>
      </c>
      <c r="K434" s="49">
        <v>0</v>
      </c>
      <c r="L434" s="71">
        <v>0</v>
      </c>
      <c r="M434" s="71">
        <v>-19500</v>
      </c>
    </row>
    <row r="435" spans="1:13">
      <c r="A435" s="43" t="s">
        <v>3497</v>
      </c>
      <c r="B435" s="134" t="s">
        <v>3498</v>
      </c>
      <c r="C435" s="45" t="s">
        <v>122</v>
      </c>
      <c r="D435" s="45" t="s">
        <v>123</v>
      </c>
      <c r="E435" s="45" t="s">
        <v>124</v>
      </c>
      <c r="F435" s="71">
        <v>-7190.08</v>
      </c>
      <c r="G435" s="71">
        <v>0</v>
      </c>
      <c r="H435" s="49">
        <v>0</v>
      </c>
      <c r="I435" s="49">
        <v>0</v>
      </c>
      <c r="J435" s="49">
        <v>-1509.92</v>
      </c>
      <c r="K435" s="49">
        <v>0</v>
      </c>
      <c r="L435" s="71">
        <v>0</v>
      </c>
      <c r="M435" s="71">
        <v>-8700</v>
      </c>
    </row>
    <row r="436" spans="1:13">
      <c r="A436" s="43" t="s">
        <v>3184</v>
      </c>
      <c r="B436" s="134" t="s">
        <v>3554</v>
      </c>
      <c r="C436" s="45"/>
      <c r="D436" s="45"/>
      <c r="E436" s="45"/>
      <c r="F436" s="71">
        <v>11404.95</v>
      </c>
      <c r="G436" s="71">
        <v>0</v>
      </c>
      <c r="H436" s="49">
        <v>0</v>
      </c>
      <c r="I436" s="49">
        <v>0</v>
      </c>
      <c r="J436" s="49">
        <v>2395.04</v>
      </c>
      <c r="K436" s="49">
        <v>0</v>
      </c>
      <c r="L436" s="71">
        <v>0</v>
      </c>
      <c r="M436" s="71">
        <v>13800</v>
      </c>
    </row>
    <row r="437" spans="1:13">
      <c r="A437" s="43" t="s">
        <v>3184</v>
      </c>
      <c r="B437" s="134" t="s">
        <v>3557</v>
      </c>
      <c r="C437" s="45"/>
      <c r="D437" s="45"/>
      <c r="E437" s="45"/>
      <c r="F437" s="71">
        <v>14008.29</v>
      </c>
      <c r="G437" s="71">
        <v>0</v>
      </c>
      <c r="H437" s="49">
        <v>0</v>
      </c>
      <c r="I437" s="49">
        <v>0</v>
      </c>
      <c r="J437" s="49">
        <v>2941.74</v>
      </c>
      <c r="K437" s="49">
        <v>0</v>
      </c>
      <c r="L437" s="71">
        <v>0</v>
      </c>
      <c r="M437" s="71">
        <v>16950</v>
      </c>
    </row>
    <row r="438" spans="1:13">
      <c r="A438" s="43" t="s">
        <v>3184</v>
      </c>
      <c r="B438" s="134" t="s">
        <v>3558</v>
      </c>
      <c r="C438" s="45"/>
      <c r="D438" s="45"/>
      <c r="E438" s="45"/>
      <c r="F438" s="71">
        <v>11611.57</v>
      </c>
      <c r="G438" s="71">
        <v>0</v>
      </c>
      <c r="H438" s="49">
        <v>0</v>
      </c>
      <c r="I438" s="49">
        <v>0</v>
      </c>
      <c r="J438" s="49">
        <v>2438.4299999999998</v>
      </c>
      <c r="K438" s="49">
        <v>0</v>
      </c>
      <c r="L438" s="71">
        <v>0</v>
      </c>
      <c r="M438" s="71">
        <v>14050</v>
      </c>
    </row>
    <row r="439" spans="1:13">
      <c r="A439" s="43" t="s">
        <v>3184</v>
      </c>
      <c r="B439" s="134" t="s">
        <v>3559</v>
      </c>
      <c r="C439" s="45"/>
      <c r="D439" s="45"/>
      <c r="E439" s="45"/>
      <c r="F439" s="71">
        <v>15702.48</v>
      </c>
      <c r="G439" s="71">
        <v>0</v>
      </c>
      <c r="H439" s="49">
        <v>0</v>
      </c>
      <c r="I439" s="49">
        <v>0</v>
      </c>
      <c r="J439" s="49">
        <v>3297.52</v>
      </c>
      <c r="K439" s="49">
        <v>0</v>
      </c>
      <c r="L439" s="71">
        <v>0</v>
      </c>
      <c r="M439" s="71">
        <v>19000</v>
      </c>
    </row>
    <row r="440" spans="1:13">
      <c r="A440" s="43" t="s">
        <v>3184</v>
      </c>
      <c r="B440" s="134" t="s">
        <v>3560</v>
      </c>
      <c r="C440" s="45"/>
      <c r="D440" s="45"/>
      <c r="E440" s="45"/>
      <c r="F440" s="71">
        <v>19834.71</v>
      </c>
      <c r="G440" s="71">
        <v>0</v>
      </c>
      <c r="H440" s="49">
        <v>0</v>
      </c>
      <c r="I440" s="49">
        <v>0</v>
      </c>
      <c r="J440" s="49">
        <v>4165.29</v>
      </c>
      <c r="K440" s="49">
        <v>0</v>
      </c>
      <c r="L440" s="71">
        <v>0</v>
      </c>
      <c r="M440" s="71">
        <v>24000</v>
      </c>
    </row>
    <row r="441" spans="1:13">
      <c r="A441" s="43" t="s">
        <v>3184</v>
      </c>
      <c r="B441" s="134" t="s">
        <v>3561</v>
      </c>
      <c r="C441" s="45"/>
      <c r="D441" s="45"/>
      <c r="E441" s="45"/>
      <c r="F441" s="71">
        <v>7438</v>
      </c>
      <c r="G441" s="71">
        <v>0</v>
      </c>
      <c r="H441" s="49">
        <v>0</v>
      </c>
      <c r="I441" s="49">
        <v>0</v>
      </c>
      <c r="J441" s="49">
        <v>1561.98</v>
      </c>
      <c r="K441" s="49">
        <v>0</v>
      </c>
      <c r="L441" s="71">
        <v>0</v>
      </c>
      <c r="M441" s="71">
        <v>9000</v>
      </c>
    </row>
    <row r="442" spans="1:13">
      <c r="A442" s="43" t="s">
        <v>3184</v>
      </c>
      <c r="B442" s="134" t="s">
        <v>3555</v>
      </c>
      <c r="C442" s="45"/>
      <c r="D442" s="45"/>
      <c r="E442" s="45"/>
      <c r="F442" s="71">
        <v>991.71</v>
      </c>
      <c r="G442" s="71">
        <v>0</v>
      </c>
      <c r="H442" s="49">
        <v>0</v>
      </c>
      <c r="I442" s="49">
        <v>0</v>
      </c>
      <c r="J442" s="49">
        <v>208.26</v>
      </c>
      <c r="K442" s="49">
        <v>0</v>
      </c>
      <c r="L442" s="71">
        <v>0</v>
      </c>
      <c r="M442" s="71">
        <v>1200</v>
      </c>
    </row>
    <row r="443" spans="1:13">
      <c r="A443" s="43" t="s">
        <v>3184</v>
      </c>
      <c r="B443" s="134" t="s">
        <v>3562</v>
      </c>
      <c r="C443" s="45"/>
      <c r="D443" s="45"/>
      <c r="E443" s="45"/>
      <c r="F443" s="71">
        <v>26694.19</v>
      </c>
      <c r="G443" s="71">
        <v>0</v>
      </c>
      <c r="H443" s="49">
        <v>0</v>
      </c>
      <c r="I443" s="49">
        <v>0</v>
      </c>
      <c r="J443" s="49">
        <v>5605.78</v>
      </c>
      <c r="K443" s="49">
        <v>0</v>
      </c>
      <c r="L443" s="71">
        <v>0</v>
      </c>
      <c r="M443" s="71">
        <v>32300</v>
      </c>
    </row>
    <row r="444" spans="1:13">
      <c r="A444" s="43" t="s">
        <v>3184</v>
      </c>
      <c r="B444" s="134" t="s">
        <v>3563</v>
      </c>
      <c r="C444" s="45"/>
      <c r="D444" s="45"/>
      <c r="E444" s="45"/>
      <c r="F444" s="71">
        <v>4876.05</v>
      </c>
      <c r="G444" s="71">
        <v>0</v>
      </c>
      <c r="H444" s="49">
        <v>0</v>
      </c>
      <c r="I444" s="49">
        <v>0</v>
      </c>
      <c r="J444" s="49">
        <v>1023.97</v>
      </c>
      <c r="K444" s="49">
        <v>0</v>
      </c>
      <c r="L444" s="71">
        <v>0</v>
      </c>
      <c r="M444" s="71">
        <v>5900</v>
      </c>
    </row>
    <row r="445" spans="1:13">
      <c r="A445" s="43" t="s">
        <v>3184</v>
      </c>
      <c r="B445" s="134" t="s">
        <v>3556</v>
      </c>
      <c r="C445" s="45"/>
      <c r="D445" s="45"/>
      <c r="E445" s="45"/>
      <c r="F445" s="71">
        <v>19504.14</v>
      </c>
      <c r="G445" s="71">
        <v>0</v>
      </c>
      <c r="H445" s="49">
        <v>0</v>
      </c>
      <c r="I445" s="49">
        <v>0</v>
      </c>
      <c r="J445" s="49">
        <v>4095.87</v>
      </c>
      <c r="K445" s="49">
        <v>0</v>
      </c>
      <c r="L445" s="71">
        <v>0</v>
      </c>
      <c r="M445" s="71">
        <v>23600</v>
      </c>
    </row>
    <row r="446" spans="1:13">
      <c r="A446" s="43" t="s">
        <v>3184</v>
      </c>
      <c r="B446" s="134" t="s">
        <v>3564</v>
      </c>
      <c r="C446" s="45"/>
      <c r="D446" s="45"/>
      <c r="E446" s="45"/>
      <c r="F446" s="71">
        <v>14917.33</v>
      </c>
      <c r="G446" s="71">
        <v>0</v>
      </c>
      <c r="H446" s="49">
        <v>0</v>
      </c>
      <c r="I446" s="49">
        <v>0</v>
      </c>
      <c r="J446" s="49">
        <v>3132.64</v>
      </c>
      <c r="K446" s="49">
        <v>0</v>
      </c>
      <c r="L446" s="71">
        <v>0</v>
      </c>
      <c r="M446" s="71">
        <v>18050</v>
      </c>
    </row>
    <row r="447" spans="1:13">
      <c r="A447" s="43" t="s">
        <v>3184</v>
      </c>
      <c r="B447" s="134" t="s">
        <v>3565</v>
      </c>
      <c r="C447" s="45"/>
      <c r="D447" s="45"/>
      <c r="E447" s="45"/>
      <c r="F447" s="71">
        <v>3719</v>
      </c>
      <c r="G447" s="71">
        <v>0</v>
      </c>
      <c r="H447" s="49">
        <v>0</v>
      </c>
      <c r="I447" s="49">
        <v>0</v>
      </c>
      <c r="J447" s="49">
        <v>780.99</v>
      </c>
      <c r="K447" s="49">
        <v>0</v>
      </c>
      <c r="L447" s="71">
        <v>0</v>
      </c>
      <c r="M447" s="71">
        <v>4500</v>
      </c>
    </row>
    <row r="448" spans="1:13">
      <c r="A448" s="43" t="s">
        <v>3184</v>
      </c>
      <c r="B448" s="134" t="s">
        <v>3566</v>
      </c>
      <c r="C448" s="45"/>
      <c r="D448" s="45"/>
      <c r="E448" s="45"/>
      <c r="F448" s="71">
        <v>7644.62</v>
      </c>
      <c r="G448" s="71">
        <v>0</v>
      </c>
      <c r="H448" s="49">
        <v>0</v>
      </c>
      <c r="I448" s="49">
        <v>0</v>
      </c>
      <c r="J448" s="49">
        <v>1605.37</v>
      </c>
      <c r="K448" s="49">
        <v>0</v>
      </c>
      <c r="L448" s="71">
        <v>0</v>
      </c>
      <c r="M448" s="71">
        <v>9250</v>
      </c>
    </row>
    <row r="449" spans="1:13">
      <c r="A449" s="136" t="s">
        <v>3184</v>
      </c>
      <c r="B449" s="134" t="s">
        <v>3567</v>
      </c>
      <c r="C449" s="137"/>
      <c r="D449" s="137"/>
      <c r="E449" s="137"/>
      <c r="F449" s="138">
        <v>2685.95</v>
      </c>
      <c r="G449" s="138"/>
      <c r="H449" s="139"/>
      <c r="I449" s="139"/>
      <c r="J449" s="139">
        <v>564.04999999999995</v>
      </c>
      <c r="K449" s="49">
        <v>0</v>
      </c>
      <c r="L449" s="71">
        <v>0</v>
      </c>
      <c r="M449" s="138">
        <v>3250</v>
      </c>
    </row>
    <row r="450" spans="1:13">
      <c r="A450" s="13" t="s">
        <v>432</v>
      </c>
      <c r="B450" s="13" t="s">
        <v>433</v>
      </c>
      <c r="C450" s="13" t="s">
        <v>434</v>
      </c>
      <c r="D450" s="13" t="s">
        <v>435</v>
      </c>
      <c r="E450" s="13" t="s">
        <v>436</v>
      </c>
      <c r="F450" s="133">
        <f>SUBTOTAL(109,Tabla3[Gravado])</f>
        <v>57972775.789999872</v>
      </c>
      <c r="G450" s="133">
        <f ca="1">SUM(OFFSET($A$1,5,COLUMN()-1):OFFSET($A$1,ROW()-2,COLUMN()-1))</f>
        <v>0</v>
      </c>
      <c r="H450" s="133">
        <f ca="1">SUM(OFFSET($A$1,5,COLUMN()-1):OFFSET($A$1,ROW()-2,COLUMN()-1))</f>
        <v>0</v>
      </c>
      <c r="I450" s="133">
        <f ca="1">SUM(OFFSET($A$1,5,COLUMN()-1):OFFSET($A$1,ROW()-2,COLUMN()-1))</f>
        <v>0</v>
      </c>
      <c r="J450" s="133">
        <f>SUBTOTAL(109,Tabla3[IVA 21%])</f>
        <v>12174283.039999969</v>
      </c>
      <c r="K450" s="133">
        <f ca="1">SUM(OFFSET($A$1,5,COLUMN()-1):OFFSET($A$1,ROW()-2,COLUMN()-1))</f>
        <v>0</v>
      </c>
      <c r="L450" s="133">
        <f ca="1">SUM(OFFSET($A$1,5,COLUMN()-1):OFFSET($A$1,ROW()-2,COLUMN()-1))</f>
        <v>0</v>
      </c>
      <c r="M450" s="133">
        <f>SUBTOTAL(109,Tabla3[Total Compr.])</f>
        <v>70147058.909999996</v>
      </c>
    </row>
    <row r="453" spans="1:13">
      <c r="I453" s="122" t="s">
        <v>3077</v>
      </c>
      <c r="J453" s="123">
        <f>SUM(F6:F65)</f>
        <v>52961984.459999986</v>
      </c>
      <c r="K453" s="123">
        <f>SUM(J6:J65)</f>
        <v>11122016.770000001</v>
      </c>
      <c r="L453" s="123">
        <f>SUM(M6:M65)</f>
        <v>64084001.229999997</v>
      </c>
    </row>
    <row r="454" spans="1:13">
      <c r="I454" s="122" t="s">
        <v>3078</v>
      </c>
      <c r="J454" s="123">
        <f>SUM(F67:F449)</f>
        <v>5010791.3300000038</v>
      </c>
      <c r="K454" s="123">
        <f>SUM(J67:J449)</f>
        <v>1052266.27</v>
      </c>
      <c r="L454" s="123">
        <f>SUM(M67:M449)</f>
        <v>6063057.6799999997</v>
      </c>
    </row>
    <row r="455" spans="1:13">
      <c r="I455" s="144" t="s">
        <v>3079</v>
      </c>
      <c r="J455" s="145">
        <f>F450</f>
        <v>57972775.789999872</v>
      </c>
      <c r="K455" s="145">
        <f>J450</f>
        <v>12174283.039999969</v>
      </c>
      <c r="L455" s="145">
        <f>M450</f>
        <v>70147058.909999996</v>
      </c>
    </row>
    <row r="459" spans="1:13">
      <c r="I459" t="s">
        <v>3552</v>
      </c>
    </row>
    <row r="460" spans="1:13">
      <c r="J460" s="48" t="s">
        <v>3553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6"/>
  <sheetViews>
    <sheetView workbookViewId="0">
      <selection sqref="A1:C2"/>
    </sheetView>
  </sheetViews>
  <sheetFormatPr baseColWidth="10" defaultRowHeight="15"/>
  <cols>
    <col min="2" max="2" width="25.5703125" customWidth="1"/>
    <col min="3" max="3" width="22.140625" customWidth="1"/>
    <col min="4" max="4" width="23" customWidth="1"/>
    <col min="5" max="5" width="18.140625" customWidth="1"/>
    <col min="6" max="6" width="14.85546875" customWidth="1"/>
    <col min="7" max="7" width="16.28515625" customWidth="1"/>
    <col min="8" max="8" width="15.85546875" customWidth="1"/>
    <col min="9" max="9" width="19.28515625" customWidth="1"/>
    <col min="11" max="11" width="16.5703125" customWidth="1"/>
    <col min="12" max="12" width="15.5703125" bestFit="1" customWidth="1"/>
    <col min="13" max="13" width="16.7109375" bestFit="1" customWidth="1"/>
    <col min="14" max="14" width="14.140625" customWidth="1"/>
  </cols>
  <sheetData>
    <row r="1" spans="1:14" ht="18">
      <c r="A1" s="124" t="s">
        <v>3568</v>
      </c>
    </row>
    <row r="2" spans="1:14" ht="15.75">
      <c r="A2" s="125" t="s">
        <v>2587</v>
      </c>
    </row>
    <row r="4" spans="1:14">
      <c r="A4" s="142" t="s">
        <v>0</v>
      </c>
      <c r="B4" s="142" t="s">
        <v>1</v>
      </c>
      <c r="C4" s="142" t="s">
        <v>2</v>
      </c>
      <c r="D4" s="142" t="s">
        <v>3</v>
      </c>
      <c r="E4" s="142" t="s">
        <v>4</v>
      </c>
      <c r="F4" s="142" t="s">
        <v>5</v>
      </c>
      <c r="G4" s="142" t="s">
        <v>6</v>
      </c>
      <c r="H4" s="142" t="s">
        <v>7</v>
      </c>
      <c r="I4" s="142" t="s">
        <v>8</v>
      </c>
      <c r="J4" s="142" t="s">
        <v>9</v>
      </c>
      <c r="K4" s="142" t="s">
        <v>10</v>
      </c>
      <c r="L4" s="142" t="s">
        <v>11</v>
      </c>
      <c r="M4" s="142" t="s">
        <v>12</v>
      </c>
      <c r="N4" s="142" t="s">
        <v>13</v>
      </c>
    </row>
    <row r="5" spans="1:14">
      <c r="A5" t="s">
        <v>3639</v>
      </c>
      <c r="B5" t="s">
        <v>3641</v>
      </c>
      <c r="C5" t="s">
        <v>3642</v>
      </c>
      <c r="D5" t="s">
        <v>17</v>
      </c>
      <c r="E5">
        <v>20044465532</v>
      </c>
      <c r="F5">
        <v>15702.48</v>
      </c>
      <c r="G5">
        <v>0</v>
      </c>
      <c r="H5">
        <v>0</v>
      </c>
      <c r="I5">
        <v>0</v>
      </c>
      <c r="J5">
        <v>0</v>
      </c>
      <c r="K5">
        <v>3297.52</v>
      </c>
      <c r="L5">
        <v>0</v>
      </c>
      <c r="M5">
        <v>0</v>
      </c>
      <c r="N5">
        <v>19000</v>
      </c>
    </row>
    <row r="6" spans="1:14">
      <c r="A6" t="s">
        <v>3819</v>
      </c>
      <c r="B6" t="s">
        <v>3820</v>
      </c>
      <c r="C6" t="s">
        <v>3821</v>
      </c>
      <c r="D6" t="s">
        <v>17</v>
      </c>
      <c r="E6">
        <v>30710374801</v>
      </c>
      <c r="F6">
        <v>17923.14</v>
      </c>
      <c r="G6">
        <v>0</v>
      </c>
      <c r="H6">
        <v>0</v>
      </c>
      <c r="I6">
        <v>0</v>
      </c>
      <c r="J6">
        <v>0</v>
      </c>
      <c r="K6">
        <v>3763.86</v>
      </c>
      <c r="L6">
        <v>0</v>
      </c>
      <c r="M6">
        <v>0</v>
      </c>
      <c r="N6">
        <v>21687</v>
      </c>
    </row>
    <row r="7" spans="1:14">
      <c r="A7" t="s">
        <v>3569</v>
      </c>
      <c r="B7" t="s">
        <v>3582</v>
      </c>
      <c r="C7" t="s">
        <v>16</v>
      </c>
      <c r="D7" t="s">
        <v>17</v>
      </c>
      <c r="E7">
        <v>30522428163</v>
      </c>
      <c r="F7">
        <v>4719008.25</v>
      </c>
      <c r="G7">
        <v>0</v>
      </c>
      <c r="H7">
        <v>0</v>
      </c>
      <c r="I7">
        <v>0</v>
      </c>
      <c r="J7">
        <v>0</v>
      </c>
      <c r="K7">
        <v>990991.74</v>
      </c>
      <c r="L7">
        <v>0</v>
      </c>
      <c r="M7">
        <v>0</v>
      </c>
      <c r="N7">
        <v>5709999.9900000002</v>
      </c>
    </row>
    <row r="8" spans="1:14">
      <c r="A8" t="s">
        <v>3594</v>
      </c>
      <c r="B8" t="s">
        <v>3600</v>
      </c>
      <c r="C8" t="s">
        <v>16</v>
      </c>
      <c r="D8" t="s">
        <v>17</v>
      </c>
      <c r="E8">
        <v>30522428163</v>
      </c>
      <c r="F8">
        <v>4674214.88</v>
      </c>
      <c r="G8">
        <v>0</v>
      </c>
      <c r="H8">
        <v>0</v>
      </c>
      <c r="I8">
        <v>0</v>
      </c>
      <c r="J8">
        <v>0</v>
      </c>
      <c r="K8">
        <v>981585.13</v>
      </c>
      <c r="L8">
        <v>0</v>
      </c>
      <c r="M8">
        <v>0</v>
      </c>
      <c r="N8">
        <v>5655800.0099999998</v>
      </c>
    </row>
    <row r="9" spans="1:14">
      <c r="A9" t="s">
        <v>3594</v>
      </c>
      <c r="B9" t="s">
        <v>3601</v>
      </c>
      <c r="C9" t="s">
        <v>16</v>
      </c>
      <c r="D9" t="s">
        <v>17</v>
      </c>
      <c r="E9">
        <v>30522428163</v>
      </c>
      <c r="F9">
        <v>9883305.790000001</v>
      </c>
      <c r="G9">
        <v>0</v>
      </c>
      <c r="H9">
        <v>0</v>
      </c>
      <c r="I9">
        <v>0</v>
      </c>
      <c r="J9">
        <v>0</v>
      </c>
      <c r="K9">
        <v>2075494.21</v>
      </c>
      <c r="L9">
        <v>0</v>
      </c>
      <c r="M9">
        <v>0</v>
      </c>
      <c r="N9">
        <v>11958800</v>
      </c>
    </row>
    <row r="10" spans="1:14">
      <c r="A10" t="s">
        <v>3594</v>
      </c>
      <c r="B10" t="s">
        <v>3602</v>
      </c>
      <c r="C10" t="s">
        <v>33</v>
      </c>
      <c r="D10" t="s">
        <v>17</v>
      </c>
      <c r="E10">
        <v>30683032227</v>
      </c>
      <c r="F10">
        <v>484297.52</v>
      </c>
      <c r="G10">
        <v>0</v>
      </c>
      <c r="H10">
        <v>0</v>
      </c>
      <c r="I10">
        <v>0</v>
      </c>
      <c r="J10">
        <v>0</v>
      </c>
      <c r="K10">
        <v>101702.48</v>
      </c>
      <c r="L10">
        <v>0</v>
      </c>
      <c r="M10">
        <v>0</v>
      </c>
      <c r="N10">
        <v>586000</v>
      </c>
    </row>
    <row r="11" spans="1:14">
      <c r="A11" t="s">
        <v>3606</v>
      </c>
      <c r="B11" t="s">
        <v>3617</v>
      </c>
      <c r="C11" t="s">
        <v>16</v>
      </c>
      <c r="D11" t="s">
        <v>17</v>
      </c>
      <c r="E11">
        <v>30522428163</v>
      </c>
      <c r="F11">
        <v>18562355.370000001</v>
      </c>
      <c r="G11">
        <v>0</v>
      </c>
      <c r="H11">
        <v>0</v>
      </c>
      <c r="I11">
        <v>0</v>
      </c>
      <c r="J11">
        <v>0</v>
      </c>
      <c r="K11">
        <v>3898094.63</v>
      </c>
      <c r="L11">
        <v>0</v>
      </c>
      <c r="M11">
        <v>0</v>
      </c>
      <c r="N11">
        <v>22460450</v>
      </c>
    </row>
    <row r="12" spans="1:14">
      <c r="A12" t="s">
        <v>3624</v>
      </c>
      <c r="B12" t="s">
        <v>3632</v>
      </c>
      <c r="C12" t="s">
        <v>16</v>
      </c>
      <c r="D12" t="s">
        <v>17</v>
      </c>
      <c r="E12">
        <v>30522428163</v>
      </c>
      <c r="F12">
        <v>3274086.65</v>
      </c>
      <c r="G12">
        <v>0</v>
      </c>
      <c r="H12">
        <v>0</v>
      </c>
      <c r="I12">
        <v>0</v>
      </c>
      <c r="J12">
        <v>0</v>
      </c>
      <c r="K12">
        <v>687558.2</v>
      </c>
      <c r="L12">
        <v>0</v>
      </c>
      <c r="M12">
        <v>0</v>
      </c>
      <c r="N12">
        <v>3961644.85</v>
      </c>
    </row>
    <row r="13" spans="1:14">
      <c r="A13" t="s">
        <v>3658</v>
      </c>
      <c r="B13" t="s">
        <v>3683</v>
      </c>
      <c r="C13" t="s">
        <v>16</v>
      </c>
      <c r="D13" t="s">
        <v>17</v>
      </c>
      <c r="E13">
        <v>30522428163</v>
      </c>
      <c r="F13">
        <v>459686.66</v>
      </c>
      <c r="G13">
        <v>0</v>
      </c>
      <c r="H13">
        <v>0</v>
      </c>
      <c r="I13">
        <v>0</v>
      </c>
      <c r="J13">
        <v>0</v>
      </c>
      <c r="K13">
        <v>96534.2</v>
      </c>
      <c r="L13">
        <v>0</v>
      </c>
      <c r="M13">
        <v>0</v>
      </c>
      <c r="N13">
        <v>556220.86</v>
      </c>
    </row>
    <row r="14" spans="1:14">
      <c r="A14" t="s">
        <v>3658</v>
      </c>
      <c r="B14" t="s">
        <v>3684</v>
      </c>
      <c r="C14" t="s">
        <v>16</v>
      </c>
      <c r="D14" t="s">
        <v>17</v>
      </c>
      <c r="E14">
        <v>30522428163</v>
      </c>
      <c r="F14">
        <v>16978512.390000001</v>
      </c>
      <c r="G14">
        <v>0</v>
      </c>
      <c r="H14">
        <v>0</v>
      </c>
      <c r="I14">
        <v>0</v>
      </c>
      <c r="J14">
        <v>0</v>
      </c>
      <c r="K14">
        <v>3565487.61</v>
      </c>
      <c r="L14">
        <v>0</v>
      </c>
      <c r="M14">
        <v>0</v>
      </c>
      <c r="N14">
        <v>20544000</v>
      </c>
    </row>
    <row r="15" spans="1:14">
      <c r="A15" t="s">
        <v>3737</v>
      </c>
      <c r="B15" t="s">
        <v>3754</v>
      </c>
      <c r="C15" t="s">
        <v>33</v>
      </c>
      <c r="D15" t="s">
        <v>17</v>
      </c>
      <c r="E15">
        <v>30683032227</v>
      </c>
      <c r="F15">
        <v>506178.48000000004</v>
      </c>
      <c r="G15">
        <v>0</v>
      </c>
      <c r="H15">
        <v>0</v>
      </c>
      <c r="I15">
        <v>0</v>
      </c>
      <c r="J15">
        <v>0</v>
      </c>
      <c r="K15">
        <v>106297.48</v>
      </c>
      <c r="L15">
        <v>0</v>
      </c>
      <c r="M15">
        <v>0</v>
      </c>
      <c r="N15">
        <v>612475.96</v>
      </c>
    </row>
    <row r="16" spans="1:14">
      <c r="A16" t="s">
        <v>3803</v>
      </c>
      <c r="B16" t="s">
        <v>3818</v>
      </c>
      <c r="C16" t="s">
        <v>16</v>
      </c>
      <c r="D16" t="s">
        <v>17</v>
      </c>
      <c r="E16">
        <v>30522428163</v>
      </c>
      <c r="F16">
        <v>8961983.4600000009</v>
      </c>
      <c r="G16">
        <v>0</v>
      </c>
      <c r="H16">
        <v>0</v>
      </c>
      <c r="I16">
        <v>0</v>
      </c>
      <c r="J16">
        <v>0</v>
      </c>
      <c r="K16">
        <v>1882016.53</v>
      </c>
      <c r="L16">
        <v>0</v>
      </c>
      <c r="M16">
        <v>0</v>
      </c>
      <c r="N16">
        <v>10843999.99</v>
      </c>
    </row>
    <row r="17" spans="1:14">
      <c r="A17" t="s">
        <v>3857</v>
      </c>
      <c r="B17" t="s">
        <v>3868</v>
      </c>
      <c r="C17" t="s">
        <v>16</v>
      </c>
      <c r="D17" t="s">
        <v>17</v>
      </c>
      <c r="E17">
        <v>30522428163</v>
      </c>
      <c r="F17">
        <v>24738842.990000002</v>
      </c>
      <c r="G17">
        <v>0</v>
      </c>
      <c r="H17">
        <v>0</v>
      </c>
      <c r="I17">
        <v>0</v>
      </c>
      <c r="J17">
        <v>0</v>
      </c>
      <c r="K17">
        <v>5195157.01</v>
      </c>
      <c r="L17">
        <v>0</v>
      </c>
      <c r="M17">
        <v>0</v>
      </c>
      <c r="N17">
        <v>29934000</v>
      </c>
    </row>
    <row r="18" spans="1:14">
      <c r="A18" t="s">
        <v>3569</v>
      </c>
      <c r="B18" t="s">
        <v>3583</v>
      </c>
      <c r="C18" t="s">
        <v>80</v>
      </c>
      <c r="D18" t="s">
        <v>17</v>
      </c>
      <c r="E18">
        <v>30608716390</v>
      </c>
      <c r="F18">
        <v>1705.37</v>
      </c>
      <c r="G18">
        <v>0</v>
      </c>
      <c r="H18">
        <v>0</v>
      </c>
      <c r="I18">
        <v>0</v>
      </c>
      <c r="J18">
        <v>0</v>
      </c>
      <c r="K18">
        <v>358.13</v>
      </c>
      <c r="L18">
        <v>0</v>
      </c>
      <c r="M18">
        <v>0</v>
      </c>
      <c r="N18">
        <v>2063.5</v>
      </c>
    </row>
    <row r="19" spans="1:14">
      <c r="A19" t="s">
        <v>3569</v>
      </c>
      <c r="B19" t="s">
        <v>3584</v>
      </c>
      <c r="C19" t="s">
        <v>60</v>
      </c>
      <c r="D19" t="s">
        <v>17</v>
      </c>
      <c r="E19">
        <v>30710538014</v>
      </c>
      <c r="F19">
        <v>54055.1</v>
      </c>
      <c r="G19">
        <v>0</v>
      </c>
      <c r="H19">
        <v>0</v>
      </c>
      <c r="I19">
        <v>0</v>
      </c>
      <c r="J19">
        <v>0</v>
      </c>
      <c r="K19">
        <v>11351.57</v>
      </c>
      <c r="L19">
        <v>0</v>
      </c>
      <c r="M19">
        <v>0</v>
      </c>
      <c r="N19">
        <v>65406.67</v>
      </c>
    </row>
    <row r="20" spans="1:14">
      <c r="A20" t="s">
        <v>3569</v>
      </c>
      <c r="B20" t="s">
        <v>3585</v>
      </c>
      <c r="C20" t="s">
        <v>62</v>
      </c>
      <c r="D20" t="s">
        <v>17</v>
      </c>
      <c r="E20">
        <v>30713669004</v>
      </c>
      <c r="F20">
        <v>13384.3</v>
      </c>
      <c r="G20">
        <v>0</v>
      </c>
      <c r="H20">
        <v>0</v>
      </c>
      <c r="I20">
        <v>0</v>
      </c>
      <c r="J20">
        <v>0</v>
      </c>
      <c r="K20">
        <v>2810.7</v>
      </c>
      <c r="L20">
        <v>0</v>
      </c>
      <c r="M20">
        <v>0</v>
      </c>
      <c r="N20">
        <v>16195</v>
      </c>
    </row>
    <row r="21" spans="1:14">
      <c r="A21" t="s">
        <v>3569</v>
      </c>
      <c r="B21" t="s">
        <v>3586</v>
      </c>
      <c r="C21" t="s">
        <v>57</v>
      </c>
      <c r="D21" t="s">
        <v>17</v>
      </c>
      <c r="E21">
        <v>30715186655</v>
      </c>
      <c r="F21">
        <v>97909.09</v>
      </c>
      <c r="G21">
        <v>0</v>
      </c>
      <c r="H21">
        <v>0</v>
      </c>
      <c r="I21">
        <v>0</v>
      </c>
      <c r="J21">
        <v>0</v>
      </c>
      <c r="K21">
        <v>20560.91</v>
      </c>
      <c r="L21">
        <v>0</v>
      </c>
      <c r="M21">
        <v>0</v>
      </c>
      <c r="N21">
        <v>118470</v>
      </c>
    </row>
    <row r="22" spans="1:14">
      <c r="A22" t="s">
        <v>3569</v>
      </c>
      <c r="B22" t="s">
        <v>3587</v>
      </c>
      <c r="C22" t="s">
        <v>74</v>
      </c>
      <c r="D22" t="s">
        <v>17</v>
      </c>
      <c r="E22">
        <v>30707612971</v>
      </c>
      <c r="F22">
        <v>22039.67</v>
      </c>
      <c r="G22">
        <v>0</v>
      </c>
      <c r="H22">
        <v>0</v>
      </c>
      <c r="I22">
        <v>0</v>
      </c>
      <c r="J22">
        <v>0</v>
      </c>
      <c r="K22">
        <v>4628.33</v>
      </c>
      <c r="L22">
        <v>0</v>
      </c>
      <c r="M22">
        <v>0</v>
      </c>
      <c r="N22">
        <v>26668</v>
      </c>
    </row>
    <row r="23" spans="1:14">
      <c r="A23" t="s">
        <v>3569</v>
      </c>
      <c r="B23" t="s">
        <v>3588</v>
      </c>
      <c r="C23" t="s">
        <v>1872</v>
      </c>
      <c r="D23" t="s">
        <v>17</v>
      </c>
      <c r="E23">
        <v>30606274161</v>
      </c>
      <c r="F23">
        <v>54876.03</v>
      </c>
      <c r="G23">
        <v>0</v>
      </c>
      <c r="H23">
        <v>0</v>
      </c>
      <c r="I23">
        <v>0</v>
      </c>
      <c r="J23">
        <v>0</v>
      </c>
      <c r="K23">
        <v>11523.97</v>
      </c>
      <c r="L23">
        <v>0</v>
      </c>
      <c r="M23">
        <v>0</v>
      </c>
      <c r="N23">
        <v>66400</v>
      </c>
    </row>
    <row r="24" spans="1:14">
      <c r="A24" t="s">
        <v>3569</v>
      </c>
      <c r="B24" t="s">
        <v>3589</v>
      </c>
      <c r="C24" t="s">
        <v>3551</v>
      </c>
      <c r="D24" t="s">
        <v>17</v>
      </c>
      <c r="E24">
        <v>30712529721</v>
      </c>
      <c r="F24">
        <v>10909.09</v>
      </c>
      <c r="G24">
        <v>0</v>
      </c>
      <c r="H24">
        <v>0</v>
      </c>
      <c r="I24">
        <v>0</v>
      </c>
      <c r="J24">
        <v>0</v>
      </c>
      <c r="K24">
        <v>2290.91</v>
      </c>
      <c r="L24">
        <v>0</v>
      </c>
      <c r="M24">
        <v>0</v>
      </c>
      <c r="N24">
        <v>13200</v>
      </c>
    </row>
    <row r="25" spans="1:14">
      <c r="A25" t="s">
        <v>3569</v>
      </c>
      <c r="B25" t="s">
        <v>3590</v>
      </c>
      <c r="C25" t="s">
        <v>68</v>
      </c>
      <c r="D25" t="s">
        <v>17</v>
      </c>
      <c r="E25">
        <v>30711244383</v>
      </c>
      <c r="F25">
        <v>9073.17</v>
      </c>
      <c r="G25">
        <v>0</v>
      </c>
      <c r="H25">
        <v>0</v>
      </c>
      <c r="I25">
        <v>0</v>
      </c>
      <c r="J25">
        <v>0</v>
      </c>
      <c r="K25">
        <v>1905.37</v>
      </c>
      <c r="L25">
        <v>0</v>
      </c>
      <c r="M25">
        <v>0</v>
      </c>
      <c r="N25">
        <v>10978.54</v>
      </c>
    </row>
    <row r="26" spans="1:14">
      <c r="A26" t="s">
        <v>3569</v>
      </c>
      <c r="B26" t="s">
        <v>3591</v>
      </c>
      <c r="C26" t="s">
        <v>80</v>
      </c>
      <c r="D26" t="s">
        <v>17</v>
      </c>
      <c r="E26">
        <v>30608716390</v>
      </c>
      <c r="F26">
        <v>2588.4299999999998</v>
      </c>
      <c r="G26">
        <v>0</v>
      </c>
      <c r="H26">
        <v>0</v>
      </c>
      <c r="I26">
        <v>0</v>
      </c>
      <c r="J26">
        <v>0</v>
      </c>
      <c r="K26">
        <v>543.57000000000005</v>
      </c>
      <c r="L26">
        <v>0</v>
      </c>
      <c r="M26">
        <v>0</v>
      </c>
      <c r="N26">
        <v>3132</v>
      </c>
    </row>
    <row r="27" spans="1:14">
      <c r="A27" t="s">
        <v>3594</v>
      </c>
      <c r="B27" t="s">
        <v>3603</v>
      </c>
      <c r="C27" t="s">
        <v>60</v>
      </c>
      <c r="D27" t="s">
        <v>17</v>
      </c>
      <c r="E27">
        <v>30710538014</v>
      </c>
      <c r="F27">
        <v>5802.48</v>
      </c>
      <c r="G27">
        <v>0</v>
      </c>
      <c r="H27">
        <v>0</v>
      </c>
      <c r="I27">
        <v>0</v>
      </c>
      <c r="J27">
        <v>0</v>
      </c>
      <c r="K27">
        <v>1218.52</v>
      </c>
      <c r="L27">
        <v>0</v>
      </c>
      <c r="M27">
        <v>0</v>
      </c>
      <c r="N27">
        <v>7021</v>
      </c>
    </row>
    <row r="28" spans="1:14">
      <c r="A28" t="s">
        <v>3594</v>
      </c>
      <c r="B28" t="s">
        <v>3604</v>
      </c>
      <c r="C28" t="s">
        <v>70</v>
      </c>
      <c r="D28" t="s">
        <v>17</v>
      </c>
      <c r="E28">
        <v>30645337979</v>
      </c>
      <c r="F28">
        <v>17713.82</v>
      </c>
      <c r="G28">
        <v>0</v>
      </c>
      <c r="H28">
        <v>0</v>
      </c>
      <c r="I28">
        <v>0</v>
      </c>
      <c r="J28">
        <v>0</v>
      </c>
      <c r="K28">
        <v>3719.9</v>
      </c>
      <c r="L28">
        <v>0</v>
      </c>
      <c r="M28">
        <v>0</v>
      </c>
      <c r="N28">
        <v>21433.72</v>
      </c>
    </row>
    <row r="29" spans="1:14">
      <c r="A29" t="s">
        <v>3594</v>
      </c>
      <c r="B29" t="s">
        <v>3605</v>
      </c>
      <c r="C29" t="s">
        <v>502</v>
      </c>
      <c r="D29" t="s">
        <v>17</v>
      </c>
      <c r="E29">
        <v>30590412631</v>
      </c>
      <c r="F29">
        <v>42975.21</v>
      </c>
      <c r="G29">
        <v>0</v>
      </c>
      <c r="H29">
        <v>0</v>
      </c>
      <c r="I29">
        <v>0</v>
      </c>
      <c r="J29">
        <v>0</v>
      </c>
      <c r="K29">
        <v>9024.7900000000009</v>
      </c>
      <c r="L29">
        <v>0</v>
      </c>
      <c r="M29">
        <v>0</v>
      </c>
      <c r="N29">
        <v>52000</v>
      </c>
    </row>
    <row r="30" spans="1:14">
      <c r="A30" t="s">
        <v>3606</v>
      </c>
      <c r="B30" t="s">
        <v>3618</v>
      </c>
      <c r="C30" t="s">
        <v>64</v>
      </c>
      <c r="D30" t="s">
        <v>17</v>
      </c>
      <c r="E30">
        <v>30546771314</v>
      </c>
      <c r="F30">
        <v>6287.6</v>
      </c>
      <c r="G30">
        <v>0</v>
      </c>
      <c r="H30">
        <v>0</v>
      </c>
      <c r="I30">
        <v>0</v>
      </c>
      <c r="J30">
        <v>0</v>
      </c>
      <c r="K30">
        <v>1320.4</v>
      </c>
      <c r="L30">
        <v>0</v>
      </c>
      <c r="M30">
        <v>0</v>
      </c>
      <c r="N30">
        <v>7608</v>
      </c>
    </row>
    <row r="31" spans="1:14">
      <c r="A31" t="s">
        <v>3606</v>
      </c>
      <c r="B31" t="s">
        <v>3619</v>
      </c>
      <c r="C31" t="s">
        <v>66</v>
      </c>
      <c r="D31" t="s">
        <v>17</v>
      </c>
      <c r="E31">
        <v>30710961790</v>
      </c>
      <c r="F31">
        <v>43573.61</v>
      </c>
      <c r="G31">
        <v>0</v>
      </c>
      <c r="H31">
        <v>0</v>
      </c>
      <c r="I31">
        <v>0</v>
      </c>
      <c r="J31">
        <v>0</v>
      </c>
      <c r="K31">
        <v>9150.4600000000009</v>
      </c>
      <c r="L31">
        <v>0</v>
      </c>
      <c r="M31">
        <v>0</v>
      </c>
      <c r="N31">
        <v>52724.07</v>
      </c>
    </row>
    <row r="32" spans="1:14">
      <c r="A32" t="s">
        <v>3606</v>
      </c>
      <c r="B32" t="s">
        <v>3620</v>
      </c>
      <c r="C32" t="s">
        <v>66</v>
      </c>
      <c r="D32" t="s">
        <v>17</v>
      </c>
      <c r="E32">
        <v>30710961790</v>
      </c>
      <c r="F32">
        <v>5802.48</v>
      </c>
      <c r="G32">
        <v>0</v>
      </c>
      <c r="H32">
        <v>0</v>
      </c>
      <c r="I32">
        <v>0</v>
      </c>
      <c r="J32">
        <v>0</v>
      </c>
      <c r="K32">
        <v>1218.52</v>
      </c>
      <c r="L32">
        <v>0</v>
      </c>
      <c r="M32">
        <v>0</v>
      </c>
      <c r="N32">
        <v>7021</v>
      </c>
    </row>
    <row r="33" spans="1:14">
      <c r="A33" t="s">
        <v>3624</v>
      </c>
      <c r="B33" t="s">
        <v>3634</v>
      </c>
      <c r="C33" t="s">
        <v>16</v>
      </c>
      <c r="D33" t="s">
        <v>17</v>
      </c>
      <c r="E33">
        <v>30522428163</v>
      </c>
      <c r="F33">
        <v>419089.3</v>
      </c>
      <c r="G33">
        <v>0</v>
      </c>
      <c r="H33">
        <v>0</v>
      </c>
      <c r="I33">
        <v>0</v>
      </c>
      <c r="J33">
        <v>0</v>
      </c>
      <c r="K33">
        <v>88008.75</v>
      </c>
      <c r="L33">
        <v>0</v>
      </c>
      <c r="M33">
        <v>0</v>
      </c>
      <c r="N33">
        <v>507098.05</v>
      </c>
    </row>
    <row r="34" spans="1:14">
      <c r="A34" t="s">
        <v>3624</v>
      </c>
      <c r="B34" t="s">
        <v>3635</v>
      </c>
      <c r="C34" t="s">
        <v>16</v>
      </c>
      <c r="D34" t="s">
        <v>17</v>
      </c>
      <c r="E34">
        <v>30522428163</v>
      </c>
      <c r="F34">
        <v>104132.23</v>
      </c>
      <c r="G34">
        <v>0</v>
      </c>
      <c r="H34">
        <v>0</v>
      </c>
      <c r="I34">
        <v>0</v>
      </c>
      <c r="J34">
        <v>0</v>
      </c>
      <c r="K34">
        <v>21867.77</v>
      </c>
      <c r="L34">
        <v>0</v>
      </c>
      <c r="M34">
        <v>0</v>
      </c>
      <c r="N34">
        <v>126000</v>
      </c>
    </row>
    <row r="35" spans="1:14">
      <c r="A35" t="s">
        <v>3624</v>
      </c>
      <c r="B35" t="s">
        <v>3636</v>
      </c>
      <c r="C35" t="s">
        <v>80</v>
      </c>
      <c r="D35" t="s">
        <v>17</v>
      </c>
      <c r="E35">
        <v>30608716390</v>
      </c>
      <c r="F35">
        <v>4436.3599999999997</v>
      </c>
      <c r="G35">
        <v>0</v>
      </c>
      <c r="H35">
        <v>0</v>
      </c>
      <c r="I35">
        <v>0</v>
      </c>
      <c r="J35">
        <v>0</v>
      </c>
      <c r="K35">
        <v>931.64</v>
      </c>
      <c r="L35">
        <v>0</v>
      </c>
      <c r="M35">
        <v>0</v>
      </c>
      <c r="N35">
        <v>5368</v>
      </c>
    </row>
    <row r="36" spans="1:14">
      <c r="A36" t="s">
        <v>3624</v>
      </c>
      <c r="B36" t="s">
        <v>3637</v>
      </c>
      <c r="C36" t="s">
        <v>80</v>
      </c>
      <c r="D36" t="s">
        <v>17</v>
      </c>
      <c r="E36">
        <v>30608716390</v>
      </c>
      <c r="F36">
        <v>16750.41</v>
      </c>
      <c r="G36">
        <v>0</v>
      </c>
      <c r="H36">
        <v>0</v>
      </c>
      <c r="I36">
        <v>0</v>
      </c>
      <c r="J36">
        <v>0</v>
      </c>
      <c r="K36">
        <v>3517.59</v>
      </c>
      <c r="L36">
        <v>0</v>
      </c>
      <c r="M36">
        <v>0</v>
      </c>
      <c r="N36">
        <v>20268</v>
      </c>
    </row>
    <row r="37" spans="1:14">
      <c r="A37" t="s">
        <v>3624</v>
      </c>
      <c r="B37" t="s">
        <v>3638</v>
      </c>
      <c r="C37" t="s">
        <v>16</v>
      </c>
      <c r="D37" t="s">
        <v>17</v>
      </c>
      <c r="E37">
        <v>30522428163</v>
      </c>
      <c r="F37">
        <v>364349.94</v>
      </c>
      <c r="G37">
        <v>0</v>
      </c>
      <c r="H37">
        <v>0</v>
      </c>
      <c r="I37">
        <v>0</v>
      </c>
      <c r="J37">
        <v>0</v>
      </c>
      <c r="K37">
        <v>76513.490000000005</v>
      </c>
      <c r="L37">
        <v>0</v>
      </c>
      <c r="M37">
        <v>0</v>
      </c>
      <c r="N37">
        <v>440863.43</v>
      </c>
    </row>
    <row r="38" spans="1:14">
      <c r="A38" t="s">
        <v>3658</v>
      </c>
      <c r="B38" t="s">
        <v>3685</v>
      </c>
      <c r="C38" t="s">
        <v>16</v>
      </c>
      <c r="D38" t="s">
        <v>17</v>
      </c>
      <c r="E38">
        <v>30522428163</v>
      </c>
      <c r="F38">
        <v>22850.07</v>
      </c>
      <c r="G38">
        <v>0</v>
      </c>
      <c r="H38">
        <v>0</v>
      </c>
      <c r="I38">
        <v>0</v>
      </c>
      <c r="J38">
        <v>0</v>
      </c>
      <c r="K38">
        <v>4798.51</v>
      </c>
      <c r="L38">
        <v>0</v>
      </c>
      <c r="M38">
        <v>0</v>
      </c>
      <c r="N38">
        <v>27648.58</v>
      </c>
    </row>
    <row r="39" spans="1:14">
      <c r="A39" t="s">
        <v>3696</v>
      </c>
      <c r="B39" t="s">
        <v>3709</v>
      </c>
      <c r="C39" t="s">
        <v>72</v>
      </c>
      <c r="D39" t="s">
        <v>17</v>
      </c>
      <c r="E39">
        <v>30657418877</v>
      </c>
      <c r="F39">
        <v>4837.43</v>
      </c>
      <c r="G39">
        <v>0</v>
      </c>
      <c r="H39">
        <v>0</v>
      </c>
      <c r="I39">
        <v>0</v>
      </c>
      <c r="J39">
        <v>0</v>
      </c>
      <c r="K39">
        <v>1015.86</v>
      </c>
      <c r="L39">
        <v>0</v>
      </c>
      <c r="M39">
        <v>0</v>
      </c>
      <c r="N39">
        <v>5853.29</v>
      </c>
    </row>
    <row r="40" spans="1:14">
      <c r="A40" t="s">
        <v>3713</v>
      </c>
      <c r="B40" t="s">
        <v>3725</v>
      </c>
      <c r="C40" t="s">
        <v>80</v>
      </c>
      <c r="D40" t="s">
        <v>17</v>
      </c>
      <c r="E40">
        <v>30608716390</v>
      </c>
      <c r="F40">
        <v>1567.77</v>
      </c>
      <c r="G40">
        <v>0</v>
      </c>
      <c r="H40">
        <v>0</v>
      </c>
      <c r="I40">
        <v>0</v>
      </c>
      <c r="J40">
        <v>0</v>
      </c>
      <c r="K40">
        <v>329.23</v>
      </c>
      <c r="L40">
        <v>0</v>
      </c>
      <c r="M40">
        <v>0</v>
      </c>
      <c r="N40">
        <v>1897</v>
      </c>
    </row>
    <row r="41" spans="1:14">
      <c r="A41" t="s">
        <v>3713</v>
      </c>
      <c r="B41" t="s">
        <v>3726</v>
      </c>
      <c r="C41" t="s">
        <v>84</v>
      </c>
      <c r="D41" t="s">
        <v>17</v>
      </c>
      <c r="E41">
        <v>30709016012</v>
      </c>
      <c r="F41">
        <v>27327.82</v>
      </c>
      <c r="G41">
        <v>0</v>
      </c>
      <c r="H41">
        <v>0</v>
      </c>
      <c r="I41">
        <v>0</v>
      </c>
      <c r="J41">
        <v>0</v>
      </c>
      <c r="K41">
        <v>5738.84</v>
      </c>
      <c r="L41">
        <v>0</v>
      </c>
      <c r="M41">
        <v>0</v>
      </c>
      <c r="N41">
        <v>33066.660000000003</v>
      </c>
    </row>
    <row r="42" spans="1:14">
      <c r="A42" t="s">
        <v>3713</v>
      </c>
      <c r="B42" t="s">
        <v>3727</v>
      </c>
      <c r="C42" t="s">
        <v>84</v>
      </c>
      <c r="D42" t="s">
        <v>17</v>
      </c>
      <c r="E42">
        <v>30709016012</v>
      </c>
      <c r="F42">
        <v>109256.18</v>
      </c>
      <c r="G42">
        <v>0</v>
      </c>
      <c r="H42">
        <v>0</v>
      </c>
      <c r="I42">
        <v>0</v>
      </c>
      <c r="J42">
        <v>0</v>
      </c>
      <c r="K42">
        <v>22943.8</v>
      </c>
      <c r="L42">
        <v>0</v>
      </c>
      <c r="M42">
        <v>0</v>
      </c>
      <c r="N42">
        <v>132199.98000000001</v>
      </c>
    </row>
    <row r="43" spans="1:14">
      <c r="A43" t="s">
        <v>3737</v>
      </c>
      <c r="B43" t="s">
        <v>3758</v>
      </c>
      <c r="C43" t="s">
        <v>33</v>
      </c>
      <c r="D43" t="s">
        <v>17</v>
      </c>
      <c r="E43">
        <v>30683032227</v>
      </c>
      <c r="F43">
        <v>94588.79</v>
      </c>
      <c r="G43">
        <v>0</v>
      </c>
      <c r="H43">
        <v>0</v>
      </c>
      <c r="I43">
        <v>0</v>
      </c>
      <c r="J43">
        <v>0</v>
      </c>
      <c r="K43">
        <v>19863.650000000001</v>
      </c>
      <c r="L43">
        <v>0</v>
      </c>
      <c r="M43">
        <v>0</v>
      </c>
      <c r="N43">
        <v>114452.44</v>
      </c>
    </row>
    <row r="44" spans="1:14">
      <c r="A44" t="s">
        <v>3762</v>
      </c>
      <c r="B44" t="s">
        <v>3775</v>
      </c>
      <c r="C44" t="s">
        <v>80</v>
      </c>
      <c r="D44" t="s">
        <v>17</v>
      </c>
      <c r="E44">
        <v>30608716390</v>
      </c>
      <c r="F44">
        <v>2461.5700000000002</v>
      </c>
      <c r="G44">
        <v>0</v>
      </c>
      <c r="H44">
        <v>0</v>
      </c>
      <c r="I44">
        <v>0</v>
      </c>
      <c r="J44">
        <v>0</v>
      </c>
      <c r="K44">
        <v>516.93000000000006</v>
      </c>
      <c r="L44">
        <v>0</v>
      </c>
      <c r="M44">
        <v>0</v>
      </c>
      <c r="N44">
        <v>2978.5</v>
      </c>
    </row>
    <row r="45" spans="1:14">
      <c r="A45" t="s">
        <v>3762</v>
      </c>
      <c r="B45" t="s">
        <v>3776</v>
      </c>
      <c r="C45" t="s">
        <v>80</v>
      </c>
      <c r="D45" t="s">
        <v>17</v>
      </c>
      <c r="E45">
        <v>30608716390</v>
      </c>
      <c r="F45">
        <v>5744.22</v>
      </c>
      <c r="G45">
        <v>0</v>
      </c>
      <c r="H45">
        <v>0</v>
      </c>
      <c r="I45">
        <v>0</v>
      </c>
      <c r="J45">
        <v>0</v>
      </c>
      <c r="K45">
        <v>1206.29</v>
      </c>
      <c r="L45">
        <v>0</v>
      </c>
      <c r="M45">
        <v>0</v>
      </c>
      <c r="N45">
        <v>6950.51</v>
      </c>
    </row>
    <row r="46" spans="1:14">
      <c r="A46" t="s">
        <v>3762</v>
      </c>
      <c r="B46" t="s">
        <v>3777</v>
      </c>
      <c r="C46" t="s">
        <v>80</v>
      </c>
      <c r="D46" t="s">
        <v>17</v>
      </c>
      <c r="E46">
        <v>30608716390</v>
      </c>
      <c r="F46">
        <v>1436.37</v>
      </c>
      <c r="G46">
        <v>0</v>
      </c>
      <c r="H46">
        <v>0</v>
      </c>
      <c r="I46">
        <v>0</v>
      </c>
      <c r="J46">
        <v>0</v>
      </c>
      <c r="K46">
        <v>301.64</v>
      </c>
      <c r="L46">
        <v>0</v>
      </c>
      <c r="M46">
        <v>0</v>
      </c>
      <c r="N46">
        <v>1738.01</v>
      </c>
    </row>
    <row r="47" spans="1:14">
      <c r="A47" t="s">
        <v>3762</v>
      </c>
      <c r="B47" t="s">
        <v>3778</v>
      </c>
      <c r="C47" t="s">
        <v>80</v>
      </c>
      <c r="D47" t="s">
        <v>17</v>
      </c>
      <c r="E47">
        <v>30608716390</v>
      </c>
      <c r="F47">
        <v>3004.14</v>
      </c>
      <c r="G47">
        <v>0</v>
      </c>
      <c r="H47">
        <v>0</v>
      </c>
      <c r="I47">
        <v>0</v>
      </c>
      <c r="J47">
        <v>0</v>
      </c>
      <c r="K47">
        <v>630.87</v>
      </c>
      <c r="L47">
        <v>0</v>
      </c>
      <c r="M47">
        <v>0</v>
      </c>
      <c r="N47">
        <v>3635.01</v>
      </c>
    </row>
    <row r="48" spans="1:14">
      <c r="A48" t="s">
        <v>3762</v>
      </c>
      <c r="B48" t="s">
        <v>3779</v>
      </c>
      <c r="C48" t="s">
        <v>80</v>
      </c>
      <c r="D48" t="s">
        <v>17</v>
      </c>
      <c r="E48">
        <v>30608716390</v>
      </c>
      <c r="F48">
        <v>2218.1799999999998</v>
      </c>
      <c r="G48">
        <v>0</v>
      </c>
      <c r="H48">
        <v>0</v>
      </c>
      <c r="I48">
        <v>0</v>
      </c>
      <c r="J48">
        <v>0</v>
      </c>
      <c r="K48">
        <v>465.82</v>
      </c>
      <c r="L48">
        <v>0</v>
      </c>
      <c r="M48">
        <v>0</v>
      </c>
      <c r="N48">
        <v>2684</v>
      </c>
    </row>
    <row r="49" spans="1:14">
      <c r="A49" t="s">
        <v>3762</v>
      </c>
      <c r="B49" t="s">
        <v>3780</v>
      </c>
      <c r="C49" t="s">
        <v>80</v>
      </c>
      <c r="D49" t="s">
        <v>17</v>
      </c>
      <c r="E49">
        <v>30608716390</v>
      </c>
      <c r="F49">
        <v>11488.43</v>
      </c>
      <c r="G49">
        <v>0</v>
      </c>
      <c r="H49">
        <v>0</v>
      </c>
      <c r="I49">
        <v>0</v>
      </c>
      <c r="J49">
        <v>0</v>
      </c>
      <c r="K49">
        <v>2412.5700000000002</v>
      </c>
      <c r="L49">
        <v>0</v>
      </c>
      <c r="M49">
        <v>0</v>
      </c>
      <c r="N49">
        <v>13901</v>
      </c>
    </row>
    <row r="50" spans="1:14">
      <c r="A50" t="s">
        <v>3762</v>
      </c>
      <c r="B50" t="s">
        <v>3781</v>
      </c>
      <c r="C50" t="s">
        <v>80</v>
      </c>
      <c r="D50" t="s">
        <v>17</v>
      </c>
      <c r="E50">
        <v>30608716390</v>
      </c>
      <c r="F50">
        <v>4923.1400000000003</v>
      </c>
      <c r="G50">
        <v>0</v>
      </c>
      <c r="H50">
        <v>0</v>
      </c>
      <c r="I50">
        <v>0</v>
      </c>
      <c r="J50">
        <v>0</v>
      </c>
      <c r="K50">
        <v>1033.8600000000001</v>
      </c>
      <c r="L50">
        <v>0</v>
      </c>
      <c r="M50">
        <v>0</v>
      </c>
      <c r="N50">
        <v>5957</v>
      </c>
    </row>
    <row r="51" spans="1:14">
      <c r="A51" t="s">
        <v>3762</v>
      </c>
      <c r="B51" t="s">
        <v>3782</v>
      </c>
      <c r="C51" t="s">
        <v>80</v>
      </c>
      <c r="D51" t="s">
        <v>17</v>
      </c>
      <c r="E51">
        <v>30608716390</v>
      </c>
      <c r="F51">
        <v>8058.68</v>
      </c>
      <c r="G51">
        <v>0</v>
      </c>
      <c r="H51">
        <v>0</v>
      </c>
      <c r="I51">
        <v>0</v>
      </c>
      <c r="J51">
        <v>0</v>
      </c>
      <c r="K51">
        <v>1692.32</v>
      </c>
      <c r="L51">
        <v>0</v>
      </c>
      <c r="M51">
        <v>0</v>
      </c>
      <c r="N51">
        <v>9751</v>
      </c>
    </row>
    <row r="52" spans="1:14">
      <c r="A52" t="s">
        <v>3762</v>
      </c>
      <c r="B52" t="s">
        <v>3783</v>
      </c>
      <c r="C52" t="s">
        <v>80</v>
      </c>
      <c r="D52" t="s">
        <v>17</v>
      </c>
      <c r="E52">
        <v>30608716390</v>
      </c>
      <c r="F52">
        <v>2588.4299999999998</v>
      </c>
      <c r="G52">
        <v>0</v>
      </c>
      <c r="H52">
        <v>0</v>
      </c>
      <c r="I52">
        <v>0</v>
      </c>
      <c r="J52">
        <v>0</v>
      </c>
      <c r="K52">
        <v>543.57000000000005</v>
      </c>
      <c r="L52">
        <v>0</v>
      </c>
      <c r="M52">
        <v>0</v>
      </c>
      <c r="N52">
        <v>3132</v>
      </c>
    </row>
    <row r="53" spans="1:14">
      <c r="A53" t="s">
        <v>3762</v>
      </c>
      <c r="B53" t="s">
        <v>3784</v>
      </c>
      <c r="C53" t="s">
        <v>80</v>
      </c>
      <c r="D53" t="s">
        <v>17</v>
      </c>
      <c r="E53">
        <v>30608716390</v>
      </c>
      <c r="F53">
        <v>2588.4299999999998</v>
      </c>
      <c r="G53">
        <v>0</v>
      </c>
      <c r="H53">
        <v>0</v>
      </c>
      <c r="I53">
        <v>0</v>
      </c>
      <c r="J53">
        <v>0</v>
      </c>
      <c r="K53">
        <v>543.57000000000005</v>
      </c>
      <c r="L53">
        <v>0</v>
      </c>
      <c r="M53">
        <v>0</v>
      </c>
      <c r="N53">
        <v>3132</v>
      </c>
    </row>
    <row r="54" spans="1:14">
      <c r="A54" t="s">
        <v>3762</v>
      </c>
      <c r="B54" t="s">
        <v>3785</v>
      </c>
      <c r="C54" t="s">
        <v>80</v>
      </c>
      <c r="D54" t="s">
        <v>17</v>
      </c>
      <c r="E54">
        <v>30608716390</v>
      </c>
      <c r="F54">
        <v>9359.5</v>
      </c>
      <c r="G54">
        <v>0</v>
      </c>
      <c r="H54">
        <v>0</v>
      </c>
      <c r="I54">
        <v>0</v>
      </c>
      <c r="J54">
        <v>0</v>
      </c>
      <c r="K54">
        <v>1965.5</v>
      </c>
      <c r="L54">
        <v>0</v>
      </c>
      <c r="M54">
        <v>0</v>
      </c>
      <c r="N54">
        <v>11325</v>
      </c>
    </row>
    <row r="55" spans="1:14">
      <c r="A55" t="s">
        <v>3762</v>
      </c>
      <c r="B55" t="s">
        <v>3786</v>
      </c>
      <c r="C55" t="s">
        <v>80</v>
      </c>
      <c r="D55" t="s">
        <v>17</v>
      </c>
      <c r="E55">
        <v>30608716390</v>
      </c>
      <c r="F55">
        <v>2825.62</v>
      </c>
      <c r="G55">
        <v>0</v>
      </c>
      <c r="H55">
        <v>0</v>
      </c>
      <c r="I55">
        <v>0</v>
      </c>
      <c r="J55">
        <v>0</v>
      </c>
      <c r="K55">
        <v>593.38</v>
      </c>
      <c r="L55">
        <v>0</v>
      </c>
      <c r="M55">
        <v>0</v>
      </c>
      <c r="N55">
        <v>3419</v>
      </c>
    </row>
    <row r="56" spans="1:14">
      <c r="A56" t="s">
        <v>3762</v>
      </c>
      <c r="B56" t="s">
        <v>3787</v>
      </c>
      <c r="C56" t="s">
        <v>80</v>
      </c>
      <c r="D56" t="s">
        <v>17</v>
      </c>
      <c r="E56">
        <v>30608716390</v>
      </c>
      <c r="F56">
        <v>1567.77</v>
      </c>
      <c r="G56">
        <v>0</v>
      </c>
      <c r="H56">
        <v>0</v>
      </c>
      <c r="I56">
        <v>0</v>
      </c>
      <c r="J56">
        <v>0</v>
      </c>
      <c r="K56">
        <v>329.23</v>
      </c>
      <c r="L56">
        <v>0</v>
      </c>
      <c r="M56">
        <v>0</v>
      </c>
      <c r="N56">
        <v>1897</v>
      </c>
    </row>
    <row r="57" spans="1:14">
      <c r="A57" t="s">
        <v>3796</v>
      </c>
      <c r="B57" t="s">
        <v>3802</v>
      </c>
      <c r="C57" t="s">
        <v>80</v>
      </c>
      <c r="D57" t="s">
        <v>17</v>
      </c>
      <c r="E57">
        <v>30608716390</v>
      </c>
      <c r="F57">
        <v>1294.22</v>
      </c>
      <c r="G57">
        <v>0</v>
      </c>
      <c r="H57">
        <v>0</v>
      </c>
      <c r="I57">
        <v>0</v>
      </c>
      <c r="J57">
        <v>0</v>
      </c>
      <c r="K57">
        <v>271.79000000000002</v>
      </c>
      <c r="L57">
        <v>0</v>
      </c>
      <c r="M57">
        <v>0</v>
      </c>
      <c r="N57">
        <v>1566.01</v>
      </c>
    </row>
    <row r="58" spans="1:14">
      <c r="A58" t="s">
        <v>3819</v>
      </c>
      <c r="B58" t="s">
        <v>3838</v>
      </c>
      <c r="C58" t="s">
        <v>3839</v>
      </c>
      <c r="D58" t="s">
        <v>17</v>
      </c>
      <c r="E58">
        <v>30711416656</v>
      </c>
      <c r="F58">
        <v>411570.25</v>
      </c>
      <c r="G58">
        <v>0</v>
      </c>
      <c r="H58">
        <v>0</v>
      </c>
      <c r="I58">
        <v>0</v>
      </c>
      <c r="J58">
        <v>0</v>
      </c>
      <c r="K58">
        <v>86429.75</v>
      </c>
      <c r="L58">
        <v>0</v>
      </c>
      <c r="M58">
        <v>0</v>
      </c>
      <c r="N58">
        <v>498000</v>
      </c>
    </row>
    <row r="59" spans="1:14">
      <c r="A59" t="s">
        <v>3869</v>
      </c>
      <c r="B59" t="s">
        <v>3882</v>
      </c>
      <c r="C59" t="s">
        <v>33</v>
      </c>
      <c r="D59" t="s">
        <v>17</v>
      </c>
      <c r="E59">
        <v>30683032227</v>
      </c>
      <c r="F59">
        <v>26115.7</v>
      </c>
      <c r="G59">
        <v>0</v>
      </c>
      <c r="H59">
        <v>0</v>
      </c>
      <c r="I59">
        <v>0</v>
      </c>
      <c r="J59">
        <v>0</v>
      </c>
      <c r="K59">
        <v>5484.29</v>
      </c>
      <c r="L59">
        <v>0</v>
      </c>
      <c r="M59">
        <v>0</v>
      </c>
      <c r="N59">
        <v>31599.99</v>
      </c>
    </row>
    <row r="60" spans="1:14">
      <c r="A60" t="s">
        <v>3869</v>
      </c>
      <c r="B60" t="s">
        <v>3883</v>
      </c>
      <c r="C60" t="s">
        <v>33</v>
      </c>
      <c r="D60" t="s">
        <v>17</v>
      </c>
      <c r="E60">
        <v>30683032227</v>
      </c>
      <c r="F60">
        <v>96776.86</v>
      </c>
      <c r="G60">
        <v>0</v>
      </c>
      <c r="H60">
        <v>0</v>
      </c>
      <c r="I60">
        <v>0</v>
      </c>
      <c r="J60">
        <v>0</v>
      </c>
      <c r="K60">
        <v>20323.14</v>
      </c>
      <c r="L60">
        <v>0</v>
      </c>
      <c r="M60">
        <v>0</v>
      </c>
      <c r="N60">
        <v>117100</v>
      </c>
    </row>
    <row r="61" spans="1:14">
      <c r="A61" t="s">
        <v>3869</v>
      </c>
      <c r="B61" t="s">
        <v>3884</v>
      </c>
      <c r="C61" t="s">
        <v>33</v>
      </c>
      <c r="D61" t="s">
        <v>17</v>
      </c>
      <c r="E61">
        <v>30683032227</v>
      </c>
      <c r="F61">
        <v>71074.38</v>
      </c>
      <c r="G61">
        <v>0</v>
      </c>
      <c r="H61">
        <v>0</v>
      </c>
      <c r="I61">
        <v>0</v>
      </c>
      <c r="J61">
        <v>0</v>
      </c>
      <c r="K61">
        <v>14925.62</v>
      </c>
      <c r="L61">
        <v>0</v>
      </c>
      <c r="M61">
        <v>0</v>
      </c>
      <c r="N61">
        <v>86000</v>
      </c>
    </row>
    <row r="62" spans="1:14">
      <c r="A62" t="s">
        <v>3892</v>
      </c>
      <c r="B62" t="s">
        <v>3906</v>
      </c>
      <c r="C62" t="s">
        <v>80</v>
      </c>
      <c r="D62" t="s">
        <v>17</v>
      </c>
      <c r="E62">
        <v>30608716390</v>
      </c>
      <c r="F62">
        <v>3135.54</v>
      </c>
      <c r="G62">
        <v>0</v>
      </c>
      <c r="H62">
        <v>0</v>
      </c>
      <c r="I62">
        <v>0</v>
      </c>
      <c r="J62">
        <v>0</v>
      </c>
      <c r="K62">
        <v>658.46</v>
      </c>
      <c r="L62">
        <v>0</v>
      </c>
      <c r="M62">
        <v>0</v>
      </c>
      <c r="N62">
        <v>3794</v>
      </c>
    </row>
    <row r="63" spans="1:14">
      <c r="A63" t="s">
        <v>3624</v>
      </c>
      <c r="B63" t="s">
        <v>3633</v>
      </c>
      <c r="C63" t="s">
        <v>80</v>
      </c>
      <c r="D63" t="s">
        <v>17</v>
      </c>
      <c r="E63">
        <v>30608716390</v>
      </c>
      <c r="F63">
        <v>-4436.3599999999997</v>
      </c>
      <c r="G63">
        <v>0</v>
      </c>
      <c r="H63">
        <v>0</v>
      </c>
      <c r="I63">
        <v>0</v>
      </c>
      <c r="J63">
        <v>0</v>
      </c>
      <c r="K63">
        <v>-931.64</v>
      </c>
      <c r="L63">
        <v>0</v>
      </c>
      <c r="M63">
        <v>0</v>
      </c>
      <c r="N63">
        <v>-5368</v>
      </c>
    </row>
    <row r="64" spans="1:14">
      <c r="A64" t="s">
        <v>3737</v>
      </c>
      <c r="B64" t="s">
        <v>3755</v>
      </c>
      <c r="C64" t="s">
        <v>16</v>
      </c>
      <c r="D64" t="s">
        <v>17</v>
      </c>
      <c r="E64">
        <v>30522428163</v>
      </c>
      <c r="F64">
        <v>-11159.86</v>
      </c>
      <c r="G64">
        <v>0</v>
      </c>
      <c r="H64">
        <v>0</v>
      </c>
      <c r="I64">
        <v>0</v>
      </c>
      <c r="J64">
        <v>0</v>
      </c>
      <c r="K64">
        <v>-2343.5700000000002</v>
      </c>
      <c r="L64">
        <v>0</v>
      </c>
      <c r="M64">
        <v>0</v>
      </c>
      <c r="N64">
        <v>-13503.43</v>
      </c>
    </row>
    <row r="65" spans="1:14">
      <c r="A65" t="s">
        <v>3737</v>
      </c>
      <c r="B65" t="s">
        <v>3756</v>
      </c>
      <c r="C65" t="s">
        <v>16</v>
      </c>
      <c r="D65" t="s">
        <v>17</v>
      </c>
      <c r="E65">
        <v>30522428163</v>
      </c>
      <c r="F65">
        <v>-20592.900000000001</v>
      </c>
      <c r="G65">
        <v>0</v>
      </c>
      <c r="H65">
        <v>0</v>
      </c>
      <c r="I65">
        <v>0</v>
      </c>
      <c r="J65">
        <v>0</v>
      </c>
      <c r="K65">
        <v>-4324.51</v>
      </c>
      <c r="L65">
        <v>0</v>
      </c>
      <c r="M65">
        <v>0</v>
      </c>
      <c r="N65">
        <v>-24917.41</v>
      </c>
    </row>
    <row r="66" spans="1:14">
      <c r="A66" t="s">
        <v>3737</v>
      </c>
      <c r="B66" t="s">
        <v>3757</v>
      </c>
      <c r="C66" t="s">
        <v>16</v>
      </c>
      <c r="D66" t="s">
        <v>17</v>
      </c>
      <c r="E66">
        <v>30522428163</v>
      </c>
      <c r="F66">
        <v>-14294.99</v>
      </c>
      <c r="G66">
        <v>0</v>
      </c>
      <c r="H66">
        <v>0</v>
      </c>
      <c r="I66">
        <v>0</v>
      </c>
      <c r="J66">
        <v>0</v>
      </c>
      <c r="K66">
        <v>-3001.95</v>
      </c>
      <c r="L66">
        <v>0</v>
      </c>
      <c r="M66">
        <v>0</v>
      </c>
      <c r="N66">
        <v>-17296.939999999999</v>
      </c>
    </row>
    <row r="67" spans="1:14">
      <c r="A67" t="s">
        <v>3869</v>
      </c>
      <c r="B67" t="s">
        <v>3881</v>
      </c>
      <c r="C67" t="s">
        <v>60</v>
      </c>
      <c r="D67" t="s">
        <v>17</v>
      </c>
      <c r="E67">
        <v>30710538014</v>
      </c>
      <c r="F67">
        <v>-1469.31</v>
      </c>
      <c r="G67">
        <v>0</v>
      </c>
      <c r="H67">
        <v>0</v>
      </c>
      <c r="I67">
        <v>0</v>
      </c>
      <c r="J67">
        <v>0</v>
      </c>
      <c r="K67">
        <v>-308.56</v>
      </c>
      <c r="L67">
        <v>0</v>
      </c>
      <c r="M67">
        <v>0</v>
      </c>
      <c r="N67">
        <v>-1777.87</v>
      </c>
    </row>
    <row r="68" spans="1:14">
      <c r="A68" s="141"/>
      <c r="B68" s="141"/>
      <c r="C68" s="141"/>
      <c r="D68" s="141"/>
      <c r="E68" s="141"/>
      <c r="F68" s="140">
        <f>SUBTOTAL(109,F5:F67)</f>
        <v>95450257.820000038</v>
      </c>
      <c r="G68" s="140"/>
      <c r="H68" s="140"/>
      <c r="I68" s="140"/>
      <c r="J68" s="140"/>
      <c r="K68" s="140">
        <v>20044554.149999999</v>
      </c>
      <c r="L68" s="140"/>
      <c r="M68" s="140"/>
      <c r="N68" s="140">
        <f>SUBTOTAL(109,N5:N67)</f>
        <v>115494811.97000001</v>
      </c>
    </row>
    <row r="69" spans="1:14">
      <c r="A69" s="105" t="s">
        <v>0</v>
      </c>
      <c r="B69" s="105" t="s">
        <v>1</v>
      </c>
      <c r="C69" s="105" t="s">
        <v>2</v>
      </c>
      <c r="D69" s="105" t="s">
        <v>3</v>
      </c>
      <c r="E69" s="105" t="s">
        <v>4</v>
      </c>
      <c r="F69" s="105" t="s">
        <v>5</v>
      </c>
      <c r="G69" s="105" t="s">
        <v>6</v>
      </c>
      <c r="H69" s="105" t="s">
        <v>7</v>
      </c>
      <c r="I69" s="105" t="s">
        <v>8</v>
      </c>
      <c r="J69" s="105" t="s">
        <v>9</v>
      </c>
      <c r="K69" s="105" t="s">
        <v>10</v>
      </c>
      <c r="L69" s="105" t="s">
        <v>11</v>
      </c>
      <c r="M69" s="105" t="s">
        <v>12</v>
      </c>
      <c r="N69" s="105" t="s">
        <v>13</v>
      </c>
    </row>
    <row r="70" spans="1:14">
      <c r="A70" t="s">
        <v>3569</v>
      </c>
      <c r="B70" t="s">
        <v>3570</v>
      </c>
      <c r="C70" t="s">
        <v>122</v>
      </c>
      <c r="D70" t="s">
        <v>123</v>
      </c>
      <c r="E70" t="s">
        <v>124</v>
      </c>
      <c r="F70">
        <v>4132.2300000000005</v>
      </c>
      <c r="G70">
        <v>0</v>
      </c>
      <c r="H70">
        <v>0</v>
      </c>
      <c r="I70">
        <v>0</v>
      </c>
      <c r="J70">
        <v>0</v>
      </c>
      <c r="K70">
        <v>867.77</v>
      </c>
      <c r="L70">
        <v>0</v>
      </c>
      <c r="M70">
        <v>0</v>
      </c>
      <c r="N70">
        <v>5000</v>
      </c>
    </row>
    <row r="71" spans="1:14">
      <c r="A71" t="s">
        <v>3569</v>
      </c>
      <c r="B71" t="s">
        <v>3571</v>
      </c>
      <c r="C71" t="s">
        <v>3572</v>
      </c>
      <c r="D71" t="s">
        <v>123</v>
      </c>
      <c r="E71">
        <v>12425310</v>
      </c>
      <c r="F71">
        <v>25454.55</v>
      </c>
      <c r="G71">
        <v>0</v>
      </c>
      <c r="H71">
        <v>0</v>
      </c>
      <c r="I71">
        <v>0</v>
      </c>
      <c r="J71">
        <v>0</v>
      </c>
      <c r="K71">
        <v>5345.45</v>
      </c>
      <c r="L71">
        <v>0</v>
      </c>
      <c r="M71">
        <v>0</v>
      </c>
      <c r="N71">
        <v>30800</v>
      </c>
    </row>
    <row r="72" spans="1:14">
      <c r="A72" t="s">
        <v>3569</v>
      </c>
      <c r="B72" t="s">
        <v>3573</v>
      </c>
      <c r="C72" t="s">
        <v>122</v>
      </c>
      <c r="D72" t="s">
        <v>123</v>
      </c>
      <c r="E72" t="s">
        <v>124</v>
      </c>
      <c r="F72">
        <v>4876.03</v>
      </c>
      <c r="G72">
        <v>0</v>
      </c>
      <c r="H72">
        <v>0</v>
      </c>
      <c r="I72">
        <v>0</v>
      </c>
      <c r="J72">
        <v>0</v>
      </c>
      <c r="K72">
        <v>1023.97</v>
      </c>
      <c r="L72">
        <v>0</v>
      </c>
      <c r="M72">
        <v>0</v>
      </c>
      <c r="N72">
        <v>5900</v>
      </c>
    </row>
    <row r="73" spans="1:14">
      <c r="A73" t="s">
        <v>3569</v>
      </c>
      <c r="B73" t="s">
        <v>3574</v>
      </c>
      <c r="C73" t="s">
        <v>122</v>
      </c>
      <c r="D73" t="s">
        <v>123</v>
      </c>
      <c r="E73" t="s">
        <v>124</v>
      </c>
      <c r="F73">
        <v>41652.89</v>
      </c>
      <c r="G73">
        <v>0</v>
      </c>
      <c r="H73">
        <v>0</v>
      </c>
      <c r="I73">
        <v>0</v>
      </c>
      <c r="J73">
        <v>0</v>
      </c>
      <c r="K73">
        <v>8747.11</v>
      </c>
      <c r="L73">
        <v>0</v>
      </c>
      <c r="M73">
        <v>0</v>
      </c>
      <c r="N73">
        <v>50400</v>
      </c>
    </row>
    <row r="74" spans="1:14">
      <c r="A74" t="s">
        <v>3569</v>
      </c>
      <c r="B74" t="s">
        <v>3575</v>
      </c>
      <c r="C74" t="s">
        <v>122</v>
      </c>
      <c r="D74" t="s">
        <v>123</v>
      </c>
      <c r="E74" t="s">
        <v>124</v>
      </c>
      <c r="F74">
        <v>5454.55</v>
      </c>
      <c r="G74">
        <v>0</v>
      </c>
      <c r="H74">
        <v>0</v>
      </c>
      <c r="I74">
        <v>0</v>
      </c>
      <c r="J74">
        <v>0</v>
      </c>
      <c r="K74">
        <v>1145.45</v>
      </c>
      <c r="L74">
        <v>0</v>
      </c>
      <c r="M74">
        <v>0</v>
      </c>
      <c r="N74">
        <v>6600</v>
      </c>
    </row>
    <row r="75" spans="1:14">
      <c r="A75" t="s">
        <v>3569</v>
      </c>
      <c r="B75" t="s">
        <v>3576</v>
      </c>
      <c r="C75" t="s">
        <v>122</v>
      </c>
      <c r="D75" t="s">
        <v>123</v>
      </c>
      <c r="E75" t="s">
        <v>124</v>
      </c>
      <c r="F75">
        <v>10743.8</v>
      </c>
      <c r="G75">
        <v>0</v>
      </c>
      <c r="H75">
        <v>0</v>
      </c>
      <c r="I75">
        <v>0</v>
      </c>
      <c r="J75">
        <v>0</v>
      </c>
      <c r="K75">
        <v>2256.2000000000003</v>
      </c>
      <c r="L75">
        <v>0</v>
      </c>
      <c r="M75">
        <v>0</v>
      </c>
      <c r="N75">
        <v>13000</v>
      </c>
    </row>
    <row r="76" spans="1:14">
      <c r="A76" t="s">
        <v>3569</v>
      </c>
      <c r="B76" t="s">
        <v>3577</v>
      </c>
      <c r="C76" t="s">
        <v>122</v>
      </c>
      <c r="D76" t="s">
        <v>123</v>
      </c>
      <c r="E76" t="s">
        <v>124</v>
      </c>
      <c r="F76">
        <v>8264.4600000000009</v>
      </c>
      <c r="G76">
        <v>0</v>
      </c>
      <c r="H76">
        <v>0</v>
      </c>
      <c r="I76">
        <v>0</v>
      </c>
      <c r="J76">
        <v>0</v>
      </c>
      <c r="K76">
        <v>1735.54</v>
      </c>
      <c r="L76">
        <v>0</v>
      </c>
      <c r="M76">
        <v>0</v>
      </c>
      <c r="N76">
        <v>10000</v>
      </c>
    </row>
    <row r="77" spans="1:14">
      <c r="A77" t="s">
        <v>3569</v>
      </c>
      <c r="B77" t="s">
        <v>3578</v>
      </c>
      <c r="C77" t="s">
        <v>122</v>
      </c>
      <c r="D77" t="s">
        <v>123</v>
      </c>
      <c r="E77" t="s">
        <v>124</v>
      </c>
      <c r="F77">
        <v>9008.26</v>
      </c>
      <c r="G77">
        <v>0</v>
      </c>
      <c r="H77">
        <v>0</v>
      </c>
      <c r="I77">
        <v>0</v>
      </c>
      <c r="J77">
        <v>0</v>
      </c>
      <c r="K77">
        <v>1891.74</v>
      </c>
      <c r="L77">
        <v>0</v>
      </c>
      <c r="M77">
        <v>0</v>
      </c>
      <c r="N77">
        <v>10900</v>
      </c>
    </row>
    <row r="78" spans="1:14">
      <c r="A78" t="s">
        <v>3569</v>
      </c>
      <c r="B78" t="s">
        <v>3579</v>
      </c>
      <c r="C78" t="s">
        <v>122</v>
      </c>
      <c r="D78" t="s">
        <v>123</v>
      </c>
      <c r="E78" t="s">
        <v>124</v>
      </c>
      <c r="F78">
        <v>7438.02</v>
      </c>
      <c r="G78">
        <v>0</v>
      </c>
      <c r="H78">
        <v>0</v>
      </c>
      <c r="I78">
        <v>0</v>
      </c>
      <c r="J78">
        <v>0</v>
      </c>
      <c r="K78">
        <v>1561.98</v>
      </c>
      <c r="L78">
        <v>0</v>
      </c>
      <c r="M78">
        <v>0</v>
      </c>
      <c r="N78">
        <v>9000</v>
      </c>
    </row>
    <row r="79" spans="1:14">
      <c r="A79" t="s">
        <v>3569</v>
      </c>
      <c r="B79" t="s">
        <v>3580</v>
      </c>
      <c r="C79" t="s">
        <v>122</v>
      </c>
      <c r="D79" t="s">
        <v>123</v>
      </c>
      <c r="E79" t="s">
        <v>124</v>
      </c>
      <c r="F79">
        <v>6983.47</v>
      </c>
      <c r="G79">
        <v>0</v>
      </c>
      <c r="H79">
        <v>0</v>
      </c>
      <c r="I79">
        <v>0</v>
      </c>
      <c r="J79">
        <v>0</v>
      </c>
      <c r="K79">
        <v>1466.53</v>
      </c>
      <c r="L79">
        <v>0</v>
      </c>
      <c r="M79">
        <v>0</v>
      </c>
      <c r="N79">
        <v>8450</v>
      </c>
    </row>
    <row r="80" spans="1:14">
      <c r="A80" t="s">
        <v>3569</v>
      </c>
      <c r="B80" t="s">
        <v>3581</v>
      </c>
      <c r="C80" t="s">
        <v>122</v>
      </c>
      <c r="D80" t="s">
        <v>123</v>
      </c>
      <c r="E80" t="s">
        <v>124</v>
      </c>
      <c r="F80">
        <v>15702.48</v>
      </c>
      <c r="G80">
        <v>0</v>
      </c>
      <c r="H80">
        <v>0</v>
      </c>
      <c r="I80">
        <v>0</v>
      </c>
      <c r="J80">
        <v>0</v>
      </c>
      <c r="K80">
        <v>3297.52</v>
      </c>
      <c r="L80">
        <v>0</v>
      </c>
      <c r="M80">
        <v>0</v>
      </c>
      <c r="N80">
        <v>19000</v>
      </c>
    </row>
    <row r="81" spans="1:14">
      <c r="A81" t="s">
        <v>3594</v>
      </c>
      <c r="B81" t="s">
        <v>3595</v>
      </c>
      <c r="C81" t="s">
        <v>122</v>
      </c>
      <c r="D81" t="s">
        <v>123</v>
      </c>
      <c r="E81" t="s">
        <v>124</v>
      </c>
      <c r="F81">
        <v>4132.2300000000005</v>
      </c>
      <c r="G81">
        <v>0</v>
      </c>
      <c r="H81">
        <v>0</v>
      </c>
      <c r="I81">
        <v>0</v>
      </c>
      <c r="J81">
        <v>0</v>
      </c>
      <c r="K81">
        <v>867.77</v>
      </c>
      <c r="L81">
        <v>0</v>
      </c>
      <c r="M81">
        <v>0</v>
      </c>
      <c r="N81">
        <v>5000</v>
      </c>
    </row>
    <row r="82" spans="1:14">
      <c r="A82" t="s">
        <v>3594</v>
      </c>
      <c r="B82" t="s">
        <v>3596</v>
      </c>
      <c r="C82" t="s">
        <v>122</v>
      </c>
      <c r="D82" t="s">
        <v>123</v>
      </c>
      <c r="E82" t="s">
        <v>124</v>
      </c>
      <c r="F82">
        <v>12727.27</v>
      </c>
      <c r="G82">
        <v>0</v>
      </c>
      <c r="H82">
        <v>0</v>
      </c>
      <c r="I82">
        <v>0</v>
      </c>
      <c r="J82">
        <v>0</v>
      </c>
      <c r="K82">
        <v>2672.73</v>
      </c>
      <c r="L82">
        <v>0</v>
      </c>
      <c r="M82">
        <v>0</v>
      </c>
      <c r="N82">
        <v>15400</v>
      </c>
    </row>
    <row r="83" spans="1:14">
      <c r="A83" t="s">
        <v>3594</v>
      </c>
      <c r="B83" t="s">
        <v>3597</v>
      </c>
      <c r="C83" t="s">
        <v>122</v>
      </c>
      <c r="D83" t="s">
        <v>123</v>
      </c>
      <c r="E83" t="s">
        <v>124</v>
      </c>
      <c r="F83">
        <v>9008.26</v>
      </c>
      <c r="G83">
        <v>0</v>
      </c>
      <c r="H83">
        <v>0</v>
      </c>
      <c r="I83">
        <v>0</v>
      </c>
      <c r="J83">
        <v>0</v>
      </c>
      <c r="K83">
        <v>1891.74</v>
      </c>
      <c r="L83">
        <v>0</v>
      </c>
      <c r="M83">
        <v>0</v>
      </c>
      <c r="N83">
        <v>10900</v>
      </c>
    </row>
    <row r="84" spans="1:14">
      <c r="A84" t="s">
        <v>3594</v>
      </c>
      <c r="B84" t="s">
        <v>3598</v>
      </c>
      <c r="C84" t="s">
        <v>122</v>
      </c>
      <c r="D84" t="s">
        <v>123</v>
      </c>
      <c r="E84" t="s">
        <v>124</v>
      </c>
      <c r="F84">
        <v>7438.02</v>
      </c>
      <c r="G84">
        <v>0</v>
      </c>
      <c r="H84">
        <v>0</v>
      </c>
      <c r="I84">
        <v>0</v>
      </c>
      <c r="J84">
        <v>0</v>
      </c>
      <c r="K84">
        <v>1561.98</v>
      </c>
      <c r="L84">
        <v>0</v>
      </c>
      <c r="M84">
        <v>0</v>
      </c>
      <c r="N84">
        <v>9000</v>
      </c>
    </row>
    <row r="85" spans="1:14">
      <c r="A85" t="s">
        <v>3594</v>
      </c>
      <c r="B85" t="s">
        <v>3599</v>
      </c>
      <c r="C85" t="s">
        <v>122</v>
      </c>
      <c r="D85" t="s">
        <v>123</v>
      </c>
      <c r="E85" t="s">
        <v>124</v>
      </c>
      <c r="F85">
        <v>2892.56</v>
      </c>
      <c r="G85">
        <v>0</v>
      </c>
      <c r="H85">
        <v>0</v>
      </c>
      <c r="I85">
        <v>0</v>
      </c>
      <c r="J85">
        <v>0</v>
      </c>
      <c r="K85">
        <v>607.44000000000005</v>
      </c>
      <c r="L85">
        <v>0</v>
      </c>
      <c r="M85">
        <v>0</v>
      </c>
      <c r="N85">
        <v>3500</v>
      </c>
    </row>
    <row r="86" spans="1:14">
      <c r="A86" t="s">
        <v>3606</v>
      </c>
      <c r="B86" t="s">
        <v>3607</v>
      </c>
      <c r="C86" t="s">
        <v>122</v>
      </c>
      <c r="D86" t="s">
        <v>123</v>
      </c>
      <c r="E86" t="s">
        <v>124</v>
      </c>
      <c r="F86">
        <v>4132.2300000000005</v>
      </c>
      <c r="G86">
        <v>0</v>
      </c>
      <c r="H86">
        <v>0</v>
      </c>
      <c r="I86">
        <v>0</v>
      </c>
      <c r="J86">
        <v>0</v>
      </c>
      <c r="K86">
        <v>867.77</v>
      </c>
      <c r="L86">
        <v>0</v>
      </c>
      <c r="M86">
        <v>0</v>
      </c>
      <c r="N86">
        <v>5000</v>
      </c>
    </row>
    <row r="87" spans="1:14">
      <c r="A87" t="s">
        <v>3606</v>
      </c>
      <c r="B87" t="s">
        <v>3608</v>
      </c>
      <c r="C87" t="s">
        <v>122</v>
      </c>
      <c r="D87" t="s">
        <v>123</v>
      </c>
      <c r="E87" t="s">
        <v>124</v>
      </c>
      <c r="F87">
        <v>5537.19</v>
      </c>
      <c r="G87">
        <v>0</v>
      </c>
      <c r="H87">
        <v>0</v>
      </c>
      <c r="I87">
        <v>0</v>
      </c>
      <c r="J87">
        <v>0</v>
      </c>
      <c r="K87">
        <v>1162.81</v>
      </c>
      <c r="L87">
        <v>0</v>
      </c>
      <c r="M87">
        <v>0</v>
      </c>
      <c r="N87">
        <v>6700</v>
      </c>
    </row>
    <row r="88" spans="1:14">
      <c r="A88" t="s">
        <v>3606</v>
      </c>
      <c r="B88" t="s">
        <v>3609</v>
      </c>
      <c r="C88" t="s">
        <v>122</v>
      </c>
      <c r="D88" t="s">
        <v>123</v>
      </c>
      <c r="E88" t="s">
        <v>124</v>
      </c>
      <c r="F88">
        <v>4132.2300000000005</v>
      </c>
      <c r="G88">
        <v>0</v>
      </c>
      <c r="H88">
        <v>0</v>
      </c>
      <c r="I88">
        <v>0</v>
      </c>
      <c r="J88">
        <v>0</v>
      </c>
      <c r="K88">
        <v>867.77</v>
      </c>
      <c r="L88">
        <v>0</v>
      </c>
      <c r="M88">
        <v>0</v>
      </c>
      <c r="N88">
        <v>5000</v>
      </c>
    </row>
    <row r="89" spans="1:14">
      <c r="A89" t="s">
        <v>3606</v>
      </c>
      <c r="B89" t="s">
        <v>3610</v>
      </c>
      <c r="C89" t="s">
        <v>122</v>
      </c>
      <c r="D89" t="s">
        <v>123</v>
      </c>
      <c r="E89" t="s">
        <v>124</v>
      </c>
      <c r="F89">
        <v>7851.24</v>
      </c>
      <c r="G89">
        <v>0</v>
      </c>
      <c r="H89">
        <v>0</v>
      </c>
      <c r="I89">
        <v>0</v>
      </c>
      <c r="J89">
        <v>0</v>
      </c>
      <c r="K89">
        <v>1648.76</v>
      </c>
      <c r="L89">
        <v>0</v>
      </c>
      <c r="M89">
        <v>0</v>
      </c>
      <c r="N89">
        <v>9500</v>
      </c>
    </row>
    <row r="90" spans="1:14">
      <c r="A90" t="s">
        <v>3606</v>
      </c>
      <c r="B90" t="s">
        <v>3611</v>
      </c>
      <c r="C90" t="s">
        <v>122</v>
      </c>
      <c r="D90" t="s">
        <v>123</v>
      </c>
      <c r="E90" t="s">
        <v>124</v>
      </c>
      <c r="F90">
        <v>3719.01</v>
      </c>
      <c r="G90">
        <v>0</v>
      </c>
      <c r="H90">
        <v>0</v>
      </c>
      <c r="I90">
        <v>0</v>
      </c>
      <c r="J90">
        <v>0</v>
      </c>
      <c r="K90">
        <v>780.99</v>
      </c>
      <c r="L90">
        <v>0</v>
      </c>
      <c r="M90">
        <v>0</v>
      </c>
      <c r="N90">
        <v>4500</v>
      </c>
    </row>
    <row r="91" spans="1:14">
      <c r="A91" t="s">
        <v>3606</v>
      </c>
      <c r="B91" t="s">
        <v>3612</v>
      </c>
      <c r="C91" t="s">
        <v>122</v>
      </c>
      <c r="D91" t="s">
        <v>123</v>
      </c>
      <c r="E91" t="s">
        <v>124</v>
      </c>
      <c r="F91">
        <v>9008.26</v>
      </c>
      <c r="G91">
        <v>0</v>
      </c>
      <c r="H91">
        <v>0</v>
      </c>
      <c r="I91">
        <v>0</v>
      </c>
      <c r="J91">
        <v>0</v>
      </c>
      <c r="K91">
        <v>1891.74</v>
      </c>
      <c r="L91">
        <v>0</v>
      </c>
      <c r="M91">
        <v>0</v>
      </c>
      <c r="N91">
        <v>10900</v>
      </c>
    </row>
    <row r="92" spans="1:14">
      <c r="A92" t="s">
        <v>3606</v>
      </c>
      <c r="B92" t="s">
        <v>3613</v>
      </c>
      <c r="C92" t="s">
        <v>122</v>
      </c>
      <c r="D92" t="s">
        <v>123</v>
      </c>
      <c r="E92" t="s">
        <v>124</v>
      </c>
      <c r="F92">
        <v>15702.48</v>
      </c>
      <c r="G92">
        <v>0</v>
      </c>
      <c r="H92">
        <v>0</v>
      </c>
      <c r="I92">
        <v>0</v>
      </c>
      <c r="J92">
        <v>0</v>
      </c>
      <c r="K92">
        <v>3297.52</v>
      </c>
      <c r="L92">
        <v>0</v>
      </c>
      <c r="M92">
        <v>0</v>
      </c>
      <c r="N92">
        <v>19000</v>
      </c>
    </row>
    <row r="93" spans="1:14">
      <c r="A93" t="s">
        <v>3606</v>
      </c>
      <c r="B93" t="s">
        <v>3614</v>
      </c>
      <c r="C93" t="s">
        <v>122</v>
      </c>
      <c r="D93" t="s">
        <v>123</v>
      </c>
      <c r="E93" t="s">
        <v>124</v>
      </c>
      <c r="F93">
        <v>743.8</v>
      </c>
      <c r="G93">
        <v>0</v>
      </c>
      <c r="H93">
        <v>0</v>
      </c>
      <c r="I93">
        <v>0</v>
      </c>
      <c r="J93">
        <v>0</v>
      </c>
      <c r="K93">
        <v>156.20000000000002</v>
      </c>
      <c r="L93">
        <v>0</v>
      </c>
      <c r="M93">
        <v>0</v>
      </c>
      <c r="N93">
        <v>900</v>
      </c>
    </row>
    <row r="94" spans="1:14">
      <c r="A94" t="s">
        <v>3606</v>
      </c>
      <c r="B94" t="s">
        <v>3615</v>
      </c>
      <c r="C94" t="s">
        <v>122</v>
      </c>
      <c r="D94" t="s">
        <v>123</v>
      </c>
      <c r="E94" t="s">
        <v>124</v>
      </c>
      <c r="F94">
        <v>7438.02</v>
      </c>
      <c r="G94">
        <v>0</v>
      </c>
      <c r="H94">
        <v>0</v>
      </c>
      <c r="I94">
        <v>0</v>
      </c>
      <c r="J94">
        <v>0</v>
      </c>
      <c r="K94">
        <v>1561.98</v>
      </c>
      <c r="L94">
        <v>0</v>
      </c>
      <c r="M94">
        <v>0</v>
      </c>
      <c r="N94">
        <v>9000</v>
      </c>
    </row>
    <row r="95" spans="1:14">
      <c r="A95" t="s">
        <v>3606</v>
      </c>
      <c r="B95" t="s">
        <v>3616</v>
      </c>
      <c r="C95" t="s">
        <v>122</v>
      </c>
      <c r="D95" t="s">
        <v>123</v>
      </c>
      <c r="E95" t="s">
        <v>124</v>
      </c>
      <c r="F95">
        <v>7851.24</v>
      </c>
      <c r="G95">
        <v>0</v>
      </c>
      <c r="H95">
        <v>0</v>
      </c>
      <c r="I95">
        <v>0</v>
      </c>
      <c r="J95">
        <v>0</v>
      </c>
      <c r="K95">
        <v>1648.76</v>
      </c>
      <c r="L95">
        <v>0</v>
      </c>
      <c r="M95">
        <v>0</v>
      </c>
      <c r="N95">
        <v>9500</v>
      </c>
    </row>
    <row r="96" spans="1:14">
      <c r="A96" t="s">
        <v>3624</v>
      </c>
      <c r="B96" t="s">
        <v>3625</v>
      </c>
      <c r="C96" t="s">
        <v>122</v>
      </c>
      <c r="D96" t="s">
        <v>123</v>
      </c>
      <c r="E96" t="s">
        <v>124</v>
      </c>
      <c r="F96">
        <v>4876.03</v>
      </c>
      <c r="G96">
        <v>0</v>
      </c>
      <c r="H96">
        <v>0</v>
      </c>
      <c r="I96">
        <v>0</v>
      </c>
      <c r="J96">
        <v>0</v>
      </c>
      <c r="K96">
        <v>1023.97</v>
      </c>
      <c r="L96">
        <v>0</v>
      </c>
      <c r="M96">
        <v>0</v>
      </c>
      <c r="N96">
        <v>5900</v>
      </c>
    </row>
    <row r="97" spans="1:14">
      <c r="A97" t="s">
        <v>3624</v>
      </c>
      <c r="B97" t="s">
        <v>3626</v>
      </c>
      <c r="C97" t="s">
        <v>122</v>
      </c>
      <c r="D97" t="s">
        <v>123</v>
      </c>
      <c r="E97" t="s">
        <v>124</v>
      </c>
      <c r="F97">
        <v>7479.34</v>
      </c>
      <c r="G97">
        <v>0</v>
      </c>
      <c r="H97">
        <v>0</v>
      </c>
      <c r="I97">
        <v>0</v>
      </c>
      <c r="J97">
        <v>0</v>
      </c>
      <c r="K97">
        <v>1570.66</v>
      </c>
      <c r="L97">
        <v>0</v>
      </c>
      <c r="M97">
        <v>0</v>
      </c>
      <c r="N97">
        <v>9050</v>
      </c>
    </row>
    <row r="98" spans="1:14">
      <c r="A98" t="s">
        <v>3624</v>
      </c>
      <c r="B98" t="s">
        <v>3627</v>
      </c>
      <c r="C98" t="s">
        <v>122</v>
      </c>
      <c r="D98" t="s">
        <v>123</v>
      </c>
      <c r="E98" t="s">
        <v>124</v>
      </c>
      <c r="F98">
        <v>1818.18</v>
      </c>
      <c r="G98">
        <v>0</v>
      </c>
      <c r="H98">
        <v>0</v>
      </c>
      <c r="I98">
        <v>0</v>
      </c>
      <c r="J98">
        <v>0</v>
      </c>
      <c r="K98">
        <v>381.82</v>
      </c>
      <c r="L98">
        <v>0</v>
      </c>
      <c r="M98">
        <v>0</v>
      </c>
      <c r="N98">
        <v>2200</v>
      </c>
    </row>
    <row r="99" spans="1:14">
      <c r="A99" t="s">
        <v>3624</v>
      </c>
      <c r="B99" t="s">
        <v>3628</v>
      </c>
      <c r="C99" t="s">
        <v>122</v>
      </c>
      <c r="D99" t="s">
        <v>123</v>
      </c>
      <c r="E99" t="s">
        <v>124</v>
      </c>
      <c r="F99">
        <v>18016.53</v>
      </c>
      <c r="G99">
        <v>0</v>
      </c>
      <c r="H99">
        <v>0</v>
      </c>
      <c r="I99">
        <v>0</v>
      </c>
      <c r="J99">
        <v>0</v>
      </c>
      <c r="K99">
        <v>3783.47</v>
      </c>
      <c r="L99">
        <v>0</v>
      </c>
      <c r="M99">
        <v>0</v>
      </c>
      <c r="N99">
        <v>21800</v>
      </c>
    </row>
    <row r="100" spans="1:14">
      <c r="A100" t="s">
        <v>3624</v>
      </c>
      <c r="B100" t="s">
        <v>3629</v>
      </c>
      <c r="C100" t="s">
        <v>122</v>
      </c>
      <c r="D100" t="s">
        <v>123</v>
      </c>
      <c r="E100" t="s">
        <v>124</v>
      </c>
      <c r="F100">
        <v>7479.34</v>
      </c>
      <c r="G100">
        <v>0</v>
      </c>
      <c r="H100">
        <v>0</v>
      </c>
      <c r="I100">
        <v>0</v>
      </c>
      <c r="J100">
        <v>0</v>
      </c>
      <c r="K100">
        <v>1570.66</v>
      </c>
      <c r="L100">
        <v>0</v>
      </c>
      <c r="M100">
        <v>0</v>
      </c>
      <c r="N100">
        <v>9050</v>
      </c>
    </row>
    <row r="101" spans="1:14">
      <c r="A101" t="s">
        <v>3624</v>
      </c>
      <c r="B101" t="s">
        <v>3630</v>
      </c>
      <c r="C101" t="s">
        <v>122</v>
      </c>
      <c r="D101" t="s">
        <v>123</v>
      </c>
      <c r="E101" t="s">
        <v>124</v>
      </c>
      <c r="F101">
        <v>7479.34</v>
      </c>
      <c r="G101">
        <v>0</v>
      </c>
      <c r="H101">
        <v>0</v>
      </c>
      <c r="I101">
        <v>0</v>
      </c>
      <c r="J101">
        <v>0</v>
      </c>
      <c r="K101">
        <v>1570.66</v>
      </c>
      <c r="L101">
        <v>0</v>
      </c>
      <c r="M101">
        <v>0</v>
      </c>
      <c r="N101">
        <v>9050</v>
      </c>
    </row>
    <row r="102" spans="1:14">
      <c r="A102" t="s">
        <v>3624</v>
      </c>
      <c r="B102" t="s">
        <v>3631</v>
      </c>
      <c r="C102" t="s">
        <v>122</v>
      </c>
      <c r="D102" t="s">
        <v>123</v>
      </c>
      <c r="E102" t="s">
        <v>124</v>
      </c>
      <c r="F102">
        <v>11942.15</v>
      </c>
      <c r="G102">
        <v>0</v>
      </c>
      <c r="H102">
        <v>0</v>
      </c>
      <c r="I102">
        <v>0</v>
      </c>
      <c r="J102">
        <v>0</v>
      </c>
      <c r="K102">
        <v>2507.85</v>
      </c>
      <c r="L102">
        <v>0</v>
      </c>
      <c r="M102">
        <v>0</v>
      </c>
      <c r="N102">
        <v>14450</v>
      </c>
    </row>
    <row r="103" spans="1:14">
      <c r="A103" t="s">
        <v>3639</v>
      </c>
      <c r="B103" t="s">
        <v>3643</v>
      </c>
      <c r="C103" t="s">
        <v>3644</v>
      </c>
      <c r="D103" t="s">
        <v>123</v>
      </c>
      <c r="E103">
        <v>42101730</v>
      </c>
      <c r="F103">
        <v>9008.26</v>
      </c>
      <c r="G103">
        <v>0</v>
      </c>
      <c r="H103">
        <v>0</v>
      </c>
      <c r="I103">
        <v>0</v>
      </c>
      <c r="J103">
        <v>0</v>
      </c>
      <c r="K103">
        <v>1891.74</v>
      </c>
      <c r="L103">
        <v>0</v>
      </c>
      <c r="M103">
        <v>0</v>
      </c>
      <c r="N103">
        <v>10900</v>
      </c>
    </row>
    <row r="104" spans="1:14">
      <c r="A104" t="s">
        <v>3639</v>
      </c>
      <c r="B104" t="s">
        <v>3645</v>
      </c>
      <c r="C104" t="s">
        <v>122</v>
      </c>
      <c r="D104" t="s">
        <v>123</v>
      </c>
      <c r="E104" t="s">
        <v>124</v>
      </c>
      <c r="F104">
        <v>9008.26</v>
      </c>
      <c r="G104">
        <v>0</v>
      </c>
      <c r="H104">
        <v>0</v>
      </c>
      <c r="I104">
        <v>0</v>
      </c>
      <c r="J104">
        <v>0</v>
      </c>
      <c r="K104">
        <v>1891.74</v>
      </c>
      <c r="L104">
        <v>0</v>
      </c>
      <c r="M104">
        <v>0</v>
      </c>
      <c r="N104">
        <v>10900</v>
      </c>
    </row>
    <row r="105" spans="1:14">
      <c r="A105" t="s">
        <v>3639</v>
      </c>
      <c r="B105" t="s">
        <v>3646</v>
      </c>
      <c r="C105" t="s">
        <v>122</v>
      </c>
      <c r="D105" t="s">
        <v>123</v>
      </c>
      <c r="E105" t="s">
        <v>124</v>
      </c>
      <c r="F105">
        <v>11735.54</v>
      </c>
      <c r="G105">
        <v>0</v>
      </c>
      <c r="H105">
        <v>0</v>
      </c>
      <c r="I105">
        <v>0</v>
      </c>
      <c r="J105">
        <v>0</v>
      </c>
      <c r="K105">
        <v>2464.46</v>
      </c>
      <c r="L105">
        <v>0</v>
      </c>
      <c r="M105">
        <v>0</v>
      </c>
      <c r="N105">
        <v>14200</v>
      </c>
    </row>
    <row r="106" spans="1:14">
      <c r="A106" t="s">
        <v>3639</v>
      </c>
      <c r="B106" t="s">
        <v>3647</v>
      </c>
      <c r="C106" t="s">
        <v>122</v>
      </c>
      <c r="D106" t="s">
        <v>123</v>
      </c>
      <c r="E106" t="s">
        <v>124</v>
      </c>
      <c r="F106">
        <v>4504.13</v>
      </c>
      <c r="G106">
        <v>0</v>
      </c>
      <c r="H106">
        <v>0</v>
      </c>
      <c r="I106">
        <v>0</v>
      </c>
      <c r="J106">
        <v>0</v>
      </c>
      <c r="K106">
        <v>945.87</v>
      </c>
      <c r="L106">
        <v>0</v>
      </c>
      <c r="M106">
        <v>0</v>
      </c>
      <c r="N106">
        <v>5450</v>
      </c>
    </row>
    <row r="107" spans="1:14">
      <c r="A107" t="s">
        <v>3639</v>
      </c>
      <c r="B107" t="s">
        <v>3648</v>
      </c>
      <c r="C107" t="s">
        <v>122</v>
      </c>
      <c r="D107" t="s">
        <v>123</v>
      </c>
      <c r="E107" t="s">
        <v>124</v>
      </c>
      <c r="F107">
        <v>12809.92</v>
      </c>
      <c r="G107">
        <v>0</v>
      </c>
      <c r="H107">
        <v>0</v>
      </c>
      <c r="I107">
        <v>0</v>
      </c>
      <c r="J107">
        <v>0</v>
      </c>
      <c r="K107">
        <v>2690.08</v>
      </c>
      <c r="L107">
        <v>0</v>
      </c>
      <c r="M107">
        <v>0</v>
      </c>
      <c r="N107">
        <v>15500</v>
      </c>
    </row>
    <row r="108" spans="1:14">
      <c r="A108" t="s">
        <v>3639</v>
      </c>
      <c r="B108" t="s">
        <v>3649</v>
      </c>
      <c r="C108" t="s">
        <v>122</v>
      </c>
      <c r="D108" t="s">
        <v>123</v>
      </c>
      <c r="E108" t="s">
        <v>124</v>
      </c>
      <c r="F108">
        <v>24008.26</v>
      </c>
      <c r="G108">
        <v>0</v>
      </c>
      <c r="H108">
        <v>0</v>
      </c>
      <c r="I108">
        <v>0</v>
      </c>
      <c r="J108">
        <v>0</v>
      </c>
      <c r="K108">
        <v>5041.74</v>
      </c>
      <c r="L108">
        <v>0</v>
      </c>
      <c r="M108">
        <v>0</v>
      </c>
      <c r="N108">
        <v>29050</v>
      </c>
    </row>
    <row r="109" spans="1:14">
      <c r="A109" t="s">
        <v>3639</v>
      </c>
      <c r="B109" t="s">
        <v>3650</v>
      </c>
      <c r="C109" t="s">
        <v>122</v>
      </c>
      <c r="D109" t="s">
        <v>123</v>
      </c>
      <c r="E109" t="s">
        <v>124</v>
      </c>
      <c r="F109">
        <v>18016.53</v>
      </c>
      <c r="G109">
        <v>0</v>
      </c>
      <c r="H109">
        <v>0</v>
      </c>
      <c r="I109">
        <v>0</v>
      </c>
      <c r="J109">
        <v>0</v>
      </c>
      <c r="K109">
        <v>3783.47</v>
      </c>
      <c r="L109">
        <v>0</v>
      </c>
      <c r="M109">
        <v>0</v>
      </c>
      <c r="N109">
        <v>21800</v>
      </c>
    </row>
    <row r="110" spans="1:14">
      <c r="A110" t="s">
        <v>3639</v>
      </c>
      <c r="B110" t="s">
        <v>3651</v>
      </c>
      <c r="C110" t="s">
        <v>122</v>
      </c>
      <c r="D110" t="s">
        <v>123</v>
      </c>
      <c r="E110" t="s">
        <v>124</v>
      </c>
      <c r="F110">
        <v>7438.02</v>
      </c>
      <c r="G110">
        <v>0</v>
      </c>
      <c r="H110">
        <v>0</v>
      </c>
      <c r="I110">
        <v>0</v>
      </c>
      <c r="J110">
        <v>0</v>
      </c>
      <c r="K110">
        <v>1561.98</v>
      </c>
      <c r="L110">
        <v>0</v>
      </c>
      <c r="M110">
        <v>0</v>
      </c>
      <c r="N110">
        <v>9000</v>
      </c>
    </row>
    <row r="111" spans="1:14">
      <c r="A111" t="s">
        <v>3639</v>
      </c>
      <c r="B111" t="s">
        <v>3652</v>
      </c>
      <c r="C111" t="s">
        <v>122</v>
      </c>
      <c r="D111" t="s">
        <v>123</v>
      </c>
      <c r="E111" t="s">
        <v>124</v>
      </c>
      <c r="F111">
        <v>4876.03</v>
      </c>
      <c r="G111">
        <v>0</v>
      </c>
      <c r="H111">
        <v>0</v>
      </c>
      <c r="I111">
        <v>0</v>
      </c>
      <c r="J111">
        <v>0</v>
      </c>
      <c r="K111">
        <v>1023.97</v>
      </c>
      <c r="L111">
        <v>0</v>
      </c>
      <c r="M111">
        <v>0</v>
      </c>
      <c r="N111">
        <v>5900</v>
      </c>
    </row>
    <row r="112" spans="1:14">
      <c r="A112" t="s">
        <v>3658</v>
      </c>
      <c r="B112" t="s">
        <v>3659</v>
      </c>
      <c r="C112" t="s">
        <v>122</v>
      </c>
      <c r="D112" t="s">
        <v>123</v>
      </c>
      <c r="E112" t="s">
        <v>124</v>
      </c>
      <c r="F112">
        <v>3347.11</v>
      </c>
      <c r="G112">
        <v>0</v>
      </c>
      <c r="H112">
        <v>0</v>
      </c>
      <c r="I112">
        <v>0</v>
      </c>
      <c r="J112">
        <v>0</v>
      </c>
      <c r="K112">
        <v>702.89</v>
      </c>
      <c r="L112">
        <v>0</v>
      </c>
      <c r="M112">
        <v>0</v>
      </c>
      <c r="N112">
        <v>4050</v>
      </c>
    </row>
    <row r="113" spans="1:14">
      <c r="A113" t="s">
        <v>3658</v>
      </c>
      <c r="B113" t="s">
        <v>3660</v>
      </c>
      <c r="C113" t="s">
        <v>122</v>
      </c>
      <c r="D113" t="s">
        <v>123</v>
      </c>
      <c r="E113" t="s">
        <v>124</v>
      </c>
      <c r="F113">
        <v>11942.15</v>
      </c>
      <c r="G113">
        <v>0</v>
      </c>
      <c r="H113">
        <v>0</v>
      </c>
      <c r="I113">
        <v>0</v>
      </c>
      <c r="J113">
        <v>0</v>
      </c>
      <c r="K113">
        <v>2507.85</v>
      </c>
      <c r="L113">
        <v>0</v>
      </c>
      <c r="M113">
        <v>0</v>
      </c>
      <c r="N113">
        <v>14450</v>
      </c>
    </row>
    <row r="114" spans="1:14">
      <c r="A114" t="s">
        <v>3658</v>
      </c>
      <c r="B114" t="s">
        <v>3661</v>
      </c>
      <c r="C114" t="s">
        <v>122</v>
      </c>
      <c r="D114" t="s">
        <v>123</v>
      </c>
      <c r="E114" t="s">
        <v>124</v>
      </c>
      <c r="F114">
        <v>7438.02</v>
      </c>
      <c r="G114">
        <v>0</v>
      </c>
      <c r="H114">
        <v>0</v>
      </c>
      <c r="I114">
        <v>0</v>
      </c>
      <c r="J114">
        <v>0</v>
      </c>
      <c r="K114">
        <v>1561.98</v>
      </c>
      <c r="L114">
        <v>0</v>
      </c>
      <c r="M114">
        <v>0</v>
      </c>
      <c r="N114">
        <v>9000</v>
      </c>
    </row>
    <row r="115" spans="1:14">
      <c r="A115" t="s">
        <v>3658</v>
      </c>
      <c r="B115" t="s">
        <v>3662</v>
      </c>
      <c r="C115" t="s">
        <v>122</v>
      </c>
      <c r="D115" t="s">
        <v>123</v>
      </c>
      <c r="E115" t="s">
        <v>124</v>
      </c>
      <c r="F115">
        <v>13966.94</v>
      </c>
      <c r="G115">
        <v>0</v>
      </c>
      <c r="H115">
        <v>0</v>
      </c>
      <c r="I115">
        <v>0</v>
      </c>
      <c r="J115">
        <v>0</v>
      </c>
      <c r="K115">
        <v>2933.06</v>
      </c>
      <c r="L115">
        <v>0</v>
      </c>
      <c r="M115">
        <v>0</v>
      </c>
      <c r="N115">
        <v>16900</v>
      </c>
    </row>
    <row r="116" spans="1:14">
      <c r="A116" t="s">
        <v>3658</v>
      </c>
      <c r="B116" t="s">
        <v>3663</v>
      </c>
      <c r="C116" t="s">
        <v>122</v>
      </c>
      <c r="D116" t="s">
        <v>123</v>
      </c>
      <c r="E116" t="s">
        <v>124</v>
      </c>
      <c r="F116">
        <v>4462.8100000000004</v>
      </c>
      <c r="G116">
        <v>0</v>
      </c>
      <c r="H116">
        <v>0</v>
      </c>
      <c r="I116">
        <v>0</v>
      </c>
      <c r="J116">
        <v>0</v>
      </c>
      <c r="K116">
        <v>937.19</v>
      </c>
      <c r="L116">
        <v>0</v>
      </c>
      <c r="M116">
        <v>0</v>
      </c>
      <c r="N116">
        <v>5400</v>
      </c>
    </row>
    <row r="117" spans="1:14">
      <c r="A117" t="s">
        <v>3658</v>
      </c>
      <c r="B117" t="s">
        <v>3664</v>
      </c>
      <c r="C117" t="s">
        <v>122</v>
      </c>
      <c r="D117" t="s">
        <v>123</v>
      </c>
      <c r="E117" t="s">
        <v>124</v>
      </c>
      <c r="F117">
        <v>11570.25</v>
      </c>
      <c r="G117">
        <v>0</v>
      </c>
      <c r="H117">
        <v>0</v>
      </c>
      <c r="I117">
        <v>0</v>
      </c>
      <c r="J117">
        <v>0</v>
      </c>
      <c r="K117">
        <v>2429.75</v>
      </c>
      <c r="L117">
        <v>0</v>
      </c>
      <c r="M117">
        <v>0</v>
      </c>
      <c r="N117">
        <v>14000</v>
      </c>
    </row>
    <row r="118" spans="1:14">
      <c r="A118" t="s">
        <v>3658</v>
      </c>
      <c r="B118" t="s">
        <v>3665</v>
      </c>
      <c r="C118" t="s">
        <v>122</v>
      </c>
      <c r="D118" t="s">
        <v>123</v>
      </c>
      <c r="E118" t="s">
        <v>124</v>
      </c>
      <c r="F118">
        <v>6115.7</v>
      </c>
      <c r="G118">
        <v>0</v>
      </c>
      <c r="H118">
        <v>0</v>
      </c>
      <c r="I118">
        <v>0</v>
      </c>
      <c r="J118">
        <v>0</v>
      </c>
      <c r="K118">
        <v>1284.3</v>
      </c>
      <c r="L118">
        <v>0</v>
      </c>
      <c r="M118">
        <v>0</v>
      </c>
      <c r="N118">
        <v>7400</v>
      </c>
    </row>
    <row r="119" spans="1:14">
      <c r="A119" t="s">
        <v>3658</v>
      </c>
      <c r="B119" t="s">
        <v>3666</v>
      </c>
      <c r="C119" t="s">
        <v>122</v>
      </c>
      <c r="D119" t="s">
        <v>123</v>
      </c>
      <c r="E119" t="s">
        <v>124</v>
      </c>
      <c r="F119">
        <v>9008.26</v>
      </c>
      <c r="G119">
        <v>0</v>
      </c>
      <c r="H119">
        <v>0</v>
      </c>
      <c r="I119">
        <v>0</v>
      </c>
      <c r="J119">
        <v>0</v>
      </c>
      <c r="K119">
        <v>1891.74</v>
      </c>
      <c r="L119">
        <v>0</v>
      </c>
      <c r="M119">
        <v>0</v>
      </c>
      <c r="N119">
        <v>10900</v>
      </c>
    </row>
    <row r="120" spans="1:14">
      <c r="A120" t="s">
        <v>3658</v>
      </c>
      <c r="B120" t="s">
        <v>3667</v>
      </c>
      <c r="C120" t="s">
        <v>122</v>
      </c>
      <c r="D120" t="s">
        <v>123</v>
      </c>
      <c r="E120" t="s">
        <v>124</v>
      </c>
      <c r="F120">
        <v>11983.47</v>
      </c>
      <c r="G120">
        <v>0</v>
      </c>
      <c r="H120">
        <v>0</v>
      </c>
      <c r="I120">
        <v>0</v>
      </c>
      <c r="J120">
        <v>0</v>
      </c>
      <c r="K120">
        <v>2516.5300000000002</v>
      </c>
      <c r="L120">
        <v>0</v>
      </c>
      <c r="M120">
        <v>0</v>
      </c>
      <c r="N120">
        <v>14500</v>
      </c>
    </row>
    <row r="121" spans="1:14">
      <c r="A121" t="s">
        <v>3658</v>
      </c>
      <c r="B121" t="s">
        <v>3668</v>
      </c>
      <c r="C121" t="s">
        <v>122</v>
      </c>
      <c r="D121" t="s">
        <v>123</v>
      </c>
      <c r="E121" t="s">
        <v>124</v>
      </c>
      <c r="F121">
        <v>11570.25</v>
      </c>
      <c r="G121">
        <v>0</v>
      </c>
      <c r="H121">
        <v>0</v>
      </c>
      <c r="I121">
        <v>0</v>
      </c>
      <c r="J121">
        <v>0</v>
      </c>
      <c r="K121">
        <v>2429.75</v>
      </c>
      <c r="L121">
        <v>0</v>
      </c>
      <c r="M121">
        <v>0</v>
      </c>
      <c r="N121">
        <v>14000</v>
      </c>
    </row>
    <row r="122" spans="1:14">
      <c r="A122" t="s">
        <v>3658</v>
      </c>
      <c r="B122" t="s">
        <v>3669</v>
      </c>
      <c r="C122" t="s">
        <v>122</v>
      </c>
      <c r="D122" t="s">
        <v>123</v>
      </c>
      <c r="E122" t="s">
        <v>124</v>
      </c>
      <c r="F122">
        <v>7851.24</v>
      </c>
      <c r="G122">
        <v>0</v>
      </c>
      <c r="H122">
        <v>0</v>
      </c>
      <c r="I122">
        <v>0</v>
      </c>
      <c r="J122">
        <v>0</v>
      </c>
      <c r="K122">
        <v>1648.76</v>
      </c>
      <c r="L122">
        <v>0</v>
      </c>
      <c r="M122">
        <v>0</v>
      </c>
      <c r="N122">
        <v>9500</v>
      </c>
    </row>
    <row r="123" spans="1:14">
      <c r="A123" t="s">
        <v>3658</v>
      </c>
      <c r="B123" t="s">
        <v>3670</v>
      </c>
      <c r="C123" t="s">
        <v>122</v>
      </c>
      <c r="D123" t="s">
        <v>123</v>
      </c>
      <c r="E123" t="s">
        <v>124</v>
      </c>
      <c r="F123">
        <v>24710.74</v>
      </c>
      <c r="G123">
        <v>0</v>
      </c>
      <c r="H123">
        <v>0</v>
      </c>
      <c r="I123">
        <v>0</v>
      </c>
      <c r="J123">
        <v>0</v>
      </c>
      <c r="K123">
        <v>5189.26</v>
      </c>
      <c r="L123">
        <v>0</v>
      </c>
      <c r="M123">
        <v>0</v>
      </c>
      <c r="N123">
        <v>29900</v>
      </c>
    </row>
    <row r="124" spans="1:14">
      <c r="A124" t="s">
        <v>3658</v>
      </c>
      <c r="B124" t="s">
        <v>3671</v>
      </c>
      <c r="C124" t="s">
        <v>122</v>
      </c>
      <c r="D124" t="s">
        <v>123</v>
      </c>
      <c r="E124" t="s">
        <v>124</v>
      </c>
      <c r="F124">
        <v>23966.94</v>
      </c>
      <c r="G124">
        <v>0</v>
      </c>
      <c r="H124">
        <v>0</v>
      </c>
      <c r="I124">
        <v>0</v>
      </c>
      <c r="J124">
        <v>0</v>
      </c>
      <c r="K124">
        <v>5033.0600000000004</v>
      </c>
      <c r="L124">
        <v>0</v>
      </c>
      <c r="M124">
        <v>0</v>
      </c>
      <c r="N124">
        <v>29000</v>
      </c>
    </row>
    <row r="125" spans="1:14">
      <c r="A125" t="s">
        <v>3658</v>
      </c>
      <c r="B125" t="s">
        <v>3672</v>
      </c>
      <c r="C125" t="s">
        <v>122</v>
      </c>
      <c r="D125" t="s">
        <v>123</v>
      </c>
      <c r="E125" t="s">
        <v>124</v>
      </c>
      <c r="F125">
        <v>7851.24</v>
      </c>
      <c r="G125">
        <v>0</v>
      </c>
      <c r="H125">
        <v>0</v>
      </c>
      <c r="I125">
        <v>0</v>
      </c>
      <c r="J125">
        <v>0</v>
      </c>
      <c r="K125">
        <v>1648.76</v>
      </c>
      <c r="L125">
        <v>0</v>
      </c>
      <c r="M125">
        <v>0</v>
      </c>
      <c r="N125">
        <v>9500</v>
      </c>
    </row>
    <row r="126" spans="1:14">
      <c r="A126" t="s">
        <v>3658</v>
      </c>
      <c r="B126" t="s">
        <v>3673</v>
      </c>
      <c r="C126" t="s">
        <v>122</v>
      </c>
      <c r="D126" t="s">
        <v>123</v>
      </c>
      <c r="E126" t="s">
        <v>124</v>
      </c>
      <c r="F126">
        <v>14049.59</v>
      </c>
      <c r="G126">
        <v>0</v>
      </c>
      <c r="H126">
        <v>0</v>
      </c>
      <c r="I126">
        <v>0</v>
      </c>
      <c r="J126">
        <v>0</v>
      </c>
      <c r="K126">
        <v>2950.41</v>
      </c>
      <c r="L126">
        <v>0</v>
      </c>
      <c r="M126">
        <v>0</v>
      </c>
      <c r="N126">
        <v>17000</v>
      </c>
    </row>
    <row r="127" spans="1:14">
      <c r="A127" t="s">
        <v>3658</v>
      </c>
      <c r="B127" t="s">
        <v>3674</v>
      </c>
      <c r="C127" t="s">
        <v>122</v>
      </c>
      <c r="D127" t="s">
        <v>123</v>
      </c>
      <c r="E127" t="s">
        <v>124</v>
      </c>
      <c r="F127">
        <v>9008.26</v>
      </c>
      <c r="G127">
        <v>0</v>
      </c>
      <c r="H127">
        <v>0</v>
      </c>
      <c r="I127">
        <v>0</v>
      </c>
      <c r="J127">
        <v>0</v>
      </c>
      <c r="K127">
        <v>1891.74</v>
      </c>
      <c r="L127">
        <v>0</v>
      </c>
      <c r="M127">
        <v>0</v>
      </c>
      <c r="N127">
        <v>10900</v>
      </c>
    </row>
    <row r="128" spans="1:14">
      <c r="A128" t="s">
        <v>3658</v>
      </c>
      <c r="B128" t="s">
        <v>3675</v>
      </c>
      <c r="C128" t="s">
        <v>122</v>
      </c>
      <c r="D128" t="s">
        <v>123</v>
      </c>
      <c r="E128" t="s">
        <v>124</v>
      </c>
      <c r="F128">
        <v>4132.2300000000005</v>
      </c>
      <c r="G128">
        <v>0</v>
      </c>
      <c r="H128">
        <v>0</v>
      </c>
      <c r="I128">
        <v>0</v>
      </c>
      <c r="J128">
        <v>0</v>
      </c>
      <c r="K128">
        <v>867.77</v>
      </c>
      <c r="L128">
        <v>0</v>
      </c>
      <c r="M128">
        <v>0</v>
      </c>
      <c r="N128">
        <v>5000</v>
      </c>
    </row>
    <row r="129" spans="1:14">
      <c r="A129" t="s">
        <v>3658</v>
      </c>
      <c r="B129" t="s">
        <v>3676</v>
      </c>
      <c r="C129" t="s">
        <v>3677</v>
      </c>
      <c r="D129" t="s">
        <v>123</v>
      </c>
      <c r="E129">
        <v>30447768</v>
      </c>
      <c r="F129">
        <v>13636.36</v>
      </c>
      <c r="G129">
        <v>0</v>
      </c>
      <c r="H129">
        <v>0</v>
      </c>
      <c r="I129">
        <v>0</v>
      </c>
      <c r="J129">
        <v>0</v>
      </c>
      <c r="K129">
        <v>2863.64</v>
      </c>
      <c r="L129">
        <v>0</v>
      </c>
      <c r="M129">
        <v>0</v>
      </c>
      <c r="N129">
        <v>16500</v>
      </c>
    </row>
    <row r="130" spans="1:14">
      <c r="A130" t="s">
        <v>3658</v>
      </c>
      <c r="B130" t="s">
        <v>3678</v>
      </c>
      <c r="C130" t="s">
        <v>122</v>
      </c>
      <c r="D130" t="s">
        <v>123</v>
      </c>
      <c r="E130" t="s">
        <v>124</v>
      </c>
      <c r="F130">
        <v>18760.330000000002</v>
      </c>
      <c r="G130">
        <v>0</v>
      </c>
      <c r="H130">
        <v>0</v>
      </c>
      <c r="I130">
        <v>0</v>
      </c>
      <c r="J130">
        <v>0</v>
      </c>
      <c r="K130">
        <v>3939.67</v>
      </c>
      <c r="L130">
        <v>0</v>
      </c>
      <c r="M130">
        <v>0</v>
      </c>
      <c r="N130">
        <v>22700</v>
      </c>
    </row>
    <row r="131" spans="1:14">
      <c r="A131" t="s">
        <v>3658</v>
      </c>
      <c r="B131" t="s">
        <v>3679</v>
      </c>
      <c r="C131" t="s">
        <v>122</v>
      </c>
      <c r="D131" t="s">
        <v>123</v>
      </c>
      <c r="E131" t="s">
        <v>124</v>
      </c>
      <c r="F131">
        <v>5785.12</v>
      </c>
      <c r="G131">
        <v>0</v>
      </c>
      <c r="H131">
        <v>0</v>
      </c>
      <c r="I131">
        <v>0</v>
      </c>
      <c r="J131">
        <v>0</v>
      </c>
      <c r="K131">
        <v>1214.8800000000001</v>
      </c>
      <c r="L131">
        <v>0</v>
      </c>
      <c r="M131">
        <v>0</v>
      </c>
      <c r="N131">
        <v>7000</v>
      </c>
    </row>
    <row r="132" spans="1:14">
      <c r="A132" t="s">
        <v>3658</v>
      </c>
      <c r="B132" t="s">
        <v>3680</v>
      </c>
      <c r="C132" t="s">
        <v>122</v>
      </c>
      <c r="D132" t="s">
        <v>123</v>
      </c>
      <c r="E132" t="s">
        <v>124</v>
      </c>
      <c r="F132">
        <v>2727.27</v>
      </c>
      <c r="G132">
        <v>0</v>
      </c>
      <c r="H132">
        <v>0</v>
      </c>
      <c r="I132">
        <v>0</v>
      </c>
      <c r="J132">
        <v>0</v>
      </c>
      <c r="K132">
        <v>572.73</v>
      </c>
      <c r="L132">
        <v>0</v>
      </c>
      <c r="M132">
        <v>0</v>
      </c>
      <c r="N132">
        <v>3300</v>
      </c>
    </row>
    <row r="133" spans="1:14">
      <c r="A133" t="s">
        <v>3658</v>
      </c>
      <c r="B133" t="s">
        <v>3681</v>
      </c>
      <c r="C133" t="s">
        <v>122</v>
      </c>
      <c r="D133" t="s">
        <v>123</v>
      </c>
      <c r="E133" t="s">
        <v>124</v>
      </c>
      <c r="F133">
        <v>15371.9</v>
      </c>
      <c r="G133">
        <v>0</v>
      </c>
      <c r="H133">
        <v>0</v>
      </c>
      <c r="I133">
        <v>0</v>
      </c>
      <c r="J133">
        <v>0</v>
      </c>
      <c r="K133">
        <v>3228.1</v>
      </c>
      <c r="L133">
        <v>0</v>
      </c>
      <c r="M133">
        <v>0</v>
      </c>
      <c r="N133">
        <v>18600</v>
      </c>
    </row>
    <row r="134" spans="1:14">
      <c r="A134" t="s">
        <v>3658</v>
      </c>
      <c r="B134" t="s">
        <v>3682</v>
      </c>
      <c r="C134" t="s">
        <v>122</v>
      </c>
      <c r="D134" t="s">
        <v>123</v>
      </c>
      <c r="E134" t="s">
        <v>124</v>
      </c>
      <c r="F134">
        <v>50661.15</v>
      </c>
      <c r="G134">
        <v>0</v>
      </c>
      <c r="H134">
        <v>0</v>
      </c>
      <c r="I134">
        <v>0</v>
      </c>
      <c r="J134">
        <v>0</v>
      </c>
      <c r="K134">
        <v>10638.85</v>
      </c>
      <c r="L134">
        <v>0</v>
      </c>
      <c r="M134">
        <v>0</v>
      </c>
      <c r="N134">
        <v>61300</v>
      </c>
    </row>
    <row r="135" spans="1:14">
      <c r="A135" t="s">
        <v>3696</v>
      </c>
      <c r="B135" t="s">
        <v>3697</v>
      </c>
      <c r="C135" t="s">
        <v>122</v>
      </c>
      <c r="D135" t="s">
        <v>123</v>
      </c>
      <c r="E135" t="s">
        <v>124</v>
      </c>
      <c r="F135">
        <v>24710.74</v>
      </c>
      <c r="G135">
        <v>0</v>
      </c>
      <c r="H135">
        <v>0</v>
      </c>
      <c r="I135">
        <v>0</v>
      </c>
      <c r="J135">
        <v>0</v>
      </c>
      <c r="K135">
        <v>5189.26</v>
      </c>
      <c r="L135">
        <v>0</v>
      </c>
      <c r="M135">
        <v>0</v>
      </c>
      <c r="N135">
        <v>29900</v>
      </c>
    </row>
    <row r="136" spans="1:14">
      <c r="A136" t="s">
        <v>3696</v>
      </c>
      <c r="B136" t="s">
        <v>3698</v>
      </c>
      <c r="C136" t="s">
        <v>122</v>
      </c>
      <c r="D136" t="s">
        <v>123</v>
      </c>
      <c r="E136" t="s">
        <v>124</v>
      </c>
      <c r="F136">
        <v>8264.4600000000009</v>
      </c>
      <c r="G136">
        <v>0</v>
      </c>
      <c r="H136">
        <v>0</v>
      </c>
      <c r="I136">
        <v>0</v>
      </c>
      <c r="J136">
        <v>0</v>
      </c>
      <c r="K136">
        <v>1735.54</v>
      </c>
      <c r="L136">
        <v>0</v>
      </c>
      <c r="M136">
        <v>0</v>
      </c>
      <c r="N136">
        <v>10000</v>
      </c>
    </row>
    <row r="137" spans="1:14">
      <c r="A137" t="s">
        <v>3696</v>
      </c>
      <c r="B137" t="s">
        <v>3699</v>
      </c>
      <c r="C137" t="s">
        <v>122</v>
      </c>
      <c r="D137" t="s">
        <v>123</v>
      </c>
      <c r="E137" t="s">
        <v>124</v>
      </c>
      <c r="F137">
        <v>7851.24</v>
      </c>
      <c r="G137">
        <v>0</v>
      </c>
      <c r="H137">
        <v>0</v>
      </c>
      <c r="I137">
        <v>0</v>
      </c>
      <c r="J137">
        <v>0</v>
      </c>
      <c r="K137">
        <v>1648.76</v>
      </c>
      <c r="L137">
        <v>0</v>
      </c>
      <c r="M137">
        <v>0</v>
      </c>
      <c r="N137">
        <v>9500</v>
      </c>
    </row>
    <row r="138" spans="1:14">
      <c r="A138" t="s">
        <v>3696</v>
      </c>
      <c r="B138" t="s">
        <v>3700</v>
      </c>
      <c r="C138" t="s">
        <v>122</v>
      </c>
      <c r="D138" t="s">
        <v>123</v>
      </c>
      <c r="E138" t="s">
        <v>124</v>
      </c>
      <c r="F138">
        <v>16446.28</v>
      </c>
      <c r="G138">
        <v>0</v>
      </c>
      <c r="H138">
        <v>0</v>
      </c>
      <c r="I138">
        <v>0</v>
      </c>
      <c r="J138">
        <v>0</v>
      </c>
      <c r="K138">
        <v>3453.72</v>
      </c>
      <c r="L138">
        <v>0</v>
      </c>
      <c r="M138">
        <v>0</v>
      </c>
      <c r="N138">
        <v>19900</v>
      </c>
    </row>
    <row r="139" spans="1:14">
      <c r="A139" t="s">
        <v>3696</v>
      </c>
      <c r="B139" t="s">
        <v>3701</v>
      </c>
      <c r="C139" t="s">
        <v>122</v>
      </c>
      <c r="D139" t="s">
        <v>123</v>
      </c>
      <c r="E139" t="s">
        <v>124</v>
      </c>
      <c r="F139">
        <v>7314.05</v>
      </c>
      <c r="G139">
        <v>0</v>
      </c>
      <c r="H139">
        <v>0</v>
      </c>
      <c r="I139">
        <v>0</v>
      </c>
      <c r="J139">
        <v>0</v>
      </c>
      <c r="K139">
        <v>1535.95</v>
      </c>
      <c r="L139">
        <v>0</v>
      </c>
      <c r="M139">
        <v>0</v>
      </c>
      <c r="N139">
        <v>8850</v>
      </c>
    </row>
    <row r="140" spans="1:14">
      <c r="A140" t="s">
        <v>3696</v>
      </c>
      <c r="B140" t="s">
        <v>3702</v>
      </c>
      <c r="C140" t="s">
        <v>122</v>
      </c>
      <c r="D140" t="s">
        <v>123</v>
      </c>
      <c r="E140" t="s">
        <v>124</v>
      </c>
      <c r="F140">
        <v>23925.62</v>
      </c>
      <c r="G140">
        <v>0</v>
      </c>
      <c r="H140">
        <v>0</v>
      </c>
      <c r="I140">
        <v>0</v>
      </c>
      <c r="J140">
        <v>0</v>
      </c>
      <c r="K140">
        <v>5024.38</v>
      </c>
      <c r="L140">
        <v>0</v>
      </c>
      <c r="M140">
        <v>0</v>
      </c>
      <c r="N140">
        <v>28950</v>
      </c>
    </row>
    <row r="141" spans="1:14">
      <c r="A141" t="s">
        <v>3696</v>
      </c>
      <c r="B141" t="s">
        <v>3703</v>
      </c>
      <c r="C141" t="s">
        <v>122</v>
      </c>
      <c r="D141" t="s">
        <v>123</v>
      </c>
      <c r="E141" t="s">
        <v>124</v>
      </c>
      <c r="F141">
        <v>5743.8</v>
      </c>
      <c r="G141">
        <v>0</v>
      </c>
      <c r="H141">
        <v>0</v>
      </c>
      <c r="I141">
        <v>0</v>
      </c>
      <c r="J141">
        <v>0</v>
      </c>
      <c r="K141">
        <v>1206.2</v>
      </c>
      <c r="L141">
        <v>0</v>
      </c>
      <c r="M141">
        <v>0</v>
      </c>
      <c r="N141">
        <v>6950</v>
      </c>
    </row>
    <row r="142" spans="1:14">
      <c r="A142" t="s">
        <v>3696</v>
      </c>
      <c r="B142" t="s">
        <v>3704</v>
      </c>
      <c r="C142" t="s">
        <v>122</v>
      </c>
      <c r="D142" t="s">
        <v>123</v>
      </c>
      <c r="E142" t="s">
        <v>124</v>
      </c>
      <c r="F142">
        <v>12024.79</v>
      </c>
      <c r="G142">
        <v>0</v>
      </c>
      <c r="H142">
        <v>0</v>
      </c>
      <c r="I142">
        <v>0</v>
      </c>
      <c r="J142">
        <v>0</v>
      </c>
      <c r="K142">
        <v>2525.21</v>
      </c>
      <c r="L142">
        <v>0</v>
      </c>
      <c r="M142">
        <v>0</v>
      </c>
      <c r="N142">
        <v>14550</v>
      </c>
    </row>
    <row r="143" spans="1:14">
      <c r="A143" t="s">
        <v>3696</v>
      </c>
      <c r="B143" t="s">
        <v>3705</v>
      </c>
      <c r="C143" t="s">
        <v>122</v>
      </c>
      <c r="D143" t="s">
        <v>123</v>
      </c>
      <c r="E143" t="s">
        <v>124</v>
      </c>
      <c r="F143">
        <v>8925.6200000000008</v>
      </c>
      <c r="G143">
        <v>0</v>
      </c>
      <c r="H143">
        <v>0</v>
      </c>
      <c r="I143">
        <v>0</v>
      </c>
      <c r="J143">
        <v>0</v>
      </c>
      <c r="K143">
        <v>1874.38</v>
      </c>
      <c r="L143">
        <v>0</v>
      </c>
      <c r="M143">
        <v>0</v>
      </c>
      <c r="N143">
        <v>10800</v>
      </c>
    </row>
    <row r="144" spans="1:14">
      <c r="A144" t="s">
        <v>3696</v>
      </c>
      <c r="B144" t="s">
        <v>3706</v>
      </c>
      <c r="C144" t="s">
        <v>122</v>
      </c>
      <c r="D144" t="s">
        <v>123</v>
      </c>
      <c r="E144" t="s">
        <v>124</v>
      </c>
      <c r="F144">
        <v>21322.31</v>
      </c>
      <c r="G144">
        <v>0</v>
      </c>
      <c r="H144">
        <v>0</v>
      </c>
      <c r="I144">
        <v>0</v>
      </c>
      <c r="J144">
        <v>0</v>
      </c>
      <c r="K144">
        <v>4477.6900000000005</v>
      </c>
      <c r="L144">
        <v>0</v>
      </c>
      <c r="M144">
        <v>0</v>
      </c>
      <c r="N144">
        <v>25800</v>
      </c>
    </row>
    <row r="145" spans="1:14">
      <c r="A145" t="s">
        <v>3696</v>
      </c>
      <c r="B145" t="s">
        <v>3707</v>
      </c>
      <c r="C145" t="s">
        <v>122</v>
      </c>
      <c r="D145" t="s">
        <v>123</v>
      </c>
      <c r="E145" t="s">
        <v>124</v>
      </c>
      <c r="F145">
        <v>21859.5</v>
      </c>
      <c r="G145">
        <v>0</v>
      </c>
      <c r="H145">
        <v>0</v>
      </c>
      <c r="I145">
        <v>0</v>
      </c>
      <c r="J145">
        <v>0</v>
      </c>
      <c r="K145">
        <v>4590.5</v>
      </c>
      <c r="L145">
        <v>0</v>
      </c>
      <c r="M145">
        <v>0</v>
      </c>
      <c r="N145">
        <v>26450</v>
      </c>
    </row>
    <row r="146" spans="1:14">
      <c r="A146" t="s">
        <v>3696</v>
      </c>
      <c r="B146" t="s">
        <v>3708</v>
      </c>
      <c r="C146" t="s">
        <v>122</v>
      </c>
      <c r="D146" t="s">
        <v>123</v>
      </c>
      <c r="E146" t="s">
        <v>124</v>
      </c>
      <c r="F146">
        <v>8016.53</v>
      </c>
      <c r="G146">
        <v>0</v>
      </c>
      <c r="H146">
        <v>0</v>
      </c>
      <c r="I146">
        <v>0</v>
      </c>
      <c r="J146">
        <v>0</v>
      </c>
      <c r="K146">
        <v>1683.47</v>
      </c>
      <c r="L146">
        <v>0</v>
      </c>
      <c r="M146">
        <v>0</v>
      </c>
      <c r="N146">
        <v>9700</v>
      </c>
    </row>
    <row r="147" spans="1:14">
      <c r="A147" t="s">
        <v>3713</v>
      </c>
      <c r="B147" t="s">
        <v>3714</v>
      </c>
      <c r="C147" t="s">
        <v>122</v>
      </c>
      <c r="D147" t="s">
        <v>123</v>
      </c>
      <c r="E147" t="s">
        <v>124</v>
      </c>
      <c r="F147">
        <v>11570.25</v>
      </c>
      <c r="G147">
        <v>0</v>
      </c>
      <c r="H147">
        <v>0</v>
      </c>
      <c r="I147">
        <v>0</v>
      </c>
      <c r="J147">
        <v>0</v>
      </c>
      <c r="K147">
        <v>2429.75</v>
      </c>
      <c r="L147">
        <v>0</v>
      </c>
      <c r="M147">
        <v>0</v>
      </c>
      <c r="N147">
        <v>14000</v>
      </c>
    </row>
    <row r="148" spans="1:14">
      <c r="A148" t="s">
        <v>3713</v>
      </c>
      <c r="B148" t="s">
        <v>3715</v>
      </c>
      <c r="C148" t="s">
        <v>122</v>
      </c>
      <c r="D148" t="s">
        <v>123</v>
      </c>
      <c r="E148" t="s">
        <v>124</v>
      </c>
      <c r="F148">
        <v>6157.02</v>
      </c>
      <c r="G148">
        <v>0</v>
      </c>
      <c r="H148">
        <v>0</v>
      </c>
      <c r="I148">
        <v>0</v>
      </c>
      <c r="J148">
        <v>0</v>
      </c>
      <c r="K148">
        <v>1292.98</v>
      </c>
      <c r="L148">
        <v>0</v>
      </c>
      <c r="M148">
        <v>0</v>
      </c>
      <c r="N148">
        <v>7450</v>
      </c>
    </row>
    <row r="149" spans="1:14">
      <c r="A149" t="s">
        <v>3713</v>
      </c>
      <c r="B149" t="s">
        <v>3716</v>
      </c>
      <c r="C149" t="s">
        <v>122</v>
      </c>
      <c r="D149" t="s">
        <v>123</v>
      </c>
      <c r="E149" t="s">
        <v>124</v>
      </c>
      <c r="F149">
        <v>5330.58</v>
      </c>
      <c r="G149">
        <v>0</v>
      </c>
      <c r="H149">
        <v>0</v>
      </c>
      <c r="I149">
        <v>0</v>
      </c>
      <c r="J149">
        <v>0</v>
      </c>
      <c r="K149">
        <v>1119.42</v>
      </c>
      <c r="L149">
        <v>0</v>
      </c>
      <c r="M149">
        <v>0</v>
      </c>
      <c r="N149">
        <v>6450</v>
      </c>
    </row>
    <row r="150" spans="1:14">
      <c r="A150" t="s">
        <v>3713</v>
      </c>
      <c r="B150" t="s">
        <v>3717</v>
      </c>
      <c r="C150" t="s">
        <v>122</v>
      </c>
      <c r="D150" t="s">
        <v>123</v>
      </c>
      <c r="E150" t="s">
        <v>124</v>
      </c>
      <c r="F150">
        <v>8057.85</v>
      </c>
      <c r="G150">
        <v>0</v>
      </c>
      <c r="H150">
        <v>0</v>
      </c>
      <c r="I150">
        <v>0</v>
      </c>
      <c r="J150">
        <v>0</v>
      </c>
      <c r="K150">
        <v>1692.15</v>
      </c>
      <c r="L150">
        <v>0</v>
      </c>
      <c r="M150">
        <v>0</v>
      </c>
      <c r="N150">
        <v>9750</v>
      </c>
    </row>
    <row r="151" spans="1:14">
      <c r="A151" t="s">
        <v>3713</v>
      </c>
      <c r="B151" t="s">
        <v>3718</v>
      </c>
      <c r="C151" t="s">
        <v>122</v>
      </c>
      <c r="D151" t="s">
        <v>123</v>
      </c>
      <c r="E151" t="s">
        <v>124</v>
      </c>
      <c r="F151">
        <v>20578.510000000002</v>
      </c>
      <c r="G151">
        <v>0</v>
      </c>
      <c r="H151">
        <v>0</v>
      </c>
      <c r="I151">
        <v>0</v>
      </c>
      <c r="J151">
        <v>0</v>
      </c>
      <c r="K151">
        <v>4321.49</v>
      </c>
      <c r="L151">
        <v>0</v>
      </c>
      <c r="M151">
        <v>0</v>
      </c>
      <c r="N151">
        <v>24900</v>
      </c>
    </row>
    <row r="152" spans="1:14">
      <c r="A152" t="s">
        <v>3713</v>
      </c>
      <c r="B152" t="s">
        <v>3719</v>
      </c>
      <c r="C152" t="s">
        <v>122</v>
      </c>
      <c r="D152" t="s">
        <v>123</v>
      </c>
      <c r="E152" t="s">
        <v>124</v>
      </c>
      <c r="F152">
        <v>3347.11</v>
      </c>
      <c r="G152">
        <v>0</v>
      </c>
      <c r="H152">
        <v>0</v>
      </c>
      <c r="I152">
        <v>0</v>
      </c>
      <c r="J152">
        <v>0</v>
      </c>
      <c r="K152">
        <v>702.89</v>
      </c>
      <c r="L152">
        <v>0</v>
      </c>
      <c r="M152">
        <v>0</v>
      </c>
      <c r="N152">
        <v>4050</v>
      </c>
    </row>
    <row r="153" spans="1:14">
      <c r="A153" t="s">
        <v>3713</v>
      </c>
      <c r="B153" t="s">
        <v>3720</v>
      </c>
      <c r="C153" t="s">
        <v>122</v>
      </c>
      <c r="D153" t="s">
        <v>123</v>
      </c>
      <c r="E153" t="s">
        <v>124</v>
      </c>
      <c r="F153">
        <v>6115.7</v>
      </c>
      <c r="G153">
        <v>0</v>
      </c>
      <c r="H153">
        <v>0</v>
      </c>
      <c r="I153">
        <v>0</v>
      </c>
      <c r="J153">
        <v>0</v>
      </c>
      <c r="K153">
        <v>1284.3</v>
      </c>
      <c r="L153">
        <v>0</v>
      </c>
      <c r="M153">
        <v>0</v>
      </c>
      <c r="N153">
        <v>7400</v>
      </c>
    </row>
    <row r="154" spans="1:14">
      <c r="A154" t="s">
        <v>3713</v>
      </c>
      <c r="B154" t="s">
        <v>3721</v>
      </c>
      <c r="C154" t="s">
        <v>122</v>
      </c>
      <c r="D154" t="s">
        <v>123</v>
      </c>
      <c r="E154" t="s">
        <v>124</v>
      </c>
      <c r="F154">
        <v>18842.98</v>
      </c>
      <c r="G154">
        <v>0</v>
      </c>
      <c r="H154">
        <v>0</v>
      </c>
      <c r="I154">
        <v>0</v>
      </c>
      <c r="J154">
        <v>0</v>
      </c>
      <c r="K154">
        <v>3957.02</v>
      </c>
      <c r="L154">
        <v>0</v>
      </c>
      <c r="M154">
        <v>0</v>
      </c>
      <c r="N154">
        <v>22800</v>
      </c>
    </row>
    <row r="155" spans="1:14">
      <c r="A155" t="s">
        <v>3713</v>
      </c>
      <c r="B155" t="s">
        <v>3722</v>
      </c>
      <c r="C155" t="s">
        <v>122</v>
      </c>
      <c r="D155" t="s">
        <v>123</v>
      </c>
      <c r="E155" t="s">
        <v>124</v>
      </c>
      <c r="F155">
        <v>18099.18</v>
      </c>
      <c r="G155">
        <v>0</v>
      </c>
      <c r="H155">
        <v>0</v>
      </c>
      <c r="I155">
        <v>0</v>
      </c>
      <c r="J155">
        <v>0</v>
      </c>
      <c r="K155">
        <v>3800.82</v>
      </c>
      <c r="L155">
        <v>0</v>
      </c>
      <c r="M155">
        <v>0</v>
      </c>
      <c r="N155">
        <v>21900</v>
      </c>
    </row>
    <row r="156" spans="1:14">
      <c r="A156" t="s">
        <v>3713</v>
      </c>
      <c r="B156" t="s">
        <v>3723</v>
      </c>
      <c r="C156" t="s">
        <v>122</v>
      </c>
      <c r="D156" t="s">
        <v>123</v>
      </c>
      <c r="E156" t="s">
        <v>124</v>
      </c>
      <c r="F156">
        <v>7685.95</v>
      </c>
      <c r="G156">
        <v>0</v>
      </c>
      <c r="H156">
        <v>0</v>
      </c>
      <c r="I156">
        <v>0</v>
      </c>
      <c r="J156">
        <v>0</v>
      </c>
      <c r="K156">
        <v>1614.05</v>
      </c>
      <c r="L156">
        <v>0</v>
      </c>
      <c r="M156">
        <v>0</v>
      </c>
      <c r="N156">
        <v>9300</v>
      </c>
    </row>
    <row r="157" spans="1:14">
      <c r="A157" t="s">
        <v>3713</v>
      </c>
      <c r="B157" t="s">
        <v>3724</v>
      </c>
      <c r="C157" t="s">
        <v>122</v>
      </c>
      <c r="D157" t="s">
        <v>123</v>
      </c>
      <c r="E157" t="s">
        <v>124</v>
      </c>
      <c r="F157">
        <v>5371.9</v>
      </c>
      <c r="G157">
        <v>0</v>
      </c>
      <c r="H157">
        <v>0</v>
      </c>
      <c r="I157">
        <v>0</v>
      </c>
      <c r="J157">
        <v>0</v>
      </c>
      <c r="K157">
        <v>1128.1000000000001</v>
      </c>
      <c r="L157">
        <v>0</v>
      </c>
      <c r="M157">
        <v>0</v>
      </c>
      <c r="N157">
        <v>6500</v>
      </c>
    </row>
    <row r="158" spans="1:14">
      <c r="A158" t="s">
        <v>3737</v>
      </c>
      <c r="B158" t="s">
        <v>3738</v>
      </c>
      <c r="C158" t="s">
        <v>122</v>
      </c>
      <c r="D158" t="s">
        <v>123</v>
      </c>
      <c r="E158" t="s">
        <v>124</v>
      </c>
      <c r="F158">
        <v>13884.3</v>
      </c>
      <c r="G158">
        <v>0</v>
      </c>
      <c r="H158">
        <v>0</v>
      </c>
      <c r="I158">
        <v>0</v>
      </c>
      <c r="J158">
        <v>0</v>
      </c>
      <c r="K158">
        <v>2915.7</v>
      </c>
      <c r="L158">
        <v>0</v>
      </c>
      <c r="M158">
        <v>0</v>
      </c>
      <c r="N158">
        <v>16800</v>
      </c>
    </row>
    <row r="159" spans="1:14">
      <c r="A159" t="s">
        <v>3737</v>
      </c>
      <c r="B159" t="s">
        <v>3739</v>
      </c>
      <c r="C159" t="s">
        <v>122</v>
      </c>
      <c r="D159" t="s">
        <v>123</v>
      </c>
      <c r="E159" t="s">
        <v>124</v>
      </c>
      <c r="F159">
        <v>6198.35</v>
      </c>
      <c r="G159">
        <v>0</v>
      </c>
      <c r="H159">
        <v>0</v>
      </c>
      <c r="I159">
        <v>0</v>
      </c>
      <c r="J159">
        <v>0</v>
      </c>
      <c r="K159">
        <v>1301.6500000000001</v>
      </c>
      <c r="L159">
        <v>0</v>
      </c>
      <c r="M159">
        <v>0</v>
      </c>
      <c r="N159">
        <v>7500</v>
      </c>
    </row>
    <row r="160" spans="1:14">
      <c r="A160" t="s">
        <v>3737</v>
      </c>
      <c r="B160" t="s">
        <v>3740</v>
      </c>
      <c r="C160" t="s">
        <v>122</v>
      </c>
      <c r="D160" t="s">
        <v>123</v>
      </c>
      <c r="E160" t="s">
        <v>124</v>
      </c>
      <c r="F160">
        <v>26033.06</v>
      </c>
      <c r="G160">
        <v>0</v>
      </c>
      <c r="H160">
        <v>0</v>
      </c>
      <c r="I160">
        <v>0</v>
      </c>
      <c r="J160">
        <v>0</v>
      </c>
      <c r="K160">
        <v>5466.94</v>
      </c>
      <c r="L160">
        <v>0</v>
      </c>
      <c r="M160">
        <v>0</v>
      </c>
      <c r="N160">
        <v>31500</v>
      </c>
    </row>
    <row r="161" spans="1:14">
      <c r="A161" t="s">
        <v>3737</v>
      </c>
      <c r="B161" t="s">
        <v>3741</v>
      </c>
      <c r="C161" t="s">
        <v>122</v>
      </c>
      <c r="D161" t="s">
        <v>123</v>
      </c>
      <c r="E161" t="s">
        <v>124</v>
      </c>
      <c r="F161">
        <v>3305.79</v>
      </c>
      <c r="G161">
        <v>0</v>
      </c>
      <c r="H161">
        <v>0</v>
      </c>
      <c r="I161">
        <v>0</v>
      </c>
      <c r="J161">
        <v>0</v>
      </c>
      <c r="K161">
        <v>694.21</v>
      </c>
      <c r="L161">
        <v>0</v>
      </c>
      <c r="M161">
        <v>0</v>
      </c>
      <c r="N161">
        <v>4000</v>
      </c>
    </row>
    <row r="162" spans="1:14">
      <c r="A162" t="s">
        <v>3737</v>
      </c>
      <c r="B162" t="s">
        <v>3742</v>
      </c>
      <c r="C162" t="s">
        <v>122</v>
      </c>
      <c r="D162" t="s">
        <v>123</v>
      </c>
      <c r="E162" t="s">
        <v>124</v>
      </c>
      <c r="F162">
        <v>15371.9</v>
      </c>
      <c r="G162">
        <v>0</v>
      </c>
      <c r="H162">
        <v>0</v>
      </c>
      <c r="I162">
        <v>0</v>
      </c>
      <c r="J162">
        <v>0</v>
      </c>
      <c r="K162">
        <v>3228.1</v>
      </c>
      <c r="L162">
        <v>0</v>
      </c>
      <c r="M162">
        <v>0</v>
      </c>
      <c r="N162">
        <v>18600</v>
      </c>
    </row>
    <row r="163" spans="1:14">
      <c r="A163" t="s">
        <v>3737</v>
      </c>
      <c r="B163" t="s">
        <v>3743</v>
      </c>
      <c r="C163" t="s">
        <v>122</v>
      </c>
      <c r="D163" t="s">
        <v>123</v>
      </c>
      <c r="E163" t="s">
        <v>124</v>
      </c>
      <c r="F163">
        <v>10661.16</v>
      </c>
      <c r="G163">
        <v>0</v>
      </c>
      <c r="H163">
        <v>0</v>
      </c>
      <c r="I163">
        <v>0</v>
      </c>
      <c r="J163">
        <v>0</v>
      </c>
      <c r="K163">
        <v>2238.84</v>
      </c>
      <c r="L163">
        <v>0</v>
      </c>
      <c r="M163">
        <v>0</v>
      </c>
      <c r="N163">
        <v>12900</v>
      </c>
    </row>
    <row r="164" spans="1:14">
      <c r="A164" t="s">
        <v>3737</v>
      </c>
      <c r="B164" t="s">
        <v>3744</v>
      </c>
      <c r="C164" t="s">
        <v>122</v>
      </c>
      <c r="D164" t="s">
        <v>123</v>
      </c>
      <c r="E164" t="s">
        <v>124</v>
      </c>
      <c r="F164">
        <v>28760.33</v>
      </c>
      <c r="G164">
        <v>0</v>
      </c>
      <c r="H164">
        <v>0</v>
      </c>
      <c r="I164">
        <v>0</v>
      </c>
      <c r="J164">
        <v>0</v>
      </c>
      <c r="K164">
        <v>6039.67</v>
      </c>
      <c r="L164">
        <v>0</v>
      </c>
      <c r="M164">
        <v>0</v>
      </c>
      <c r="N164">
        <v>34800</v>
      </c>
    </row>
    <row r="165" spans="1:14">
      <c r="A165" t="s">
        <v>3737</v>
      </c>
      <c r="B165" t="s">
        <v>3745</v>
      </c>
      <c r="C165" t="s">
        <v>122</v>
      </c>
      <c r="D165" t="s">
        <v>123</v>
      </c>
      <c r="E165" t="s">
        <v>124</v>
      </c>
      <c r="F165">
        <v>4173.55</v>
      </c>
      <c r="G165">
        <v>0</v>
      </c>
      <c r="H165">
        <v>0</v>
      </c>
      <c r="I165">
        <v>0</v>
      </c>
      <c r="J165">
        <v>0</v>
      </c>
      <c r="K165">
        <v>876.45</v>
      </c>
      <c r="L165">
        <v>0</v>
      </c>
      <c r="M165">
        <v>0</v>
      </c>
      <c r="N165">
        <v>5050</v>
      </c>
    </row>
    <row r="166" spans="1:14">
      <c r="A166" t="s">
        <v>3737</v>
      </c>
      <c r="B166" t="s">
        <v>3746</v>
      </c>
      <c r="C166" t="s">
        <v>122</v>
      </c>
      <c r="D166" t="s">
        <v>123</v>
      </c>
      <c r="E166" t="s">
        <v>124</v>
      </c>
      <c r="F166">
        <v>16528.93</v>
      </c>
      <c r="G166">
        <v>0</v>
      </c>
      <c r="H166">
        <v>0</v>
      </c>
      <c r="I166">
        <v>0</v>
      </c>
      <c r="J166">
        <v>0</v>
      </c>
      <c r="K166">
        <v>3471.07</v>
      </c>
      <c r="L166">
        <v>0</v>
      </c>
      <c r="M166">
        <v>0</v>
      </c>
      <c r="N166">
        <v>20000</v>
      </c>
    </row>
    <row r="167" spans="1:14">
      <c r="A167" t="s">
        <v>3737</v>
      </c>
      <c r="B167" t="s">
        <v>3747</v>
      </c>
      <c r="C167" t="s">
        <v>122</v>
      </c>
      <c r="D167" t="s">
        <v>123</v>
      </c>
      <c r="E167" t="s">
        <v>124</v>
      </c>
      <c r="F167">
        <v>4049.59</v>
      </c>
      <c r="G167">
        <v>0</v>
      </c>
      <c r="H167">
        <v>0</v>
      </c>
      <c r="I167">
        <v>0</v>
      </c>
      <c r="J167">
        <v>0</v>
      </c>
      <c r="K167">
        <v>850.41</v>
      </c>
      <c r="L167">
        <v>0</v>
      </c>
      <c r="M167">
        <v>0</v>
      </c>
      <c r="N167">
        <v>4900</v>
      </c>
    </row>
    <row r="168" spans="1:14">
      <c r="A168" t="s">
        <v>3737</v>
      </c>
      <c r="B168" t="s">
        <v>3748</v>
      </c>
      <c r="C168" t="s">
        <v>122</v>
      </c>
      <c r="D168" t="s">
        <v>123</v>
      </c>
      <c r="E168" t="s">
        <v>124</v>
      </c>
      <c r="F168">
        <v>9917.36</v>
      </c>
      <c r="G168">
        <v>0</v>
      </c>
      <c r="H168">
        <v>0</v>
      </c>
      <c r="I168">
        <v>0</v>
      </c>
      <c r="J168">
        <v>0</v>
      </c>
      <c r="K168">
        <v>2082.64</v>
      </c>
      <c r="L168">
        <v>0</v>
      </c>
      <c r="M168">
        <v>0</v>
      </c>
      <c r="N168">
        <v>12000</v>
      </c>
    </row>
    <row r="169" spans="1:14">
      <c r="A169" t="s">
        <v>3737</v>
      </c>
      <c r="B169" t="s">
        <v>3749</v>
      </c>
      <c r="C169" t="s">
        <v>122</v>
      </c>
      <c r="D169" t="s">
        <v>123</v>
      </c>
      <c r="E169" t="s">
        <v>124</v>
      </c>
      <c r="F169">
        <v>9090.91</v>
      </c>
      <c r="G169">
        <v>0</v>
      </c>
      <c r="H169">
        <v>0</v>
      </c>
      <c r="I169">
        <v>0</v>
      </c>
      <c r="J169">
        <v>0</v>
      </c>
      <c r="K169">
        <v>1909.09</v>
      </c>
      <c r="L169">
        <v>0</v>
      </c>
      <c r="M169">
        <v>0</v>
      </c>
      <c r="N169">
        <v>11000</v>
      </c>
    </row>
    <row r="170" spans="1:14">
      <c r="A170" t="s">
        <v>3737</v>
      </c>
      <c r="B170" t="s">
        <v>3750</v>
      </c>
      <c r="C170" t="s">
        <v>122</v>
      </c>
      <c r="D170" t="s">
        <v>123</v>
      </c>
      <c r="E170" t="s">
        <v>124</v>
      </c>
      <c r="F170">
        <v>1239.67</v>
      </c>
      <c r="G170">
        <v>0</v>
      </c>
      <c r="H170">
        <v>0</v>
      </c>
      <c r="I170">
        <v>0</v>
      </c>
      <c r="J170">
        <v>0</v>
      </c>
      <c r="K170">
        <v>260.33</v>
      </c>
      <c r="L170">
        <v>0</v>
      </c>
      <c r="M170">
        <v>0</v>
      </c>
      <c r="N170">
        <v>1500</v>
      </c>
    </row>
    <row r="171" spans="1:14">
      <c r="A171" t="s">
        <v>3737</v>
      </c>
      <c r="B171" t="s">
        <v>3751</v>
      </c>
      <c r="C171" t="s">
        <v>122</v>
      </c>
      <c r="D171" t="s">
        <v>123</v>
      </c>
      <c r="E171" t="s">
        <v>124</v>
      </c>
      <c r="F171">
        <v>16033.06</v>
      </c>
      <c r="G171">
        <v>0</v>
      </c>
      <c r="H171">
        <v>0</v>
      </c>
      <c r="I171">
        <v>0</v>
      </c>
      <c r="J171">
        <v>0</v>
      </c>
      <c r="K171">
        <v>3366.94</v>
      </c>
      <c r="L171">
        <v>0</v>
      </c>
      <c r="M171">
        <v>0</v>
      </c>
      <c r="N171">
        <v>19400</v>
      </c>
    </row>
    <row r="172" spans="1:14">
      <c r="A172" t="s">
        <v>3737</v>
      </c>
      <c r="B172" t="s">
        <v>3752</v>
      </c>
      <c r="C172" t="s">
        <v>122</v>
      </c>
      <c r="D172" t="s">
        <v>123</v>
      </c>
      <c r="E172" t="s">
        <v>124</v>
      </c>
      <c r="F172">
        <v>2975.21</v>
      </c>
      <c r="G172">
        <v>0</v>
      </c>
      <c r="H172">
        <v>0</v>
      </c>
      <c r="I172">
        <v>0</v>
      </c>
      <c r="J172">
        <v>0</v>
      </c>
      <c r="K172">
        <v>624.79</v>
      </c>
      <c r="L172">
        <v>0</v>
      </c>
      <c r="M172">
        <v>0</v>
      </c>
      <c r="N172">
        <v>3600</v>
      </c>
    </row>
    <row r="173" spans="1:14">
      <c r="A173" t="s">
        <v>3737</v>
      </c>
      <c r="B173" t="s">
        <v>3753</v>
      </c>
      <c r="C173" t="s">
        <v>122</v>
      </c>
      <c r="D173" t="s">
        <v>123</v>
      </c>
      <c r="E173" t="s">
        <v>124</v>
      </c>
      <c r="F173">
        <v>29752.07</v>
      </c>
      <c r="G173">
        <v>0</v>
      </c>
      <c r="H173">
        <v>0</v>
      </c>
      <c r="I173">
        <v>0</v>
      </c>
      <c r="J173">
        <v>0</v>
      </c>
      <c r="K173">
        <v>6247.93</v>
      </c>
      <c r="L173">
        <v>0</v>
      </c>
      <c r="M173">
        <v>0</v>
      </c>
      <c r="N173">
        <v>36000</v>
      </c>
    </row>
    <row r="174" spans="1:14">
      <c r="A174" t="s">
        <v>3762</v>
      </c>
      <c r="B174" t="s">
        <v>3763</v>
      </c>
      <c r="C174" t="s">
        <v>122</v>
      </c>
      <c r="D174" t="s">
        <v>123</v>
      </c>
      <c r="E174" t="s">
        <v>124</v>
      </c>
      <c r="F174">
        <v>10661.16</v>
      </c>
      <c r="G174">
        <v>0</v>
      </c>
      <c r="H174">
        <v>0</v>
      </c>
      <c r="I174">
        <v>0</v>
      </c>
      <c r="J174">
        <v>0</v>
      </c>
      <c r="K174">
        <v>2238.84</v>
      </c>
      <c r="L174">
        <v>0</v>
      </c>
      <c r="M174">
        <v>0</v>
      </c>
      <c r="N174">
        <v>12900</v>
      </c>
    </row>
    <row r="175" spans="1:14">
      <c r="A175" t="s">
        <v>3762</v>
      </c>
      <c r="B175" t="s">
        <v>3764</v>
      </c>
      <c r="C175" t="s">
        <v>122</v>
      </c>
      <c r="D175" t="s">
        <v>123</v>
      </c>
      <c r="E175" t="s">
        <v>124</v>
      </c>
      <c r="F175">
        <v>5330.58</v>
      </c>
      <c r="G175">
        <v>0</v>
      </c>
      <c r="H175">
        <v>0</v>
      </c>
      <c r="I175">
        <v>0</v>
      </c>
      <c r="J175">
        <v>0</v>
      </c>
      <c r="K175">
        <v>1119.42</v>
      </c>
      <c r="L175">
        <v>0</v>
      </c>
      <c r="M175">
        <v>0</v>
      </c>
      <c r="N175">
        <v>6450</v>
      </c>
    </row>
    <row r="176" spans="1:14">
      <c r="A176" t="s">
        <v>3762</v>
      </c>
      <c r="B176" t="s">
        <v>3765</v>
      </c>
      <c r="C176" t="s">
        <v>122</v>
      </c>
      <c r="D176" t="s">
        <v>123</v>
      </c>
      <c r="E176" t="s">
        <v>124</v>
      </c>
      <c r="F176">
        <v>5330.58</v>
      </c>
      <c r="G176">
        <v>0</v>
      </c>
      <c r="H176">
        <v>0</v>
      </c>
      <c r="I176">
        <v>0</v>
      </c>
      <c r="J176">
        <v>0</v>
      </c>
      <c r="K176">
        <v>1119.42</v>
      </c>
      <c r="L176">
        <v>0</v>
      </c>
      <c r="M176">
        <v>0</v>
      </c>
      <c r="N176">
        <v>6450</v>
      </c>
    </row>
    <row r="177" spans="1:14">
      <c r="A177" t="s">
        <v>3762</v>
      </c>
      <c r="B177" t="s">
        <v>3766</v>
      </c>
      <c r="C177" t="s">
        <v>122</v>
      </c>
      <c r="D177" t="s">
        <v>123</v>
      </c>
      <c r="E177" t="s">
        <v>124</v>
      </c>
      <c r="F177">
        <v>6115.7</v>
      </c>
      <c r="G177">
        <v>0</v>
      </c>
      <c r="H177">
        <v>0</v>
      </c>
      <c r="I177">
        <v>0</v>
      </c>
      <c r="J177">
        <v>0</v>
      </c>
      <c r="K177">
        <v>1284.3</v>
      </c>
      <c r="L177">
        <v>0</v>
      </c>
      <c r="M177">
        <v>0</v>
      </c>
      <c r="N177">
        <v>7400</v>
      </c>
    </row>
    <row r="178" spans="1:14">
      <c r="A178" t="s">
        <v>3762</v>
      </c>
      <c r="B178" t="s">
        <v>3767</v>
      </c>
      <c r="C178" t="s">
        <v>122</v>
      </c>
      <c r="D178" t="s">
        <v>123</v>
      </c>
      <c r="E178" t="s">
        <v>124</v>
      </c>
      <c r="F178">
        <v>10661.16</v>
      </c>
      <c r="G178">
        <v>0</v>
      </c>
      <c r="H178">
        <v>0</v>
      </c>
      <c r="I178">
        <v>0</v>
      </c>
      <c r="J178">
        <v>0</v>
      </c>
      <c r="K178">
        <v>2238.84</v>
      </c>
      <c r="L178">
        <v>0</v>
      </c>
      <c r="M178">
        <v>0</v>
      </c>
      <c r="N178">
        <v>12900</v>
      </c>
    </row>
    <row r="179" spans="1:14">
      <c r="A179" t="s">
        <v>3762</v>
      </c>
      <c r="B179" t="s">
        <v>3768</v>
      </c>
      <c r="C179" t="s">
        <v>122</v>
      </c>
      <c r="D179" t="s">
        <v>123</v>
      </c>
      <c r="E179" t="s">
        <v>124</v>
      </c>
      <c r="F179">
        <v>9917.36</v>
      </c>
      <c r="G179">
        <v>0</v>
      </c>
      <c r="H179">
        <v>0</v>
      </c>
      <c r="I179">
        <v>0</v>
      </c>
      <c r="J179">
        <v>0</v>
      </c>
      <c r="K179">
        <v>2082.64</v>
      </c>
      <c r="L179">
        <v>0</v>
      </c>
      <c r="M179">
        <v>0</v>
      </c>
      <c r="N179">
        <v>12000</v>
      </c>
    </row>
    <row r="180" spans="1:14">
      <c r="A180" t="s">
        <v>3762</v>
      </c>
      <c r="B180" t="s">
        <v>3769</v>
      </c>
      <c r="C180" t="s">
        <v>122</v>
      </c>
      <c r="D180" t="s">
        <v>123</v>
      </c>
      <c r="E180" t="s">
        <v>124</v>
      </c>
      <c r="F180">
        <v>5330.58</v>
      </c>
      <c r="G180">
        <v>0</v>
      </c>
      <c r="H180">
        <v>0</v>
      </c>
      <c r="I180">
        <v>0</v>
      </c>
      <c r="J180">
        <v>0</v>
      </c>
      <c r="K180">
        <v>1119.42</v>
      </c>
      <c r="L180">
        <v>0</v>
      </c>
      <c r="M180">
        <v>0</v>
      </c>
      <c r="N180">
        <v>6450</v>
      </c>
    </row>
    <row r="181" spans="1:14">
      <c r="A181" t="s">
        <v>3762</v>
      </c>
      <c r="B181" t="s">
        <v>3770</v>
      </c>
      <c r="C181" t="s">
        <v>122</v>
      </c>
      <c r="D181" t="s">
        <v>123</v>
      </c>
      <c r="E181" t="s">
        <v>124</v>
      </c>
      <c r="F181">
        <v>6487.6</v>
      </c>
      <c r="G181">
        <v>0</v>
      </c>
      <c r="H181">
        <v>0</v>
      </c>
      <c r="I181">
        <v>0</v>
      </c>
      <c r="J181">
        <v>0</v>
      </c>
      <c r="K181">
        <v>1362.4</v>
      </c>
      <c r="L181">
        <v>0</v>
      </c>
      <c r="M181">
        <v>0</v>
      </c>
      <c r="N181">
        <v>7850</v>
      </c>
    </row>
    <row r="182" spans="1:14">
      <c r="A182" t="s">
        <v>3762</v>
      </c>
      <c r="B182" t="s">
        <v>3771</v>
      </c>
      <c r="C182" t="s">
        <v>122</v>
      </c>
      <c r="D182" t="s">
        <v>123</v>
      </c>
      <c r="E182" t="s">
        <v>124</v>
      </c>
      <c r="F182">
        <v>2727.27</v>
      </c>
      <c r="G182">
        <v>0</v>
      </c>
      <c r="H182">
        <v>0</v>
      </c>
      <c r="I182">
        <v>0</v>
      </c>
      <c r="J182">
        <v>0</v>
      </c>
      <c r="K182">
        <v>572.73</v>
      </c>
      <c r="L182">
        <v>0</v>
      </c>
      <c r="M182">
        <v>0</v>
      </c>
      <c r="N182">
        <v>3300</v>
      </c>
    </row>
    <row r="183" spans="1:14">
      <c r="A183" t="s">
        <v>3762</v>
      </c>
      <c r="B183" t="s">
        <v>3772</v>
      </c>
      <c r="C183" t="s">
        <v>3773</v>
      </c>
      <c r="D183" t="s">
        <v>123</v>
      </c>
      <c r="E183">
        <v>28632287</v>
      </c>
      <c r="F183">
        <v>24793.39</v>
      </c>
      <c r="G183">
        <v>0</v>
      </c>
      <c r="H183">
        <v>0</v>
      </c>
      <c r="I183">
        <v>0</v>
      </c>
      <c r="J183">
        <v>0</v>
      </c>
      <c r="K183">
        <v>5206.6099999999997</v>
      </c>
      <c r="L183">
        <v>0</v>
      </c>
      <c r="M183">
        <v>0</v>
      </c>
      <c r="N183">
        <v>30000</v>
      </c>
    </row>
    <row r="184" spans="1:14">
      <c r="A184" t="s">
        <v>3762</v>
      </c>
      <c r="B184" t="s">
        <v>3774</v>
      </c>
      <c r="C184" t="s">
        <v>122</v>
      </c>
      <c r="D184" t="s">
        <v>123</v>
      </c>
      <c r="E184" t="s">
        <v>124</v>
      </c>
      <c r="F184">
        <v>19545.45</v>
      </c>
      <c r="G184">
        <v>0</v>
      </c>
      <c r="H184">
        <v>0</v>
      </c>
      <c r="I184">
        <v>0</v>
      </c>
      <c r="J184">
        <v>0</v>
      </c>
      <c r="K184">
        <v>4104.55</v>
      </c>
      <c r="L184">
        <v>0</v>
      </c>
      <c r="M184">
        <v>0</v>
      </c>
      <c r="N184">
        <v>23650</v>
      </c>
    </row>
    <row r="185" spans="1:14">
      <c r="A185" t="s">
        <v>3790</v>
      </c>
      <c r="B185" t="s">
        <v>3791</v>
      </c>
      <c r="C185" t="s">
        <v>122</v>
      </c>
      <c r="D185" t="s">
        <v>123</v>
      </c>
      <c r="E185" t="s">
        <v>124</v>
      </c>
      <c r="F185">
        <v>5330.58</v>
      </c>
      <c r="G185">
        <v>0</v>
      </c>
      <c r="H185">
        <v>0</v>
      </c>
      <c r="I185">
        <v>0</v>
      </c>
      <c r="J185">
        <v>0</v>
      </c>
      <c r="K185">
        <v>1119.42</v>
      </c>
      <c r="L185">
        <v>0</v>
      </c>
      <c r="M185">
        <v>0</v>
      </c>
      <c r="N185">
        <v>6450</v>
      </c>
    </row>
    <row r="186" spans="1:14">
      <c r="A186" t="s">
        <v>3790</v>
      </c>
      <c r="B186" t="s">
        <v>3792</v>
      </c>
      <c r="C186" t="s">
        <v>122</v>
      </c>
      <c r="D186" t="s">
        <v>123</v>
      </c>
      <c r="E186" t="s">
        <v>124</v>
      </c>
      <c r="F186">
        <v>11611.57</v>
      </c>
      <c r="G186">
        <v>0</v>
      </c>
      <c r="H186">
        <v>0</v>
      </c>
      <c r="I186">
        <v>0</v>
      </c>
      <c r="J186">
        <v>0</v>
      </c>
      <c r="K186">
        <v>2438.4299999999998</v>
      </c>
      <c r="L186">
        <v>0</v>
      </c>
      <c r="M186">
        <v>0</v>
      </c>
      <c r="N186">
        <v>14050</v>
      </c>
    </row>
    <row r="187" spans="1:14">
      <c r="A187" t="s">
        <v>3790</v>
      </c>
      <c r="B187" t="s">
        <v>3793</v>
      </c>
      <c r="C187" t="s">
        <v>122</v>
      </c>
      <c r="D187" t="s">
        <v>123</v>
      </c>
      <c r="E187" t="s">
        <v>124</v>
      </c>
      <c r="F187">
        <v>4876.03</v>
      </c>
      <c r="G187">
        <v>0</v>
      </c>
      <c r="H187">
        <v>0</v>
      </c>
      <c r="I187">
        <v>0</v>
      </c>
      <c r="J187">
        <v>0</v>
      </c>
      <c r="K187">
        <v>1023.97</v>
      </c>
      <c r="L187">
        <v>0</v>
      </c>
      <c r="M187">
        <v>0</v>
      </c>
      <c r="N187">
        <v>5900</v>
      </c>
    </row>
    <row r="188" spans="1:14">
      <c r="A188" t="s">
        <v>3796</v>
      </c>
      <c r="B188" t="s">
        <v>3797</v>
      </c>
      <c r="C188" t="s">
        <v>122</v>
      </c>
      <c r="D188" t="s">
        <v>123</v>
      </c>
      <c r="E188" t="s">
        <v>124</v>
      </c>
      <c r="F188">
        <v>20578.510000000002</v>
      </c>
      <c r="G188">
        <v>0</v>
      </c>
      <c r="H188">
        <v>0</v>
      </c>
      <c r="I188">
        <v>0</v>
      </c>
      <c r="J188">
        <v>0</v>
      </c>
      <c r="K188">
        <v>4321.49</v>
      </c>
      <c r="L188">
        <v>0</v>
      </c>
      <c r="M188">
        <v>0</v>
      </c>
      <c r="N188">
        <v>24900</v>
      </c>
    </row>
    <row r="189" spans="1:14">
      <c r="A189" t="s">
        <v>3796</v>
      </c>
      <c r="B189" t="s">
        <v>3798</v>
      </c>
      <c r="C189" t="s">
        <v>122</v>
      </c>
      <c r="D189" t="s">
        <v>123</v>
      </c>
      <c r="E189" t="s">
        <v>124</v>
      </c>
      <c r="F189">
        <v>20578.510000000002</v>
      </c>
      <c r="G189">
        <v>0</v>
      </c>
      <c r="H189">
        <v>0</v>
      </c>
      <c r="I189">
        <v>0</v>
      </c>
      <c r="J189">
        <v>0</v>
      </c>
      <c r="K189">
        <v>4321.49</v>
      </c>
      <c r="L189">
        <v>0</v>
      </c>
      <c r="M189">
        <v>0</v>
      </c>
      <c r="N189">
        <v>24900</v>
      </c>
    </row>
    <row r="190" spans="1:14">
      <c r="A190" t="s">
        <v>3796</v>
      </c>
      <c r="B190" t="s">
        <v>3799</v>
      </c>
      <c r="C190" t="s">
        <v>122</v>
      </c>
      <c r="D190" t="s">
        <v>123</v>
      </c>
      <c r="E190" t="s">
        <v>124</v>
      </c>
      <c r="F190">
        <v>14462.81</v>
      </c>
      <c r="G190">
        <v>0</v>
      </c>
      <c r="H190">
        <v>0</v>
      </c>
      <c r="I190">
        <v>0</v>
      </c>
      <c r="J190">
        <v>0</v>
      </c>
      <c r="K190">
        <v>3037.19</v>
      </c>
      <c r="L190">
        <v>0</v>
      </c>
      <c r="M190">
        <v>0</v>
      </c>
      <c r="N190">
        <v>17500</v>
      </c>
    </row>
    <row r="191" spans="1:14">
      <c r="A191" t="s">
        <v>3796</v>
      </c>
      <c r="B191" t="s">
        <v>3800</v>
      </c>
      <c r="C191" t="s">
        <v>122</v>
      </c>
      <c r="D191" t="s">
        <v>123</v>
      </c>
      <c r="E191" t="s">
        <v>124</v>
      </c>
      <c r="F191">
        <v>4876.03</v>
      </c>
      <c r="G191">
        <v>0</v>
      </c>
      <c r="H191">
        <v>0</v>
      </c>
      <c r="I191">
        <v>0</v>
      </c>
      <c r="J191">
        <v>0</v>
      </c>
      <c r="K191">
        <v>1023.97</v>
      </c>
      <c r="L191">
        <v>0</v>
      </c>
      <c r="M191">
        <v>0</v>
      </c>
      <c r="N191">
        <v>5900</v>
      </c>
    </row>
    <row r="192" spans="1:14">
      <c r="A192" t="s">
        <v>3796</v>
      </c>
      <c r="B192" t="s">
        <v>3801</v>
      </c>
      <c r="C192" t="s">
        <v>122</v>
      </c>
      <c r="D192" t="s">
        <v>123</v>
      </c>
      <c r="E192" t="s">
        <v>124</v>
      </c>
      <c r="F192">
        <v>7438.02</v>
      </c>
      <c r="G192">
        <v>0</v>
      </c>
      <c r="H192">
        <v>0</v>
      </c>
      <c r="I192">
        <v>0</v>
      </c>
      <c r="J192">
        <v>0</v>
      </c>
      <c r="K192">
        <v>1561.98</v>
      </c>
      <c r="L192">
        <v>0</v>
      </c>
      <c r="M192">
        <v>0</v>
      </c>
      <c r="N192">
        <v>9000</v>
      </c>
    </row>
    <row r="193" spans="1:14">
      <c r="A193" t="s">
        <v>3803</v>
      </c>
      <c r="B193" t="s">
        <v>3805</v>
      </c>
      <c r="C193" t="s">
        <v>122</v>
      </c>
      <c r="D193" t="s">
        <v>123</v>
      </c>
      <c r="E193" t="s">
        <v>124</v>
      </c>
      <c r="F193">
        <v>5330.58</v>
      </c>
      <c r="G193">
        <v>0</v>
      </c>
      <c r="H193">
        <v>0</v>
      </c>
      <c r="I193">
        <v>0</v>
      </c>
      <c r="J193">
        <v>0</v>
      </c>
      <c r="K193">
        <v>1119.42</v>
      </c>
      <c r="L193">
        <v>0</v>
      </c>
      <c r="M193">
        <v>0</v>
      </c>
      <c r="N193">
        <v>6450</v>
      </c>
    </row>
    <row r="194" spans="1:14">
      <c r="A194" t="s">
        <v>3803</v>
      </c>
      <c r="B194" t="s">
        <v>3806</v>
      </c>
      <c r="C194" t="s">
        <v>122</v>
      </c>
      <c r="D194" t="s">
        <v>123</v>
      </c>
      <c r="E194" t="s">
        <v>124</v>
      </c>
      <c r="F194">
        <v>5330.58</v>
      </c>
      <c r="G194">
        <v>0</v>
      </c>
      <c r="H194">
        <v>0</v>
      </c>
      <c r="I194">
        <v>0</v>
      </c>
      <c r="J194">
        <v>0</v>
      </c>
      <c r="K194">
        <v>1119.42</v>
      </c>
      <c r="L194">
        <v>0</v>
      </c>
      <c r="M194">
        <v>0</v>
      </c>
      <c r="N194">
        <v>6450</v>
      </c>
    </row>
    <row r="195" spans="1:14">
      <c r="A195" t="s">
        <v>3803</v>
      </c>
      <c r="B195" t="s">
        <v>3807</v>
      </c>
      <c r="C195" t="s">
        <v>122</v>
      </c>
      <c r="D195" t="s">
        <v>123</v>
      </c>
      <c r="E195" t="s">
        <v>124</v>
      </c>
      <c r="F195">
        <v>7851.24</v>
      </c>
      <c r="G195">
        <v>0</v>
      </c>
      <c r="H195">
        <v>0</v>
      </c>
      <c r="I195">
        <v>0</v>
      </c>
      <c r="J195">
        <v>0</v>
      </c>
      <c r="K195">
        <v>1648.76</v>
      </c>
      <c r="L195">
        <v>0</v>
      </c>
      <c r="M195">
        <v>0</v>
      </c>
      <c r="N195">
        <v>9500</v>
      </c>
    </row>
    <row r="196" spans="1:14">
      <c r="A196" t="s">
        <v>3803</v>
      </c>
      <c r="B196" t="s">
        <v>3808</v>
      </c>
      <c r="C196" t="s">
        <v>122</v>
      </c>
      <c r="D196" t="s">
        <v>123</v>
      </c>
      <c r="E196" t="s">
        <v>124</v>
      </c>
      <c r="F196">
        <v>5330.58</v>
      </c>
      <c r="G196">
        <v>0</v>
      </c>
      <c r="H196">
        <v>0</v>
      </c>
      <c r="I196">
        <v>0</v>
      </c>
      <c r="J196">
        <v>0</v>
      </c>
      <c r="K196">
        <v>1119.42</v>
      </c>
      <c r="L196">
        <v>0</v>
      </c>
      <c r="M196">
        <v>0</v>
      </c>
      <c r="N196">
        <v>6450</v>
      </c>
    </row>
    <row r="197" spans="1:14">
      <c r="A197" t="s">
        <v>3803</v>
      </c>
      <c r="B197" t="s">
        <v>3809</v>
      </c>
      <c r="C197" t="s">
        <v>122</v>
      </c>
      <c r="D197" t="s">
        <v>123</v>
      </c>
      <c r="E197" t="s">
        <v>124</v>
      </c>
      <c r="F197">
        <v>10661.16</v>
      </c>
      <c r="G197">
        <v>0</v>
      </c>
      <c r="H197">
        <v>0</v>
      </c>
      <c r="I197">
        <v>0</v>
      </c>
      <c r="J197">
        <v>0</v>
      </c>
      <c r="K197">
        <v>2238.84</v>
      </c>
      <c r="L197">
        <v>0</v>
      </c>
      <c r="M197">
        <v>0</v>
      </c>
      <c r="N197">
        <v>12900</v>
      </c>
    </row>
    <row r="198" spans="1:14">
      <c r="A198" t="s">
        <v>3803</v>
      </c>
      <c r="B198" t="s">
        <v>3810</v>
      </c>
      <c r="C198" t="s">
        <v>122</v>
      </c>
      <c r="D198" t="s">
        <v>123</v>
      </c>
      <c r="E198" t="s">
        <v>124</v>
      </c>
      <c r="F198">
        <v>5330.58</v>
      </c>
      <c r="G198">
        <v>0</v>
      </c>
      <c r="H198">
        <v>0</v>
      </c>
      <c r="I198">
        <v>0</v>
      </c>
      <c r="J198">
        <v>0</v>
      </c>
      <c r="K198">
        <v>1119.42</v>
      </c>
      <c r="L198">
        <v>0</v>
      </c>
      <c r="M198">
        <v>0</v>
      </c>
      <c r="N198">
        <v>6450</v>
      </c>
    </row>
    <row r="199" spans="1:14">
      <c r="A199" t="s">
        <v>3803</v>
      </c>
      <c r="B199" t="s">
        <v>3811</v>
      </c>
      <c r="C199" t="s">
        <v>122</v>
      </c>
      <c r="D199" t="s">
        <v>123</v>
      </c>
      <c r="E199" t="s">
        <v>124</v>
      </c>
      <c r="F199">
        <v>23553.72</v>
      </c>
      <c r="G199">
        <v>0</v>
      </c>
      <c r="H199">
        <v>0</v>
      </c>
      <c r="I199">
        <v>0</v>
      </c>
      <c r="J199">
        <v>0</v>
      </c>
      <c r="K199">
        <v>4946.28</v>
      </c>
      <c r="L199">
        <v>0</v>
      </c>
      <c r="M199">
        <v>0</v>
      </c>
      <c r="N199">
        <v>28500</v>
      </c>
    </row>
    <row r="200" spans="1:14">
      <c r="A200" t="s">
        <v>3803</v>
      </c>
      <c r="B200" t="s">
        <v>3812</v>
      </c>
      <c r="C200" t="s">
        <v>122</v>
      </c>
      <c r="D200" t="s">
        <v>123</v>
      </c>
      <c r="E200" t="s">
        <v>124</v>
      </c>
      <c r="F200">
        <v>4876.03</v>
      </c>
      <c r="G200">
        <v>0</v>
      </c>
      <c r="H200">
        <v>0</v>
      </c>
      <c r="I200">
        <v>0</v>
      </c>
      <c r="J200">
        <v>0</v>
      </c>
      <c r="K200">
        <v>1023.97</v>
      </c>
      <c r="L200">
        <v>0</v>
      </c>
      <c r="M200">
        <v>0</v>
      </c>
      <c r="N200">
        <v>5900</v>
      </c>
    </row>
    <row r="201" spans="1:14">
      <c r="A201" t="s">
        <v>3803</v>
      </c>
      <c r="B201" t="s">
        <v>3813</v>
      </c>
      <c r="C201" t="s">
        <v>122</v>
      </c>
      <c r="D201" t="s">
        <v>123</v>
      </c>
      <c r="E201" t="s">
        <v>124</v>
      </c>
      <c r="F201">
        <v>5330.58</v>
      </c>
      <c r="G201">
        <v>0</v>
      </c>
      <c r="H201">
        <v>0</v>
      </c>
      <c r="I201">
        <v>0</v>
      </c>
      <c r="J201">
        <v>0</v>
      </c>
      <c r="K201">
        <v>1119.42</v>
      </c>
      <c r="L201">
        <v>0</v>
      </c>
      <c r="M201">
        <v>0</v>
      </c>
      <c r="N201">
        <v>6450</v>
      </c>
    </row>
    <row r="202" spans="1:14">
      <c r="A202" t="s">
        <v>3803</v>
      </c>
      <c r="B202" t="s">
        <v>3814</v>
      </c>
      <c r="C202" t="s">
        <v>122</v>
      </c>
      <c r="D202" t="s">
        <v>123</v>
      </c>
      <c r="E202" t="s">
        <v>124</v>
      </c>
      <c r="F202">
        <v>9504.130000000001</v>
      </c>
      <c r="G202">
        <v>0</v>
      </c>
      <c r="H202">
        <v>0</v>
      </c>
      <c r="I202">
        <v>0</v>
      </c>
      <c r="J202">
        <v>0</v>
      </c>
      <c r="K202">
        <v>1995.87</v>
      </c>
      <c r="L202">
        <v>0</v>
      </c>
      <c r="M202">
        <v>0</v>
      </c>
      <c r="N202">
        <v>11500</v>
      </c>
    </row>
    <row r="203" spans="1:14">
      <c r="A203" t="s">
        <v>3803</v>
      </c>
      <c r="B203" t="s">
        <v>3815</v>
      </c>
      <c r="C203" t="s">
        <v>3816</v>
      </c>
      <c r="D203" t="s">
        <v>123</v>
      </c>
      <c r="E203">
        <v>47092785</v>
      </c>
      <c r="F203">
        <v>19008.260000000002</v>
      </c>
      <c r="G203">
        <v>0</v>
      </c>
      <c r="H203">
        <v>0</v>
      </c>
      <c r="I203">
        <v>0</v>
      </c>
      <c r="J203">
        <v>0</v>
      </c>
      <c r="K203">
        <v>3991.74</v>
      </c>
      <c r="L203">
        <v>0</v>
      </c>
      <c r="M203">
        <v>0</v>
      </c>
      <c r="N203">
        <v>23000</v>
      </c>
    </row>
    <row r="204" spans="1:14">
      <c r="A204" t="s">
        <v>3803</v>
      </c>
      <c r="B204" t="s">
        <v>3817</v>
      </c>
      <c r="C204" t="s">
        <v>122</v>
      </c>
      <c r="D204" t="s">
        <v>123</v>
      </c>
      <c r="E204" t="s">
        <v>124</v>
      </c>
      <c r="F204">
        <v>21487.599999999999</v>
      </c>
      <c r="G204">
        <v>0</v>
      </c>
      <c r="H204">
        <v>0</v>
      </c>
      <c r="I204">
        <v>0</v>
      </c>
      <c r="J204">
        <v>0</v>
      </c>
      <c r="K204">
        <v>4512.4000000000005</v>
      </c>
      <c r="L204">
        <v>0</v>
      </c>
      <c r="M204">
        <v>0</v>
      </c>
      <c r="N204">
        <v>26000</v>
      </c>
    </row>
    <row r="205" spans="1:14">
      <c r="A205" t="s">
        <v>3819</v>
      </c>
      <c r="B205" t="s">
        <v>3822</v>
      </c>
      <c r="C205" t="s">
        <v>122</v>
      </c>
      <c r="D205" t="s">
        <v>123</v>
      </c>
      <c r="E205" t="s">
        <v>124</v>
      </c>
      <c r="F205">
        <v>21818.18</v>
      </c>
      <c r="G205">
        <v>0</v>
      </c>
      <c r="H205">
        <v>0</v>
      </c>
      <c r="I205">
        <v>0</v>
      </c>
      <c r="J205">
        <v>0</v>
      </c>
      <c r="K205">
        <v>4581.82</v>
      </c>
      <c r="L205">
        <v>0</v>
      </c>
      <c r="M205">
        <v>0</v>
      </c>
      <c r="N205">
        <v>26400</v>
      </c>
    </row>
    <row r="206" spans="1:14">
      <c r="A206" t="s">
        <v>3819</v>
      </c>
      <c r="B206" t="s">
        <v>3823</v>
      </c>
      <c r="C206" t="s">
        <v>122</v>
      </c>
      <c r="D206" t="s">
        <v>123</v>
      </c>
      <c r="E206" t="s">
        <v>124</v>
      </c>
      <c r="F206">
        <v>30578.51</v>
      </c>
      <c r="G206">
        <v>0</v>
      </c>
      <c r="H206">
        <v>0</v>
      </c>
      <c r="I206">
        <v>0</v>
      </c>
      <c r="J206">
        <v>0</v>
      </c>
      <c r="K206">
        <v>6421.49</v>
      </c>
      <c r="L206">
        <v>0</v>
      </c>
      <c r="M206">
        <v>0</v>
      </c>
      <c r="N206">
        <v>37000</v>
      </c>
    </row>
    <row r="207" spans="1:14">
      <c r="A207" t="s">
        <v>3819</v>
      </c>
      <c r="B207" t="s">
        <v>3824</v>
      </c>
      <c r="C207" t="s">
        <v>122</v>
      </c>
      <c r="D207" t="s">
        <v>123</v>
      </c>
      <c r="E207" t="s">
        <v>124</v>
      </c>
      <c r="F207">
        <v>8181.8200000000006</v>
      </c>
      <c r="G207">
        <v>0</v>
      </c>
      <c r="H207">
        <v>0</v>
      </c>
      <c r="I207">
        <v>0</v>
      </c>
      <c r="J207">
        <v>0</v>
      </c>
      <c r="K207">
        <v>1718.18</v>
      </c>
      <c r="L207">
        <v>0</v>
      </c>
      <c r="M207">
        <v>0</v>
      </c>
      <c r="N207">
        <v>9900</v>
      </c>
    </row>
    <row r="208" spans="1:14">
      <c r="A208" t="s">
        <v>3819</v>
      </c>
      <c r="B208" t="s">
        <v>3825</v>
      </c>
      <c r="C208" t="s">
        <v>122</v>
      </c>
      <c r="D208" t="s">
        <v>123</v>
      </c>
      <c r="E208" t="s">
        <v>124</v>
      </c>
      <c r="F208">
        <v>4958.68</v>
      </c>
      <c r="G208">
        <v>0</v>
      </c>
      <c r="H208">
        <v>0</v>
      </c>
      <c r="I208">
        <v>0</v>
      </c>
      <c r="J208">
        <v>0</v>
      </c>
      <c r="K208">
        <v>1041.32</v>
      </c>
      <c r="L208">
        <v>0</v>
      </c>
      <c r="M208">
        <v>0</v>
      </c>
      <c r="N208">
        <v>6000</v>
      </c>
    </row>
    <row r="209" spans="1:14">
      <c r="A209" t="s">
        <v>3819</v>
      </c>
      <c r="B209" t="s">
        <v>3826</v>
      </c>
      <c r="C209" t="s">
        <v>122</v>
      </c>
      <c r="D209" t="s">
        <v>123</v>
      </c>
      <c r="E209" t="s">
        <v>124</v>
      </c>
      <c r="F209">
        <v>4504.13</v>
      </c>
      <c r="G209">
        <v>0</v>
      </c>
      <c r="H209">
        <v>0</v>
      </c>
      <c r="I209">
        <v>0</v>
      </c>
      <c r="J209">
        <v>0</v>
      </c>
      <c r="K209">
        <v>945.87</v>
      </c>
      <c r="L209">
        <v>0</v>
      </c>
      <c r="M209">
        <v>0</v>
      </c>
      <c r="N209">
        <v>5450</v>
      </c>
    </row>
    <row r="210" spans="1:14">
      <c r="A210" t="s">
        <v>3819</v>
      </c>
      <c r="B210" t="s">
        <v>3827</v>
      </c>
      <c r="C210" t="s">
        <v>122</v>
      </c>
      <c r="D210" t="s">
        <v>123</v>
      </c>
      <c r="E210" t="s">
        <v>124</v>
      </c>
      <c r="F210">
        <v>18760.330000000002</v>
      </c>
      <c r="G210">
        <v>0</v>
      </c>
      <c r="H210">
        <v>0</v>
      </c>
      <c r="I210">
        <v>0</v>
      </c>
      <c r="J210">
        <v>0</v>
      </c>
      <c r="K210">
        <v>3939.67</v>
      </c>
      <c r="L210">
        <v>0</v>
      </c>
      <c r="M210">
        <v>0</v>
      </c>
      <c r="N210">
        <v>22700</v>
      </c>
    </row>
    <row r="211" spans="1:14">
      <c r="A211" t="s">
        <v>3819</v>
      </c>
      <c r="B211" t="s">
        <v>3828</v>
      </c>
      <c r="C211" t="s">
        <v>122</v>
      </c>
      <c r="D211" t="s">
        <v>123</v>
      </c>
      <c r="E211" t="s">
        <v>124</v>
      </c>
      <c r="F211">
        <v>11570.25</v>
      </c>
      <c r="G211">
        <v>0</v>
      </c>
      <c r="H211">
        <v>0</v>
      </c>
      <c r="I211">
        <v>0</v>
      </c>
      <c r="J211">
        <v>0</v>
      </c>
      <c r="K211">
        <v>2429.75</v>
      </c>
      <c r="L211">
        <v>0</v>
      </c>
      <c r="M211">
        <v>0</v>
      </c>
      <c r="N211">
        <v>14000</v>
      </c>
    </row>
    <row r="212" spans="1:14">
      <c r="A212" t="s">
        <v>3819</v>
      </c>
      <c r="B212" t="s">
        <v>3829</v>
      </c>
      <c r="C212" t="s">
        <v>122</v>
      </c>
      <c r="D212" t="s">
        <v>123</v>
      </c>
      <c r="E212" t="s">
        <v>124</v>
      </c>
      <c r="F212">
        <v>4958.68</v>
      </c>
      <c r="G212">
        <v>0</v>
      </c>
      <c r="H212">
        <v>0</v>
      </c>
      <c r="I212">
        <v>0</v>
      </c>
      <c r="J212">
        <v>0</v>
      </c>
      <c r="K212">
        <v>1041.32</v>
      </c>
      <c r="L212">
        <v>0</v>
      </c>
      <c r="M212">
        <v>0</v>
      </c>
      <c r="N212">
        <v>6000</v>
      </c>
    </row>
    <row r="213" spans="1:14">
      <c r="A213" t="s">
        <v>3819</v>
      </c>
      <c r="B213" t="s">
        <v>3830</v>
      </c>
      <c r="C213" t="s">
        <v>122</v>
      </c>
      <c r="D213" t="s">
        <v>123</v>
      </c>
      <c r="E213" t="s">
        <v>124</v>
      </c>
      <c r="F213">
        <v>13636.36</v>
      </c>
      <c r="G213">
        <v>0</v>
      </c>
      <c r="H213">
        <v>0</v>
      </c>
      <c r="I213">
        <v>0</v>
      </c>
      <c r="J213">
        <v>0</v>
      </c>
      <c r="K213">
        <v>2863.64</v>
      </c>
      <c r="L213">
        <v>0</v>
      </c>
      <c r="M213">
        <v>0</v>
      </c>
      <c r="N213">
        <v>16500</v>
      </c>
    </row>
    <row r="214" spans="1:14">
      <c r="A214" t="s">
        <v>3819</v>
      </c>
      <c r="B214" t="s">
        <v>3831</v>
      </c>
      <c r="C214" t="s">
        <v>122</v>
      </c>
      <c r="D214" t="s">
        <v>123</v>
      </c>
      <c r="E214" t="s">
        <v>124</v>
      </c>
      <c r="F214">
        <v>4132.2300000000005</v>
      </c>
      <c r="G214">
        <v>0</v>
      </c>
      <c r="H214">
        <v>0</v>
      </c>
      <c r="I214">
        <v>0</v>
      </c>
      <c r="J214">
        <v>0</v>
      </c>
      <c r="K214">
        <v>867.77</v>
      </c>
      <c r="L214">
        <v>0</v>
      </c>
      <c r="M214">
        <v>0</v>
      </c>
      <c r="N214">
        <v>5000</v>
      </c>
    </row>
    <row r="215" spans="1:14">
      <c r="A215" t="s">
        <v>3819</v>
      </c>
      <c r="B215" t="s">
        <v>3832</v>
      </c>
      <c r="C215" t="s">
        <v>122</v>
      </c>
      <c r="D215" t="s">
        <v>123</v>
      </c>
      <c r="E215" t="s">
        <v>124</v>
      </c>
      <c r="F215">
        <v>24793.39</v>
      </c>
      <c r="G215">
        <v>0</v>
      </c>
      <c r="H215">
        <v>0</v>
      </c>
      <c r="I215">
        <v>0</v>
      </c>
      <c r="J215">
        <v>0</v>
      </c>
      <c r="K215">
        <v>5206.6099999999997</v>
      </c>
      <c r="L215">
        <v>0</v>
      </c>
      <c r="M215">
        <v>0</v>
      </c>
      <c r="N215">
        <v>30000</v>
      </c>
    </row>
    <row r="216" spans="1:14">
      <c r="A216" t="s">
        <v>3819</v>
      </c>
      <c r="B216" t="s">
        <v>3833</v>
      </c>
      <c r="C216" t="s">
        <v>122</v>
      </c>
      <c r="D216" t="s">
        <v>123</v>
      </c>
      <c r="E216" t="s">
        <v>124</v>
      </c>
      <c r="F216">
        <v>7479.34</v>
      </c>
      <c r="G216">
        <v>0</v>
      </c>
      <c r="H216">
        <v>0</v>
      </c>
      <c r="I216">
        <v>0</v>
      </c>
      <c r="J216">
        <v>0</v>
      </c>
      <c r="K216">
        <v>1570.66</v>
      </c>
      <c r="L216">
        <v>0</v>
      </c>
      <c r="M216">
        <v>0</v>
      </c>
      <c r="N216">
        <v>9050</v>
      </c>
    </row>
    <row r="217" spans="1:14">
      <c r="A217" t="s">
        <v>3819</v>
      </c>
      <c r="B217" t="s">
        <v>3834</v>
      </c>
      <c r="C217" t="s">
        <v>122</v>
      </c>
      <c r="D217" t="s">
        <v>123</v>
      </c>
      <c r="E217" t="s">
        <v>124</v>
      </c>
      <c r="F217">
        <v>7685.95</v>
      </c>
      <c r="G217">
        <v>0</v>
      </c>
      <c r="H217">
        <v>0</v>
      </c>
      <c r="I217">
        <v>0</v>
      </c>
      <c r="J217">
        <v>0</v>
      </c>
      <c r="K217">
        <v>1614.05</v>
      </c>
      <c r="L217">
        <v>0</v>
      </c>
      <c r="M217">
        <v>0</v>
      </c>
      <c r="N217">
        <v>9300</v>
      </c>
    </row>
    <row r="218" spans="1:14">
      <c r="A218" t="s">
        <v>3819</v>
      </c>
      <c r="B218" t="s">
        <v>3835</v>
      </c>
      <c r="C218" t="s">
        <v>122</v>
      </c>
      <c r="D218" t="s">
        <v>123</v>
      </c>
      <c r="E218" t="s">
        <v>124</v>
      </c>
      <c r="F218">
        <v>5330.58</v>
      </c>
      <c r="G218">
        <v>0</v>
      </c>
      <c r="H218">
        <v>0</v>
      </c>
      <c r="I218">
        <v>0</v>
      </c>
      <c r="J218">
        <v>0</v>
      </c>
      <c r="K218">
        <v>1119.42</v>
      </c>
      <c r="L218">
        <v>0</v>
      </c>
      <c r="M218">
        <v>0</v>
      </c>
      <c r="N218">
        <v>6450</v>
      </c>
    </row>
    <row r="219" spans="1:14">
      <c r="A219" t="s">
        <v>3819</v>
      </c>
      <c r="B219" t="s">
        <v>3836</v>
      </c>
      <c r="C219" t="s">
        <v>122</v>
      </c>
      <c r="D219" t="s">
        <v>123</v>
      </c>
      <c r="E219" t="s">
        <v>124</v>
      </c>
      <c r="F219">
        <v>13223.14</v>
      </c>
      <c r="G219">
        <v>0</v>
      </c>
      <c r="H219">
        <v>0</v>
      </c>
      <c r="I219">
        <v>0</v>
      </c>
      <c r="J219">
        <v>0</v>
      </c>
      <c r="K219">
        <v>2776.86</v>
      </c>
      <c r="L219">
        <v>0</v>
      </c>
      <c r="M219">
        <v>0</v>
      </c>
      <c r="N219">
        <v>16000</v>
      </c>
    </row>
    <row r="220" spans="1:14">
      <c r="A220" t="s">
        <v>3819</v>
      </c>
      <c r="B220" t="s">
        <v>3837</v>
      </c>
      <c r="C220" t="s">
        <v>122</v>
      </c>
      <c r="D220" t="s">
        <v>123</v>
      </c>
      <c r="E220" t="s">
        <v>124</v>
      </c>
      <c r="F220">
        <v>10743.8</v>
      </c>
      <c r="G220">
        <v>0</v>
      </c>
      <c r="H220">
        <v>0</v>
      </c>
      <c r="I220">
        <v>0</v>
      </c>
      <c r="J220">
        <v>0</v>
      </c>
      <c r="K220">
        <v>2256.2000000000003</v>
      </c>
      <c r="L220">
        <v>0</v>
      </c>
      <c r="M220">
        <v>0</v>
      </c>
      <c r="N220">
        <v>13000</v>
      </c>
    </row>
    <row r="221" spans="1:14">
      <c r="A221" t="s">
        <v>3840</v>
      </c>
      <c r="B221" t="s">
        <v>3841</v>
      </c>
      <c r="C221" t="s">
        <v>122</v>
      </c>
      <c r="D221" t="s">
        <v>123</v>
      </c>
      <c r="E221" t="s">
        <v>124</v>
      </c>
      <c r="F221">
        <v>11611.57</v>
      </c>
      <c r="G221">
        <v>0</v>
      </c>
      <c r="H221">
        <v>0</v>
      </c>
      <c r="I221">
        <v>0</v>
      </c>
      <c r="J221">
        <v>0</v>
      </c>
      <c r="K221">
        <v>2438.4299999999998</v>
      </c>
      <c r="L221">
        <v>0</v>
      </c>
      <c r="M221">
        <v>0</v>
      </c>
      <c r="N221">
        <v>14050</v>
      </c>
    </row>
    <row r="222" spans="1:14">
      <c r="A222" t="s">
        <v>3840</v>
      </c>
      <c r="B222" t="s">
        <v>3842</v>
      </c>
      <c r="C222" t="s">
        <v>122</v>
      </c>
      <c r="D222" t="s">
        <v>123</v>
      </c>
      <c r="E222" t="s">
        <v>124</v>
      </c>
      <c r="F222">
        <v>6115.7</v>
      </c>
      <c r="G222">
        <v>0</v>
      </c>
      <c r="H222">
        <v>0</v>
      </c>
      <c r="I222">
        <v>0</v>
      </c>
      <c r="J222">
        <v>0</v>
      </c>
      <c r="K222">
        <v>1284.3</v>
      </c>
      <c r="L222">
        <v>0</v>
      </c>
      <c r="M222">
        <v>0</v>
      </c>
      <c r="N222">
        <v>7400</v>
      </c>
    </row>
    <row r="223" spans="1:14">
      <c r="A223" t="s">
        <v>3840</v>
      </c>
      <c r="B223" t="s">
        <v>3843</v>
      </c>
      <c r="C223" t="s">
        <v>122</v>
      </c>
      <c r="D223" t="s">
        <v>123</v>
      </c>
      <c r="E223" t="s">
        <v>124</v>
      </c>
      <c r="F223">
        <v>5330.58</v>
      </c>
      <c r="G223">
        <v>0</v>
      </c>
      <c r="H223">
        <v>0</v>
      </c>
      <c r="I223">
        <v>0</v>
      </c>
      <c r="J223">
        <v>0</v>
      </c>
      <c r="K223">
        <v>1119.42</v>
      </c>
      <c r="L223">
        <v>0</v>
      </c>
      <c r="M223">
        <v>0</v>
      </c>
      <c r="N223">
        <v>6450</v>
      </c>
    </row>
    <row r="224" spans="1:14">
      <c r="A224" t="s">
        <v>3840</v>
      </c>
      <c r="B224" t="s">
        <v>3844</v>
      </c>
      <c r="C224" t="s">
        <v>122</v>
      </c>
      <c r="D224" t="s">
        <v>123</v>
      </c>
      <c r="E224" t="s">
        <v>124</v>
      </c>
      <c r="F224">
        <v>5785.12</v>
      </c>
      <c r="G224">
        <v>0</v>
      </c>
      <c r="H224">
        <v>0</v>
      </c>
      <c r="I224">
        <v>0</v>
      </c>
      <c r="J224">
        <v>0</v>
      </c>
      <c r="K224">
        <v>1214.8800000000001</v>
      </c>
      <c r="L224">
        <v>0</v>
      </c>
      <c r="M224">
        <v>0</v>
      </c>
      <c r="N224">
        <v>7000</v>
      </c>
    </row>
    <row r="225" spans="1:14">
      <c r="A225" t="s">
        <v>3840</v>
      </c>
      <c r="B225" t="s">
        <v>3845</v>
      </c>
      <c r="C225" t="s">
        <v>122</v>
      </c>
      <c r="D225" t="s">
        <v>123</v>
      </c>
      <c r="E225" t="s">
        <v>124</v>
      </c>
      <c r="F225">
        <v>5785.12</v>
      </c>
      <c r="G225">
        <v>0</v>
      </c>
      <c r="H225">
        <v>0</v>
      </c>
      <c r="I225">
        <v>0</v>
      </c>
      <c r="J225">
        <v>0</v>
      </c>
      <c r="K225">
        <v>1214.8800000000001</v>
      </c>
      <c r="L225">
        <v>0</v>
      </c>
      <c r="M225">
        <v>0</v>
      </c>
      <c r="N225">
        <v>7000</v>
      </c>
    </row>
    <row r="226" spans="1:14">
      <c r="A226" t="s">
        <v>3840</v>
      </c>
      <c r="B226" t="s">
        <v>3846</v>
      </c>
      <c r="C226" t="s">
        <v>122</v>
      </c>
      <c r="D226" t="s">
        <v>123</v>
      </c>
      <c r="E226" t="s">
        <v>124</v>
      </c>
      <c r="F226">
        <v>12066.12</v>
      </c>
      <c r="G226">
        <v>0</v>
      </c>
      <c r="H226">
        <v>0</v>
      </c>
      <c r="I226">
        <v>0</v>
      </c>
      <c r="J226">
        <v>0</v>
      </c>
      <c r="K226">
        <v>2533.88</v>
      </c>
      <c r="L226">
        <v>0</v>
      </c>
      <c r="M226">
        <v>0</v>
      </c>
      <c r="N226">
        <v>14600</v>
      </c>
    </row>
    <row r="227" spans="1:14">
      <c r="A227" t="s">
        <v>3840</v>
      </c>
      <c r="B227" t="s">
        <v>3847</v>
      </c>
      <c r="C227" t="s">
        <v>122</v>
      </c>
      <c r="D227" t="s">
        <v>123</v>
      </c>
      <c r="E227" t="s">
        <v>124</v>
      </c>
      <c r="F227">
        <v>6611.57</v>
      </c>
      <c r="G227">
        <v>0</v>
      </c>
      <c r="H227">
        <v>0</v>
      </c>
      <c r="I227">
        <v>0</v>
      </c>
      <c r="J227">
        <v>0</v>
      </c>
      <c r="K227">
        <v>1388.43</v>
      </c>
      <c r="L227">
        <v>0</v>
      </c>
      <c r="M227">
        <v>0</v>
      </c>
      <c r="N227">
        <v>8000</v>
      </c>
    </row>
    <row r="228" spans="1:14">
      <c r="A228" t="s">
        <v>3840</v>
      </c>
      <c r="B228" t="s">
        <v>3848</v>
      </c>
      <c r="C228" t="s">
        <v>122</v>
      </c>
      <c r="D228" t="s">
        <v>123</v>
      </c>
      <c r="E228" t="s">
        <v>124</v>
      </c>
      <c r="F228">
        <v>11570.25</v>
      </c>
      <c r="G228">
        <v>0</v>
      </c>
      <c r="H228">
        <v>0</v>
      </c>
      <c r="I228">
        <v>0</v>
      </c>
      <c r="J228">
        <v>0</v>
      </c>
      <c r="K228">
        <v>2429.75</v>
      </c>
      <c r="L228">
        <v>0</v>
      </c>
      <c r="M228">
        <v>0</v>
      </c>
      <c r="N228">
        <v>14000</v>
      </c>
    </row>
    <row r="229" spans="1:14">
      <c r="A229" t="s">
        <v>3840</v>
      </c>
      <c r="B229" t="s">
        <v>3849</v>
      </c>
      <c r="C229" t="s">
        <v>122</v>
      </c>
      <c r="D229" t="s">
        <v>123</v>
      </c>
      <c r="E229" t="s">
        <v>124</v>
      </c>
      <c r="F229">
        <v>15371.9</v>
      </c>
      <c r="G229">
        <v>0</v>
      </c>
      <c r="H229">
        <v>0</v>
      </c>
      <c r="I229">
        <v>0</v>
      </c>
      <c r="J229">
        <v>0</v>
      </c>
      <c r="K229">
        <v>3228.1</v>
      </c>
      <c r="L229">
        <v>0</v>
      </c>
      <c r="M229">
        <v>0</v>
      </c>
      <c r="N229">
        <v>18600</v>
      </c>
    </row>
    <row r="230" spans="1:14">
      <c r="A230" t="s">
        <v>3857</v>
      </c>
      <c r="B230" t="s">
        <v>3858</v>
      </c>
      <c r="C230" t="s">
        <v>122</v>
      </c>
      <c r="D230" t="s">
        <v>123</v>
      </c>
      <c r="E230" t="s">
        <v>124</v>
      </c>
      <c r="F230">
        <v>2479.34</v>
      </c>
      <c r="G230">
        <v>0</v>
      </c>
      <c r="H230">
        <v>0</v>
      </c>
      <c r="I230">
        <v>0</v>
      </c>
      <c r="J230">
        <v>0</v>
      </c>
      <c r="K230">
        <v>520.66</v>
      </c>
      <c r="L230">
        <v>0</v>
      </c>
      <c r="M230">
        <v>0</v>
      </c>
      <c r="N230">
        <v>3000</v>
      </c>
    </row>
    <row r="231" spans="1:14">
      <c r="A231" t="s">
        <v>3857</v>
      </c>
      <c r="B231" t="s">
        <v>3859</v>
      </c>
      <c r="C231" t="s">
        <v>122</v>
      </c>
      <c r="D231" t="s">
        <v>123</v>
      </c>
      <c r="E231" t="s">
        <v>124</v>
      </c>
      <c r="F231">
        <v>4132.2300000000005</v>
      </c>
      <c r="G231">
        <v>0</v>
      </c>
      <c r="H231">
        <v>0</v>
      </c>
      <c r="I231">
        <v>0</v>
      </c>
      <c r="J231">
        <v>0</v>
      </c>
      <c r="K231">
        <v>867.77</v>
      </c>
      <c r="L231">
        <v>0</v>
      </c>
      <c r="M231">
        <v>0</v>
      </c>
      <c r="N231">
        <v>5000</v>
      </c>
    </row>
    <row r="232" spans="1:14">
      <c r="A232" t="s">
        <v>3857</v>
      </c>
      <c r="B232" t="s">
        <v>3860</v>
      </c>
      <c r="C232" t="s">
        <v>122</v>
      </c>
      <c r="D232" t="s">
        <v>123</v>
      </c>
      <c r="E232" t="s">
        <v>124</v>
      </c>
      <c r="F232">
        <v>6983.47</v>
      </c>
      <c r="G232">
        <v>0</v>
      </c>
      <c r="H232">
        <v>0</v>
      </c>
      <c r="I232">
        <v>0</v>
      </c>
      <c r="J232">
        <v>0</v>
      </c>
      <c r="K232">
        <v>1466.53</v>
      </c>
      <c r="L232">
        <v>0</v>
      </c>
      <c r="M232">
        <v>0</v>
      </c>
      <c r="N232">
        <v>8450</v>
      </c>
    </row>
    <row r="233" spans="1:14">
      <c r="A233" t="s">
        <v>3857</v>
      </c>
      <c r="B233" t="s">
        <v>3861</v>
      </c>
      <c r="C233" t="s">
        <v>122</v>
      </c>
      <c r="D233" t="s">
        <v>123</v>
      </c>
      <c r="E233" t="s">
        <v>124</v>
      </c>
      <c r="F233">
        <v>3719.01</v>
      </c>
      <c r="G233">
        <v>0</v>
      </c>
      <c r="H233">
        <v>0</v>
      </c>
      <c r="I233">
        <v>0</v>
      </c>
      <c r="J233">
        <v>0</v>
      </c>
      <c r="K233">
        <v>780.99</v>
      </c>
      <c r="L233">
        <v>0</v>
      </c>
      <c r="M233">
        <v>0</v>
      </c>
      <c r="N233">
        <v>4500</v>
      </c>
    </row>
    <row r="234" spans="1:14">
      <c r="A234" t="s">
        <v>3857</v>
      </c>
      <c r="B234" t="s">
        <v>3862</v>
      </c>
      <c r="C234" t="s">
        <v>122</v>
      </c>
      <c r="D234" t="s">
        <v>123</v>
      </c>
      <c r="E234" t="s">
        <v>124</v>
      </c>
      <c r="F234">
        <v>29752.06</v>
      </c>
      <c r="G234">
        <v>0</v>
      </c>
      <c r="H234">
        <v>0</v>
      </c>
      <c r="I234">
        <v>0</v>
      </c>
      <c r="J234">
        <v>0</v>
      </c>
      <c r="K234">
        <v>6247.94</v>
      </c>
      <c r="L234">
        <v>0</v>
      </c>
      <c r="M234">
        <v>0</v>
      </c>
      <c r="N234">
        <v>36000</v>
      </c>
    </row>
    <row r="235" spans="1:14">
      <c r="A235" t="s">
        <v>3857</v>
      </c>
      <c r="B235" t="s">
        <v>3863</v>
      </c>
      <c r="C235" t="s">
        <v>122</v>
      </c>
      <c r="D235" t="s">
        <v>123</v>
      </c>
      <c r="E235" t="s">
        <v>124</v>
      </c>
      <c r="F235">
        <v>5330.58</v>
      </c>
      <c r="G235">
        <v>0</v>
      </c>
      <c r="H235">
        <v>0</v>
      </c>
      <c r="I235">
        <v>0</v>
      </c>
      <c r="J235">
        <v>0</v>
      </c>
      <c r="K235">
        <v>1119.42</v>
      </c>
      <c r="L235">
        <v>0</v>
      </c>
      <c r="M235">
        <v>0</v>
      </c>
      <c r="N235">
        <v>6450</v>
      </c>
    </row>
    <row r="236" spans="1:14">
      <c r="A236" t="s">
        <v>3857</v>
      </c>
      <c r="B236" t="s">
        <v>3864</v>
      </c>
      <c r="C236" t="s">
        <v>122</v>
      </c>
      <c r="D236" t="s">
        <v>123</v>
      </c>
      <c r="E236" t="s">
        <v>124</v>
      </c>
      <c r="F236">
        <v>7851.24</v>
      </c>
      <c r="G236">
        <v>0</v>
      </c>
      <c r="H236">
        <v>0</v>
      </c>
      <c r="I236">
        <v>0</v>
      </c>
      <c r="J236">
        <v>0</v>
      </c>
      <c r="K236">
        <v>1648.76</v>
      </c>
      <c r="L236">
        <v>0</v>
      </c>
      <c r="M236">
        <v>0</v>
      </c>
      <c r="N236">
        <v>9500</v>
      </c>
    </row>
    <row r="237" spans="1:14">
      <c r="A237" t="s">
        <v>3857</v>
      </c>
      <c r="B237" t="s">
        <v>3865</v>
      </c>
      <c r="C237" t="s">
        <v>122</v>
      </c>
      <c r="D237" t="s">
        <v>123</v>
      </c>
      <c r="E237" t="s">
        <v>124</v>
      </c>
      <c r="F237">
        <v>15413.22</v>
      </c>
      <c r="G237">
        <v>0</v>
      </c>
      <c r="H237">
        <v>0</v>
      </c>
      <c r="I237">
        <v>0</v>
      </c>
      <c r="J237">
        <v>0</v>
      </c>
      <c r="K237">
        <v>3236.78</v>
      </c>
      <c r="L237">
        <v>0</v>
      </c>
      <c r="M237">
        <v>0</v>
      </c>
      <c r="N237">
        <v>18650</v>
      </c>
    </row>
    <row r="238" spans="1:14">
      <c r="A238" t="s">
        <v>3857</v>
      </c>
      <c r="B238" t="s">
        <v>3866</v>
      </c>
      <c r="C238" t="s">
        <v>122</v>
      </c>
      <c r="D238" t="s">
        <v>123</v>
      </c>
      <c r="E238" t="s">
        <v>124</v>
      </c>
      <c r="F238">
        <v>9917.36</v>
      </c>
      <c r="G238">
        <v>0</v>
      </c>
      <c r="H238">
        <v>0</v>
      </c>
      <c r="I238">
        <v>0</v>
      </c>
      <c r="J238">
        <v>0</v>
      </c>
      <c r="K238">
        <v>2082.64</v>
      </c>
      <c r="L238">
        <v>0</v>
      </c>
      <c r="M238">
        <v>0</v>
      </c>
      <c r="N238">
        <v>12000</v>
      </c>
    </row>
    <row r="239" spans="1:14">
      <c r="A239" t="s">
        <v>3857</v>
      </c>
      <c r="B239" t="s">
        <v>3867</v>
      </c>
      <c r="C239" t="s">
        <v>122</v>
      </c>
      <c r="D239" t="s">
        <v>123</v>
      </c>
      <c r="E239" t="s">
        <v>124</v>
      </c>
      <c r="F239">
        <v>10247.93</v>
      </c>
      <c r="G239">
        <v>0</v>
      </c>
      <c r="H239">
        <v>0</v>
      </c>
      <c r="I239">
        <v>0</v>
      </c>
      <c r="J239">
        <v>0</v>
      </c>
      <c r="K239">
        <v>2152.0700000000002</v>
      </c>
      <c r="L239">
        <v>0</v>
      </c>
      <c r="M239">
        <v>0</v>
      </c>
      <c r="N239">
        <v>12400</v>
      </c>
    </row>
    <row r="240" spans="1:14">
      <c r="A240" t="s">
        <v>3869</v>
      </c>
      <c r="B240" t="s">
        <v>3870</v>
      </c>
      <c r="C240" t="s">
        <v>122</v>
      </c>
      <c r="D240" t="s">
        <v>123</v>
      </c>
      <c r="E240" t="s">
        <v>124</v>
      </c>
      <c r="F240">
        <v>20578.510000000002</v>
      </c>
      <c r="G240">
        <v>0</v>
      </c>
      <c r="H240">
        <v>0</v>
      </c>
      <c r="I240">
        <v>0</v>
      </c>
      <c r="J240">
        <v>0</v>
      </c>
      <c r="K240">
        <v>4321.49</v>
      </c>
      <c r="L240">
        <v>0</v>
      </c>
      <c r="M240">
        <v>0</v>
      </c>
      <c r="N240">
        <v>24900</v>
      </c>
    </row>
    <row r="241" spans="1:14">
      <c r="A241" t="s">
        <v>3869</v>
      </c>
      <c r="B241" t="s">
        <v>3871</v>
      </c>
      <c r="C241" t="s">
        <v>122</v>
      </c>
      <c r="D241" t="s">
        <v>123</v>
      </c>
      <c r="E241" t="s">
        <v>124</v>
      </c>
      <c r="F241">
        <v>5330.58</v>
      </c>
      <c r="G241">
        <v>0</v>
      </c>
      <c r="H241">
        <v>0</v>
      </c>
      <c r="I241">
        <v>0</v>
      </c>
      <c r="J241">
        <v>0</v>
      </c>
      <c r="K241">
        <v>1119.42</v>
      </c>
      <c r="L241">
        <v>0</v>
      </c>
      <c r="M241">
        <v>0</v>
      </c>
      <c r="N241">
        <v>6450</v>
      </c>
    </row>
    <row r="242" spans="1:14">
      <c r="A242" t="s">
        <v>3869</v>
      </c>
      <c r="B242" t="s">
        <v>3872</v>
      </c>
      <c r="C242" t="s">
        <v>122</v>
      </c>
      <c r="D242" t="s">
        <v>123</v>
      </c>
      <c r="E242" t="s">
        <v>124</v>
      </c>
      <c r="F242">
        <v>32644.63</v>
      </c>
      <c r="G242">
        <v>0</v>
      </c>
      <c r="H242">
        <v>0</v>
      </c>
      <c r="I242">
        <v>0</v>
      </c>
      <c r="J242">
        <v>0</v>
      </c>
      <c r="K242">
        <v>6855.37</v>
      </c>
      <c r="L242">
        <v>0</v>
      </c>
      <c r="M242">
        <v>0</v>
      </c>
      <c r="N242">
        <v>39500</v>
      </c>
    </row>
    <row r="243" spans="1:14">
      <c r="A243" t="s">
        <v>3869</v>
      </c>
      <c r="B243" t="s">
        <v>3873</v>
      </c>
      <c r="C243" t="s">
        <v>122</v>
      </c>
      <c r="D243" t="s">
        <v>123</v>
      </c>
      <c r="E243" t="s">
        <v>124</v>
      </c>
      <c r="F243">
        <v>4132.2300000000005</v>
      </c>
      <c r="G243">
        <v>0</v>
      </c>
      <c r="H243">
        <v>0</v>
      </c>
      <c r="I243">
        <v>0</v>
      </c>
      <c r="J243">
        <v>0</v>
      </c>
      <c r="K243">
        <v>867.77</v>
      </c>
      <c r="L243">
        <v>0</v>
      </c>
      <c r="M243">
        <v>0</v>
      </c>
      <c r="N243">
        <v>5000</v>
      </c>
    </row>
    <row r="244" spans="1:14">
      <c r="A244" t="s">
        <v>3869</v>
      </c>
      <c r="B244" t="s">
        <v>3874</v>
      </c>
      <c r="C244" t="s">
        <v>122</v>
      </c>
      <c r="D244" t="s">
        <v>123</v>
      </c>
      <c r="E244" t="s">
        <v>124</v>
      </c>
      <c r="F244">
        <v>28760.33</v>
      </c>
      <c r="G244">
        <v>0</v>
      </c>
      <c r="H244">
        <v>0</v>
      </c>
      <c r="I244">
        <v>0</v>
      </c>
      <c r="J244">
        <v>0</v>
      </c>
      <c r="K244">
        <v>6039.67</v>
      </c>
      <c r="L244">
        <v>0</v>
      </c>
      <c r="M244">
        <v>0</v>
      </c>
      <c r="N244">
        <v>34800</v>
      </c>
    </row>
    <row r="245" spans="1:14">
      <c r="A245" t="s">
        <v>3869</v>
      </c>
      <c r="B245" t="s">
        <v>3875</v>
      </c>
      <c r="C245" t="s">
        <v>122</v>
      </c>
      <c r="D245" t="s">
        <v>123</v>
      </c>
      <c r="E245" t="s">
        <v>124</v>
      </c>
      <c r="F245">
        <v>10661.16</v>
      </c>
      <c r="G245">
        <v>0</v>
      </c>
      <c r="H245">
        <v>0</v>
      </c>
      <c r="I245">
        <v>0</v>
      </c>
      <c r="J245">
        <v>0</v>
      </c>
      <c r="K245">
        <v>2238.84</v>
      </c>
      <c r="L245">
        <v>0</v>
      </c>
      <c r="M245">
        <v>0</v>
      </c>
      <c r="N245">
        <v>12900</v>
      </c>
    </row>
    <row r="246" spans="1:14">
      <c r="A246" t="s">
        <v>3869</v>
      </c>
      <c r="B246" t="s">
        <v>3876</v>
      </c>
      <c r="C246" t="s">
        <v>122</v>
      </c>
      <c r="D246" t="s">
        <v>123</v>
      </c>
      <c r="E246" t="s">
        <v>124</v>
      </c>
      <c r="F246">
        <v>20578.510000000002</v>
      </c>
      <c r="G246">
        <v>0</v>
      </c>
      <c r="H246">
        <v>0</v>
      </c>
      <c r="I246">
        <v>0</v>
      </c>
      <c r="J246">
        <v>0</v>
      </c>
      <c r="K246">
        <v>4321.49</v>
      </c>
      <c r="L246">
        <v>0</v>
      </c>
      <c r="M246">
        <v>0</v>
      </c>
      <c r="N246">
        <v>24900</v>
      </c>
    </row>
    <row r="247" spans="1:14">
      <c r="A247" t="s">
        <v>3869</v>
      </c>
      <c r="B247" t="s">
        <v>3877</v>
      </c>
      <c r="C247" t="s">
        <v>122</v>
      </c>
      <c r="D247" t="s">
        <v>123</v>
      </c>
      <c r="E247" t="s">
        <v>124</v>
      </c>
      <c r="F247">
        <v>17355.37</v>
      </c>
      <c r="G247">
        <v>0</v>
      </c>
      <c r="H247">
        <v>0</v>
      </c>
      <c r="I247">
        <v>0</v>
      </c>
      <c r="J247">
        <v>0</v>
      </c>
      <c r="K247">
        <v>3644.63</v>
      </c>
      <c r="L247">
        <v>0</v>
      </c>
      <c r="M247">
        <v>0</v>
      </c>
      <c r="N247">
        <v>21000</v>
      </c>
    </row>
    <row r="248" spans="1:14">
      <c r="A248" t="s">
        <v>3869</v>
      </c>
      <c r="B248" t="s">
        <v>3878</v>
      </c>
      <c r="C248" t="s">
        <v>122</v>
      </c>
      <c r="D248" t="s">
        <v>123</v>
      </c>
      <c r="E248" t="s">
        <v>124</v>
      </c>
      <c r="F248">
        <v>3719.01</v>
      </c>
      <c r="G248">
        <v>0</v>
      </c>
      <c r="H248">
        <v>0</v>
      </c>
      <c r="I248">
        <v>0</v>
      </c>
      <c r="J248">
        <v>0</v>
      </c>
      <c r="K248">
        <v>780.99</v>
      </c>
      <c r="L248">
        <v>0</v>
      </c>
      <c r="M248">
        <v>0</v>
      </c>
      <c r="N248">
        <v>4500</v>
      </c>
    </row>
    <row r="249" spans="1:14">
      <c r="A249" t="s">
        <v>3869</v>
      </c>
      <c r="B249" t="s">
        <v>3879</v>
      </c>
      <c r="C249" t="s">
        <v>122</v>
      </c>
      <c r="D249" t="s">
        <v>123</v>
      </c>
      <c r="E249" t="s">
        <v>124</v>
      </c>
      <c r="F249">
        <v>5289.26</v>
      </c>
      <c r="G249">
        <v>0</v>
      </c>
      <c r="H249">
        <v>0</v>
      </c>
      <c r="I249">
        <v>0</v>
      </c>
      <c r="J249">
        <v>0</v>
      </c>
      <c r="K249">
        <v>1110.74</v>
      </c>
      <c r="L249">
        <v>0</v>
      </c>
      <c r="M249">
        <v>0</v>
      </c>
      <c r="N249">
        <v>6400</v>
      </c>
    </row>
    <row r="250" spans="1:14">
      <c r="A250" t="s">
        <v>3869</v>
      </c>
      <c r="B250" t="s">
        <v>3880</v>
      </c>
      <c r="C250" t="s">
        <v>122</v>
      </c>
      <c r="D250" t="s">
        <v>123</v>
      </c>
      <c r="E250" t="s">
        <v>124</v>
      </c>
      <c r="F250">
        <v>8264.4600000000009</v>
      </c>
      <c r="G250">
        <v>0</v>
      </c>
      <c r="H250">
        <v>0</v>
      </c>
      <c r="I250">
        <v>0</v>
      </c>
      <c r="J250">
        <v>0</v>
      </c>
      <c r="K250">
        <v>1735.54</v>
      </c>
      <c r="L250">
        <v>0</v>
      </c>
      <c r="M250">
        <v>0</v>
      </c>
      <c r="N250">
        <v>10000</v>
      </c>
    </row>
    <row r="251" spans="1:14">
      <c r="A251" t="s">
        <v>3892</v>
      </c>
      <c r="B251" t="s">
        <v>3893</v>
      </c>
      <c r="C251" t="s">
        <v>122</v>
      </c>
      <c r="D251" t="s">
        <v>123</v>
      </c>
      <c r="E251" t="s">
        <v>124</v>
      </c>
      <c r="F251">
        <v>7107.44</v>
      </c>
      <c r="G251">
        <v>0</v>
      </c>
      <c r="H251">
        <v>0</v>
      </c>
      <c r="I251">
        <v>0</v>
      </c>
      <c r="J251">
        <v>0</v>
      </c>
      <c r="K251">
        <v>1492.56</v>
      </c>
      <c r="L251">
        <v>0</v>
      </c>
      <c r="M251">
        <v>0</v>
      </c>
      <c r="N251">
        <v>8600</v>
      </c>
    </row>
    <row r="252" spans="1:14">
      <c r="A252" t="s">
        <v>3892</v>
      </c>
      <c r="B252" t="s">
        <v>3894</v>
      </c>
      <c r="C252" t="s">
        <v>122</v>
      </c>
      <c r="D252" t="s">
        <v>123</v>
      </c>
      <c r="E252" t="s">
        <v>124</v>
      </c>
      <c r="F252">
        <v>10661.16</v>
      </c>
      <c r="G252">
        <v>0</v>
      </c>
      <c r="H252">
        <v>0</v>
      </c>
      <c r="I252">
        <v>0</v>
      </c>
      <c r="J252">
        <v>0</v>
      </c>
      <c r="K252">
        <v>2238.84</v>
      </c>
      <c r="L252">
        <v>0</v>
      </c>
      <c r="M252">
        <v>0</v>
      </c>
      <c r="N252">
        <v>12900</v>
      </c>
    </row>
    <row r="253" spans="1:14">
      <c r="A253" t="s">
        <v>3892</v>
      </c>
      <c r="B253" t="s">
        <v>3895</v>
      </c>
      <c r="C253" t="s">
        <v>122</v>
      </c>
      <c r="D253" t="s">
        <v>123</v>
      </c>
      <c r="E253" t="s">
        <v>124</v>
      </c>
      <c r="F253">
        <v>1983.47</v>
      </c>
      <c r="G253">
        <v>0</v>
      </c>
      <c r="H253">
        <v>0</v>
      </c>
      <c r="I253">
        <v>0</v>
      </c>
      <c r="J253">
        <v>0</v>
      </c>
      <c r="K253">
        <v>416.53</v>
      </c>
      <c r="L253">
        <v>0</v>
      </c>
      <c r="M253">
        <v>0</v>
      </c>
      <c r="N253">
        <v>2400</v>
      </c>
    </row>
    <row r="254" spans="1:14">
      <c r="A254" t="s">
        <v>3892</v>
      </c>
      <c r="B254" t="s">
        <v>3896</v>
      </c>
      <c r="C254" t="s">
        <v>122</v>
      </c>
      <c r="D254" t="s">
        <v>123</v>
      </c>
      <c r="E254" t="s">
        <v>124</v>
      </c>
      <c r="F254">
        <v>661.16</v>
      </c>
      <c r="G254">
        <v>0</v>
      </c>
      <c r="H254">
        <v>0</v>
      </c>
      <c r="I254">
        <v>0</v>
      </c>
      <c r="J254">
        <v>0</v>
      </c>
      <c r="K254">
        <v>138.84</v>
      </c>
      <c r="L254">
        <v>0</v>
      </c>
      <c r="M254">
        <v>0</v>
      </c>
      <c r="N254">
        <v>800</v>
      </c>
    </row>
    <row r="255" spans="1:14">
      <c r="A255" t="s">
        <v>3892</v>
      </c>
      <c r="B255" t="s">
        <v>3897</v>
      </c>
      <c r="C255" t="s">
        <v>122</v>
      </c>
      <c r="D255" t="s">
        <v>123</v>
      </c>
      <c r="E255" t="s">
        <v>124</v>
      </c>
      <c r="F255">
        <v>35537.19</v>
      </c>
      <c r="G255">
        <v>0</v>
      </c>
      <c r="H255">
        <v>0</v>
      </c>
      <c r="I255">
        <v>0</v>
      </c>
      <c r="J255">
        <v>0</v>
      </c>
      <c r="K255">
        <v>7462.81</v>
      </c>
      <c r="L255">
        <v>0</v>
      </c>
      <c r="M255">
        <v>0</v>
      </c>
      <c r="N255">
        <v>43000</v>
      </c>
    </row>
    <row r="256" spans="1:14">
      <c r="A256" t="s">
        <v>3892</v>
      </c>
      <c r="B256" t="s">
        <v>3898</v>
      </c>
      <c r="C256" t="s">
        <v>122</v>
      </c>
      <c r="D256" t="s">
        <v>123</v>
      </c>
      <c r="E256" t="s">
        <v>124</v>
      </c>
      <c r="F256">
        <v>10661.16</v>
      </c>
      <c r="G256">
        <v>0</v>
      </c>
      <c r="H256">
        <v>0</v>
      </c>
      <c r="I256">
        <v>0</v>
      </c>
      <c r="J256">
        <v>0</v>
      </c>
      <c r="K256">
        <v>2238.84</v>
      </c>
      <c r="L256">
        <v>0</v>
      </c>
      <c r="M256">
        <v>0</v>
      </c>
      <c r="N256">
        <v>12900</v>
      </c>
    </row>
    <row r="257" spans="1:14">
      <c r="A257" t="s">
        <v>3892</v>
      </c>
      <c r="B257" t="s">
        <v>3899</v>
      </c>
      <c r="C257" t="s">
        <v>122</v>
      </c>
      <c r="D257" t="s">
        <v>123</v>
      </c>
      <c r="E257" t="s">
        <v>124</v>
      </c>
      <c r="F257">
        <v>1363.64</v>
      </c>
      <c r="G257">
        <v>0</v>
      </c>
      <c r="H257">
        <v>0</v>
      </c>
      <c r="I257">
        <v>0</v>
      </c>
      <c r="J257">
        <v>0</v>
      </c>
      <c r="K257">
        <v>286.36</v>
      </c>
      <c r="L257">
        <v>0</v>
      </c>
      <c r="M257">
        <v>0</v>
      </c>
      <c r="N257">
        <v>1650</v>
      </c>
    </row>
    <row r="258" spans="1:14">
      <c r="A258" t="s">
        <v>3892</v>
      </c>
      <c r="B258" t="s">
        <v>3900</v>
      </c>
      <c r="C258" t="s">
        <v>122</v>
      </c>
      <c r="D258" t="s">
        <v>123</v>
      </c>
      <c r="E258" t="s">
        <v>124</v>
      </c>
      <c r="F258">
        <v>3471.07</v>
      </c>
      <c r="G258">
        <v>0</v>
      </c>
      <c r="H258">
        <v>0</v>
      </c>
      <c r="I258">
        <v>0</v>
      </c>
      <c r="J258">
        <v>0</v>
      </c>
      <c r="K258">
        <v>728.93</v>
      </c>
      <c r="L258">
        <v>0</v>
      </c>
      <c r="M258">
        <v>0</v>
      </c>
      <c r="N258">
        <v>4200</v>
      </c>
    </row>
    <row r="259" spans="1:14">
      <c r="A259" t="s">
        <v>3892</v>
      </c>
      <c r="B259" t="s">
        <v>3901</v>
      </c>
      <c r="C259" t="s">
        <v>122</v>
      </c>
      <c r="D259" t="s">
        <v>123</v>
      </c>
      <c r="E259" t="s">
        <v>124</v>
      </c>
      <c r="F259">
        <v>20578.510000000002</v>
      </c>
      <c r="G259">
        <v>0</v>
      </c>
      <c r="H259">
        <v>0</v>
      </c>
      <c r="I259">
        <v>0</v>
      </c>
      <c r="J259">
        <v>0</v>
      </c>
      <c r="K259">
        <v>4321.49</v>
      </c>
      <c r="L259">
        <v>0</v>
      </c>
      <c r="M259">
        <v>0</v>
      </c>
      <c r="N259">
        <v>24900</v>
      </c>
    </row>
    <row r="260" spans="1:14">
      <c r="A260" t="s">
        <v>3892</v>
      </c>
      <c r="B260" t="s">
        <v>3902</v>
      </c>
      <c r="C260" t="s">
        <v>122</v>
      </c>
      <c r="D260" t="s">
        <v>123</v>
      </c>
      <c r="E260" t="s">
        <v>124</v>
      </c>
      <c r="F260">
        <v>5330.58</v>
      </c>
      <c r="G260">
        <v>0</v>
      </c>
      <c r="H260">
        <v>0</v>
      </c>
      <c r="I260">
        <v>0</v>
      </c>
      <c r="J260">
        <v>0</v>
      </c>
      <c r="K260">
        <v>1119.42</v>
      </c>
      <c r="L260">
        <v>0</v>
      </c>
      <c r="M260">
        <v>0</v>
      </c>
      <c r="N260">
        <v>6450</v>
      </c>
    </row>
    <row r="261" spans="1:14">
      <c r="A261" t="s">
        <v>3892</v>
      </c>
      <c r="B261" t="s">
        <v>3903</v>
      </c>
      <c r="C261" t="s">
        <v>122</v>
      </c>
      <c r="D261" t="s">
        <v>123</v>
      </c>
      <c r="E261" t="s">
        <v>124</v>
      </c>
      <c r="F261">
        <v>9421.49</v>
      </c>
      <c r="G261">
        <v>0</v>
      </c>
      <c r="H261">
        <v>0</v>
      </c>
      <c r="I261">
        <v>0</v>
      </c>
      <c r="J261">
        <v>0</v>
      </c>
      <c r="K261">
        <v>1978.51</v>
      </c>
      <c r="L261">
        <v>0</v>
      </c>
      <c r="M261">
        <v>0</v>
      </c>
      <c r="N261">
        <v>11400</v>
      </c>
    </row>
    <row r="262" spans="1:14">
      <c r="A262" t="s">
        <v>3892</v>
      </c>
      <c r="B262" t="s">
        <v>3904</v>
      </c>
      <c r="C262" t="s">
        <v>122</v>
      </c>
      <c r="D262" t="s">
        <v>123</v>
      </c>
      <c r="E262" t="s">
        <v>124</v>
      </c>
      <c r="F262">
        <v>7851.24</v>
      </c>
      <c r="G262">
        <v>0</v>
      </c>
      <c r="H262">
        <v>0</v>
      </c>
      <c r="I262">
        <v>0</v>
      </c>
      <c r="J262">
        <v>0</v>
      </c>
      <c r="K262">
        <v>1648.76</v>
      </c>
      <c r="L262">
        <v>0</v>
      </c>
      <c r="M262">
        <v>0</v>
      </c>
      <c r="N262">
        <v>9500</v>
      </c>
    </row>
    <row r="263" spans="1:14">
      <c r="A263" t="s">
        <v>3892</v>
      </c>
      <c r="B263" t="s">
        <v>3905</v>
      </c>
      <c r="C263" t="s">
        <v>122</v>
      </c>
      <c r="D263" t="s">
        <v>123</v>
      </c>
      <c r="E263" t="s">
        <v>124</v>
      </c>
      <c r="F263">
        <v>10743.8</v>
      </c>
      <c r="G263">
        <v>0</v>
      </c>
      <c r="H263">
        <v>0</v>
      </c>
      <c r="I263">
        <v>0</v>
      </c>
      <c r="J263">
        <v>0</v>
      </c>
      <c r="K263">
        <v>2256.2000000000003</v>
      </c>
      <c r="L263">
        <v>0</v>
      </c>
      <c r="M263">
        <v>0</v>
      </c>
      <c r="N263">
        <v>13000</v>
      </c>
    </row>
    <row r="264" spans="1:14">
      <c r="A264" t="s">
        <v>3907</v>
      </c>
      <c r="B264" t="s">
        <v>3908</v>
      </c>
      <c r="C264" t="s">
        <v>122</v>
      </c>
      <c r="D264" t="s">
        <v>123</v>
      </c>
      <c r="E264" t="s">
        <v>124</v>
      </c>
      <c r="F264">
        <v>10661.16</v>
      </c>
      <c r="G264">
        <v>0</v>
      </c>
      <c r="H264">
        <v>0</v>
      </c>
      <c r="I264">
        <v>0</v>
      </c>
      <c r="J264">
        <v>0</v>
      </c>
      <c r="K264">
        <v>2238.84</v>
      </c>
      <c r="L264">
        <v>0</v>
      </c>
      <c r="M264">
        <v>0</v>
      </c>
      <c r="N264">
        <v>12900</v>
      </c>
    </row>
    <row r="265" spans="1:14">
      <c r="A265" t="s">
        <v>3907</v>
      </c>
      <c r="B265" t="s">
        <v>3909</v>
      </c>
      <c r="C265" t="s">
        <v>122</v>
      </c>
      <c r="D265" t="s">
        <v>123</v>
      </c>
      <c r="E265" t="s">
        <v>124</v>
      </c>
      <c r="F265">
        <v>8677.69</v>
      </c>
      <c r="G265">
        <v>0</v>
      </c>
      <c r="H265">
        <v>0</v>
      </c>
      <c r="I265">
        <v>0</v>
      </c>
      <c r="J265">
        <v>0</v>
      </c>
      <c r="K265">
        <v>1822.31</v>
      </c>
      <c r="L265">
        <v>0</v>
      </c>
      <c r="M265">
        <v>0</v>
      </c>
      <c r="N265">
        <v>10500</v>
      </c>
    </row>
    <row r="266" spans="1:14">
      <c r="A266" t="s">
        <v>3907</v>
      </c>
      <c r="B266" t="s">
        <v>3910</v>
      </c>
      <c r="C266" t="s">
        <v>122</v>
      </c>
      <c r="D266" t="s">
        <v>123</v>
      </c>
      <c r="E266" t="s">
        <v>124</v>
      </c>
      <c r="F266">
        <v>10661.16</v>
      </c>
      <c r="G266">
        <v>0</v>
      </c>
      <c r="H266">
        <v>0</v>
      </c>
      <c r="I266">
        <v>0</v>
      </c>
      <c r="J266">
        <v>0</v>
      </c>
      <c r="K266">
        <v>2238.84</v>
      </c>
      <c r="L266">
        <v>0</v>
      </c>
      <c r="M266">
        <v>0</v>
      </c>
      <c r="N266">
        <v>12900</v>
      </c>
    </row>
    <row r="267" spans="1:14">
      <c r="A267" t="s">
        <v>3907</v>
      </c>
      <c r="B267" t="s">
        <v>3911</v>
      </c>
      <c r="C267" t="s">
        <v>122</v>
      </c>
      <c r="D267" t="s">
        <v>123</v>
      </c>
      <c r="E267" t="s">
        <v>124</v>
      </c>
      <c r="F267">
        <v>4958.68</v>
      </c>
      <c r="G267">
        <v>0</v>
      </c>
      <c r="H267">
        <v>0</v>
      </c>
      <c r="I267">
        <v>0</v>
      </c>
      <c r="J267">
        <v>0</v>
      </c>
      <c r="K267">
        <v>1041.32</v>
      </c>
      <c r="L267">
        <v>0</v>
      </c>
      <c r="M267">
        <v>0</v>
      </c>
      <c r="N267">
        <v>6000</v>
      </c>
    </row>
    <row r="268" spans="1:14">
      <c r="A268" t="s">
        <v>3907</v>
      </c>
      <c r="B268" t="s">
        <v>3912</v>
      </c>
      <c r="C268" t="s">
        <v>122</v>
      </c>
      <c r="D268" t="s">
        <v>123</v>
      </c>
      <c r="E268" t="s">
        <v>124</v>
      </c>
      <c r="F268">
        <v>10743.8</v>
      </c>
      <c r="G268">
        <v>0</v>
      </c>
      <c r="H268">
        <v>0</v>
      </c>
      <c r="I268">
        <v>0</v>
      </c>
      <c r="J268">
        <v>0</v>
      </c>
      <c r="K268">
        <v>2256.2000000000003</v>
      </c>
      <c r="L268">
        <v>0</v>
      </c>
      <c r="M268">
        <v>0</v>
      </c>
      <c r="N268">
        <v>13000</v>
      </c>
    </row>
    <row r="269" spans="1:14">
      <c r="A269" t="s">
        <v>3907</v>
      </c>
      <c r="B269" t="s">
        <v>3913</v>
      </c>
      <c r="C269" t="s">
        <v>122</v>
      </c>
      <c r="D269" t="s">
        <v>123</v>
      </c>
      <c r="E269" t="s">
        <v>124</v>
      </c>
      <c r="F269">
        <v>3925.62</v>
      </c>
      <c r="G269">
        <v>0</v>
      </c>
      <c r="H269">
        <v>0</v>
      </c>
      <c r="I269">
        <v>0</v>
      </c>
      <c r="J269">
        <v>0</v>
      </c>
      <c r="K269">
        <v>824.38</v>
      </c>
      <c r="L269">
        <v>0</v>
      </c>
      <c r="M269">
        <v>0</v>
      </c>
      <c r="N269">
        <v>4750</v>
      </c>
    </row>
    <row r="270" spans="1:14">
      <c r="A270" t="s">
        <v>3907</v>
      </c>
      <c r="B270" t="s">
        <v>3914</v>
      </c>
      <c r="C270" t="s">
        <v>122</v>
      </c>
      <c r="D270" t="s">
        <v>123</v>
      </c>
      <c r="E270" t="s">
        <v>124</v>
      </c>
      <c r="F270">
        <v>4049.59</v>
      </c>
      <c r="G270">
        <v>0</v>
      </c>
      <c r="H270">
        <v>0</v>
      </c>
      <c r="I270">
        <v>0</v>
      </c>
      <c r="J270">
        <v>0</v>
      </c>
      <c r="K270">
        <v>850.41</v>
      </c>
      <c r="L270">
        <v>0</v>
      </c>
      <c r="M270">
        <v>0</v>
      </c>
      <c r="N270">
        <v>4900</v>
      </c>
    </row>
    <row r="271" spans="1:14">
      <c r="A271" t="s">
        <v>3907</v>
      </c>
      <c r="B271" t="s">
        <v>3915</v>
      </c>
      <c r="C271" t="s">
        <v>122</v>
      </c>
      <c r="D271" t="s">
        <v>123</v>
      </c>
      <c r="E271" t="s">
        <v>124</v>
      </c>
      <c r="F271">
        <v>4049.59</v>
      </c>
      <c r="G271">
        <v>0</v>
      </c>
      <c r="H271">
        <v>0</v>
      </c>
      <c r="I271">
        <v>0</v>
      </c>
      <c r="J271">
        <v>0</v>
      </c>
      <c r="K271">
        <v>850.41</v>
      </c>
      <c r="L271">
        <v>0</v>
      </c>
      <c r="M271">
        <v>0</v>
      </c>
      <c r="N271">
        <v>4900</v>
      </c>
    </row>
    <row r="272" spans="1:14">
      <c r="A272" t="s">
        <v>3907</v>
      </c>
      <c r="B272" t="s">
        <v>3916</v>
      </c>
      <c r="C272" t="s">
        <v>122</v>
      </c>
      <c r="D272" t="s">
        <v>123</v>
      </c>
      <c r="E272" t="s">
        <v>124</v>
      </c>
      <c r="F272">
        <v>18842.98</v>
      </c>
      <c r="G272">
        <v>0</v>
      </c>
      <c r="H272">
        <v>0</v>
      </c>
      <c r="I272">
        <v>0</v>
      </c>
      <c r="J272">
        <v>0</v>
      </c>
      <c r="K272">
        <v>3957.02</v>
      </c>
      <c r="L272">
        <v>0</v>
      </c>
      <c r="M272">
        <v>0</v>
      </c>
      <c r="N272">
        <v>22800</v>
      </c>
    </row>
    <row r="273" spans="1:14">
      <c r="A273" t="s">
        <v>3907</v>
      </c>
      <c r="B273" t="s">
        <v>3917</v>
      </c>
      <c r="C273" t="s">
        <v>122</v>
      </c>
      <c r="D273" t="s">
        <v>123</v>
      </c>
      <c r="E273" t="s">
        <v>124</v>
      </c>
      <c r="F273">
        <v>17727.27</v>
      </c>
      <c r="G273">
        <v>0</v>
      </c>
      <c r="H273">
        <v>0</v>
      </c>
      <c r="I273">
        <v>0</v>
      </c>
      <c r="J273">
        <v>0</v>
      </c>
      <c r="K273">
        <v>3722.73</v>
      </c>
      <c r="L273">
        <v>0</v>
      </c>
      <c r="M273">
        <v>0</v>
      </c>
      <c r="N273">
        <v>21450</v>
      </c>
    </row>
    <row r="274" spans="1:14">
      <c r="A274" t="s">
        <v>3907</v>
      </c>
      <c r="B274" t="s">
        <v>3918</v>
      </c>
      <c r="C274" t="s">
        <v>122</v>
      </c>
      <c r="D274" t="s">
        <v>123</v>
      </c>
      <c r="E274" t="s">
        <v>124</v>
      </c>
      <c r="F274">
        <v>15371.9</v>
      </c>
      <c r="G274">
        <v>0</v>
      </c>
      <c r="H274">
        <v>0</v>
      </c>
      <c r="I274">
        <v>0</v>
      </c>
      <c r="J274">
        <v>0</v>
      </c>
      <c r="K274">
        <v>3228.1</v>
      </c>
      <c r="L274">
        <v>0</v>
      </c>
      <c r="M274">
        <v>0</v>
      </c>
      <c r="N274">
        <v>18600</v>
      </c>
    </row>
    <row r="275" spans="1:14">
      <c r="A275" t="s">
        <v>3907</v>
      </c>
      <c r="B275" t="s">
        <v>3919</v>
      </c>
      <c r="C275" t="s">
        <v>122</v>
      </c>
      <c r="D275" t="s">
        <v>123</v>
      </c>
      <c r="E275" t="s">
        <v>124</v>
      </c>
      <c r="F275">
        <v>5330.58</v>
      </c>
      <c r="G275">
        <v>0</v>
      </c>
      <c r="H275">
        <v>0</v>
      </c>
      <c r="I275">
        <v>0</v>
      </c>
      <c r="J275">
        <v>0</v>
      </c>
      <c r="K275">
        <v>1119.42</v>
      </c>
      <c r="L275">
        <v>0</v>
      </c>
      <c r="M275">
        <v>0</v>
      </c>
      <c r="N275">
        <v>6450</v>
      </c>
    </row>
    <row r="276" spans="1:14">
      <c r="A276" t="s">
        <v>3907</v>
      </c>
      <c r="B276" t="s">
        <v>3920</v>
      </c>
      <c r="C276" t="s">
        <v>122</v>
      </c>
      <c r="D276" t="s">
        <v>123</v>
      </c>
      <c r="E276" t="s">
        <v>124</v>
      </c>
      <c r="F276">
        <v>20578.510000000002</v>
      </c>
      <c r="G276">
        <v>0</v>
      </c>
      <c r="H276">
        <v>0</v>
      </c>
      <c r="I276">
        <v>0</v>
      </c>
      <c r="J276">
        <v>0</v>
      </c>
      <c r="K276">
        <v>4321.49</v>
      </c>
      <c r="L276">
        <v>0</v>
      </c>
      <c r="M276">
        <v>0</v>
      </c>
      <c r="N276">
        <v>24900</v>
      </c>
    </row>
    <row r="277" spans="1:14">
      <c r="A277" t="s">
        <v>3907</v>
      </c>
      <c r="B277" t="s">
        <v>3921</v>
      </c>
      <c r="C277" t="s">
        <v>3922</v>
      </c>
      <c r="D277" t="s">
        <v>123</v>
      </c>
      <c r="E277">
        <v>20343905</v>
      </c>
      <c r="F277">
        <v>12396.69</v>
      </c>
      <c r="G277">
        <v>0</v>
      </c>
      <c r="H277">
        <v>0</v>
      </c>
      <c r="I277">
        <v>0</v>
      </c>
      <c r="J277">
        <v>0</v>
      </c>
      <c r="K277">
        <v>2603.31</v>
      </c>
      <c r="L277">
        <v>0</v>
      </c>
      <c r="M277">
        <v>0</v>
      </c>
      <c r="N277">
        <v>15000</v>
      </c>
    </row>
    <row r="278" spans="1:14">
      <c r="A278" t="s">
        <v>3907</v>
      </c>
      <c r="B278" t="s">
        <v>3923</v>
      </c>
      <c r="C278" t="s">
        <v>122</v>
      </c>
      <c r="D278" t="s">
        <v>123</v>
      </c>
      <c r="E278" t="s">
        <v>124</v>
      </c>
      <c r="F278">
        <v>8057.85</v>
      </c>
      <c r="G278">
        <v>0</v>
      </c>
      <c r="H278">
        <v>0</v>
      </c>
      <c r="I278">
        <v>0</v>
      </c>
      <c r="J278">
        <v>0</v>
      </c>
      <c r="K278">
        <v>1692.15</v>
      </c>
      <c r="L278">
        <v>0</v>
      </c>
      <c r="M278">
        <v>0</v>
      </c>
      <c r="N278">
        <v>9750</v>
      </c>
    </row>
    <row r="279" spans="1:14">
      <c r="A279" t="s">
        <v>3924</v>
      </c>
      <c r="B279" t="s">
        <v>3925</v>
      </c>
      <c r="C279" t="s">
        <v>122</v>
      </c>
      <c r="D279" t="s">
        <v>123</v>
      </c>
      <c r="E279" t="s">
        <v>124</v>
      </c>
      <c r="F279">
        <v>20661.16</v>
      </c>
      <c r="G279">
        <v>0</v>
      </c>
      <c r="H279">
        <v>0</v>
      </c>
      <c r="I279">
        <v>0</v>
      </c>
      <c r="J279">
        <v>0</v>
      </c>
      <c r="K279">
        <v>4338.84</v>
      </c>
      <c r="L279">
        <v>0</v>
      </c>
      <c r="M279">
        <v>0</v>
      </c>
      <c r="N279">
        <v>25000</v>
      </c>
    </row>
    <row r="280" spans="1:14">
      <c r="A280" t="s">
        <v>3934</v>
      </c>
      <c r="B280" t="s">
        <v>3935</v>
      </c>
      <c r="C280" t="s">
        <v>122</v>
      </c>
      <c r="D280" t="s">
        <v>123</v>
      </c>
      <c r="E280" t="s">
        <v>124</v>
      </c>
      <c r="F280">
        <v>5330.58</v>
      </c>
      <c r="G280">
        <v>0</v>
      </c>
      <c r="H280">
        <v>0</v>
      </c>
      <c r="I280">
        <v>0</v>
      </c>
      <c r="J280">
        <v>0</v>
      </c>
      <c r="K280">
        <v>1119.42</v>
      </c>
      <c r="L280">
        <v>0</v>
      </c>
      <c r="M280">
        <v>0</v>
      </c>
      <c r="N280">
        <v>6450</v>
      </c>
    </row>
    <row r="281" spans="1:14">
      <c r="A281" t="s">
        <v>3934</v>
      </c>
      <c r="B281" t="s">
        <v>3936</v>
      </c>
      <c r="C281" t="s">
        <v>122</v>
      </c>
      <c r="D281" t="s">
        <v>123</v>
      </c>
      <c r="E281" t="s">
        <v>124</v>
      </c>
      <c r="F281">
        <v>5289.26</v>
      </c>
      <c r="G281">
        <v>0</v>
      </c>
      <c r="H281">
        <v>0</v>
      </c>
      <c r="I281">
        <v>0</v>
      </c>
      <c r="J281">
        <v>0</v>
      </c>
      <c r="K281">
        <v>1110.74</v>
      </c>
      <c r="L281">
        <v>0</v>
      </c>
      <c r="M281">
        <v>0</v>
      </c>
      <c r="N281">
        <v>6400</v>
      </c>
    </row>
    <row r="282" spans="1:14">
      <c r="A282" t="s">
        <v>3934</v>
      </c>
      <c r="B282" t="s">
        <v>3937</v>
      </c>
      <c r="C282" t="s">
        <v>122</v>
      </c>
      <c r="D282" t="s">
        <v>123</v>
      </c>
      <c r="E282" t="s">
        <v>124</v>
      </c>
      <c r="F282">
        <v>4380.17</v>
      </c>
      <c r="G282">
        <v>0</v>
      </c>
      <c r="H282">
        <v>0</v>
      </c>
      <c r="I282">
        <v>0</v>
      </c>
      <c r="J282">
        <v>0</v>
      </c>
      <c r="K282">
        <v>919.83</v>
      </c>
      <c r="L282">
        <v>0</v>
      </c>
      <c r="M282">
        <v>0</v>
      </c>
      <c r="N282">
        <v>5300</v>
      </c>
    </row>
    <row r="283" spans="1:14">
      <c r="A283" t="s">
        <v>3934</v>
      </c>
      <c r="B283" t="s">
        <v>3938</v>
      </c>
      <c r="C283" t="s">
        <v>122</v>
      </c>
      <c r="D283" t="s">
        <v>123</v>
      </c>
      <c r="E283" t="s">
        <v>124</v>
      </c>
      <c r="F283">
        <v>15702.48</v>
      </c>
      <c r="G283">
        <v>0</v>
      </c>
      <c r="H283">
        <v>0</v>
      </c>
      <c r="I283">
        <v>0</v>
      </c>
      <c r="J283">
        <v>0</v>
      </c>
      <c r="K283">
        <v>3297.52</v>
      </c>
      <c r="L283">
        <v>0</v>
      </c>
      <c r="M283">
        <v>0</v>
      </c>
      <c r="N283">
        <v>19000</v>
      </c>
    </row>
    <row r="284" spans="1:14">
      <c r="A284" t="s">
        <v>3934</v>
      </c>
      <c r="B284" t="s">
        <v>3939</v>
      </c>
      <c r="C284" t="s">
        <v>122</v>
      </c>
      <c r="D284" t="s">
        <v>123</v>
      </c>
      <c r="E284" t="s">
        <v>124</v>
      </c>
      <c r="F284">
        <v>10289.26</v>
      </c>
      <c r="G284">
        <v>0</v>
      </c>
      <c r="H284">
        <v>0</v>
      </c>
      <c r="I284">
        <v>0</v>
      </c>
      <c r="J284">
        <v>0</v>
      </c>
      <c r="K284">
        <v>2160.7400000000002</v>
      </c>
      <c r="L284">
        <v>0</v>
      </c>
      <c r="M284">
        <v>0</v>
      </c>
      <c r="N284">
        <v>12450</v>
      </c>
    </row>
    <row r="285" spans="1:14">
      <c r="A285" t="s">
        <v>3934</v>
      </c>
      <c r="B285" t="s">
        <v>3940</v>
      </c>
      <c r="C285" t="s">
        <v>122</v>
      </c>
      <c r="D285" t="s">
        <v>123</v>
      </c>
      <c r="E285" t="s">
        <v>124</v>
      </c>
      <c r="F285">
        <v>4504.13</v>
      </c>
      <c r="G285">
        <v>0</v>
      </c>
      <c r="H285">
        <v>0</v>
      </c>
      <c r="I285">
        <v>0</v>
      </c>
      <c r="J285">
        <v>0</v>
      </c>
      <c r="K285">
        <v>945.87</v>
      </c>
      <c r="L285">
        <v>0</v>
      </c>
      <c r="M285">
        <v>0</v>
      </c>
      <c r="N285">
        <v>5450</v>
      </c>
    </row>
    <row r="286" spans="1:14">
      <c r="A286" t="s">
        <v>3934</v>
      </c>
      <c r="B286" t="s">
        <v>3941</v>
      </c>
      <c r="C286" t="s">
        <v>122</v>
      </c>
      <c r="D286" t="s">
        <v>123</v>
      </c>
      <c r="E286" t="s">
        <v>124</v>
      </c>
      <c r="F286">
        <v>20578.510000000002</v>
      </c>
      <c r="G286">
        <v>0</v>
      </c>
      <c r="H286">
        <v>0</v>
      </c>
      <c r="I286">
        <v>0</v>
      </c>
      <c r="J286">
        <v>0</v>
      </c>
      <c r="K286">
        <v>4321.49</v>
      </c>
      <c r="L286">
        <v>0</v>
      </c>
      <c r="M286">
        <v>0</v>
      </c>
      <c r="N286">
        <v>24900</v>
      </c>
    </row>
    <row r="287" spans="1:14">
      <c r="A287" t="s">
        <v>3934</v>
      </c>
      <c r="B287" t="s">
        <v>3942</v>
      </c>
      <c r="C287" t="s">
        <v>122</v>
      </c>
      <c r="D287" t="s">
        <v>123</v>
      </c>
      <c r="E287" t="s">
        <v>124</v>
      </c>
      <c r="F287">
        <v>7603.31</v>
      </c>
      <c r="G287">
        <v>0</v>
      </c>
      <c r="H287">
        <v>0</v>
      </c>
      <c r="I287">
        <v>0</v>
      </c>
      <c r="J287">
        <v>0</v>
      </c>
      <c r="K287">
        <v>1596.69</v>
      </c>
      <c r="L287">
        <v>0</v>
      </c>
      <c r="M287">
        <v>0</v>
      </c>
      <c r="N287">
        <v>9200</v>
      </c>
    </row>
    <row r="288" spans="1:14">
      <c r="A288" t="s">
        <v>3934</v>
      </c>
      <c r="B288" t="s">
        <v>3943</v>
      </c>
      <c r="C288" t="s">
        <v>122</v>
      </c>
      <c r="D288" t="s">
        <v>123</v>
      </c>
      <c r="E288" t="s">
        <v>124</v>
      </c>
      <c r="F288">
        <v>10661.16</v>
      </c>
      <c r="G288">
        <v>0</v>
      </c>
      <c r="H288">
        <v>0</v>
      </c>
      <c r="I288">
        <v>0</v>
      </c>
      <c r="J288">
        <v>0</v>
      </c>
      <c r="K288">
        <v>2238.84</v>
      </c>
      <c r="L288">
        <v>0</v>
      </c>
      <c r="M288">
        <v>0</v>
      </c>
      <c r="N288">
        <v>12900</v>
      </c>
    </row>
    <row r="289" spans="1:14">
      <c r="A289" t="s">
        <v>3569</v>
      </c>
      <c r="B289" t="s">
        <v>3592</v>
      </c>
      <c r="C289" t="s">
        <v>337</v>
      </c>
      <c r="D289" t="s">
        <v>123</v>
      </c>
      <c r="E289">
        <v>4164120</v>
      </c>
      <c r="F289">
        <v>5115.7</v>
      </c>
      <c r="G289">
        <v>0</v>
      </c>
      <c r="H289">
        <v>0</v>
      </c>
      <c r="I289">
        <v>0</v>
      </c>
      <c r="J289">
        <v>0</v>
      </c>
      <c r="K289">
        <v>1074.3</v>
      </c>
      <c r="L289">
        <v>0</v>
      </c>
      <c r="M289">
        <v>0</v>
      </c>
      <c r="N289">
        <v>6190</v>
      </c>
    </row>
    <row r="290" spans="1:14">
      <c r="A290" t="s">
        <v>3569</v>
      </c>
      <c r="B290" t="s">
        <v>3593</v>
      </c>
      <c r="C290" t="s">
        <v>275</v>
      </c>
      <c r="D290" t="s">
        <v>276</v>
      </c>
      <c r="E290">
        <v>30590354798</v>
      </c>
      <c r="F290">
        <v>1458429.75</v>
      </c>
      <c r="G290">
        <v>0</v>
      </c>
      <c r="H290">
        <v>0</v>
      </c>
      <c r="I290">
        <v>0</v>
      </c>
      <c r="J290">
        <v>0</v>
      </c>
      <c r="K290">
        <v>306270.25</v>
      </c>
      <c r="L290">
        <v>0</v>
      </c>
      <c r="M290">
        <v>0</v>
      </c>
      <c r="N290">
        <v>1764700</v>
      </c>
    </row>
    <row r="291" spans="1:14">
      <c r="A291" t="s">
        <v>3606</v>
      </c>
      <c r="B291" t="s">
        <v>3621</v>
      </c>
      <c r="C291" t="s">
        <v>314</v>
      </c>
      <c r="D291" t="s">
        <v>276</v>
      </c>
      <c r="E291">
        <v>30658137642</v>
      </c>
      <c r="F291">
        <v>79200</v>
      </c>
      <c r="G291">
        <v>0</v>
      </c>
      <c r="H291">
        <v>0</v>
      </c>
      <c r="I291">
        <v>0</v>
      </c>
      <c r="J291">
        <v>0</v>
      </c>
      <c r="K291">
        <v>16632</v>
      </c>
      <c r="L291">
        <v>0</v>
      </c>
      <c r="M291">
        <v>0</v>
      </c>
      <c r="N291">
        <v>95832</v>
      </c>
    </row>
    <row r="292" spans="1:14">
      <c r="A292" t="s">
        <v>3606</v>
      </c>
      <c r="B292" t="s">
        <v>3622</v>
      </c>
      <c r="C292" t="s">
        <v>314</v>
      </c>
      <c r="D292" t="s">
        <v>276</v>
      </c>
      <c r="E292">
        <v>30658137642</v>
      </c>
      <c r="F292">
        <v>12396.69</v>
      </c>
      <c r="G292">
        <v>0</v>
      </c>
      <c r="H292">
        <v>0</v>
      </c>
      <c r="I292">
        <v>0</v>
      </c>
      <c r="J292">
        <v>0</v>
      </c>
      <c r="K292">
        <v>2603.31</v>
      </c>
      <c r="L292">
        <v>0</v>
      </c>
      <c r="M292">
        <v>0</v>
      </c>
      <c r="N292">
        <v>15000</v>
      </c>
    </row>
    <row r="293" spans="1:14">
      <c r="A293" t="s">
        <v>3606</v>
      </c>
      <c r="B293" t="s">
        <v>3623</v>
      </c>
      <c r="C293" t="s">
        <v>275</v>
      </c>
      <c r="D293" t="s">
        <v>276</v>
      </c>
      <c r="E293">
        <v>30590354798</v>
      </c>
      <c r="F293">
        <v>332070.64</v>
      </c>
      <c r="G293">
        <v>0</v>
      </c>
      <c r="H293">
        <v>0</v>
      </c>
      <c r="I293">
        <v>0</v>
      </c>
      <c r="J293">
        <v>0</v>
      </c>
      <c r="K293">
        <v>69734.84</v>
      </c>
      <c r="L293">
        <v>0</v>
      </c>
      <c r="M293">
        <v>0</v>
      </c>
      <c r="N293">
        <v>401805.48</v>
      </c>
    </row>
    <row r="294" spans="1:14">
      <c r="A294" t="s">
        <v>3639</v>
      </c>
      <c r="B294" t="s">
        <v>3653</v>
      </c>
      <c r="C294" t="s">
        <v>884</v>
      </c>
      <c r="D294" t="s">
        <v>123</v>
      </c>
      <c r="E294">
        <v>17198648</v>
      </c>
      <c r="F294">
        <v>8677.68</v>
      </c>
      <c r="G294">
        <v>0</v>
      </c>
      <c r="H294">
        <v>0</v>
      </c>
      <c r="I294">
        <v>0</v>
      </c>
      <c r="J294">
        <v>0</v>
      </c>
      <c r="K294">
        <v>1822.32</v>
      </c>
      <c r="L294">
        <v>0</v>
      </c>
      <c r="M294">
        <v>0</v>
      </c>
      <c r="N294">
        <v>10500</v>
      </c>
    </row>
    <row r="295" spans="1:14">
      <c r="A295" t="s">
        <v>3639</v>
      </c>
      <c r="B295" t="s">
        <v>3654</v>
      </c>
      <c r="C295" t="s">
        <v>360</v>
      </c>
      <c r="D295" t="s">
        <v>123</v>
      </c>
      <c r="E295">
        <v>5804480</v>
      </c>
      <c r="F295">
        <v>7024.79</v>
      </c>
      <c r="G295">
        <v>0</v>
      </c>
      <c r="H295">
        <v>0</v>
      </c>
      <c r="I295">
        <v>0</v>
      </c>
      <c r="J295">
        <v>0</v>
      </c>
      <c r="K295">
        <v>1475.21</v>
      </c>
      <c r="L295">
        <v>0</v>
      </c>
      <c r="M295">
        <v>0</v>
      </c>
      <c r="N295">
        <v>8500</v>
      </c>
    </row>
    <row r="296" spans="1:14">
      <c r="A296" t="s">
        <v>3639</v>
      </c>
      <c r="B296" t="s">
        <v>3655</v>
      </c>
      <c r="C296" t="s">
        <v>298</v>
      </c>
      <c r="D296" t="s">
        <v>123</v>
      </c>
      <c r="E296">
        <v>24448662</v>
      </c>
      <c r="F296">
        <v>7685.95</v>
      </c>
      <c r="G296">
        <v>0</v>
      </c>
      <c r="H296">
        <v>0</v>
      </c>
      <c r="I296">
        <v>0</v>
      </c>
      <c r="J296">
        <v>0</v>
      </c>
      <c r="K296">
        <v>1614.05</v>
      </c>
      <c r="L296">
        <v>0</v>
      </c>
      <c r="M296">
        <v>0</v>
      </c>
      <c r="N296">
        <v>9300</v>
      </c>
    </row>
    <row r="297" spans="1:14">
      <c r="A297" t="s">
        <v>3639</v>
      </c>
      <c r="B297" t="s">
        <v>3656</v>
      </c>
      <c r="C297" t="s">
        <v>3657</v>
      </c>
      <c r="D297" t="s">
        <v>123</v>
      </c>
      <c r="E297">
        <v>3087423</v>
      </c>
      <c r="F297">
        <v>8179.34</v>
      </c>
      <c r="G297">
        <v>0</v>
      </c>
      <c r="H297">
        <v>0</v>
      </c>
      <c r="I297">
        <v>0</v>
      </c>
      <c r="J297">
        <v>0</v>
      </c>
      <c r="K297">
        <v>1717.66</v>
      </c>
      <c r="L297">
        <v>0</v>
      </c>
      <c r="M297">
        <v>0</v>
      </c>
      <c r="N297">
        <v>9897</v>
      </c>
    </row>
    <row r="298" spans="1:14">
      <c r="A298" t="s">
        <v>3658</v>
      </c>
      <c r="B298" t="s">
        <v>3686</v>
      </c>
      <c r="C298" t="s">
        <v>350</v>
      </c>
      <c r="D298" t="s">
        <v>123</v>
      </c>
      <c r="E298">
        <v>21645724</v>
      </c>
      <c r="F298">
        <v>9917.36</v>
      </c>
      <c r="G298">
        <v>0</v>
      </c>
      <c r="H298">
        <v>0</v>
      </c>
      <c r="I298">
        <v>0</v>
      </c>
      <c r="J298">
        <v>0</v>
      </c>
      <c r="K298">
        <v>2082.64</v>
      </c>
      <c r="L298">
        <v>0</v>
      </c>
      <c r="M298">
        <v>0</v>
      </c>
      <c r="N298">
        <v>12000</v>
      </c>
    </row>
    <row r="299" spans="1:14">
      <c r="A299" t="s">
        <v>3658</v>
      </c>
      <c r="B299" t="s">
        <v>3687</v>
      </c>
      <c r="C299" t="s">
        <v>348</v>
      </c>
      <c r="D299" t="s">
        <v>123</v>
      </c>
      <c r="E299">
        <v>26542077</v>
      </c>
      <c r="F299">
        <v>16115.71</v>
      </c>
      <c r="G299">
        <v>0</v>
      </c>
      <c r="H299">
        <v>0</v>
      </c>
      <c r="I299">
        <v>0</v>
      </c>
      <c r="J299">
        <v>0</v>
      </c>
      <c r="K299">
        <v>3384.29</v>
      </c>
      <c r="L299">
        <v>0</v>
      </c>
      <c r="M299">
        <v>0</v>
      </c>
      <c r="N299">
        <v>19500</v>
      </c>
    </row>
    <row r="300" spans="1:14">
      <c r="A300" t="s">
        <v>3658</v>
      </c>
      <c r="B300" t="s">
        <v>3688</v>
      </c>
      <c r="C300" t="s">
        <v>304</v>
      </c>
      <c r="D300" t="s">
        <v>123</v>
      </c>
      <c r="E300">
        <v>93354584</v>
      </c>
      <c r="F300">
        <v>6611.57</v>
      </c>
      <c r="G300">
        <v>0</v>
      </c>
      <c r="H300">
        <v>0</v>
      </c>
      <c r="I300">
        <v>0</v>
      </c>
      <c r="J300">
        <v>0</v>
      </c>
      <c r="K300">
        <v>1388.43</v>
      </c>
      <c r="L300">
        <v>0</v>
      </c>
      <c r="M300">
        <v>0</v>
      </c>
      <c r="N300">
        <v>8000</v>
      </c>
    </row>
    <row r="301" spans="1:14">
      <c r="A301" t="s">
        <v>3658</v>
      </c>
      <c r="B301" t="s">
        <v>3689</v>
      </c>
      <c r="C301" t="s">
        <v>354</v>
      </c>
      <c r="D301" t="s">
        <v>123</v>
      </c>
      <c r="E301">
        <v>382591</v>
      </c>
      <c r="F301">
        <v>7685.95</v>
      </c>
      <c r="G301">
        <v>0</v>
      </c>
      <c r="H301">
        <v>0</v>
      </c>
      <c r="I301">
        <v>0</v>
      </c>
      <c r="J301">
        <v>0</v>
      </c>
      <c r="K301">
        <v>1614.05</v>
      </c>
      <c r="L301">
        <v>0</v>
      </c>
      <c r="M301">
        <v>0</v>
      </c>
      <c r="N301">
        <v>9300</v>
      </c>
    </row>
    <row r="302" spans="1:14">
      <c r="A302" t="s">
        <v>3658</v>
      </c>
      <c r="B302" t="s">
        <v>3690</v>
      </c>
      <c r="C302" t="s">
        <v>765</v>
      </c>
      <c r="D302" t="s">
        <v>123</v>
      </c>
      <c r="E302">
        <v>56980</v>
      </c>
      <c r="F302">
        <v>4958.68</v>
      </c>
      <c r="G302">
        <v>0</v>
      </c>
      <c r="H302">
        <v>0</v>
      </c>
      <c r="I302">
        <v>0</v>
      </c>
      <c r="J302">
        <v>0</v>
      </c>
      <c r="K302">
        <v>1041.32</v>
      </c>
      <c r="L302">
        <v>0</v>
      </c>
      <c r="M302">
        <v>0</v>
      </c>
      <c r="N302">
        <v>6000</v>
      </c>
    </row>
    <row r="303" spans="1:14">
      <c r="A303" t="s">
        <v>3658</v>
      </c>
      <c r="B303" t="s">
        <v>3691</v>
      </c>
      <c r="C303" t="s">
        <v>362</v>
      </c>
      <c r="D303" t="s">
        <v>123</v>
      </c>
      <c r="E303">
        <v>3192296</v>
      </c>
      <c r="F303">
        <v>5950.41</v>
      </c>
      <c r="G303">
        <v>0</v>
      </c>
      <c r="H303">
        <v>0</v>
      </c>
      <c r="I303">
        <v>0</v>
      </c>
      <c r="J303">
        <v>0</v>
      </c>
      <c r="K303">
        <v>1249.5899999999999</v>
      </c>
      <c r="L303">
        <v>0</v>
      </c>
      <c r="M303">
        <v>0</v>
      </c>
      <c r="N303">
        <v>7200</v>
      </c>
    </row>
    <row r="304" spans="1:14">
      <c r="A304" t="s">
        <v>3658</v>
      </c>
      <c r="B304" t="s">
        <v>3692</v>
      </c>
      <c r="C304" t="s">
        <v>364</v>
      </c>
      <c r="D304" t="s">
        <v>123</v>
      </c>
      <c r="E304">
        <v>13211322</v>
      </c>
      <c r="F304">
        <v>5206.6099999999997</v>
      </c>
      <c r="G304">
        <v>0</v>
      </c>
      <c r="H304">
        <v>0</v>
      </c>
      <c r="I304">
        <v>0</v>
      </c>
      <c r="J304">
        <v>0</v>
      </c>
      <c r="K304">
        <v>1093.3900000000001</v>
      </c>
      <c r="L304">
        <v>0</v>
      </c>
      <c r="M304">
        <v>0</v>
      </c>
      <c r="N304">
        <v>6300</v>
      </c>
    </row>
    <row r="305" spans="1:14">
      <c r="A305" t="s">
        <v>3658</v>
      </c>
      <c r="B305" t="s">
        <v>3693</v>
      </c>
      <c r="C305" t="s">
        <v>769</v>
      </c>
      <c r="D305" t="s">
        <v>123</v>
      </c>
      <c r="E305">
        <v>21363216</v>
      </c>
      <c r="F305">
        <v>8264.4600000000009</v>
      </c>
      <c r="G305">
        <v>0</v>
      </c>
      <c r="H305">
        <v>0</v>
      </c>
      <c r="I305">
        <v>0</v>
      </c>
      <c r="J305">
        <v>0</v>
      </c>
      <c r="K305">
        <v>1735.54</v>
      </c>
      <c r="L305">
        <v>0</v>
      </c>
      <c r="M305">
        <v>0</v>
      </c>
      <c r="N305">
        <v>10000</v>
      </c>
    </row>
    <row r="306" spans="1:14">
      <c r="A306" t="s">
        <v>3658</v>
      </c>
      <c r="B306" t="s">
        <v>3694</v>
      </c>
      <c r="C306" t="s">
        <v>3123</v>
      </c>
      <c r="D306" t="s">
        <v>123</v>
      </c>
      <c r="E306">
        <v>8557300</v>
      </c>
      <c r="F306">
        <v>6611.57</v>
      </c>
      <c r="G306">
        <v>0</v>
      </c>
      <c r="H306">
        <v>0</v>
      </c>
      <c r="I306">
        <v>0</v>
      </c>
      <c r="J306">
        <v>0</v>
      </c>
      <c r="K306">
        <v>1388.43</v>
      </c>
      <c r="L306">
        <v>0</v>
      </c>
      <c r="M306">
        <v>0</v>
      </c>
      <c r="N306">
        <v>8000</v>
      </c>
    </row>
    <row r="307" spans="1:14">
      <c r="A307" t="s">
        <v>3658</v>
      </c>
      <c r="B307" t="s">
        <v>3695</v>
      </c>
      <c r="C307" t="s">
        <v>775</v>
      </c>
      <c r="D307" t="s">
        <v>123</v>
      </c>
      <c r="E307">
        <v>20404430</v>
      </c>
      <c r="F307">
        <v>8264.4600000000009</v>
      </c>
      <c r="G307">
        <v>0</v>
      </c>
      <c r="H307">
        <v>0</v>
      </c>
      <c r="I307">
        <v>0</v>
      </c>
      <c r="J307">
        <v>0</v>
      </c>
      <c r="K307">
        <v>1735.54</v>
      </c>
      <c r="L307">
        <v>0</v>
      </c>
      <c r="M307">
        <v>0</v>
      </c>
      <c r="N307">
        <v>10000</v>
      </c>
    </row>
    <row r="308" spans="1:14">
      <c r="A308" t="s">
        <v>3696</v>
      </c>
      <c r="B308" t="s">
        <v>3710</v>
      </c>
      <c r="C308" t="s">
        <v>281</v>
      </c>
      <c r="D308" t="s">
        <v>123</v>
      </c>
      <c r="E308">
        <v>16246667</v>
      </c>
      <c r="F308">
        <v>14462.81</v>
      </c>
      <c r="G308">
        <v>0</v>
      </c>
      <c r="H308">
        <v>0</v>
      </c>
      <c r="I308">
        <v>0</v>
      </c>
      <c r="J308">
        <v>0</v>
      </c>
      <c r="K308">
        <v>3037.19</v>
      </c>
      <c r="L308">
        <v>0</v>
      </c>
      <c r="M308">
        <v>0</v>
      </c>
      <c r="N308">
        <v>17500</v>
      </c>
    </row>
    <row r="309" spans="1:14">
      <c r="A309" t="s">
        <v>3696</v>
      </c>
      <c r="B309" t="s">
        <v>3711</v>
      </c>
      <c r="C309" t="s">
        <v>424</v>
      </c>
      <c r="D309" t="s">
        <v>123</v>
      </c>
      <c r="E309">
        <v>29654556</v>
      </c>
      <c r="F309">
        <v>10743.8</v>
      </c>
      <c r="G309">
        <v>0</v>
      </c>
      <c r="H309">
        <v>0</v>
      </c>
      <c r="I309">
        <v>0</v>
      </c>
      <c r="J309">
        <v>0</v>
      </c>
      <c r="K309">
        <v>2256.2000000000003</v>
      </c>
      <c r="L309">
        <v>0</v>
      </c>
      <c r="M309">
        <v>0</v>
      </c>
      <c r="N309">
        <v>13000</v>
      </c>
    </row>
    <row r="310" spans="1:14">
      <c r="A310" t="s">
        <v>3696</v>
      </c>
      <c r="B310" t="s">
        <v>3712</v>
      </c>
      <c r="C310" t="s">
        <v>379</v>
      </c>
      <c r="D310" t="s">
        <v>123</v>
      </c>
      <c r="E310">
        <v>14123802</v>
      </c>
      <c r="F310">
        <v>15702.47</v>
      </c>
      <c r="G310">
        <v>0</v>
      </c>
      <c r="H310">
        <v>0</v>
      </c>
      <c r="I310">
        <v>0</v>
      </c>
      <c r="J310">
        <v>0</v>
      </c>
      <c r="K310">
        <v>3297.53</v>
      </c>
      <c r="L310">
        <v>0</v>
      </c>
      <c r="M310">
        <v>0</v>
      </c>
      <c r="N310">
        <v>19000</v>
      </c>
    </row>
    <row r="311" spans="1:14">
      <c r="A311" t="s">
        <v>3713</v>
      </c>
      <c r="B311" t="s">
        <v>3728</v>
      </c>
      <c r="C311" t="s">
        <v>2352</v>
      </c>
      <c r="D311" t="s">
        <v>123</v>
      </c>
      <c r="E311">
        <v>93332052</v>
      </c>
      <c r="F311">
        <v>1570.25</v>
      </c>
      <c r="G311">
        <v>0</v>
      </c>
      <c r="H311">
        <v>0</v>
      </c>
      <c r="I311">
        <v>0</v>
      </c>
      <c r="J311">
        <v>0</v>
      </c>
      <c r="K311">
        <v>329.75</v>
      </c>
      <c r="L311">
        <v>0</v>
      </c>
      <c r="M311">
        <v>0</v>
      </c>
      <c r="N311">
        <v>1900</v>
      </c>
    </row>
    <row r="312" spans="1:14">
      <c r="A312" t="s">
        <v>3713</v>
      </c>
      <c r="B312" t="s">
        <v>3729</v>
      </c>
      <c r="C312" t="s">
        <v>1795</v>
      </c>
      <c r="D312" t="s">
        <v>123</v>
      </c>
      <c r="E312">
        <v>42470342</v>
      </c>
      <c r="F312">
        <v>8264.4600000000009</v>
      </c>
      <c r="G312">
        <v>0</v>
      </c>
      <c r="H312">
        <v>0</v>
      </c>
      <c r="I312">
        <v>0</v>
      </c>
      <c r="J312">
        <v>0</v>
      </c>
      <c r="K312">
        <v>1735.54</v>
      </c>
      <c r="L312">
        <v>0</v>
      </c>
      <c r="M312">
        <v>0</v>
      </c>
      <c r="N312">
        <v>10000</v>
      </c>
    </row>
    <row r="313" spans="1:14">
      <c r="A313" t="s">
        <v>3713</v>
      </c>
      <c r="B313" t="s">
        <v>3730</v>
      </c>
      <c r="C313" t="s">
        <v>2243</v>
      </c>
      <c r="D313" t="s">
        <v>123</v>
      </c>
      <c r="E313">
        <v>17275405</v>
      </c>
      <c r="F313">
        <v>16115.7</v>
      </c>
      <c r="G313">
        <v>0</v>
      </c>
      <c r="H313">
        <v>0</v>
      </c>
      <c r="I313">
        <v>0</v>
      </c>
      <c r="J313">
        <v>0</v>
      </c>
      <c r="K313">
        <v>3384.3</v>
      </c>
      <c r="L313">
        <v>0</v>
      </c>
      <c r="M313">
        <v>0</v>
      </c>
      <c r="N313">
        <v>19500</v>
      </c>
    </row>
    <row r="314" spans="1:14">
      <c r="A314" t="s">
        <v>3713</v>
      </c>
      <c r="B314" t="s">
        <v>3731</v>
      </c>
      <c r="C314" t="s">
        <v>2749</v>
      </c>
      <c r="D314" t="s">
        <v>123</v>
      </c>
      <c r="E314">
        <v>27807195</v>
      </c>
      <c r="F314">
        <v>11818.18</v>
      </c>
      <c r="G314">
        <v>0</v>
      </c>
      <c r="H314">
        <v>0</v>
      </c>
      <c r="I314">
        <v>0</v>
      </c>
      <c r="J314">
        <v>0</v>
      </c>
      <c r="K314">
        <v>2481.8200000000002</v>
      </c>
      <c r="L314">
        <v>0</v>
      </c>
      <c r="M314">
        <v>0</v>
      </c>
      <c r="N314">
        <v>14300</v>
      </c>
    </row>
    <row r="315" spans="1:14">
      <c r="A315" t="s">
        <v>3713</v>
      </c>
      <c r="B315" t="s">
        <v>3732</v>
      </c>
      <c r="C315" t="s">
        <v>2639</v>
      </c>
      <c r="D315" t="s">
        <v>123</v>
      </c>
      <c r="E315">
        <v>10373067</v>
      </c>
      <c r="F315">
        <v>24793.39</v>
      </c>
      <c r="G315">
        <v>0</v>
      </c>
      <c r="H315">
        <v>0</v>
      </c>
      <c r="I315">
        <v>0</v>
      </c>
      <c r="J315">
        <v>0</v>
      </c>
      <c r="K315">
        <v>5206.6099999999997</v>
      </c>
      <c r="L315">
        <v>0</v>
      </c>
      <c r="M315">
        <v>0</v>
      </c>
      <c r="N315">
        <v>30000</v>
      </c>
    </row>
    <row r="316" spans="1:14">
      <c r="A316" t="s">
        <v>3713</v>
      </c>
      <c r="B316" t="s">
        <v>3733</v>
      </c>
      <c r="C316" t="s">
        <v>2530</v>
      </c>
      <c r="D316" t="s">
        <v>123</v>
      </c>
      <c r="E316" t="s">
        <v>124</v>
      </c>
      <c r="F316">
        <v>14049.59</v>
      </c>
      <c r="G316">
        <v>0</v>
      </c>
      <c r="H316">
        <v>0</v>
      </c>
      <c r="I316">
        <v>0</v>
      </c>
      <c r="J316">
        <v>0</v>
      </c>
      <c r="K316">
        <v>2950.41</v>
      </c>
      <c r="L316">
        <v>0</v>
      </c>
      <c r="M316">
        <v>0</v>
      </c>
      <c r="N316">
        <v>17000</v>
      </c>
    </row>
    <row r="317" spans="1:14">
      <c r="A317" t="s">
        <v>3713</v>
      </c>
      <c r="B317" t="s">
        <v>3734</v>
      </c>
      <c r="C317" t="s">
        <v>3152</v>
      </c>
      <c r="D317" t="s">
        <v>123</v>
      </c>
      <c r="E317">
        <v>3292785</v>
      </c>
      <c r="F317">
        <v>1272.72</v>
      </c>
      <c r="G317">
        <v>0</v>
      </c>
      <c r="H317">
        <v>0</v>
      </c>
      <c r="I317">
        <v>0</v>
      </c>
      <c r="J317">
        <v>0</v>
      </c>
      <c r="K317">
        <v>267.28000000000003</v>
      </c>
      <c r="L317">
        <v>0</v>
      </c>
      <c r="M317">
        <v>0</v>
      </c>
      <c r="N317">
        <v>1540</v>
      </c>
    </row>
    <row r="318" spans="1:14">
      <c r="A318" t="s">
        <v>3713</v>
      </c>
      <c r="B318" t="s">
        <v>3735</v>
      </c>
      <c r="C318" t="s">
        <v>3154</v>
      </c>
      <c r="D318" t="s">
        <v>123</v>
      </c>
      <c r="E318">
        <v>3213857</v>
      </c>
      <c r="F318">
        <v>3287.61</v>
      </c>
      <c r="G318">
        <v>0</v>
      </c>
      <c r="H318">
        <v>0</v>
      </c>
      <c r="I318">
        <v>0</v>
      </c>
      <c r="J318">
        <v>0</v>
      </c>
      <c r="K318">
        <v>690.39</v>
      </c>
      <c r="L318">
        <v>0</v>
      </c>
      <c r="M318">
        <v>0</v>
      </c>
      <c r="N318">
        <v>3978</v>
      </c>
    </row>
    <row r="319" spans="1:14">
      <c r="A319" t="s">
        <v>3713</v>
      </c>
      <c r="B319" t="s">
        <v>3736</v>
      </c>
      <c r="C319" t="s">
        <v>307</v>
      </c>
      <c r="D319" t="s">
        <v>276</v>
      </c>
      <c r="E319">
        <v>30571766287</v>
      </c>
      <c r="F319">
        <v>45439.26</v>
      </c>
      <c r="G319">
        <v>0</v>
      </c>
      <c r="H319">
        <v>0</v>
      </c>
      <c r="I319">
        <v>0</v>
      </c>
      <c r="J319">
        <v>0</v>
      </c>
      <c r="K319">
        <v>9542.24</v>
      </c>
      <c r="L319">
        <v>0</v>
      </c>
      <c r="M319">
        <v>0</v>
      </c>
      <c r="N319">
        <v>54981.5</v>
      </c>
    </row>
    <row r="320" spans="1:14">
      <c r="A320" t="s">
        <v>3737</v>
      </c>
      <c r="B320" t="s">
        <v>3759</v>
      </c>
      <c r="C320" t="s">
        <v>772</v>
      </c>
      <c r="D320" t="s">
        <v>123</v>
      </c>
      <c r="E320">
        <v>705467</v>
      </c>
      <c r="F320">
        <v>7024.79</v>
      </c>
      <c r="G320">
        <v>0</v>
      </c>
      <c r="H320">
        <v>0</v>
      </c>
      <c r="I320">
        <v>0</v>
      </c>
      <c r="J320">
        <v>0</v>
      </c>
      <c r="K320">
        <v>1475.21</v>
      </c>
      <c r="L320">
        <v>0</v>
      </c>
      <c r="M320">
        <v>0</v>
      </c>
      <c r="N320">
        <v>8500</v>
      </c>
    </row>
    <row r="321" spans="1:14">
      <c r="A321" t="s">
        <v>3737</v>
      </c>
      <c r="B321" t="s">
        <v>3760</v>
      </c>
      <c r="C321" t="s">
        <v>406</v>
      </c>
      <c r="D321" t="s">
        <v>123</v>
      </c>
      <c r="E321">
        <v>12791306</v>
      </c>
      <c r="F321">
        <v>9917.36</v>
      </c>
      <c r="G321">
        <v>0</v>
      </c>
      <c r="H321">
        <v>0</v>
      </c>
      <c r="I321">
        <v>0</v>
      </c>
      <c r="J321">
        <v>0</v>
      </c>
      <c r="K321">
        <v>2082.64</v>
      </c>
      <c r="L321">
        <v>0</v>
      </c>
      <c r="M321">
        <v>0</v>
      </c>
      <c r="N321">
        <v>12000</v>
      </c>
    </row>
    <row r="322" spans="1:14">
      <c r="A322" t="s">
        <v>3737</v>
      </c>
      <c r="B322" t="s">
        <v>3761</v>
      </c>
      <c r="C322" t="s">
        <v>1547</v>
      </c>
      <c r="D322" t="s">
        <v>123</v>
      </c>
      <c r="E322">
        <v>14547747</v>
      </c>
      <c r="F322">
        <v>10743.8</v>
      </c>
      <c r="G322">
        <v>0</v>
      </c>
      <c r="H322">
        <v>0</v>
      </c>
      <c r="I322">
        <v>0</v>
      </c>
      <c r="J322">
        <v>0</v>
      </c>
      <c r="K322">
        <v>2256.2000000000003</v>
      </c>
      <c r="L322">
        <v>0</v>
      </c>
      <c r="M322">
        <v>0</v>
      </c>
      <c r="N322">
        <v>13000</v>
      </c>
    </row>
    <row r="323" spans="1:14">
      <c r="A323" t="s">
        <v>3762</v>
      </c>
      <c r="B323" t="s">
        <v>3788</v>
      </c>
      <c r="C323" t="s">
        <v>335</v>
      </c>
      <c r="D323" t="s">
        <v>123</v>
      </c>
      <c r="E323">
        <v>902191</v>
      </c>
      <c r="F323">
        <v>6198.35</v>
      </c>
      <c r="G323">
        <v>0</v>
      </c>
      <c r="H323">
        <v>0</v>
      </c>
      <c r="I323">
        <v>0</v>
      </c>
      <c r="J323">
        <v>0</v>
      </c>
      <c r="K323">
        <v>1301.6500000000001</v>
      </c>
      <c r="L323">
        <v>0</v>
      </c>
      <c r="M323">
        <v>0</v>
      </c>
      <c r="N323">
        <v>7500</v>
      </c>
    </row>
    <row r="324" spans="1:14">
      <c r="A324" t="s">
        <v>3762</v>
      </c>
      <c r="B324" t="s">
        <v>3789</v>
      </c>
      <c r="C324" t="s">
        <v>348</v>
      </c>
      <c r="D324" t="s">
        <v>123</v>
      </c>
      <c r="E324">
        <v>26542077</v>
      </c>
      <c r="F324">
        <v>12644.63</v>
      </c>
      <c r="G324">
        <v>0</v>
      </c>
      <c r="H324">
        <v>0</v>
      </c>
      <c r="I324">
        <v>0</v>
      </c>
      <c r="J324">
        <v>0</v>
      </c>
      <c r="K324">
        <v>2655.37</v>
      </c>
      <c r="L324">
        <v>0</v>
      </c>
      <c r="M324">
        <v>0</v>
      </c>
      <c r="N324">
        <v>15300</v>
      </c>
    </row>
    <row r="325" spans="1:14">
      <c r="A325" t="s">
        <v>3790</v>
      </c>
      <c r="B325" t="s">
        <v>3794</v>
      </c>
      <c r="C325" t="s">
        <v>854</v>
      </c>
      <c r="D325" t="s">
        <v>123</v>
      </c>
      <c r="E325">
        <v>24699538</v>
      </c>
      <c r="F325">
        <v>9504.130000000001</v>
      </c>
      <c r="G325">
        <v>0</v>
      </c>
      <c r="H325">
        <v>0</v>
      </c>
      <c r="I325">
        <v>0</v>
      </c>
      <c r="J325">
        <v>0</v>
      </c>
      <c r="K325">
        <v>1995.87</v>
      </c>
      <c r="L325">
        <v>0</v>
      </c>
      <c r="M325">
        <v>0</v>
      </c>
      <c r="N325">
        <v>11500</v>
      </c>
    </row>
    <row r="326" spans="1:14">
      <c r="A326" t="s">
        <v>3790</v>
      </c>
      <c r="B326" t="s">
        <v>3795</v>
      </c>
      <c r="C326" t="s">
        <v>122</v>
      </c>
      <c r="D326" t="s">
        <v>123</v>
      </c>
      <c r="E326" t="s">
        <v>124</v>
      </c>
      <c r="F326">
        <v>11818.18</v>
      </c>
      <c r="G326">
        <v>0</v>
      </c>
      <c r="H326">
        <v>0</v>
      </c>
      <c r="I326">
        <v>0</v>
      </c>
      <c r="J326">
        <v>0</v>
      </c>
      <c r="K326">
        <v>2481.8200000000002</v>
      </c>
      <c r="L326">
        <v>0</v>
      </c>
      <c r="M326">
        <v>0</v>
      </c>
      <c r="N326">
        <v>14300</v>
      </c>
    </row>
    <row r="327" spans="1:14">
      <c r="A327" t="s">
        <v>3840</v>
      </c>
      <c r="B327" t="s">
        <v>3850</v>
      </c>
      <c r="C327" t="s">
        <v>302</v>
      </c>
      <c r="D327" t="s">
        <v>123</v>
      </c>
      <c r="E327">
        <v>4648296</v>
      </c>
      <c r="F327">
        <v>8677.69</v>
      </c>
      <c r="G327">
        <v>0</v>
      </c>
      <c r="H327">
        <v>0</v>
      </c>
      <c r="I327">
        <v>0</v>
      </c>
      <c r="J327">
        <v>0</v>
      </c>
      <c r="K327">
        <v>1822.31</v>
      </c>
      <c r="L327">
        <v>0</v>
      </c>
      <c r="M327">
        <v>0</v>
      </c>
      <c r="N327">
        <v>10500</v>
      </c>
    </row>
    <row r="328" spans="1:14">
      <c r="A328" t="s">
        <v>3840</v>
      </c>
      <c r="B328" t="s">
        <v>3851</v>
      </c>
      <c r="C328" t="s">
        <v>286</v>
      </c>
      <c r="D328" t="s">
        <v>123</v>
      </c>
      <c r="E328">
        <v>10138957</v>
      </c>
      <c r="F328">
        <v>7024.79</v>
      </c>
      <c r="G328">
        <v>0</v>
      </c>
      <c r="H328">
        <v>0</v>
      </c>
      <c r="I328">
        <v>0</v>
      </c>
      <c r="J328">
        <v>0</v>
      </c>
      <c r="K328">
        <v>1475.21</v>
      </c>
      <c r="L328">
        <v>0</v>
      </c>
      <c r="M328">
        <v>0</v>
      </c>
      <c r="N328">
        <v>8500</v>
      </c>
    </row>
    <row r="329" spans="1:14">
      <c r="A329" t="s">
        <v>3840</v>
      </c>
      <c r="B329" t="s">
        <v>3852</v>
      </c>
      <c r="C329" t="s">
        <v>358</v>
      </c>
      <c r="D329" t="s">
        <v>123</v>
      </c>
      <c r="E329">
        <v>93195134</v>
      </c>
      <c r="F329">
        <v>5743.8</v>
      </c>
      <c r="G329">
        <v>0</v>
      </c>
      <c r="H329">
        <v>0</v>
      </c>
      <c r="I329">
        <v>0</v>
      </c>
      <c r="J329">
        <v>0</v>
      </c>
      <c r="K329">
        <v>1206.2</v>
      </c>
      <c r="L329">
        <v>0</v>
      </c>
      <c r="M329">
        <v>0</v>
      </c>
      <c r="N329">
        <v>6950</v>
      </c>
    </row>
    <row r="330" spans="1:14">
      <c r="A330" t="s">
        <v>3840</v>
      </c>
      <c r="B330" t="s">
        <v>3853</v>
      </c>
      <c r="C330" t="s">
        <v>375</v>
      </c>
      <c r="D330" t="s">
        <v>123</v>
      </c>
      <c r="E330">
        <v>22990821</v>
      </c>
      <c r="F330">
        <v>9917.36</v>
      </c>
      <c r="G330">
        <v>0</v>
      </c>
      <c r="H330">
        <v>0</v>
      </c>
      <c r="I330">
        <v>0</v>
      </c>
      <c r="J330">
        <v>0</v>
      </c>
      <c r="K330">
        <v>2082.64</v>
      </c>
      <c r="L330">
        <v>0</v>
      </c>
      <c r="M330">
        <v>0</v>
      </c>
      <c r="N330">
        <v>12000</v>
      </c>
    </row>
    <row r="331" spans="1:14">
      <c r="A331" t="s">
        <v>3840</v>
      </c>
      <c r="B331" t="s">
        <v>3854</v>
      </c>
      <c r="C331" t="s">
        <v>354</v>
      </c>
      <c r="D331" t="s">
        <v>123</v>
      </c>
      <c r="E331">
        <v>382591</v>
      </c>
      <c r="F331">
        <v>7272.72</v>
      </c>
      <c r="G331">
        <v>0</v>
      </c>
      <c r="H331">
        <v>0</v>
      </c>
      <c r="I331">
        <v>0</v>
      </c>
      <c r="J331">
        <v>0</v>
      </c>
      <c r="K331">
        <v>1527.28</v>
      </c>
      <c r="L331">
        <v>0</v>
      </c>
      <c r="M331">
        <v>0</v>
      </c>
      <c r="N331">
        <v>8800</v>
      </c>
    </row>
    <row r="332" spans="1:14">
      <c r="A332" t="s">
        <v>3840</v>
      </c>
      <c r="B332" t="s">
        <v>3855</v>
      </c>
      <c r="C332" t="s">
        <v>379</v>
      </c>
      <c r="D332" t="s">
        <v>123</v>
      </c>
      <c r="E332">
        <v>14123802</v>
      </c>
      <c r="F332">
        <v>7851.24</v>
      </c>
      <c r="G332">
        <v>0</v>
      </c>
      <c r="H332">
        <v>0</v>
      </c>
      <c r="I332">
        <v>0</v>
      </c>
      <c r="J332">
        <v>0</v>
      </c>
      <c r="K332">
        <v>1648.76</v>
      </c>
      <c r="L332">
        <v>0</v>
      </c>
      <c r="M332">
        <v>0</v>
      </c>
      <c r="N332">
        <v>9500</v>
      </c>
    </row>
    <row r="333" spans="1:14">
      <c r="A333" t="s">
        <v>3840</v>
      </c>
      <c r="B333" t="s">
        <v>3856</v>
      </c>
      <c r="C333" t="s">
        <v>1599</v>
      </c>
      <c r="D333" t="s">
        <v>123</v>
      </c>
      <c r="E333">
        <v>17814995</v>
      </c>
      <c r="F333">
        <v>8264.4699999999993</v>
      </c>
      <c r="G333">
        <v>0</v>
      </c>
      <c r="H333">
        <v>0</v>
      </c>
      <c r="I333">
        <v>0</v>
      </c>
      <c r="J333">
        <v>0</v>
      </c>
      <c r="K333">
        <v>1735.53</v>
      </c>
      <c r="L333">
        <v>0</v>
      </c>
      <c r="M333">
        <v>0</v>
      </c>
      <c r="N333">
        <v>10000</v>
      </c>
    </row>
    <row r="334" spans="1:14">
      <c r="A334" t="s">
        <v>3869</v>
      </c>
      <c r="B334" t="s">
        <v>3885</v>
      </c>
      <c r="C334" t="s">
        <v>122</v>
      </c>
      <c r="D334" t="s">
        <v>123</v>
      </c>
      <c r="E334" t="s">
        <v>124</v>
      </c>
      <c r="F334">
        <v>52066.12</v>
      </c>
      <c r="G334">
        <v>0</v>
      </c>
      <c r="H334">
        <v>0</v>
      </c>
      <c r="I334">
        <v>0</v>
      </c>
      <c r="J334">
        <v>0</v>
      </c>
      <c r="K334">
        <v>10933.88</v>
      </c>
      <c r="L334">
        <v>0</v>
      </c>
      <c r="M334">
        <v>0</v>
      </c>
      <c r="N334">
        <v>63000</v>
      </c>
    </row>
    <row r="335" spans="1:14">
      <c r="A335" t="s">
        <v>3869</v>
      </c>
      <c r="B335" t="s">
        <v>3886</v>
      </c>
      <c r="C335" t="s">
        <v>298</v>
      </c>
      <c r="D335" t="s">
        <v>123</v>
      </c>
      <c r="E335">
        <v>24448662</v>
      </c>
      <c r="F335">
        <v>8842.98</v>
      </c>
      <c r="G335">
        <v>0</v>
      </c>
      <c r="H335">
        <v>0</v>
      </c>
      <c r="I335">
        <v>0</v>
      </c>
      <c r="J335">
        <v>0</v>
      </c>
      <c r="K335">
        <v>1857.02</v>
      </c>
      <c r="L335">
        <v>0</v>
      </c>
      <c r="M335">
        <v>0</v>
      </c>
      <c r="N335">
        <v>10700</v>
      </c>
    </row>
    <row r="336" spans="1:14">
      <c r="A336" t="s">
        <v>3869</v>
      </c>
      <c r="B336" t="s">
        <v>3887</v>
      </c>
      <c r="C336" t="s">
        <v>331</v>
      </c>
      <c r="D336" t="s">
        <v>276</v>
      </c>
      <c r="E336">
        <v>30685228501</v>
      </c>
      <c r="F336">
        <v>425206.61</v>
      </c>
      <c r="G336">
        <v>0</v>
      </c>
      <c r="H336">
        <v>0</v>
      </c>
      <c r="I336">
        <v>0</v>
      </c>
      <c r="J336">
        <v>0</v>
      </c>
      <c r="K336">
        <v>89293.39</v>
      </c>
      <c r="L336">
        <v>0</v>
      </c>
      <c r="M336">
        <v>0</v>
      </c>
      <c r="N336">
        <v>514500</v>
      </c>
    </row>
    <row r="337" spans="1:14">
      <c r="A337" t="s">
        <v>3869</v>
      </c>
      <c r="B337" t="s">
        <v>3888</v>
      </c>
      <c r="C337" t="s">
        <v>3889</v>
      </c>
      <c r="D337" t="s">
        <v>276</v>
      </c>
      <c r="E337">
        <v>30714861537</v>
      </c>
      <c r="F337">
        <v>21942.15</v>
      </c>
      <c r="G337">
        <v>0</v>
      </c>
      <c r="H337">
        <v>0</v>
      </c>
      <c r="I337">
        <v>0</v>
      </c>
      <c r="J337">
        <v>0</v>
      </c>
      <c r="K337">
        <v>4607.8500000000004</v>
      </c>
      <c r="L337">
        <v>0</v>
      </c>
      <c r="M337">
        <v>0</v>
      </c>
      <c r="N337">
        <v>26550</v>
      </c>
    </row>
    <row r="338" spans="1:14">
      <c r="A338" t="s">
        <v>3869</v>
      </c>
      <c r="B338" t="s">
        <v>3890</v>
      </c>
      <c r="C338" t="s">
        <v>348</v>
      </c>
      <c r="D338" t="s">
        <v>123</v>
      </c>
      <c r="E338">
        <v>26542077</v>
      </c>
      <c r="F338">
        <v>16115.71</v>
      </c>
      <c r="G338">
        <v>0</v>
      </c>
      <c r="H338">
        <v>0</v>
      </c>
      <c r="I338">
        <v>0</v>
      </c>
      <c r="J338">
        <v>0</v>
      </c>
      <c r="K338">
        <v>3384.29</v>
      </c>
      <c r="L338">
        <v>0</v>
      </c>
      <c r="M338">
        <v>0</v>
      </c>
      <c r="N338">
        <v>19500</v>
      </c>
    </row>
    <row r="339" spans="1:14">
      <c r="A339" t="s">
        <v>3869</v>
      </c>
      <c r="B339" t="s">
        <v>3891</v>
      </c>
      <c r="C339" t="s">
        <v>431</v>
      </c>
      <c r="D339" t="s">
        <v>123</v>
      </c>
      <c r="E339" t="s">
        <v>124</v>
      </c>
      <c r="F339">
        <v>26033.06</v>
      </c>
      <c r="G339">
        <v>0</v>
      </c>
      <c r="H339">
        <v>0</v>
      </c>
      <c r="I339">
        <v>0</v>
      </c>
      <c r="J339">
        <v>0</v>
      </c>
      <c r="K339">
        <v>5466.94</v>
      </c>
      <c r="L339">
        <v>0</v>
      </c>
      <c r="M339">
        <v>0</v>
      </c>
      <c r="N339">
        <v>31500</v>
      </c>
    </row>
    <row r="340" spans="1:14">
      <c r="A340" t="s">
        <v>3924</v>
      </c>
      <c r="B340" t="s">
        <v>3927</v>
      </c>
      <c r="C340" t="s">
        <v>399</v>
      </c>
      <c r="D340" t="s">
        <v>123</v>
      </c>
      <c r="E340" t="s">
        <v>124</v>
      </c>
      <c r="F340">
        <v>24793.39</v>
      </c>
      <c r="G340">
        <v>0</v>
      </c>
      <c r="H340">
        <v>0</v>
      </c>
      <c r="I340">
        <v>0</v>
      </c>
      <c r="J340">
        <v>0</v>
      </c>
      <c r="K340">
        <v>5206.6099999999997</v>
      </c>
      <c r="L340">
        <v>0</v>
      </c>
      <c r="M340">
        <v>0</v>
      </c>
      <c r="N340">
        <v>30000</v>
      </c>
    </row>
    <row r="341" spans="1:14">
      <c r="A341" t="s">
        <v>3924</v>
      </c>
      <c r="B341" t="s">
        <v>3928</v>
      </c>
      <c r="C341" t="s">
        <v>428</v>
      </c>
      <c r="D341" t="s">
        <v>123</v>
      </c>
      <c r="E341">
        <v>30206585</v>
      </c>
      <c r="F341">
        <v>7272.72</v>
      </c>
      <c r="G341">
        <v>0</v>
      </c>
      <c r="H341">
        <v>0</v>
      </c>
      <c r="I341">
        <v>0</v>
      </c>
      <c r="J341">
        <v>0</v>
      </c>
      <c r="K341">
        <v>1527.28</v>
      </c>
      <c r="L341">
        <v>0</v>
      </c>
      <c r="M341">
        <v>0</v>
      </c>
      <c r="N341">
        <v>8800</v>
      </c>
    </row>
    <row r="342" spans="1:14">
      <c r="A342" t="s">
        <v>3924</v>
      </c>
      <c r="B342" t="s">
        <v>3929</v>
      </c>
      <c r="C342" t="s">
        <v>426</v>
      </c>
      <c r="D342" t="s">
        <v>123</v>
      </c>
      <c r="E342">
        <v>28692323</v>
      </c>
      <c r="F342">
        <v>17107.439999999999</v>
      </c>
      <c r="G342">
        <v>0</v>
      </c>
      <c r="H342">
        <v>0</v>
      </c>
      <c r="I342">
        <v>0</v>
      </c>
      <c r="J342">
        <v>0</v>
      </c>
      <c r="K342">
        <v>3592.56</v>
      </c>
      <c r="L342">
        <v>0</v>
      </c>
      <c r="M342">
        <v>0</v>
      </c>
      <c r="N342">
        <v>20700</v>
      </c>
    </row>
    <row r="343" spans="1:14">
      <c r="A343" t="s">
        <v>3924</v>
      </c>
      <c r="B343" t="s">
        <v>3930</v>
      </c>
      <c r="C343" t="s">
        <v>802</v>
      </c>
      <c r="D343" t="s">
        <v>123</v>
      </c>
      <c r="E343">
        <v>37904748</v>
      </c>
      <c r="F343">
        <v>11157.02</v>
      </c>
      <c r="G343">
        <v>0</v>
      </c>
      <c r="H343">
        <v>0</v>
      </c>
      <c r="I343">
        <v>0</v>
      </c>
      <c r="J343">
        <v>0</v>
      </c>
      <c r="K343">
        <v>2342.98</v>
      </c>
      <c r="L343">
        <v>0</v>
      </c>
      <c r="M343">
        <v>0</v>
      </c>
      <c r="N343">
        <v>13500</v>
      </c>
    </row>
    <row r="344" spans="1:14">
      <c r="A344" t="s">
        <v>3924</v>
      </c>
      <c r="B344" t="s">
        <v>3931</v>
      </c>
      <c r="C344" t="s">
        <v>1125</v>
      </c>
      <c r="D344" t="s">
        <v>123</v>
      </c>
      <c r="E344">
        <v>8607637</v>
      </c>
      <c r="F344">
        <v>20933.13</v>
      </c>
      <c r="G344">
        <v>0</v>
      </c>
      <c r="H344">
        <v>0</v>
      </c>
      <c r="I344">
        <v>0</v>
      </c>
      <c r="J344">
        <v>0</v>
      </c>
      <c r="K344">
        <v>4395.97</v>
      </c>
      <c r="L344">
        <v>0</v>
      </c>
      <c r="M344">
        <v>0</v>
      </c>
      <c r="N344">
        <v>25329.1</v>
      </c>
    </row>
    <row r="345" spans="1:14">
      <c r="A345" t="s">
        <v>3924</v>
      </c>
      <c r="B345" t="s">
        <v>3932</v>
      </c>
      <c r="C345" t="s">
        <v>1882</v>
      </c>
      <c r="D345" t="s">
        <v>123</v>
      </c>
      <c r="E345">
        <v>25864351</v>
      </c>
      <c r="F345">
        <v>11818.18</v>
      </c>
      <c r="G345">
        <v>0</v>
      </c>
      <c r="H345">
        <v>0</v>
      </c>
      <c r="I345">
        <v>0</v>
      </c>
      <c r="J345">
        <v>0</v>
      </c>
      <c r="K345">
        <v>2481.8200000000002</v>
      </c>
      <c r="L345">
        <v>0</v>
      </c>
      <c r="M345">
        <v>0</v>
      </c>
      <c r="N345">
        <v>14300</v>
      </c>
    </row>
    <row r="346" spans="1:14">
      <c r="A346" t="s">
        <v>3924</v>
      </c>
      <c r="B346" t="s">
        <v>3933</v>
      </c>
      <c r="C346" t="s">
        <v>1125</v>
      </c>
      <c r="D346" t="s">
        <v>123</v>
      </c>
      <c r="E346">
        <v>8607637</v>
      </c>
      <c r="F346">
        <v>20909.09</v>
      </c>
      <c r="G346">
        <v>0</v>
      </c>
      <c r="H346">
        <v>0</v>
      </c>
      <c r="I346">
        <v>0</v>
      </c>
      <c r="J346">
        <v>0</v>
      </c>
      <c r="K346">
        <v>4390.91</v>
      </c>
      <c r="L346">
        <v>0</v>
      </c>
      <c r="M346">
        <v>0</v>
      </c>
      <c r="N346">
        <v>25300</v>
      </c>
    </row>
    <row r="347" spans="1:14">
      <c r="A347" t="s">
        <v>3639</v>
      </c>
      <c r="B347" t="s">
        <v>3640</v>
      </c>
      <c r="C347" t="s">
        <v>122</v>
      </c>
      <c r="D347" t="s">
        <v>123</v>
      </c>
      <c r="E347" t="s">
        <v>124</v>
      </c>
      <c r="F347">
        <v>-8264.4600000000009</v>
      </c>
      <c r="G347">
        <v>0</v>
      </c>
      <c r="H347">
        <v>0</v>
      </c>
      <c r="I347">
        <v>0</v>
      </c>
      <c r="J347">
        <v>0</v>
      </c>
      <c r="K347">
        <v>-1735.54</v>
      </c>
      <c r="L347">
        <v>0</v>
      </c>
      <c r="M347">
        <v>0</v>
      </c>
      <c r="N347">
        <v>-10000</v>
      </c>
    </row>
    <row r="348" spans="1:14">
      <c r="A348" t="s">
        <v>3803</v>
      </c>
      <c r="B348" t="s">
        <v>3804</v>
      </c>
      <c r="C348" t="s">
        <v>122</v>
      </c>
      <c r="D348" t="s">
        <v>123</v>
      </c>
      <c r="E348" t="s">
        <v>124</v>
      </c>
      <c r="F348">
        <v>-23553.72</v>
      </c>
      <c r="G348">
        <v>0</v>
      </c>
      <c r="H348">
        <v>0</v>
      </c>
      <c r="I348">
        <v>0</v>
      </c>
      <c r="J348">
        <v>0</v>
      </c>
      <c r="K348">
        <v>-4946.28</v>
      </c>
      <c r="L348">
        <v>0</v>
      </c>
      <c r="M348">
        <v>0</v>
      </c>
      <c r="N348">
        <v>-28500</v>
      </c>
    </row>
    <row r="349" spans="1:14">
      <c r="A349" t="s">
        <v>3924</v>
      </c>
      <c r="B349" t="s">
        <v>3926</v>
      </c>
      <c r="C349" t="s">
        <v>1125</v>
      </c>
      <c r="D349" t="s">
        <v>123</v>
      </c>
      <c r="E349">
        <v>8607637</v>
      </c>
      <c r="F349">
        <v>-20933.13</v>
      </c>
      <c r="G349">
        <v>0</v>
      </c>
      <c r="H349">
        <v>0</v>
      </c>
      <c r="I349">
        <v>0</v>
      </c>
      <c r="J349">
        <v>0</v>
      </c>
      <c r="K349">
        <v>-4395.97</v>
      </c>
      <c r="L349">
        <v>0</v>
      </c>
      <c r="M349">
        <v>0</v>
      </c>
      <c r="N349">
        <v>-25329.1</v>
      </c>
    </row>
    <row r="350" spans="1:14">
      <c r="A350" s="146"/>
      <c r="B350" s="146"/>
      <c r="C350" s="146"/>
      <c r="D350" s="146"/>
      <c r="E350" s="146"/>
      <c r="F350" s="143">
        <v>5300309.0599999996</v>
      </c>
      <c r="G350" s="143"/>
      <c r="H350" s="143"/>
      <c r="I350" s="143"/>
      <c r="J350" s="143"/>
      <c r="K350" s="143">
        <v>1113064.92</v>
      </c>
      <c r="L350" s="143"/>
      <c r="M350" s="143"/>
      <c r="N350" s="143">
        <v>6413373.9800000004</v>
      </c>
    </row>
    <row r="354" spans="10:13">
      <c r="J354" s="122" t="s">
        <v>3077</v>
      </c>
      <c r="K354" s="123">
        <f>F68</f>
        <v>95450257.820000038</v>
      </c>
      <c r="L354" s="123">
        <f>K68</f>
        <v>20044554.149999999</v>
      </c>
      <c r="M354" s="123">
        <f>N68</f>
        <v>115494811.97000001</v>
      </c>
    </row>
    <row r="355" spans="10:13">
      <c r="J355" s="122" t="s">
        <v>3078</v>
      </c>
      <c r="K355" s="123">
        <f>F350</f>
        <v>5300309.0599999996</v>
      </c>
      <c r="L355" s="123">
        <f>K350</f>
        <v>1113064.92</v>
      </c>
      <c r="M355" s="123">
        <f>N350</f>
        <v>6413373.9800000004</v>
      </c>
    </row>
    <row r="356" spans="10:13">
      <c r="J356" s="144" t="s">
        <v>3079</v>
      </c>
      <c r="K356" s="145">
        <f>SUM(K354:K355)</f>
        <v>100750566.88000004</v>
      </c>
      <c r="L356" s="145">
        <f>SUM(L354:L355)</f>
        <v>21157619.07</v>
      </c>
      <c r="M356" s="145">
        <f>SUM(M354:M355)</f>
        <v>121908185.95000002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tabSelected="1" topLeftCell="A255" workbookViewId="0">
      <selection activeCell="I301" sqref="I301"/>
    </sheetView>
  </sheetViews>
  <sheetFormatPr baseColWidth="10" defaultRowHeight="15"/>
  <cols>
    <col min="2" max="2" width="15.28515625" customWidth="1"/>
    <col min="4" max="4" width="11.85546875" customWidth="1"/>
    <col min="5" max="5" width="13.140625" customWidth="1"/>
    <col min="6" max="6" width="15.5703125" style="48" bestFit="1" customWidth="1"/>
    <col min="7" max="7" width="13.5703125" style="48" customWidth="1"/>
    <col min="8" max="8" width="11.5703125" style="48" bestFit="1" customWidth="1"/>
    <col min="9" max="9" width="16.140625" style="48" customWidth="1"/>
    <col min="10" max="10" width="14.42578125" style="48" customWidth="1"/>
    <col min="11" max="11" width="16.7109375" style="48" customWidth="1"/>
    <col min="12" max="12" width="11.5703125" style="48" bestFit="1" customWidth="1"/>
    <col min="13" max="13" width="11.85546875" style="48" customWidth="1"/>
    <col min="14" max="14" width="16" style="48" bestFit="1" customWidth="1"/>
  </cols>
  <sheetData>
    <row r="1" spans="1:14" ht="18">
      <c r="A1" s="155" t="s">
        <v>4256</v>
      </c>
      <c r="B1" s="142"/>
      <c r="C1" s="142"/>
      <c r="D1" s="142"/>
      <c r="E1" s="142"/>
    </row>
    <row r="2" spans="1:14" ht="15.75">
      <c r="A2" s="156" t="s">
        <v>2587</v>
      </c>
      <c r="B2" s="142"/>
      <c r="C2" s="142"/>
      <c r="D2" s="142"/>
      <c r="E2" s="142"/>
    </row>
    <row r="5" spans="1:14" ht="15.75" thickBot="1">
      <c r="A5" s="151" t="s">
        <v>0</v>
      </c>
      <c r="B5" s="152" t="s">
        <v>1</v>
      </c>
      <c r="C5" s="152" t="s">
        <v>2</v>
      </c>
      <c r="D5" s="152" t="s">
        <v>3</v>
      </c>
      <c r="E5" s="152" t="s">
        <v>4</v>
      </c>
      <c r="F5" s="168" t="s">
        <v>5</v>
      </c>
      <c r="G5" s="168" t="s">
        <v>6</v>
      </c>
      <c r="H5" s="168" t="s">
        <v>7</v>
      </c>
      <c r="I5" s="168" t="s">
        <v>8</v>
      </c>
      <c r="J5" s="168" t="s">
        <v>9</v>
      </c>
      <c r="K5" s="168" t="s">
        <v>10</v>
      </c>
      <c r="L5" s="168" t="s">
        <v>11</v>
      </c>
      <c r="M5" s="168" t="s">
        <v>12</v>
      </c>
      <c r="N5" s="169" t="s">
        <v>13</v>
      </c>
    </row>
    <row r="6" spans="1:14">
      <c r="A6" s="149" t="s">
        <v>3944</v>
      </c>
      <c r="B6" s="147" t="s">
        <v>3945</v>
      </c>
      <c r="C6" s="147" t="s">
        <v>122</v>
      </c>
      <c r="D6" s="147" t="s">
        <v>123</v>
      </c>
      <c r="E6" s="147" t="s">
        <v>124</v>
      </c>
      <c r="F6" s="170">
        <v>23636.36</v>
      </c>
      <c r="G6" s="170">
        <v>0</v>
      </c>
      <c r="H6" s="170">
        <v>0</v>
      </c>
      <c r="I6" s="170">
        <v>0</v>
      </c>
      <c r="J6" s="170">
        <v>0</v>
      </c>
      <c r="K6" s="170">
        <v>4963.6400000000003</v>
      </c>
      <c r="L6" s="170">
        <v>0</v>
      </c>
      <c r="M6" s="170">
        <v>0</v>
      </c>
      <c r="N6" s="171">
        <v>28600</v>
      </c>
    </row>
    <row r="7" spans="1:14">
      <c r="A7" s="150" t="s">
        <v>3944</v>
      </c>
      <c r="B7" s="148" t="s">
        <v>3946</v>
      </c>
      <c r="C7" s="148" t="s">
        <v>122</v>
      </c>
      <c r="D7" s="148" t="s">
        <v>123</v>
      </c>
      <c r="E7" s="148" t="s">
        <v>124</v>
      </c>
      <c r="F7" s="172">
        <v>8181.8200000000006</v>
      </c>
      <c r="G7" s="172">
        <v>0</v>
      </c>
      <c r="H7" s="172">
        <v>0</v>
      </c>
      <c r="I7" s="172">
        <v>0</v>
      </c>
      <c r="J7" s="172">
        <v>0</v>
      </c>
      <c r="K7" s="172">
        <v>1718.18</v>
      </c>
      <c r="L7" s="172">
        <v>0</v>
      </c>
      <c r="M7" s="172">
        <v>0</v>
      </c>
      <c r="N7" s="173">
        <v>9900</v>
      </c>
    </row>
    <row r="8" spans="1:14">
      <c r="A8" s="149" t="s">
        <v>3944</v>
      </c>
      <c r="B8" s="147" t="s">
        <v>3947</v>
      </c>
      <c r="C8" s="147" t="s">
        <v>122</v>
      </c>
      <c r="D8" s="147" t="s">
        <v>123</v>
      </c>
      <c r="E8" s="147" t="s">
        <v>124</v>
      </c>
      <c r="F8" s="170">
        <v>11446.28</v>
      </c>
      <c r="G8" s="170">
        <v>0</v>
      </c>
      <c r="H8" s="170">
        <v>0</v>
      </c>
      <c r="I8" s="170">
        <v>0</v>
      </c>
      <c r="J8" s="170">
        <v>0</v>
      </c>
      <c r="K8" s="170">
        <v>2403.7200000000003</v>
      </c>
      <c r="L8" s="170">
        <v>0</v>
      </c>
      <c r="M8" s="170">
        <v>0</v>
      </c>
      <c r="N8" s="171">
        <v>13850</v>
      </c>
    </row>
    <row r="9" spans="1:14">
      <c r="A9" s="150" t="s">
        <v>3948</v>
      </c>
      <c r="B9" s="148" t="s">
        <v>3949</v>
      </c>
      <c r="C9" s="148" t="s">
        <v>122</v>
      </c>
      <c r="D9" s="148" t="s">
        <v>123</v>
      </c>
      <c r="E9" s="148" t="s">
        <v>124</v>
      </c>
      <c r="F9" s="172">
        <v>7190.08</v>
      </c>
      <c r="G9" s="172">
        <v>0</v>
      </c>
      <c r="H9" s="172">
        <v>0</v>
      </c>
      <c r="I9" s="172">
        <v>0</v>
      </c>
      <c r="J9" s="172">
        <v>0</v>
      </c>
      <c r="K9" s="172">
        <v>1509.92</v>
      </c>
      <c r="L9" s="172">
        <v>0</v>
      </c>
      <c r="M9" s="172">
        <v>0</v>
      </c>
      <c r="N9" s="173">
        <v>8700</v>
      </c>
    </row>
    <row r="10" spans="1:14">
      <c r="A10" s="149" t="s">
        <v>3948</v>
      </c>
      <c r="B10" s="147" t="s">
        <v>3950</v>
      </c>
      <c r="C10" s="147" t="s">
        <v>122</v>
      </c>
      <c r="D10" s="147" t="s">
        <v>123</v>
      </c>
      <c r="E10" s="147" t="s">
        <v>124</v>
      </c>
      <c r="F10" s="170">
        <v>27644.63</v>
      </c>
      <c r="G10" s="170">
        <v>0</v>
      </c>
      <c r="H10" s="170">
        <v>0</v>
      </c>
      <c r="I10" s="170">
        <v>0</v>
      </c>
      <c r="J10" s="170">
        <v>0</v>
      </c>
      <c r="K10" s="170">
        <v>5805.37</v>
      </c>
      <c r="L10" s="170">
        <v>0</v>
      </c>
      <c r="M10" s="170">
        <v>0</v>
      </c>
      <c r="N10" s="171">
        <v>33450</v>
      </c>
    </row>
    <row r="11" spans="1:14">
      <c r="A11" s="150" t="s">
        <v>3948</v>
      </c>
      <c r="B11" s="148" t="s">
        <v>3951</v>
      </c>
      <c r="C11" s="148" t="s">
        <v>122</v>
      </c>
      <c r="D11" s="148" t="s">
        <v>123</v>
      </c>
      <c r="E11" s="148" t="s">
        <v>124</v>
      </c>
      <c r="F11" s="172">
        <v>32644.63</v>
      </c>
      <c r="G11" s="172">
        <v>0</v>
      </c>
      <c r="H11" s="172">
        <v>0</v>
      </c>
      <c r="I11" s="172">
        <v>0</v>
      </c>
      <c r="J11" s="172">
        <v>0</v>
      </c>
      <c r="K11" s="172">
        <v>6855.37</v>
      </c>
      <c r="L11" s="172">
        <v>0</v>
      </c>
      <c r="M11" s="172">
        <v>0</v>
      </c>
      <c r="N11" s="173">
        <v>39500</v>
      </c>
    </row>
    <row r="12" spans="1:14">
      <c r="A12" s="149" t="s">
        <v>3948</v>
      </c>
      <c r="B12" s="147" t="s">
        <v>3952</v>
      </c>
      <c r="C12" s="147" t="s">
        <v>122</v>
      </c>
      <c r="D12" s="147" t="s">
        <v>123</v>
      </c>
      <c r="E12" s="147" t="s">
        <v>124</v>
      </c>
      <c r="F12" s="170">
        <v>4876.03</v>
      </c>
      <c r="G12" s="170">
        <v>0</v>
      </c>
      <c r="H12" s="170">
        <v>0</v>
      </c>
      <c r="I12" s="170">
        <v>0</v>
      </c>
      <c r="J12" s="170">
        <v>0</v>
      </c>
      <c r="K12" s="170">
        <v>1023.97</v>
      </c>
      <c r="L12" s="170">
        <v>0</v>
      </c>
      <c r="M12" s="170">
        <v>0</v>
      </c>
      <c r="N12" s="171">
        <v>5900</v>
      </c>
    </row>
    <row r="13" spans="1:14">
      <c r="A13" s="150" t="s">
        <v>3948</v>
      </c>
      <c r="B13" s="148" t="s">
        <v>3953</v>
      </c>
      <c r="C13" s="148" t="s">
        <v>122</v>
      </c>
      <c r="D13" s="148" t="s">
        <v>123</v>
      </c>
      <c r="E13" s="148" t="s">
        <v>124</v>
      </c>
      <c r="F13" s="172">
        <v>33057.85</v>
      </c>
      <c r="G13" s="172">
        <v>0</v>
      </c>
      <c r="H13" s="172">
        <v>0</v>
      </c>
      <c r="I13" s="172">
        <v>0</v>
      </c>
      <c r="J13" s="172">
        <v>0</v>
      </c>
      <c r="K13" s="172">
        <v>6942.15</v>
      </c>
      <c r="L13" s="172">
        <v>0</v>
      </c>
      <c r="M13" s="172">
        <v>0</v>
      </c>
      <c r="N13" s="173">
        <v>40000</v>
      </c>
    </row>
    <row r="14" spans="1:14">
      <c r="A14" s="149" t="s">
        <v>3948</v>
      </c>
      <c r="B14" s="147" t="s">
        <v>3954</v>
      </c>
      <c r="C14" s="147" t="s">
        <v>122</v>
      </c>
      <c r="D14" s="147" t="s">
        <v>123</v>
      </c>
      <c r="E14" s="147" t="s">
        <v>124</v>
      </c>
      <c r="F14" s="170">
        <v>11446.28</v>
      </c>
      <c r="G14" s="170">
        <v>0</v>
      </c>
      <c r="H14" s="170">
        <v>0</v>
      </c>
      <c r="I14" s="170">
        <v>0</v>
      </c>
      <c r="J14" s="170">
        <v>0</v>
      </c>
      <c r="K14" s="170">
        <v>2403.7200000000003</v>
      </c>
      <c r="L14" s="170">
        <v>0</v>
      </c>
      <c r="M14" s="170">
        <v>0</v>
      </c>
      <c r="N14" s="171">
        <v>13850</v>
      </c>
    </row>
    <row r="15" spans="1:14">
      <c r="A15" s="150" t="s">
        <v>3948</v>
      </c>
      <c r="B15" s="148" t="s">
        <v>3955</v>
      </c>
      <c r="C15" s="148" t="s">
        <v>122</v>
      </c>
      <c r="D15" s="148" t="s">
        <v>123</v>
      </c>
      <c r="E15" s="148" t="s">
        <v>124</v>
      </c>
      <c r="F15" s="172">
        <v>8140.5</v>
      </c>
      <c r="G15" s="172">
        <v>0</v>
      </c>
      <c r="H15" s="172">
        <v>0</v>
      </c>
      <c r="I15" s="172">
        <v>0</v>
      </c>
      <c r="J15" s="172">
        <v>0</v>
      </c>
      <c r="K15" s="172">
        <v>1709.5</v>
      </c>
      <c r="L15" s="172">
        <v>0</v>
      </c>
      <c r="M15" s="172">
        <v>0</v>
      </c>
      <c r="N15" s="173">
        <v>9850</v>
      </c>
    </row>
    <row r="16" spans="1:14">
      <c r="A16" s="149" t="s">
        <v>3948</v>
      </c>
      <c r="B16" s="147" t="s">
        <v>3956</v>
      </c>
      <c r="C16" s="147" t="s">
        <v>3957</v>
      </c>
      <c r="D16" s="147" t="s">
        <v>123</v>
      </c>
      <c r="E16" s="147">
        <v>43085366</v>
      </c>
      <c r="F16" s="170">
        <v>21487.599999999999</v>
      </c>
      <c r="G16" s="170">
        <v>0</v>
      </c>
      <c r="H16" s="170">
        <v>0</v>
      </c>
      <c r="I16" s="170">
        <v>0</v>
      </c>
      <c r="J16" s="170">
        <v>0</v>
      </c>
      <c r="K16" s="170">
        <v>4512.4000000000005</v>
      </c>
      <c r="L16" s="170">
        <v>0</v>
      </c>
      <c r="M16" s="170">
        <v>0</v>
      </c>
      <c r="N16" s="171">
        <v>26000</v>
      </c>
    </row>
    <row r="17" spans="1:14">
      <c r="A17" s="150" t="s">
        <v>3948</v>
      </c>
      <c r="B17" s="148" t="s">
        <v>3958</v>
      </c>
      <c r="C17" s="148" t="s">
        <v>122</v>
      </c>
      <c r="D17" s="148" t="s">
        <v>123</v>
      </c>
      <c r="E17" s="148" t="s">
        <v>124</v>
      </c>
      <c r="F17" s="172">
        <v>34338.840000000004</v>
      </c>
      <c r="G17" s="172">
        <v>0</v>
      </c>
      <c r="H17" s="172">
        <v>0</v>
      </c>
      <c r="I17" s="172">
        <v>0</v>
      </c>
      <c r="J17" s="172">
        <v>0</v>
      </c>
      <c r="K17" s="172">
        <v>7211.16</v>
      </c>
      <c r="L17" s="172">
        <v>0</v>
      </c>
      <c r="M17" s="172">
        <v>0</v>
      </c>
      <c r="N17" s="173">
        <v>41550</v>
      </c>
    </row>
    <row r="18" spans="1:14">
      <c r="A18" s="149" t="s">
        <v>3948</v>
      </c>
      <c r="B18" s="147" t="s">
        <v>3959</v>
      </c>
      <c r="C18" s="147" t="s">
        <v>3960</v>
      </c>
      <c r="D18" s="147" t="s">
        <v>123</v>
      </c>
      <c r="E18" s="147">
        <v>34304308</v>
      </c>
      <c r="F18" s="170">
        <v>20661.16</v>
      </c>
      <c r="G18" s="170">
        <v>0</v>
      </c>
      <c r="H18" s="170">
        <v>0</v>
      </c>
      <c r="I18" s="170">
        <v>0</v>
      </c>
      <c r="J18" s="170">
        <v>0</v>
      </c>
      <c r="K18" s="170">
        <v>4338.84</v>
      </c>
      <c r="L18" s="170">
        <v>0</v>
      </c>
      <c r="M18" s="170">
        <v>0</v>
      </c>
      <c r="N18" s="171">
        <v>25000</v>
      </c>
    </row>
    <row r="19" spans="1:14">
      <c r="A19" s="150" t="s">
        <v>3948</v>
      </c>
      <c r="B19" s="148" t="s">
        <v>3961</v>
      </c>
      <c r="C19" s="148" t="s">
        <v>122</v>
      </c>
      <c r="D19" s="148" t="s">
        <v>123</v>
      </c>
      <c r="E19" s="148" t="s">
        <v>124</v>
      </c>
      <c r="F19" s="172">
        <v>16528.93</v>
      </c>
      <c r="G19" s="172">
        <v>0</v>
      </c>
      <c r="H19" s="172">
        <v>0</v>
      </c>
      <c r="I19" s="172">
        <v>0</v>
      </c>
      <c r="J19" s="172">
        <v>0</v>
      </c>
      <c r="K19" s="172">
        <v>3471.07</v>
      </c>
      <c r="L19" s="172">
        <v>0</v>
      </c>
      <c r="M19" s="172">
        <v>0</v>
      </c>
      <c r="N19" s="173">
        <v>20000</v>
      </c>
    </row>
    <row r="20" spans="1:14">
      <c r="A20" s="149" t="s">
        <v>3948</v>
      </c>
      <c r="B20" s="147" t="s">
        <v>3962</v>
      </c>
      <c r="C20" s="147" t="s">
        <v>122</v>
      </c>
      <c r="D20" s="147" t="s">
        <v>123</v>
      </c>
      <c r="E20" s="147" t="s">
        <v>124</v>
      </c>
      <c r="F20" s="170">
        <v>16280.99</v>
      </c>
      <c r="G20" s="170">
        <v>0</v>
      </c>
      <c r="H20" s="170">
        <v>0</v>
      </c>
      <c r="I20" s="170">
        <v>0</v>
      </c>
      <c r="J20" s="170">
        <v>0</v>
      </c>
      <c r="K20" s="170">
        <v>3419.01</v>
      </c>
      <c r="L20" s="170">
        <v>0</v>
      </c>
      <c r="M20" s="170">
        <v>0</v>
      </c>
      <c r="N20" s="171">
        <v>19700</v>
      </c>
    </row>
    <row r="21" spans="1:14">
      <c r="A21" s="150" t="s">
        <v>3948</v>
      </c>
      <c r="B21" s="148" t="s">
        <v>3963</v>
      </c>
      <c r="C21" s="148" t="s">
        <v>122</v>
      </c>
      <c r="D21" s="148" t="s">
        <v>123</v>
      </c>
      <c r="E21" s="148" t="s">
        <v>124</v>
      </c>
      <c r="F21" s="172">
        <v>16528.93</v>
      </c>
      <c r="G21" s="172">
        <v>0</v>
      </c>
      <c r="H21" s="172">
        <v>0</v>
      </c>
      <c r="I21" s="172">
        <v>0</v>
      </c>
      <c r="J21" s="172">
        <v>0</v>
      </c>
      <c r="K21" s="172">
        <v>3471.07</v>
      </c>
      <c r="L21" s="172">
        <v>0</v>
      </c>
      <c r="M21" s="172">
        <v>0</v>
      </c>
      <c r="N21" s="173">
        <v>20000</v>
      </c>
    </row>
    <row r="22" spans="1:14">
      <c r="A22" s="149" t="s">
        <v>3948</v>
      </c>
      <c r="B22" s="147" t="s">
        <v>3964</v>
      </c>
      <c r="C22" s="147" t="s">
        <v>122</v>
      </c>
      <c r="D22" s="147" t="s">
        <v>123</v>
      </c>
      <c r="E22" s="147" t="s">
        <v>124</v>
      </c>
      <c r="F22" s="170">
        <v>12975.21</v>
      </c>
      <c r="G22" s="170">
        <v>0</v>
      </c>
      <c r="H22" s="170">
        <v>0</v>
      </c>
      <c r="I22" s="170">
        <v>0</v>
      </c>
      <c r="J22" s="170">
        <v>0</v>
      </c>
      <c r="K22" s="170">
        <v>2724.79</v>
      </c>
      <c r="L22" s="170">
        <v>0</v>
      </c>
      <c r="M22" s="170">
        <v>0</v>
      </c>
      <c r="N22" s="171">
        <v>15700</v>
      </c>
    </row>
    <row r="23" spans="1:14">
      <c r="A23" s="150" t="s">
        <v>3965</v>
      </c>
      <c r="B23" s="148" t="s">
        <v>3966</v>
      </c>
      <c r="C23" s="148" t="s">
        <v>122</v>
      </c>
      <c r="D23" s="148" t="s">
        <v>123</v>
      </c>
      <c r="E23" s="148" t="s">
        <v>124</v>
      </c>
      <c r="F23" s="172">
        <v>14132.23</v>
      </c>
      <c r="G23" s="172">
        <v>0</v>
      </c>
      <c r="H23" s="172">
        <v>0</v>
      </c>
      <c r="I23" s="172">
        <v>0</v>
      </c>
      <c r="J23" s="172">
        <v>0</v>
      </c>
      <c r="K23" s="172">
        <v>2967.77</v>
      </c>
      <c r="L23" s="172">
        <v>0</v>
      </c>
      <c r="M23" s="172">
        <v>0</v>
      </c>
      <c r="N23" s="173">
        <v>17100</v>
      </c>
    </row>
    <row r="24" spans="1:14">
      <c r="A24" s="149" t="s">
        <v>3965</v>
      </c>
      <c r="B24" s="147" t="s">
        <v>3967</v>
      </c>
      <c r="C24" s="147" t="s">
        <v>122</v>
      </c>
      <c r="D24" s="147" t="s">
        <v>123</v>
      </c>
      <c r="E24" s="147" t="s">
        <v>124</v>
      </c>
      <c r="F24" s="170">
        <v>14669.42</v>
      </c>
      <c r="G24" s="170">
        <v>0</v>
      </c>
      <c r="H24" s="170">
        <v>0</v>
      </c>
      <c r="I24" s="170">
        <v>0</v>
      </c>
      <c r="J24" s="170">
        <v>0</v>
      </c>
      <c r="K24" s="170">
        <v>3080.58</v>
      </c>
      <c r="L24" s="170">
        <v>0</v>
      </c>
      <c r="M24" s="170">
        <v>0</v>
      </c>
      <c r="N24" s="171">
        <v>17750</v>
      </c>
    </row>
    <row r="25" spans="1:14">
      <c r="A25" s="150" t="s">
        <v>3965</v>
      </c>
      <c r="B25" s="148" t="s">
        <v>3968</v>
      </c>
      <c r="C25" s="148" t="s">
        <v>122</v>
      </c>
      <c r="D25" s="148" t="s">
        <v>123</v>
      </c>
      <c r="E25" s="148" t="s">
        <v>124</v>
      </c>
      <c r="F25" s="172">
        <v>20578.510000000002</v>
      </c>
      <c r="G25" s="172">
        <v>0</v>
      </c>
      <c r="H25" s="172">
        <v>0</v>
      </c>
      <c r="I25" s="172">
        <v>0</v>
      </c>
      <c r="J25" s="172">
        <v>0</v>
      </c>
      <c r="K25" s="172">
        <v>4321.49</v>
      </c>
      <c r="L25" s="172">
        <v>0</v>
      </c>
      <c r="M25" s="172">
        <v>0</v>
      </c>
      <c r="N25" s="173">
        <v>24900</v>
      </c>
    </row>
    <row r="26" spans="1:14">
      <c r="A26" s="149" t="s">
        <v>3965</v>
      </c>
      <c r="B26" s="147" t="s">
        <v>3969</v>
      </c>
      <c r="C26" s="147" t="s">
        <v>3970</v>
      </c>
      <c r="D26" s="147" t="s">
        <v>123</v>
      </c>
      <c r="E26" s="147">
        <v>51248642</v>
      </c>
      <c r="F26" s="170">
        <v>20578.510000000002</v>
      </c>
      <c r="G26" s="170">
        <v>0</v>
      </c>
      <c r="H26" s="170">
        <v>0</v>
      </c>
      <c r="I26" s="170">
        <v>0</v>
      </c>
      <c r="J26" s="170">
        <v>0</v>
      </c>
      <c r="K26" s="170">
        <v>4321.49</v>
      </c>
      <c r="L26" s="170">
        <v>0</v>
      </c>
      <c r="M26" s="170">
        <v>0</v>
      </c>
      <c r="N26" s="171">
        <v>24900</v>
      </c>
    </row>
    <row r="27" spans="1:14">
      <c r="A27" s="150" t="s">
        <v>3965</v>
      </c>
      <c r="B27" s="148" t="s">
        <v>3971</v>
      </c>
      <c r="C27" s="148" t="s">
        <v>122</v>
      </c>
      <c r="D27" s="148" t="s">
        <v>123</v>
      </c>
      <c r="E27" s="148" t="s">
        <v>124</v>
      </c>
      <c r="F27" s="172">
        <v>16033.06</v>
      </c>
      <c r="G27" s="172">
        <v>0</v>
      </c>
      <c r="H27" s="172">
        <v>0</v>
      </c>
      <c r="I27" s="172">
        <v>0</v>
      </c>
      <c r="J27" s="172">
        <v>0</v>
      </c>
      <c r="K27" s="172">
        <v>3366.94</v>
      </c>
      <c r="L27" s="172">
        <v>0</v>
      </c>
      <c r="M27" s="172">
        <v>0</v>
      </c>
      <c r="N27" s="173">
        <v>19400</v>
      </c>
    </row>
    <row r="28" spans="1:14">
      <c r="A28" s="149" t="s">
        <v>3965</v>
      </c>
      <c r="B28" s="147" t="s">
        <v>3972</v>
      </c>
      <c r="C28" s="147" t="s">
        <v>122</v>
      </c>
      <c r="D28" s="147" t="s">
        <v>123</v>
      </c>
      <c r="E28" s="147" t="s">
        <v>124</v>
      </c>
      <c r="F28" s="170">
        <v>9752.07</v>
      </c>
      <c r="G28" s="170">
        <v>0</v>
      </c>
      <c r="H28" s="170">
        <v>0</v>
      </c>
      <c r="I28" s="170">
        <v>0</v>
      </c>
      <c r="J28" s="170">
        <v>0</v>
      </c>
      <c r="K28" s="170">
        <v>2047.93</v>
      </c>
      <c r="L28" s="170">
        <v>0</v>
      </c>
      <c r="M28" s="170">
        <v>0</v>
      </c>
      <c r="N28" s="171">
        <v>11800</v>
      </c>
    </row>
    <row r="29" spans="1:14">
      <c r="A29" s="150" t="s">
        <v>3965</v>
      </c>
      <c r="B29" s="148" t="s">
        <v>3973</v>
      </c>
      <c r="C29" s="148" t="s">
        <v>122</v>
      </c>
      <c r="D29" s="148" t="s">
        <v>123</v>
      </c>
      <c r="E29" s="148" t="s">
        <v>124</v>
      </c>
      <c r="F29" s="172">
        <v>4132.2300000000005</v>
      </c>
      <c r="G29" s="172">
        <v>0</v>
      </c>
      <c r="H29" s="172">
        <v>0</v>
      </c>
      <c r="I29" s="172">
        <v>0</v>
      </c>
      <c r="J29" s="172">
        <v>0</v>
      </c>
      <c r="K29" s="172">
        <v>867.77</v>
      </c>
      <c r="L29" s="172">
        <v>0</v>
      </c>
      <c r="M29" s="172">
        <v>0</v>
      </c>
      <c r="N29" s="173">
        <v>5000</v>
      </c>
    </row>
    <row r="30" spans="1:14">
      <c r="A30" s="149" t="s">
        <v>3965</v>
      </c>
      <c r="B30" s="147" t="s">
        <v>3974</v>
      </c>
      <c r="C30" s="147" t="s">
        <v>122</v>
      </c>
      <c r="D30" s="147" t="s">
        <v>123</v>
      </c>
      <c r="E30" s="147" t="s">
        <v>124</v>
      </c>
      <c r="F30" s="170">
        <v>5330.58</v>
      </c>
      <c r="G30" s="170">
        <v>0</v>
      </c>
      <c r="H30" s="170">
        <v>0</v>
      </c>
      <c r="I30" s="170">
        <v>0</v>
      </c>
      <c r="J30" s="170">
        <v>0</v>
      </c>
      <c r="K30" s="170">
        <v>1119.42</v>
      </c>
      <c r="L30" s="170">
        <v>0</v>
      </c>
      <c r="M30" s="170">
        <v>0</v>
      </c>
      <c r="N30" s="171">
        <v>6450</v>
      </c>
    </row>
    <row r="31" spans="1:14">
      <c r="A31" s="150" t="s">
        <v>3965</v>
      </c>
      <c r="B31" s="148" t="s">
        <v>3975</v>
      </c>
      <c r="C31" s="148" t="s">
        <v>122</v>
      </c>
      <c r="D31" s="148" t="s">
        <v>123</v>
      </c>
      <c r="E31" s="148" t="s">
        <v>124</v>
      </c>
      <c r="F31" s="172">
        <v>12975.21</v>
      </c>
      <c r="G31" s="172">
        <v>0</v>
      </c>
      <c r="H31" s="172">
        <v>0</v>
      </c>
      <c r="I31" s="172">
        <v>0</v>
      </c>
      <c r="J31" s="172">
        <v>0</v>
      </c>
      <c r="K31" s="172">
        <v>2724.79</v>
      </c>
      <c r="L31" s="172">
        <v>0</v>
      </c>
      <c r="M31" s="172">
        <v>0</v>
      </c>
      <c r="N31" s="173">
        <v>15700</v>
      </c>
    </row>
    <row r="32" spans="1:14">
      <c r="A32" s="149" t="s">
        <v>3965</v>
      </c>
      <c r="B32" s="147" t="s">
        <v>3976</v>
      </c>
      <c r="C32" s="147" t="s">
        <v>122</v>
      </c>
      <c r="D32" s="147" t="s">
        <v>123</v>
      </c>
      <c r="E32" s="147" t="s">
        <v>124</v>
      </c>
      <c r="F32" s="170">
        <v>16074.38</v>
      </c>
      <c r="G32" s="170">
        <v>0</v>
      </c>
      <c r="H32" s="170">
        <v>0</v>
      </c>
      <c r="I32" s="170">
        <v>0</v>
      </c>
      <c r="J32" s="170">
        <v>0</v>
      </c>
      <c r="K32" s="170">
        <v>3375.62</v>
      </c>
      <c r="L32" s="170">
        <v>0</v>
      </c>
      <c r="M32" s="170">
        <v>0</v>
      </c>
      <c r="N32" s="171">
        <v>19450</v>
      </c>
    </row>
    <row r="33" spans="1:14">
      <c r="A33" s="150" t="s">
        <v>3965</v>
      </c>
      <c r="B33" s="148" t="s">
        <v>3977</v>
      </c>
      <c r="C33" s="148" t="s">
        <v>122</v>
      </c>
      <c r="D33" s="148" t="s">
        <v>123</v>
      </c>
      <c r="E33" s="148" t="s">
        <v>124</v>
      </c>
      <c r="F33" s="172">
        <v>8140.5</v>
      </c>
      <c r="G33" s="172">
        <v>0</v>
      </c>
      <c r="H33" s="172">
        <v>0</v>
      </c>
      <c r="I33" s="172">
        <v>0</v>
      </c>
      <c r="J33" s="172">
        <v>0</v>
      </c>
      <c r="K33" s="172">
        <v>1709.5</v>
      </c>
      <c r="L33" s="172">
        <v>0</v>
      </c>
      <c r="M33" s="172">
        <v>0</v>
      </c>
      <c r="N33" s="173">
        <v>9850</v>
      </c>
    </row>
    <row r="34" spans="1:14">
      <c r="A34" s="149" t="s">
        <v>3965</v>
      </c>
      <c r="B34" s="147" t="s">
        <v>3978</v>
      </c>
      <c r="C34" s="147" t="s">
        <v>122</v>
      </c>
      <c r="D34" s="147" t="s">
        <v>123</v>
      </c>
      <c r="E34" s="147" t="s">
        <v>124</v>
      </c>
      <c r="F34" s="170">
        <v>8181.8200000000006</v>
      </c>
      <c r="G34" s="170">
        <v>0</v>
      </c>
      <c r="H34" s="170">
        <v>0</v>
      </c>
      <c r="I34" s="170">
        <v>0</v>
      </c>
      <c r="J34" s="170">
        <v>0</v>
      </c>
      <c r="K34" s="170">
        <v>1718.18</v>
      </c>
      <c r="L34" s="170">
        <v>0</v>
      </c>
      <c r="M34" s="170">
        <v>0</v>
      </c>
      <c r="N34" s="171">
        <v>9900</v>
      </c>
    </row>
    <row r="35" spans="1:14">
      <c r="A35" s="150" t="s">
        <v>3965</v>
      </c>
      <c r="B35" s="148" t="s">
        <v>3979</v>
      </c>
      <c r="C35" s="148" t="s">
        <v>122</v>
      </c>
      <c r="D35" s="148" t="s">
        <v>123</v>
      </c>
      <c r="E35" s="148" t="s">
        <v>124</v>
      </c>
      <c r="F35" s="172">
        <v>4504.13</v>
      </c>
      <c r="G35" s="172">
        <v>0</v>
      </c>
      <c r="H35" s="172">
        <v>0</v>
      </c>
      <c r="I35" s="172">
        <v>0</v>
      </c>
      <c r="J35" s="172">
        <v>0</v>
      </c>
      <c r="K35" s="172">
        <v>945.87</v>
      </c>
      <c r="L35" s="172">
        <v>0</v>
      </c>
      <c r="M35" s="172">
        <v>0</v>
      </c>
      <c r="N35" s="173">
        <v>5450</v>
      </c>
    </row>
    <row r="36" spans="1:14">
      <c r="A36" s="149" t="s">
        <v>3965</v>
      </c>
      <c r="B36" s="147" t="s">
        <v>3980</v>
      </c>
      <c r="C36" s="147" t="s">
        <v>122</v>
      </c>
      <c r="D36" s="147" t="s">
        <v>123</v>
      </c>
      <c r="E36" s="147" t="s">
        <v>124</v>
      </c>
      <c r="F36" s="170">
        <v>4876.03</v>
      </c>
      <c r="G36" s="170">
        <v>0</v>
      </c>
      <c r="H36" s="170">
        <v>0</v>
      </c>
      <c r="I36" s="170">
        <v>0</v>
      </c>
      <c r="J36" s="170">
        <v>0</v>
      </c>
      <c r="K36" s="170">
        <v>1023.97</v>
      </c>
      <c r="L36" s="170">
        <v>0</v>
      </c>
      <c r="M36" s="170">
        <v>0</v>
      </c>
      <c r="N36" s="171">
        <v>5900</v>
      </c>
    </row>
    <row r="37" spans="1:14">
      <c r="A37" s="150" t="s">
        <v>3965</v>
      </c>
      <c r="B37" s="148" t="s">
        <v>3981</v>
      </c>
      <c r="C37" s="148" t="s">
        <v>122</v>
      </c>
      <c r="D37" s="148" t="s">
        <v>123</v>
      </c>
      <c r="E37" s="148" t="s">
        <v>124</v>
      </c>
      <c r="F37" s="172">
        <v>16074.38</v>
      </c>
      <c r="G37" s="172">
        <v>0</v>
      </c>
      <c r="H37" s="172">
        <v>0</v>
      </c>
      <c r="I37" s="172">
        <v>0</v>
      </c>
      <c r="J37" s="172">
        <v>0</v>
      </c>
      <c r="K37" s="172">
        <v>3375.62</v>
      </c>
      <c r="L37" s="172">
        <v>0</v>
      </c>
      <c r="M37" s="172">
        <v>0</v>
      </c>
      <c r="N37" s="173">
        <v>19450</v>
      </c>
    </row>
    <row r="38" spans="1:14">
      <c r="A38" s="149" t="s">
        <v>3965</v>
      </c>
      <c r="B38" s="147" t="s">
        <v>3982</v>
      </c>
      <c r="C38" s="147" t="s">
        <v>122</v>
      </c>
      <c r="D38" s="147" t="s">
        <v>123</v>
      </c>
      <c r="E38" s="147" t="s">
        <v>124</v>
      </c>
      <c r="F38" s="170">
        <v>10661.16</v>
      </c>
      <c r="G38" s="170">
        <v>0</v>
      </c>
      <c r="H38" s="170">
        <v>0</v>
      </c>
      <c r="I38" s="170">
        <v>0</v>
      </c>
      <c r="J38" s="170">
        <v>0</v>
      </c>
      <c r="K38" s="170">
        <v>2238.84</v>
      </c>
      <c r="L38" s="170">
        <v>0</v>
      </c>
      <c r="M38" s="170">
        <v>0</v>
      </c>
      <c r="N38" s="171">
        <v>12900</v>
      </c>
    </row>
    <row r="39" spans="1:14">
      <c r="A39" s="150" t="s">
        <v>3965</v>
      </c>
      <c r="B39" s="148" t="s">
        <v>3983</v>
      </c>
      <c r="C39" s="148" t="s">
        <v>122</v>
      </c>
      <c r="D39" s="148" t="s">
        <v>123</v>
      </c>
      <c r="E39" s="148" t="s">
        <v>124</v>
      </c>
      <c r="F39" s="172">
        <v>12975.21</v>
      </c>
      <c r="G39" s="172">
        <v>0</v>
      </c>
      <c r="H39" s="172">
        <v>0</v>
      </c>
      <c r="I39" s="172">
        <v>0</v>
      </c>
      <c r="J39" s="172">
        <v>0</v>
      </c>
      <c r="K39" s="172">
        <v>2724.79</v>
      </c>
      <c r="L39" s="172">
        <v>0</v>
      </c>
      <c r="M39" s="172">
        <v>0</v>
      </c>
      <c r="N39" s="173">
        <v>15700</v>
      </c>
    </row>
    <row r="40" spans="1:14">
      <c r="A40" s="149" t="s">
        <v>3965</v>
      </c>
      <c r="B40" s="147" t="s">
        <v>3989</v>
      </c>
      <c r="C40" s="147" t="s">
        <v>331</v>
      </c>
      <c r="D40" s="147" t="s">
        <v>276</v>
      </c>
      <c r="E40" s="147">
        <v>30685228501</v>
      </c>
      <c r="F40" s="170">
        <v>1911157.02</v>
      </c>
      <c r="G40" s="170">
        <v>0</v>
      </c>
      <c r="H40" s="170">
        <v>0</v>
      </c>
      <c r="I40" s="170">
        <v>0</v>
      </c>
      <c r="J40" s="170">
        <v>0</v>
      </c>
      <c r="K40" s="170">
        <v>401342.98</v>
      </c>
      <c r="L40" s="170">
        <v>0</v>
      </c>
      <c r="M40" s="170">
        <v>0</v>
      </c>
      <c r="N40" s="171">
        <v>2312500</v>
      </c>
    </row>
    <row r="41" spans="1:14">
      <c r="A41" s="150" t="s">
        <v>3990</v>
      </c>
      <c r="B41" s="148" t="s">
        <v>3991</v>
      </c>
      <c r="C41" s="148" t="s">
        <v>122</v>
      </c>
      <c r="D41" s="148" t="s">
        <v>123</v>
      </c>
      <c r="E41" s="148" t="s">
        <v>124</v>
      </c>
      <c r="F41" s="172">
        <v>7107.44</v>
      </c>
      <c r="G41" s="172">
        <v>0</v>
      </c>
      <c r="H41" s="172">
        <v>0</v>
      </c>
      <c r="I41" s="172">
        <v>0</v>
      </c>
      <c r="J41" s="172">
        <v>0</v>
      </c>
      <c r="K41" s="172">
        <v>1492.56</v>
      </c>
      <c r="L41" s="172">
        <v>0</v>
      </c>
      <c r="M41" s="172">
        <v>0</v>
      </c>
      <c r="N41" s="173">
        <v>8600</v>
      </c>
    </row>
    <row r="42" spans="1:14">
      <c r="A42" s="149" t="s">
        <v>3990</v>
      </c>
      <c r="B42" s="147" t="s">
        <v>3992</v>
      </c>
      <c r="C42" s="147" t="s">
        <v>122</v>
      </c>
      <c r="D42" s="147" t="s">
        <v>123</v>
      </c>
      <c r="E42" s="147" t="s">
        <v>124</v>
      </c>
      <c r="F42" s="170">
        <v>10578.51</v>
      </c>
      <c r="G42" s="170">
        <v>0</v>
      </c>
      <c r="H42" s="170">
        <v>0</v>
      </c>
      <c r="I42" s="170">
        <v>0</v>
      </c>
      <c r="J42" s="170">
        <v>0</v>
      </c>
      <c r="K42" s="170">
        <v>2221.4900000000002</v>
      </c>
      <c r="L42" s="170">
        <v>0</v>
      </c>
      <c r="M42" s="170">
        <v>0</v>
      </c>
      <c r="N42" s="171">
        <v>12800</v>
      </c>
    </row>
    <row r="43" spans="1:14">
      <c r="A43" s="150" t="s">
        <v>3990</v>
      </c>
      <c r="B43" s="148" t="s">
        <v>3993</v>
      </c>
      <c r="C43" s="148" t="s">
        <v>122</v>
      </c>
      <c r="D43" s="148" t="s">
        <v>123</v>
      </c>
      <c r="E43" s="148" t="s">
        <v>124</v>
      </c>
      <c r="F43" s="172">
        <v>12396.69</v>
      </c>
      <c r="G43" s="172">
        <v>0</v>
      </c>
      <c r="H43" s="172">
        <v>0</v>
      </c>
      <c r="I43" s="172">
        <v>0</v>
      </c>
      <c r="J43" s="172">
        <v>0</v>
      </c>
      <c r="K43" s="172">
        <v>2603.31</v>
      </c>
      <c r="L43" s="172">
        <v>0</v>
      </c>
      <c r="M43" s="172">
        <v>0</v>
      </c>
      <c r="N43" s="173">
        <v>15000</v>
      </c>
    </row>
    <row r="44" spans="1:14">
      <c r="A44" s="149" t="s">
        <v>3990</v>
      </c>
      <c r="B44" s="147" t="s">
        <v>3994</v>
      </c>
      <c r="C44" s="147" t="s">
        <v>122</v>
      </c>
      <c r="D44" s="147" t="s">
        <v>123</v>
      </c>
      <c r="E44" s="147" t="s">
        <v>124</v>
      </c>
      <c r="F44" s="170">
        <v>10661.16</v>
      </c>
      <c r="G44" s="170">
        <v>0</v>
      </c>
      <c r="H44" s="170">
        <v>0</v>
      </c>
      <c r="I44" s="170">
        <v>0</v>
      </c>
      <c r="J44" s="170">
        <v>0</v>
      </c>
      <c r="K44" s="170">
        <v>2238.84</v>
      </c>
      <c r="L44" s="170">
        <v>0</v>
      </c>
      <c r="M44" s="170">
        <v>0</v>
      </c>
      <c r="N44" s="171">
        <v>12900</v>
      </c>
    </row>
    <row r="45" spans="1:14">
      <c r="A45" s="150" t="s">
        <v>3990</v>
      </c>
      <c r="B45" s="148" t="s">
        <v>3995</v>
      </c>
      <c r="C45" s="148" t="s">
        <v>122</v>
      </c>
      <c r="D45" s="148" t="s">
        <v>123</v>
      </c>
      <c r="E45" s="148" t="s">
        <v>124</v>
      </c>
      <c r="F45" s="172">
        <v>12975.21</v>
      </c>
      <c r="G45" s="172">
        <v>0</v>
      </c>
      <c r="H45" s="172">
        <v>0</v>
      </c>
      <c r="I45" s="172">
        <v>0</v>
      </c>
      <c r="J45" s="172">
        <v>0</v>
      </c>
      <c r="K45" s="172">
        <v>2724.79</v>
      </c>
      <c r="L45" s="172">
        <v>0</v>
      </c>
      <c r="M45" s="172">
        <v>0</v>
      </c>
      <c r="N45" s="173">
        <v>15700</v>
      </c>
    </row>
    <row r="46" spans="1:14">
      <c r="A46" s="149" t="s">
        <v>3990</v>
      </c>
      <c r="B46" s="147" t="s">
        <v>3996</v>
      </c>
      <c r="C46" s="147" t="s">
        <v>122</v>
      </c>
      <c r="D46" s="147" t="s">
        <v>123</v>
      </c>
      <c r="E46" s="147" t="s">
        <v>124</v>
      </c>
      <c r="F46" s="170">
        <v>18181.82</v>
      </c>
      <c r="G46" s="170">
        <v>0</v>
      </c>
      <c r="H46" s="170">
        <v>0</v>
      </c>
      <c r="I46" s="170">
        <v>0</v>
      </c>
      <c r="J46" s="170">
        <v>0</v>
      </c>
      <c r="K46" s="170">
        <v>3818.18</v>
      </c>
      <c r="L46" s="170">
        <v>0</v>
      </c>
      <c r="M46" s="170">
        <v>0</v>
      </c>
      <c r="N46" s="171">
        <v>22000</v>
      </c>
    </row>
    <row r="47" spans="1:14">
      <c r="A47" s="150" t="s">
        <v>3990</v>
      </c>
      <c r="B47" s="148" t="s">
        <v>4008</v>
      </c>
      <c r="C47" s="148" t="s">
        <v>367</v>
      </c>
      <c r="D47" s="148" t="s">
        <v>123</v>
      </c>
      <c r="E47" s="148">
        <v>17855620</v>
      </c>
      <c r="F47" s="172">
        <v>7851.24</v>
      </c>
      <c r="G47" s="172">
        <v>0</v>
      </c>
      <c r="H47" s="172">
        <v>0</v>
      </c>
      <c r="I47" s="172">
        <v>0</v>
      </c>
      <c r="J47" s="172">
        <v>0</v>
      </c>
      <c r="K47" s="172">
        <v>1648.76</v>
      </c>
      <c r="L47" s="172">
        <v>0</v>
      </c>
      <c r="M47" s="172">
        <v>0</v>
      </c>
      <c r="N47" s="173">
        <v>9500</v>
      </c>
    </row>
    <row r="48" spans="1:14">
      <c r="A48" s="149" t="s">
        <v>3990</v>
      </c>
      <c r="B48" s="147" t="s">
        <v>4009</v>
      </c>
      <c r="C48" s="147" t="s">
        <v>275</v>
      </c>
      <c r="D48" s="147" t="s">
        <v>276</v>
      </c>
      <c r="E48" s="147">
        <v>30590354798</v>
      </c>
      <c r="F48" s="170">
        <v>403473.91999999998</v>
      </c>
      <c r="G48" s="170">
        <v>0</v>
      </c>
      <c r="H48" s="170">
        <v>0</v>
      </c>
      <c r="I48" s="170">
        <v>0</v>
      </c>
      <c r="J48" s="170">
        <v>0</v>
      </c>
      <c r="K48" s="170">
        <v>84729.52</v>
      </c>
      <c r="L48" s="170">
        <v>0</v>
      </c>
      <c r="M48" s="170">
        <v>0</v>
      </c>
      <c r="N48" s="171">
        <v>488203.44</v>
      </c>
    </row>
    <row r="49" spans="1:14">
      <c r="A49" s="150" t="s">
        <v>3990</v>
      </c>
      <c r="B49" s="148" t="s">
        <v>4010</v>
      </c>
      <c r="C49" s="148" t="s">
        <v>354</v>
      </c>
      <c r="D49" s="148" t="s">
        <v>123</v>
      </c>
      <c r="E49" s="148">
        <v>382591</v>
      </c>
      <c r="F49" s="172">
        <v>7685.95</v>
      </c>
      <c r="G49" s="172">
        <v>0</v>
      </c>
      <c r="H49" s="172">
        <v>0</v>
      </c>
      <c r="I49" s="172">
        <v>0</v>
      </c>
      <c r="J49" s="172">
        <v>0</v>
      </c>
      <c r="K49" s="172">
        <v>1614.05</v>
      </c>
      <c r="L49" s="172">
        <v>0</v>
      </c>
      <c r="M49" s="172">
        <v>0</v>
      </c>
      <c r="N49" s="173">
        <v>9300</v>
      </c>
    </row>
    <row r="50" spans="1:14">
      <c r="A50" s="149" t="s">
        <v>3990</v>
      </c>
      <c r="B50" s="147" t="s">
        <v>4011</v>
      </c>
      <c r="C50" s="147" t="s">
        <v>304</v>
      </c>
      <c r="D50" s="147" t="s">
        <v>123</v>
      </c>
      <c r="E50" s="147">
        <v>93354584</v>
      </c>
      <c r="F50" s="170">
        <v>8264.4600000000009</v>
      </c>
      <c r="G50" s="170">
        <v>0</v>
      </c>
      <c r="H50" s="170">
        <v>0</v>
      </c>
      <c r="I50" s="170">
        <v>0</v>
      </c>
      <c r="J50" s="170">
        <v>0</v>
      </c>
      <c r="K50" s="170">
        <v>1735.54</v>
      </c>
      <c r="L50" s="170">
        <v>0</v>
      </c>
      <c r="M50" s="170">
        <v>0</v>
      </c>
      <c r="N50" s="171">
        <v>10000</v>
      </c>
    </row>
    <row r="51" spans="1:14">
      <c r="A51" s="150" t="s">
        <v>3990</v>
      </c>
      <c r="B51" s="148" t="s">
        <v>4012</v>
      </c>
      <c r="C51" s="148" t="s">
        <v>362</v>
      </c>
      <c r="D51" s="148" t="s">
        <v>123</v>
      </c>
      <c r="E51" s="148">
        <v>3192296</v>
      </c>
      <c r="F51" s="172">
        <v>5950.41</v>
      </c>
      <c r="G51" s="172">
        <v>0</v>
      </c>
      <c r="H51" s="172">
        <v>0</v>
      </c>
      <c r="I51" s="172">
        <v>0</v>
      </c>
      <c r="J51" s="172">
        <v>0</v>
      </c>
      <c r="K51" s="172">
        <v>1249.5899999999999</v>
      </c>
      <c r="L51" s="172">
        <v>0</v>
      </c>
      <c r="M51" s="172">
        <v>0</v>
      </c>
      <c r="N51" s="173">
        <v>7200</v>
      </c>
    </row>
    <row r="52" spans="1:14">
      <c r="A52" s="149" t="s">
        <v>3990</v>
      </c>
      <c r="B52" s="147" t="s">
        <v>4013</v>
      </c>
      <c r="C52" s="147" t="s">
        <v>364</v>
      </c>
      <c r="D52" s="147" t="s">
        <v>123</v>
      </c>
      <c r="E52" s="147">
        <v>13211322</v>
      </c>
      <c r="F52" s="170">
        <v>5206.6099999999997</v>
      </c>
      <c r="G52" s="170">
        <v>0</v>
      </c>
      <c r="H52" s="170">
        <v>0</v>
      </c>
      <c r="I52" s="170">
        <v>0</v>
      </c>
      <c r="J52" s="170">
        <v>0</v>
      </c>
      <c r="K52" s="170">
        <v>1093.3900000000001</v>
      </c>
      <c r="L52" s="170">
        <v>0</v>
      </c>
      <c r="M52" s="170">
        <v>0</v>
      </c>
      <c r="N52" s="171">
        <v>6300</v>
      </c>
    </row>
    <row r="53" spans="1:14">
      <c r="A53" s="150" t="s">
        <v>3990</v>
      </c>
      <c r="B53" s="148" t="s">
        <v>4014</v>
      </c>
      <c r="C53" s="148" t="s">
        <v>314</v>
      </c>
      <c r="D53" s="148" t="s">
        <v>276</v>
      </c>
      <c r="E53" s="148">
        <v>30658137642</v>
      </c>
      <c r="F53" s="172">
        <v>87652.89</v>
      </c>
      <c r="G53" s="172">
        <v>0</v>
      </c>
      <c r="H53" s="172">
        <v>0</v>
      </c>
      <c r="I53" s="172">
        <v>0</v>
      </c>
      <c r="J53" s="172">
        <v>0</v>
      </c>
      <c r="K53" s="172">
        <v>18407.11</v>
      </c>
      <c r="L53" s="172">
        <v>0</v>
      </c>
      <c r="M53" s="172">
        <v>0</v>
      </c>
      <c r="N53" s="173">
        <v>106060</v>
      </c>
    </row>
    <row r="54" spans="1:14">
      <c r="A54" s="149" t="s">
        <v>3990</v>
      </c>
      <c r="B54" s="147" t="s">
        <v>4015</v>
      </c>
      <c r="C54" s="147" t="s">
        <v>411</v>
      </c>
      <c r="D54" s="147" t="s">
        <v>123</v>
      </c>
      <c r="E54" s="147">
        <v>13699449</v>
      </c>
      <c r="F54" s="170">
        <v>37190.080000000002</v>
      </c>
      <c r="G54" s="170">
        <v>0</v>
      </c>
      <c r="H54" s="170">
        <v>0</v>
      </c>
      <c r="I54" s="170">
        <v>0</v>
      </c>
      <c r="J54" s="170">
        <v>0</v>
      </c>
      <c r="K54" s="170">
        <v>7809.92</v>
      </c>
      <c r="L54" s="170">
        <v>0</v>
      </c>
      <c r="M54" s="170">
        <v>0</v>
      </c>
      <c r="N54" s="171">
        <v>45000</v>
      </c>
    </row>
    <row r="55" spans="1:14">
      <c r="A55" s="150" t="s">
        <v>3990</v>
      </c>
      <c r="B55" s="148" t="s">
        <v>4016</v>
      </c>
      <c r="C55" s="148" t="s">
        <v>350</v>
      </c>
      <c r="D55" s="148" t="s">
        <v>123</v>
      </c>
      <c r="E55" s="148">
        <v>21645724</v>
      </c>
      <c r="F55" s="172">
        <v>12396.69</v>
      </c>
      <c r="G55" s="172">
        <v>0</v>
      </c>
      <c r="H55" s="172">
        <v>0</v>
      </c>
      <c r="I55" s="172">
        <v>0</v>
      </c>
      <c r="J55" s="172">
        <v>0</v>
      </c>
      <c r="K55" s="172">
        <v>2603.31</v>
      </c>
      <c r="L55" s="172">
        <v>0</v>
      </c>
      <c r="M55" s="172">
        <v>0</v>
      </c>
      <c r="N55" s="173">
        <v>15000</v>
      </c>
    </row>
    <row r="56" spans="1:14">
      <c r="A56" s="149" t="s">
        <v>3990</v>
      </c>
      <c r="B56" s="147" t="s">
        <v>4017</v>
      </c>
      <c r="C56" s="147" t="s">
        <v>884</v>
      </c>
      <c r="D56" s="147" t="s">
        <v>123</v>
      </c>
      <c r="E56" s="147">
        <v>17198648</v>
      </c>
      <c r="F56" s="170">
        <v>8677.68</v>
      </c>
      <c r="G56" s="170">
        <v>0</v>
      </c>
      <c r="H56" s="170">
        <v>0</v>
      </c>
      <c r="I56" s="170">
        <v>0</v>
      </c>
      <c r="J56" s="170">
        <v>0</v>
      </c>
      <c r="K56" s="170">
        <v>1822.32</v>
      </c>
      <c r="L56" s="170">
        <v>0</v>
      </c>
      <c r="M56" s="170">
        <v>0</v>
      </c>
      <c r="N56" s="171">
        <v>10500</v>
      </c>
    </row>
    <row r="57" spans="1:14">
      <c r="A57" s="150" t="s">
        <v>3990</v>
      </c>
      <c r="B57" s="148" t="s">
        <v>4018</v>
      </c>
      <c r="C57" s="148" t="s">
        <v>307</v>
      </c>
      <c r="D57" s="148" t="s">
        <v>276</v>
      </c>
      <c r="E57" s="148">
        <v>30571766287</v>
      </c>
      <c r="F57" s="172">
        <v>72627.460000000006</v>
      </c>
      <c r="G57" s="172">
        <v>0</v>
      </c>
      <c r="H57" s="172">
        <v>0</v>
      </c>
      <c r="I57" s="172">
        <v>0</v>
      </c>
      <c r="J57" s="172">
        <v>0</v>
      </c>
      <c r="K57" s="172">
        <v>15251.77</v>
      </c>
      <c r="L57" s="172">
        <v>0</v>
      </c>
      <c r="M57" s="172">
        <v>0</v>
      </c>
      <c r="N57" s="173">
        <v>87879.23</v>
      </c>
    </row>
    <row r="58" spans="1:14">
      <c r="A58" s="149" t="s">
        <v>4019</v>
      </c>
      <c r="B58" s="147" t="s">
        <v>4020</v>
      </c>
      <c r="C58" s="147" t="s">
        <v>122</v>
      </c>
      <c r="D58" s="147" t="s">
        <v>123</v>
      </c>
      <c r="E58" s="147" t="s">
        <v>124</v>
      </c>
      <c r="F58" s="170">
        <v>6487.6</v>
      </c>
      <c r="G58" s="170">
        <v>0</v>
      </c>
      <c r="H58" s="170">
        <v>0</v>
      </c>
      <c r="I58" s="170">
        <v>0</v>
      </c>
      <c r="J58" s="170">
        <v>0</v>
      </c>
      <c r="K58" s="170">
        <v>1362.4</v>
      </c>
      <c r="L58" s="170">
        <v>0</v>
      </c>
      <c r="M58" s="170">
        <v>0</v>
      </c>
      <c r="N58" s="171">
        <v>7850</v>
      </c>
    </row>
    <row r="59" spans="1:14">
      <c r="A59" s="150" t="s">
        <v>4019</v>
      </c>
      <c r="B59" s="148" t="s">
        <v>4021</v>
      </c>
      <c r="C59" s="148" t="s">
        <v>122</v>
      </c>
      <c r="D59" s="148" t="s">
        <v>123</v>
      </c>
      <c r="E59" s="148" t="s">
        <v>124</v>
      </c>
      <c r="F59" s="172">
        <v>3801.65</v>
      </c>
      <c r="G59" s="172">
        <v>0</v>
      </c>
      <c r="H59" s="172">
        <v>0</v>
      </c>
      <c r="I59" s="172">
        <v>0</v>
      </c>
      <c r="J59" s="172">
        <v>0</v>
      </c>
      <c r="K59" s="172">
        <v>798.35</v>
      </c>
      <c r="L59" s="172">
        <v>0</v>
      </c>
      <c r="M59" s="172">
        <v>0</v>
      </c>
      <c r="N59" s="173">
        <v>4600</v>
      </c>
    </row>
    <row r="60" spans="1:14">
      <c r="A60" s="149" t="s">
        <v>4019</v>
      </c>
      <c r="B60" s="147" t="s">
        <v>4022</v>
      </c>
      <c r="C60" s="147" t="s">
        <v>122</v>
      </c>
      <c r="D60" s="147" t="s">
        <v>123</v>
      </c>
      <c r="E60" s="147" t="s">
        <v>124</v>
      </c>
      <c r="F60" s="170">
        <v>38925.620000000003</v>
      </c>
      <c r="G60" s="170">
        <v>0</v>
      </c>
      <c r="H60" s="170">
        <v>0</v>
      </c>
      <c r="I60" s="170">
        <v>0</v>
      </c>
      <c r="J60" s="170">
        <v>0</v>
      </c>
      <c r="K60" s="170">
        <v>8174.38</v>
      </c>
      <c r="L60" s="170">
        <v>0</v>
      </c>
      <c r="M60" s="170">
        <v>0</v>
      </c>
      <c r="N60" s="171">
        <v>47100</v>
      </c>
    </row>
    <row r="61" spans="1:14">
      <c r="A61" s="150" t="s">
        <v>4019</v>
      </c>
      <c r="B61" s="148" t="s">
        <v>4023</v>
      </c>
      <c r="C61" s="148" t="s">
        <v>122</v>
      </c>
      <c r="D61" s="148" t="s">
        <v>123</v>
      </c>
      <c r="E61" s="148" t="s">
        <v>124</v>
      </c>
      <c r="F61" s="172">
        <v>5330.58</v>
      </c>
      <c r="G61" s="172">
        <v>0</v>
      </c>
      <c r="H61" s="172">
        <v>0</v>
      </c>
      <c r="I61" s="172">
        <v>0</v>
      </c>
      <c r="J61" s="172">
        <v>0</v>
      </c>
      <c r="K61" s="172">
        <v>1119.42</v>
      </c>
      <c r="L61" s="172">
        <v>0</v>
      </c>
      <c r="M61" s="172">
        <v>0</v>
      </c>
      <c r="N61" s="173">
        <v>6450</v>
      </c>
    </row>
    <row r="62" spans="1:14">
      <c r="A62" s="149" t="s">
        <v>4019</v>
      </c>
      <c r="B62" s="147" t="s">
        <v>4024</v>
      </c>
      <c r="C62" s="147" t="s">
        <v>122</v>
      </c>
      <c r="D62" s="147" t="s">
        <v>123</v>
      </c>
      <c r="E62" s="147" t="s">
        <v>124</v>
      </c>
      <c r="F62" s="170">
        <v>10330.58</v>
      </c>
      <c r="G62" s="170">
        <v>0</v>
      </c>
      <c r="H62" s="170">
        <v>0</v>
      </c>
      <c r="I62" s="170">
        <v>0</v>
      </c>
      <c r="J62" s="170">
        <v>0</v>
      </c>
      <c r="K62" s="170">
        <v>2169.42</v>
      </c>
      <c r="L62" s="170">
        <v>0</v>
      </c>
      <c r="M62" s="170">
        <v>0</v>
      </c>
      <c r="N62" s="171">
        <v>12500</v>
      </c>
    </row>
    <row r="63" spans="1:14">
      <c r="A63" s="150" t="s">
        <v>4019</v>
      </c>
      <c r="B63" s="148" t="s">
        <v>4025</v>
      </c>
      <c r="C63" s="148" t="s">
        <v>122</v>
      </c>
      <c r="D63" s="148" t="s">
        <v>123</v>
      </c>
      <c r="E63" s="148" t="s">
        <v>124</v>
      </c>
      <c r="F63" s="172">
        <v>1900.83</v>
      </c>
      <c r="G63" s="172">
        <v>0</v>
      </c>
      <c r="H63" s="172">
        <v>0</v>
      </c>
      <c r="I63" s="172">
        <v>0</v>
      </c>
      <c r="J63" s="172">
        <v>0</v>
      </c>
      <c r="K63" s="172">
        <v>399.17</v>
      </c>
      <c r="L63" s="172">
        <v>0</v>
      </c>
      <c r="M63" s="172">
        <v>0</v>
      </c>
      <c r="N63" s="173">
        <v>2300</v>
      </c>
    </row>
    <row r="64" spans="1:14">
      <c r="A64" s="149" t="s">
        <v>4019</v>
      </c>
      <c r="B64" s="147" t="s">
        <v>4026</v>
      </c>
      <c r="C64" s="147" t="s">
        <v>122</v>
      </c>
      <c r="D64" s="147" t="s">
        <v>123</v>
      </c>
      <c r="E64" s="147" t="s">
        <v>124</v>
      </c>
      <c r="F64" s="170">
        <v>9917.36</v>
      </c>
      <c r="G64" s="170">
        <v>0</v>
      </c>
      <c r="H64" s="170">
        <v>0</v>
      </c>
      <c r="I64" s="170">
        <v>0</v>
      </c>
      <c r="J64" s="170">
        <v>0</v>
      </c>
      <c r="K64" s="170">
        <v>2082.64</v>
      </c>
      <c r="L64" s="170">
        <v>0</v>
      </c>
      <c r="M64" s="170">
        <v>0</v>
      </c>
      <c r="N64" s="171">
        <v>12000</v>
      </c>
    </row>
    <row r="65" spans="1:14">
      <c r="A65" s="150" t="s">
        <v>4019</v>
      </c>
      <c r="B65" s="148" t="s">
        <v>4027</v>
      </c>
      <c r="C65" s="148" t="s">
        <v>122</v>
      </c>
      <c r="D65" s="148" t="s">
        <v>123</v>
      </c>
      <c r="E65" s="148" t="s">
        <v>124</v>
      </c>
      <c r="F65" s="172">
        <v>7685.95</v>
      </c>
      <c r="G65" s="172">
        <v>0</v>
      </c>
      <c r="H65" s="172">
        <v>0</v>
      </c>
      <c r="I65" s="172">
        <v>0</v>
      </c>
      <c r="J65" s="172">
        <v>0</v>
      </c>
      <c r="K65" s="172">
        <v>1614.05</v>
      </c>
      <c r="L65" s="172">
        <v>0</v>
      </c>
      <c r="M65" s="172">
        <v>0</v>
      </c>
      <c r="N65" s="173">
        <v>9300</v>
      </c>
    </row>
    <row r="66" spans="1:14">
      <c r="A66" s="149" t="s">
        <v>4019</v>
      </c>
      <c r="B66" s="147" t="s">
        <v>4028</v>
      </c>
      <c r="C66" s="147" t="s">
        <v>122</v>
      </c>
      <c r="D66" s="147" t="s">
        <v>123</v>
      </c>
      <c r="E66" s="147" t="s">
        <v>124</v>
      </c>
      <c r="F66" s="170">
        <v>57851.24</v>
      </c>
      <c r="G66" s="170">
        <v>0</v>
      </c>
      <c r="H66" s="170">
        <v>0</v>
      </c>
      <c r="I66" s="170">
        <v>0</v>
      </c>
      <c r="J66" s="170">
        <v>0</v>
      </c>
      <c r="K66" s="170">
        <v>12148.76</v>
      </c>
      <c r="L66" s="170">
        <v>0</v>
      </c>
      <c r="M66" s="170">
        <v>0</v>
      </c>
      <c r="N66" s="171">
        <v>70000</v>
      </c>
    </row>
    <row r="67" spans="1:14">
      <c r="A67" s="150" t="s">
        <v>4019</v>
      </c>
      <c r="B67" s="148" t="s">
        <v>4029</v>
      </c>
      <c r="C67" s="148" t="s">
        <v>122</v>
      </c>
      <c r="D67" s="148" t="s">
        <v>123</v>
      </c>
      <c r="E67" s="148" t="s">
        <v>124</v>
      </c>
      <c r="F67" s="172">
        <v>22892.560000000001</v>
      </c>
      <c r="G67" s="172">
        <v>0</v>
      </c>
      <c r="H67" s="172">
        <v>0</v>
      </c>
      <c r="I67" s="172">
        <v>0</v>
      </c>
      <c r="J67" s="172">
        <v>0</v>
      </c>
      <c r="K67" s="172">
        <v>4807.4400000000005</v>
      </c>
      <c r="L67" s="172">
        <v>0</v>
      </c>
      <c r="M67" s="172">
        <v>0</v>
      </c>
      <c r="N67" s="173">
        <v>27700</v>
      </c>
    </row>
    <row r="68" spans="1:14">
      <c r="A68" s="149" t="s">
        <v>4019</v>
      </c>
      <c r="B68" s="147" t="s">
        <v>4030</v>
      </c>
      <c r="C68" s="147" t="s">
        <v>122</v>
      </c>
      <c r="D68" s="147" t="s">
        <v>123</v>
      </c>
      <c r="E68" s="147" t="s">
        <v>124</v>
      </c>
      <c r="F68" s="170">
        <v>13685.95</v>
      </c>
      <c r="G68" s="170">
        <v>0</v>
      </c>
      <c r="H68" s="170">
        <v>0</v>
      </c>
      <c r="I68" s="170">
        <v>0</v>
      </c>
      <c r="J68" s="170">
        <v>0</v>
      </c>
      <c r="K68" s="170">
        <v>2874.05</v>
      </c>
      <c r="L68" s="170">
        <v>0</v>
      </c>
      <c r="M68" s="170">
        <v>0</v>
      </c>
      <c r="N68" s="171">
        <v>16560</v>
      </c>
    </row>
    <row r="69" spans="1:14">
      <c r="A69" s="150" t="s">
        <v>4019</v>
      </c>
      <c r="B69" s="148" t="s">
        <v>4031</v>
      </c>
      <c r="C69" s="148" t="s">
        <v>122</v>
      </c>
      <c r="D69" s="148" t="s">
        <v>123</v>
      </c>
      <c r="E69" s="148" t="s">
        <v>124</v>
      </c>
      <c r="F69" s="172">
        <v>11446.28</v>
      </c>
      <c r="G69" s="172">
        <v>0</v>
      </c>
      <c r="H69" s="172">
        <v>0</v>
      </c>
      <c r="I69" s="172">
        <v>0</v>
      </c>
      <c r="J69" s="172">
        <v>0</v>
      </c>
      <c r="K69" s="172">
        <v>2403.7200000000003</v>
      </c>
      <c r="L69" s="172">
        <v>0</v>
      </c>
      <c r="M69" s="172">
        <v>0</v>
      </c>
      <c r="N69" s="173">
        <v>13850</v>
      </c>
    </row>
    <row r="70" spans="1:14">
      <c r="A70" s="149" t="s">
        <v>4019</v>
      </c>
      <c r="B70" s="147" t="s">
        <v>4032</v>
      </c>
      <c r="C70" s="147" t="s">
        <v>122</v>
      </c>
      <c r="D70" s="147" t="s">
        <v>123</v>
      </c>
      <c r="E70" s="147" t="s">
        <v>124</v>
      </c>
      <c r="F70" s="170">
        <v>20578.510000000002</v>
      </c>
      <c r="G70" s="170">
        <v>0</v>
      </c>
      <c r="H70" s="170">
        <v>0</v>
      </c>
      <c r="I70" s="170">
        <v>0</v>
      </c>
      <c r="J70" s="170">
        <v>0</v>
      </c>
      <c r="K70" s="170">
        <v>4321.49</v>
      </c>
      <c r="L70" s="170">
        <v>0</v>
      </c>
      <c r="M70" s="170">
        <v>0</v>
      </c>
      <c r="N70" s="171">
        <v>24900</v>
      </c>
    </row>
    <row r="71" spans="1:14">
      <c r="A71" s="150" t="s">
        <v>4019</v>
      </c>
      <c r="B71" s="148" t="s">
        <v>4037</v>
      </c>
      <c r="C71" s="148" t="s">
        <v>778</v>
      </c>
      <c r="D71" s="148" t="s">
        <v>123</v>
      </c>
      <c r="E71" s="148">
        <v>22001100</v>
      </c>
      <c r="F71" s="172">
        <v>14049.59</v>
      </c>
      <c r="G71" s="172">
        <v>0</v>
      </c>
      <c r="H71" s="172">
        <v>0</v>
      </c>
      <c r="I71" s="172">
        <v>0</v>
      </c>
      <c r="J71" s="172">
        <v>0</v>
      </c>
      <c r="K71" s="172">
        <v>2950.41</v>
      </c>
      <c r="L71" s="172">
        <v>0</v>
      </c>
      <c r="M71" s="172">
        <v>0</v>
      </c>
      <c r="N71" s="173">
        <v>17000</v>
      </c>
    </row>
    <row r="72" spans="1:14">
      <c r="A72" s="149" t="s">
        <v>4038</v>
      </c>
      <c r="B72" s="147" t="s">
        <v>4039</v>
      </c>
      <c r="C72" s="147" t="s">
        <v>122</v>
      </c>
      <c r="D72" s="147" t="s">
        <v>123</v>
      </c>
      <c r="E72" s="147" t="s">
        <v>124</v>
      </c>
      <c r="F72" s="170">
        <v>17355.37</v>
      </c>
      <c r="G72" s="170">
        <v>0</v>
      </c>
      <c r="H72" s="170">
        <v>0</v>
      </c>
      <c r="I72" s="170">
        <v>0</v>
      </c>
      <c r="J72" s="170">
        <v>0</v>
      </c>
      <c r="K72" s="170">
        <v>3644.63</v>
      </c>
      <c r="L72" s="170">
        <v>0</v>
      </c>
      <c r="M72" s="170">
        <v>0</v>
      </c>
      <c r="N72" s="171">
        <v>21000</v>
      </c>
    </row>
    <row r="73" spans="1:14">
      <c r="A73" s="150" t="s">
        <v>4038</v>
      </c>
      <c r="B73" s="148" t="s">
        <v>4040</v>
      </c>
      <c r="C73" s="148" t="s">
        <v>122</v>
      </c>
      <c r="D73" s="148" t="s">
        <v>123</v>
      </c>
      <c r="E73" s="148" t="s">
        <v>124</v>
      </c>
      <c r="F73" s="172">
        <v>12396.69</v>
      </c>
      <c r="G73" s="172">
        <v>0</v>
      </c>
      <c r="H73" s="172">
        <v>0</v>
      </c>
      <c r="I73" s="172">
        <v>0</v>
      </c>
      <c r="J73" s="172">
        <v>0</v>
      </c>
      <c r="K73" s="172">
        <v>2603.31</v>
      </c>
      <c r="L73" s="172">
        <v>0</v>
      </c>
      <c r="M73" s="172">
        <v>0</v>
      </c>
      <c r="N73" s="173">
        <v>15000</v>
      </c>
    </row>
    <row r="74" spans="1:14">
      <c r="A74" s="149" t="s">
        <v>4038</v>
      </c>
      <c r="B74" s="147" t="s">
        <v>4041</v>
      </c>
      <c r="C74" s="147" t="s">
        <v>122</v>
      </c>
      <c r="D74" s="147" t="s">
        <v>123</v>
      </c>
      <c r="E74" s="147" t="s">
        <v>124</v>
      </c>
      <c r="F74" s="170">
        <v>9834.7100000000009</v>
      </c>
      <c r="G74" s="170">
        <v>0</v>
      </c>
      <c r="H74" s="170">
        <v>0</v>
      </c>
      <c r="I74" s="170">
        <v>0</v>
      </c>
      <c r="J74" s="170">
        <v>0</v>
      </c>
      <c r="K74" s="170">
        <v>2065.29</v>
      </c>
      <c r="L74" s="170">
        <v>0</v>
      </c>
      <c r="M74" s="170">
        <v>0</v>
      </c>
      <c r="N74" s="171">
        <v>11900</v>
      </c>
    </row>
    <row r="75" spans="1:14">
      <c r="A75" s="150" t="s">
        <v>4038</v>
      </c>
      <c r="B75" s="148" t="s">
        <v>4042</v>
      </c>
      <c r="C75" s="148" t="s">
        <v>122</v>
      </c>
      <c r="D75" s="148" t="s">
        <v>123</v>
      </c>
      <c r="E75" s="148" t="s">
        <v>124</v>
      </c>
      <c r="F75" s="172">
        <v>9834.7100000000009</v>
      </c>
      <c r="G75" s="172">
        <v>0</v>
      </c>
      <c r="H75" s="172">
        <v>0</v>
      </c>
      <c r="I75" s="172">
        <v>0</v>
      </c>
      <c r="J75" s="172">
        <v>0</v>
      </c>
      <c r="K75" s="172">
        <v>2065.29</v>
      </c>
      <c r="L75" s="172">
        <v>0</v>
      </c>
      <c r="M75" s="172">
        <v>0</v>
      </c>
      <c r="N75" s="173">
        <v>11900</v>
      </c>
    </row>
    <row r="76" spans="1:14">
      <c r="A76" s="149" t="s">
        <v>4038</v>
      </c>
      <c r="B76" s="147" t="s">
        <v>4043</v>
      </c>
      <c r="C76" s="147" t="s">
        <v>122</v>
      </c>
      <c r="D76" s="147" t="s">
        <v>123</v>
      </c>
      <c r="E76" s="147" t="s">
        <v>124</v>
      </c>
      <c r="F76" s="170">
        <v>12396.69</v>
      </c>
      <c r="G76" s="170">
        <v>0</v>
      </c>
      <c r="H76" s="170">
        <v>0</v>
      </c>
      <c r="I76" s="170">
        <v>0</v>
      </c>
      <c r="J76" s="170">
        <v>0</v>
      </c>
      <c r="K76" s="170">
        <v>2603.31</v>
      </c>
      <c r="L76" s="170">
        <v>0</v>
      </c>
      <c r="M76" s="170">
        <v>0</v>
      </c>
      <c r="N76" s="171">
        <v>15000</v>
      </c>
    </row>
    <row r="77" spans="1:14">
      <c r="A77" s="150" t="s">
        <v>4038</v>
      </c>
      <c r="B77" s="148" t="s">
        <v>4044</v>
      </c>
      <c r="C77" s="148" t="s">
        <v>122</v>
      </c>
      <c r="D77" s="148" t="s">
        <v>123</v>
      </c>
      <c r="E77" s="148" t="s">
        <v>124</v>
      </c>
      <c r="F77" s="172">
        <v>2768.6</v>
      </c>
      <c r="G77" s="172">
        <v>0</v>
      </c>
      <c r="H77" s="172">
        <v>0</v>
      </c>
      <c r="I77" s="172">
        <v>0</v>
      </c>
      <c r="J77" s="172">
        <v>0</v>
      </c>
      <c r="K77" s="172">
        <v>581.4</v>
      </c>
      <c r="L77" s="172">
        <v>0</v>
      </c>
      <c r="M77" s="172">
        <v>0</v>
      </c>
      <c r="N77" s="173">
        <v>3350</v>
      </c>
    </row>
    <row r="78" spans="1:14">
      <c r="A78" s="149" t="s">
        <v>4038</v>
      </c>
      <c r="B78" s="147" t="s">
        <v>4045</v>
      </c>
      <c r="C78" s="147" t="s">
        <v>4046</v>
      </c>
      <c r="D78" s="147" t="s">
        <v>123</v>
      </c>
      <c r="E78" s="147">
        <v>22926460</v>
      </c>
      <c r="F78" s="170">
        <v>12975.21</v>
      </c>
      <c r="G78" s="170">
        <v>0</v>
      </c>
      <c r="H78" s="170">
        <v>0</v>
      </c>
      <c r="I78" s="170">
        <v>0</v>
      </c>
      <c r="J78" s="170">
        <v>0</v>
      </c>
      <c r="K78" s="170">
        <v>2724.79</v>
      </c>
      <c r="L78" s="170">
        <v>0</v>
      </c>
      <c r="M78" s="170">
        <v>0</v>
      </c>
      <c r="N78" s="171">
        <v>15700</v>
      </c>
    </row>
    <row r="79" spans="1:14">
      <c r="A79" s="150" t="s">
        <v>4038</v>
      </c>
      <c r="B79" s="148" t="s">
        <v>4047</v>
      </c>
      <c r="C79" s="148" t="s">
        <v>4048</v>
      </c>
      <c r="D79" s="148" t="s">
        <v>123</v>
      </c>
      <c r="E79" s="148">
        <v>20158041</v>
      </c>
      <c r="F79" s="172">
        <v>22892.560000000001</v>
      </c>
      <c r="G79" s="172">
        <v>0</v>
      </c>
      <c r="H79" s="172">
        <v>0</v>
      </c>
      <c r="I79" s="172">
        <v>0</v>
      </c>
      <c r="J79" s="172">
        <v>0</v>
      </c>
      <c r="K79" s="172">
        <v>4807.4400000000005</v>
      </c>
      <c r="L79" s="172">
        <v>0</v>
      </c>
      <c r="M79" s="172">
        <v>0</v>
      </c>
      <c r="N79" s="173">
        <v>27700</v>
      </c>
    </row>
    <row r="80" spans="1:14">
      <c r="A80" s="149" t="s">
        <v>4038</v>
      </c>
      <c r="B80" s="147" t="s">
        <v>4049</v>
      </c>
      <c r="C80" s="147" t="s">
        <v>122</v>
      </c>
      <c r="D80" s="147" t="s">
        <v>123</v>
      </c>
      <c r="E80" s="147" t="s">
        <v>124</v>
      </c>
      <c r="F80" s="170">
        <v>6487.6</v>
      </c>
      <c r="G80" s="170">
        <v>0</v>
      </c>
      <c r="H80" s="170">
        <v>0</v>
      </c>
      <c r="I80" s="170">
        <v>0</v>
      </c>
      <c r="J80" s="170">
        <v>0</v>
      </c>
      <c r="K80" s="170">
        <v>1362.4</v>
      </c>
      <c r="L80" s="170">
        <v>0</v>
      </c>
      <c r="M80" s="170">
        <v>0</v>
      </c>
      <c r="N80" s="171">
        <v>7850</v>
      </c>
    </row>
    <row r="81" spans="1:14">
      <c r="A81" s="150" t="s">
        <v>4038</v>
      </c>
      <c r="B81" s="148" t="s">
        <v>4050</v>
      </c>
      <c r="C81" s="148" t="s">
        <v>122</v>
      </c>
      <c r="D81" s="148" t="s">
        <v>123</v>
      </c>
      <c r="E81" s="148" t="s">
        <v>124</v>
      </c>
      <c r="F81" s="172">
        <v>11570.25</v>
      </c>
      <c r="G81" s="172">
        <v>0</v>
      </c>
      <c r="H81" s="172">
        <v>0</v>
      </c>
      <c r="I81" s="172">
        <v>0</v>
      </c>
      <c r="J81" s="172">
        <v>0</v>
      </c>
      <c r="K81" s="172">
        <v>2429.75</v>
      </c>
      <c r="L81" s="172">
        <v>0</v>
      </c>
      <c r="M81" s="172">
        <v>0</v>
      </c>
      <c r="N81" s="173">
        <v>14000</v>
      </c>
    </row>
    <row r="82" spans="1:14">
      <c r="A82" s="149" t="s">
        <v>4038</v>
      </c>
      <c r="B82" s="147" t="s">
        <v>4051</v>
      </c>
      <c r="C82" s="147" t="s">
        <v>122</v>
      </c>
      <c r="D82" s="147" t="s">
        <v>123</v>
      </c>
      <c r="E82" s="147" t="s">
        <v>124</v>
      </c>
      <c r="F82" s="170">
        <v>3305.79</v>
      </c>
      <c r="G82" s="170">
        <v>0</v>
      </c>
      <c r="H82" s="170">
        <v>0</v>
      </c>
      <c r="I82" s="170">
        <v>0</v>
      </c>
      <c r="J82" s="170">
        <v>0</v>
      </c>
      <c r="K82" s="170">
        <v>694.21</v>
      </c>
      <c r="L82" s="170">
        <v>0</v>
      </c>
      <c r="M82" s="170">
        <v>0</v>
      </c>
      <c r="N82" s="171">
        <v>4000</v>
      </c>
    </row>
    <row r="83" spans="1:14">
      <c r="A83" s="150" t="s">
        <v>4052</v>
      </c>
      <c r="B83" s="148" t="s">
        <v>4053</v>
      </c>
      <c r="C83" s="148" t="s">
        <v>122</v>
      </c>
      <c r="D83" s="148" t="s">
        <v>123</v>
      </c>
      <c r="E83" s="148" t="s">
        <v>124</v>
      </c>
      <c r="F83" s="172">
        <v>12975.21</v>
      </c>
      <c r="G83" s="172">
        <v>0</v>
      </c>
      <c r="H83" s="172">
        <v>0</v>
      </c>
      <c r="I83" s="172">
        <v>0</v>
      </c>
      <c r="J83" s="172">
        <v>0</v>
      </c>
      <c r="K83" s="172">
        <v>2724.79</v>
      </c>
      <c r="L83" s="172">
        <v>0</v>
      </c>
      <c r="M83" s="172">
        <v>0</v>
      </c>
      <c r="N83" s="173">
        <v>15700</v>
      </c>
    </row>
    <row r="84" spans="1:14">
      <c r="A84" s="149" t="s">
        <v>4052</v>
      </c>
      <c r="B84" s="147" t="s">
        <v>4054</v>
      </c>
      <c r="C84" s="147" t="s">
        <v>122</v>
      </c>
      <c r="D84" s="147" t="s">
        <v>123</v>
      </c>
      <c r="E84" s="147" t="s">
        <v>124</v>
      </c>
      <c r="F84" s="170">
        <v>22892.560000000001</v>
      </c>
      <c r="G84" s="170">
        <v>0</v>
      </c>
      <c r="H84" s="170">
        <v>0</v>
      </c>
      <c r="I84" s="170">
        <v>0</v>
      </c>
      <c r="J84" s="170">
        <v>0</v>
      </c>
      <c r="K84" s="170">
        <v>4807.4400000000005</v>
      </c>
      <c r="L84" s="170">
        <v>0</v>
      </c>
      <c r="M84" s="170">
        <v>0</v>
      </c>
      <c r="N84" s="171">
        <v>27700</v>
      </c>
    </row>
    <row r="85" spans="1:14">
      <c r="A85" s="150" t="s">
        <v>4052</v>
      </c>
      <c r="B85" s="148" t="s">
        <v>4055</v>
      </c>
      <c r="C85" s="148" t="s">
        <v>122</v>
      </c>
      <c r="D85" s="148" t="s">
        <v>123</v>
      </c>
      <c r="E85" s="148" t="s">
        <v>124</v>
      </c>
      <c r="F85" s="172">
        <v>16528.93</v>
      </c>
      <c r="G85" s="172">
        <v>0</v>
      </c>
      <c r="H85" s="172">
        <v>0</v>
      </c>
      <c r="I85" s="172">
        <v>0</v>
      </c>
      <c r="J85" s="172">
        <v>0</v>
      </c>
      <c r="K85" s="172">
        <v>3471.07</v>
      </c>
      <c r="L85" s="172">
        <v>0</v>
      </c>
      <c r="M85" s="172">
        <v>0</v>
      </c>
      <c r="N85" s="173">
        <v>20000</v>
      </c>
    </row>
    <row r="86" spans="1:14">
      <c r="A86" s="149" t="s">
        <v>4052</v>
      </c>
      <c r="B86" s="147" t="s">
        <v>4056</v>
      </c>
      <c r="C86" s="147" t="s">
        <v>122</v>
      </c>
      <c r="D86" s="147" t="s">
        <v>123</v>
      </c>
      <c r="E86" s="147" t="s">
        <v>124</v>
      </c>
      <c r="F86" s="170">
        <v>15537.19</v>
      </c>
      <c r="G86" s="170">
        <v>0</v>
      </c>
      <c r="H86" s="170">
        <v>0</v>
      </c>
      <c r="I86" s="170">
        <v>0</v>
      </c>
      <c r="J86" s="170">
        <v>0</v>
      </c>
      <c r="K86" s="170">
        <v>3262.81</v>
      </c>
      <c r="L86" s="170">
        <v>0</v>
      </c>
      <c r="M86" s="170">
        <v>0</v>
      </c>
      <c r="N86" s="171">
        <v>18800</v>
      </c>
    </row>
    <row r="87" spans="1:14">
      <c r="A87" s="150" t="s">
        <v>4052</v>
      </c>
      <c r="B87" s="148" t="s">
        <v>4057</v>
      </c>
      <c r="C87" s="148" t="s">
        <v>122</v>
      </c>
      <c r="D87" s="148" t="s">
        <v>123</v>
      </c>
      <c r="E87" s="148" t="s">
        <v>124</v>
      </c>
      <c r="F87" s="172">
        <v>5702.48</v>
      </c>
      <c r="G87" s="172">
        <v>0</v>
      </c>
      <c r="H87" s="172">
        <v>0</v>
      </c>
      <c r="I87" s="172">
        <v>0</v>
      </c>
      <c r="J87" s="172">
        <v>0</v>
      </c>
      <c r="K87" s="172">
        <v>1197.52</v>
      </c>
      <c r="L87" s="172">
        <v>0</v>
      </c>
      <c r="M87" s="172">
        <v>0</v>
      </c>
      <c r="N87" s="173">
        <v>6900</v>
      </c>
    </row>
    <row r="88" spans="1:14">
      <c r="A88" s="149" t="s">
        <v>4052</v>
      </c>
      <c r="B88" s="147" t="s">
        <v>4058</v>
      </c>
      <c r="C88" s="147" t="s">
        <v>122</v>
      </c>
      <c r="D88" s="147" t="s">
        <v>123</v>
      </c>
      <c r="E88" s="147" t="s">
        <v>124</v>
      </c>
      <c r="F88" s="170">
        <v>6487.6</v>
      </c>
      <c r="G88" s="170">
        <v>0</v>
      </c>
      <c r="H88" s="170">
        <v>0</v>
      </c>
      <c r="I88" s="170">
        <v>0</v>
      </c>
      <c r="J88" s="170">
        <v>0</v>
      </c>
      <c r="K88" s="170">
        <v>1362.4</v>
      </c>
      <c r="L88" s="170">
        <v>0</v>
      </c>
      <c r="M88" s="170">
        <v>0</v>
      </c>
      <c r="N88" s="171">
        <v>7850</v>
      </c>
    </row>
    <row r="89" spans="1:14">
      <c r="A89" s="150" t="s">
        <v>4052</v>
      </c>
      <c r="B89" s="148" t="s">
        <v>4059</v>
      </c>
      <c r="C89" s="148" t="s">
        <v>122</v>
      </c>
      <c r="D89" s="148" t="s">
        <v>123</v>
      </c>
      <c r="E89" s="148" t="s">
        <v>124</v>
      </c>
      <c r="F89" s="172">
        <v>8264.4600000000009</v>
      </c>
      <c r="G89" s="172">
        <v>0</v>
      </c>
      <c r="H89" s="172">
        <v>0</v>
      </c>
      <c r="I89" s="172">
        <v>0</v>
      </c>
      <c r="J89" s="172">
        <v>0</v>
      </c>
      <c r="K89" s="172">
        <v>1735.54</v>
      </c>
      <c r="L89" s="172">
        <v>0</v>
      </c>
      <c r="M89" s="172">
        <v>0</v>
      </c>
      <c r="N89" s="173">
        <v>10000</v>
      </c>
    </row>
    <row r="90" spans="1:14">
      <c r="A90" s="149" t="s">
        <v>4052</v>
      </c>
      <c r="B90" s="147" t="s">
        <v>4060</v>
      </c>
      <c r="C90" s="147" t="s">
        <v>122</v>
      </c>
      <c r="D90" s="147" t="s">
        <v>123</v>
      </c>
      <c r="E90" s="147" t="s">
        <v>124</v>
      </c>
      <c r="F90" s="170">
        <v>6363.64</v>
      </c>
      <c r="G90" s="170">
        <v>0</v>
      </c>
      <c r="H90" s="170">
        <v>0</v>
      </c>
      <c r="I90" s="170">
        <v>0</v>
      </c>
      <c r="J90" s="170">
        <v>0</v>
      </c>
      <c r="K90" s="170">
        <v>1336.36</v>
      </c>
      <c r="L90" s="170">
        <v>0</v>
      </c>
      <c r="M90" s="170">
        <v>0</v>
      </c>
      <c r="N90" s="171">
        <v>7700</v>
      </c>
    </row>
    <row r="91" spans="1:14">
      <c r="A91" s="150" t="s">
        <v>4052</v>
      </c>
      <c r="B91" s="148" t="s">
        <v>4061</v>
      </c>
      <c r="C91" s="148" t="s">
        <v>122</v>
      </c>
      <c r="D91" s="148" t="s">
        <v>123</v>
      </c>
      <c r="E91" s="148" t="s">
        <v>124</v>
      </c>
      <c r="F91" s="172">
        <v>6487.6</v>
      </c>
      <c r="G91" s="172">
        <v>0</v>
      </c>
      <c r="H91" s="172">
        <v>0</v>
      </c>
      <c r="I91" s="172">
        <v>0</v>
      </c>
      <c r="J91" s="172">
        <v>0</v>
      </c>
      <c r="K91" s="172">
        <v>1362.4</v>
      </c>
      <c r="L91" s="172">
        <v>0</v>
      </c>
      <c r="M91" s="172">
        <v>0</v>
      </c>
      <c r="N91" s="173">
        <v>7850</v>
      </c>
    </row>
    <row r="92" spans="1:14">
      <c r="A92" s="149" t="s">
        <v>4052</v>
      </c>
      <c r="B92" s="147" t="s">
        <v>4062</v>
      </c>
      <c r="C92" s="147" t="s">
        <v>122</v>
      </c>
      <c r="D92" s="147" t="s">
        <v>123</v>
      </c>
      <c r="E92" s="147" t="s">
        <v>124</v>
      </c>
      <c r="F92" s="170">
        <v>5454.55</v>
      </c>
      <c r="G92" s="170">
        <v>0</v>
      </c>
      <c r="H92" s="170">
        <v>0</v>
      </c>
      <c r="I92" s="170">
        <v>0</v>
      </c>
      <c r="J92" s="170">
        <v>0</v>
      </c>
      <c r="K92" s="170">
        <v>1145.45</v>
      </c>
      <c r="L92" s="170">
        <v>0</v>
      </c>
      <c r="M92" s="170">
        <v>0</v>
      </c>
      <c r="N92" s="171">
        <v>6600</v>
      </c>
    </row>
    <row r="93" spans="1:14">
      <c r="A93" s="150" t="s">
        <v>4052</v>
      </c>
      <c r="B93" s="148" t="s">
        <v>4063</v>
      </c>
      <c r="C93" s="148" t="s">
        <v>122</v>
      </c>
      <c r="D93" s="148" t="s">
        <v>123</v>
      </c>
      <c r="E93" s="148" t="s">
        <v>124</v>
      </c>
      <c r="F93" s="172">
        <v>4876.03</v>
      </c>
      <c r="G93" s="172">
        <v>0</v>
      </c>
      <c r="H93" s="172">
        <v>0</v>
      </c>
      <c r="I93" s="172">
        <v>0</v>
      </c>
      <c r="J93" s="172">
        <v>0</v>
      </c>
      <c r="K93" s="172">
        <v>1023.97</v>
      </c>
      <c r="L93" s="172">
        <v>0</v>
      </c>
      <c r="M93" s="172">
        <v>0</v>
      </c>
      <c r="N93" s="173">
        <v>5900</v>
      </c>
    </row>
    <row r="94" spans="1:14">
      <c r="A94" s="149" t="s">
        <v>4052</v>
      </c>
      <c r="B94" s="147" t="s">
        <v>4064</v>
      </c>
      <c r="C94" s="147" t="s">
        <v>122</v>
      </c>
      <c r="D94" s="147" t="s">
        <v>123</v>
      </c>
      <c r="E94" s="147" t="s">
        <v>124</v>
      </c>
      <c r="F94" s="170">
        <v>13140.5</v>
      </c>
      <c r="G94" s="170">
        <v>0</v>
      </c>
      <c r="H94" s="170">
        <v>0</v>
      </c>
      <c r="I94" s="170">
        <v>0</v>
      </c>
      <c r="J94" s="170">
        <v>0</v>
      </c>
      <c r="K94" s="170">
        <v>2759.5</v>
      </c>
      <c r="L94" s="170">
        <v>0</v>
      </c>
      <c r="M94" s="170">
        <v>0</v>
      </c>
      <c r="N94" s="171">
        <v>15900</v>
      </c>
    </row>
    <row r="95" spans="1:14">
      <c r="A95" s="150" t="s">
        <v>4071</v>
      </c>
      <c r="B95" s="148" t="s">
        <v>4072</v>
      </c>
      <c r="C95" s="148" t="s">
        <v>122</v>
      </c>
      <c r="D95" s="148" t="s">
        <v>123</v>
      </c>
      <c r="E95" s="148" t="s">
        <v>124</v>
      </c>
      <c r="F95" s="172">
        <v>6611.57</v>
      </c>
      <c r="G95" s="172">
        <v>0</v>
      </c>
      <c r="H95" s="172">
        <v>0</v>
      </c>
      <c r="I95" s="172">
        <v>0</v>
      </c>
      <c r="J95" s="172">
        <v>0</v>
      </c>
      <c r="K95" s="172">
        <v>1388.43</v>
      </c>
      <c r="L95" s="172">
        <v>0</v>
      </c>
      <c r="M95" s="172">
        <v>0</v>
      </c>
      <c r="N95" s="173">
        <v>8000</v>
      </c>
    </row>
    <row r="96" spans="1:14">
      <c r="A96" s="149" t="s">
        <v>4071</v>
      </c>
      <c r="B96" s="147" t="s">
        <v>4073</v>
      </c>
      <c r="C96" s="147" t="s">
        <v>122</v>
      </c>
      <c r="D96" s="147" t="s">
        <v>123</v>
      </c>
      <c r="E96" s="147" t="s">
        <v>124</v>
      </c>
      <c r="F96" s="170">
        <v>3223.14</v>
      </c>
      <c r="G96" s="170">
        <v>0</v>
      </c>
      <c r="H96" s="170">
        <v>0</v>
      </c>
      <c r="I96" s="170">
        <v>0</v>
      </c>
      <c r="J96" s="170">
        <v>0</v>
      </c>
      <c r="K96" s="170">
        <v>676.86</v>
      </c>
      <c r="L96" s="170">
        <v>0</v>
      </c>
      <c r="M96" s="170">
        <v>0</v>
      </c>
      <c r="N96" s="171">
        <v>3900</v>
      </c>
    </row>
    <row r="97" spans="1:14">
      <c r="A97" s="150" t="s">
        <v>4071</v>
      </c>
      <c r="B97" s="148" t="s">
        <v>4074</v>
      </c>
      <c r="C97" s="148" t="s">
        <v>122</v>
      </c>
      <c r="D97" s="148" t="s">
        <v>123</v>
      </c>
      <c r="E97" s="148" t="s">
        <v>124</v>
      </c>
      <c r="F97" s="172">
        <v>5330.58</v>
      </c>
      <c r="G97" s="172">
        <v>0</v>
      </c>
      <c r="H97" s="172">
        <v>0</v>
      </c>
      <c r="I97" s="172">
        <v>0</v>
      </c>
      <c r="J97" s="172">
        <v>0</v>
      </c>
      <c r="K97" s="172">
        <v>1119.42</v>
      </c>
      <c r="L97" s="172">
        <v>0</v>
      </c>
      <c r="M97" s="172">
        <v>0</v>
      </c>
      <c r="N97" s="173">
        <v>6450</v>
      </c>
    </row>
    <row r="98" spans="1:14">
      <c r="A98" s="149" t="s">
        <v>4071</v>
      </c>
      <c r="B98" s="147" t="s">
        <v>4075</v>
      </c>
      <c r="C98" s="147" t="s">
        <v>122</v>
      </c>
      <c r="D98" s="147" t="s">
        <v>123</v>
      </c>
      <c r="E98" s="147" t="s">
        <v>124</v>
      </c>
      <c r="F98" s="170">
        <v>10661.16</v>
      </c>
      <c r="G98" s="170">
        <v>0</v>
      </c>
      <c r="H98" s="170">
        <v>0</v>
      </c>
      <c r="I98" s="170">
        <v>0</v>
      </c>
      <c r="J98" s="170">
        <v>0</v>
      </c>
      <c r="K98" s="170">
        <v>2238.84</v>
      </c>
      <c r="L98" s="170">
        <v>0</v>
      </c>
      <c r="M98" s="170">
        <v>0</v>
      </c>
      <c r="N98" s="171">
        <v>12900</v>
      </c>
    </row>
    <row r="99" spans="1:14">
      <c r="A99" s="150" t="s">
        <v>4071</v>
      </c>
      <c r="B99" s="148" t="s">
        <v>4076</v>
      </c>
      <c r="C99" s="148" t="s">
        <v>122</v>
      </c>
      <c r="D99" s="148" t="s">
        <v>123</v>
      </c>
      <c r="E99" s="148" t="s">
        <v>124</v>
      </c>
      <c r="F99" s="172">
        <v>4132.2300000000005</v>
      </c>
      <c r="G99" s="172">
        <v>0</v>
      </c>
      <c r="H99" s="172">
        <v>0</v>
      </c>
      <c r="I99" s="172">
        <v>0</v>
      </c>
      <c r="J99" s="172">
        <v>0</v>
      </c>
      <c r="K99" s="172">
        <v>867.77</v>
      </c>
      <c r="L99" s="172">
        <v>0</v>
      </c>
      <c r="M99" s="172">
        <v>0</v>
      </c>
      <c r="N99" s="173">
        <v>5000</v>
      </c>
    </row>
    <row r="100" spans="1:14">
      <c r="A100" s="149" t="s">
        <v>4071</v>
      </c>
      <c r="B100" s="147" t="s">
        <v>4079</v>
      </c>
      <c r="C100" s="147" t="s">
        <v>302</v>
      </c>
      <c r="D100" s="147" t="s">
        <v>123</v>
      </c>
      <c r="E100" s="147">
        <v>4648296</v>
      </c>
      <c r="F100" s="170">
        <v>8677.68</v>
      </c>
      <c r="G100" s="170">
        <v>0</v>
      </c>
      <c r="H100" s="170">
        <v>0</v>
      </c>
      <c r="I100" s="170">
        <v>0</v>
      </c>
      <c r="J100" s="170">
        <v>0</v>
      </c>
      <c r="K100" s="170">
        <v>1822.32</v>
      </c>
      <c r="L100" s="170">
        <v>0</v>
      </c>
      <c r="M100" s="170">
        <v>0</v>
      </c>
      <c r="N100" s="171">
        <v>10500</v>
      </c>
    </row>
    <row r="101" spans="1:14">
      <c r="A101" s="150" t="s">
        <v>4071</v>
      </c>
      <c r="B101" s="148" t="s">
        <v>4080</v>
      </c>
      <c r="C101" s="148" t="s">
        <v>360</v>
      </c>
      <c r="D101" s="148" t="s">
        <v>123</v>
      </c>
      <c r="E101" s="148">
        <v>5804480</v>
      </c>
      <c r="F101" s="172">
        <v>7024.79</v>
      </c>
      <c r="G101" s="172">
        <v>0</v>
      </c>
      <c r="H101" s="172">
        <v>0</v>
      </c>
      <c r="I101" s="172">
        <v>0</v>
      </c>
      <c r="J101" s="172">
        <v>0</v>
      </c>
      <c r="K101" s="172">
        <v>1475.21</v>
      </c>
      <c r="L101" s="172">
        <v>0</v>
      </c>
      <c r="M101" s="172">
        <v>0</v>
      </c>
      <c r="N101" s="173">
        <v>8500</v>
      </c>
    </row>
    <row r="102" spans="1:14">
      <c r="A102" s="149" t="s">
        <v>4071</v>
      </c>
      <c r="B102" s="147" t="s">
        <v>4081</v>
      </c>
      <c r="C102" s="147" t="s">
        <v>769</v>
      </c>
      <c r="D102" s="147" t="s">
        <v>123</v>
      </c>
      <c r="E102" s="147">
        <v>21363216</v>
      </c>
      <c r="F102" s="170">
        <v>8264.4699999999993</v>
      </c>
      <c r="G102" s="170">
        <v>0</v>
      </c>
      <c r="H102" s="170">
        <v>0</v>
      </c>
      <c r="I102" s="170">
        <v>0</v>
      </c>
      <c r="J102" s="170">
        <v>0</v>
      </c>
      <c r="K102" s="170">
        <v>1735.53</v>
      </c>
      <c r="L102" s="170">
        <v>0</v>
      </c>
      <c r="M102" s="170">
        <v>0</v>
      </c>
      <c r="N102" s="171">
        <v>10000</v>
      </c>
    </row>
    <row r="103" spans="1:14">
      <c r="A103" s="150" t="s">
        <v>4071</v>
      </c>
      <c r="B103" s="148" t="s">
        <v>4082</v>
      </c>
      <c r="C103" s="148" t="s">
        <v>856</v>
      </c>
      <c r="D103" s="148" t="s">
        <v>123</v>
      </c>
      <c r="E103" s="148">
        <v>36622635</v>
      </c>
      <c r="F103" s="172">
        <v>18181.82</v>
      </c>
      <c r="G103" s="172">
        <v>0</v>
      </c>
      <c r="H103" s="172">
        <v>0</v>
      </c>
      <c r="I103" s="172">
        <v>0</v>
      </c>
      <c r="J103" s="172">
        <v>0</v>
      </c>
      <c r="K103" s="172">
        <v>3818.18</v>
      </c>
      <c r="L103" s="172">
        <v>0</v>
      </c>
      <c r="M103" s="172">
        <v>0</v>
      </c>
      <c r="N103" s="173">
        <v>22000</v>
      </c>
    </row>
    <row r="104" spans="1:14">
      <c r="A104" s="149" t="s">
        <v>4071</v>
      </c>
      <c r="B104" s="147" t="s">
        <v>4083</v>
      </c>
      <c r="C104" s="147" t="s">
        <v>822</v>
      </c>
      <c r="D104" s="147" t="s">
        <v>123</v>
      </c>
      <c r="E104" s="147">
        <v>22608522</v>
      </c>
      <c r="F104" s="170">
        <v>29752.07</v>
      </c>
      <c r="G104" s="170">
        <v>0</v>
      </c>
      <c r="H104" s="170">
        <v>0</v>
      </c>
      <c r="I104" s="170">
        <v>0</v>
      </c>
      <c r="J104" s="170">
        <v>0</v>
      </c>
      <c r="K104" s="170">
        <v>6247.93</v>
      </c>
      <c r="L104" s="170">
        <v>0</v>
      </c>
      <c r="M104" s="170">
        <v>0</v>
      </c>
      <c r="N104" s="171">
        <v>36000</v>
      </c>
    </row>
    <row r="105" spans="1:14">
      <c r="A105" s="150" t="s">
        <v>4071</v>
      </c>
      <c r="B105" s="148" t="s">
        <v>4084</v>
      </c>
      <c r="C105" s="148" t="s">
        <v>2639</v>
      </c>
      <c r="D105" s="148" t="s">
        <v>123</v>
      </c>
      <c r="E105" s="148">
        <v>10373067</v>
      </c>
      <c r="F105" s="172">
        <v>27272.73</v>
      </c>
      <c r="G105" s="172">
        <v>0</v>
      </c>
      <c r="H105" s="172">
        <v>0</v>
      </c>
      <c r="I105" s="172">
        <v>0</v>
      </c>
      <c r="J105" s="172">
        <v>0</v>
      </c>
      <c r="K105" s="172">
        <v>5727.27</v>
      </c>
      <c r="L105" s="172">
        <v>0</v>
      </c>
      <c r="M105" s="172">
        <v>0</v>
      </c>
      <c r="N105" s="173">
        <v>33000</v>
      </c>
    </row>
    <row r="106" spans="1:14">
      <c r="A106" s="149" t="s">
        <v>4071</v>
      </c>
      <c r="B106" s="147" t="s">
        <v>4085</v>
      </c>
      <c r="C106" s="147" t="s">
        <v>765</v>
      </c>
      <c r="D106" s="147" t="s">
        <v>123</v>
      </c>
      <c r="E106" s="147">
        <v>56980</v>
      </c>
      <c r="F106" s="170">
        <v>4958.68</v>
      </c>
      <c r="G106" s="170">
        <v>0</v>
      </c>
      <c r="H106" s="170">
        <v>0</v>
      </c>
      <c r="I106" s="170">
        <v>0</v>
      </c>
      <c r="J106" s="170">
        <v>0</v>
      </c>
      <c r="K106" s="170">
        <v>1041.32</v>
      </c>
      <c r="L106" s="170">
        <v>0</v>
      </c>
      <c r="M106" s="170">
        <v>0</v>
      </c>
      <c r="N106" s="171">
        <v>6000</v>
      </c>
    </row>
    <row r="107" spans="1:14">
      <c r="A107" s="150" t="s">
        <v>4071</v>
      </c>
      <c r="B107" s="148" t="s">
        <v>4086</v>
      </c>
      <c r="C107" s="148" t="s">
        <v>406</v>
      </c>
      <c r="D107" s="148" t="s">
        <v>123</v>
      </c>
      <c r="E107" s="148">
        <v>12791306</v>
      </c>
      <c r="F107" s="172">
        <v>9917.36</v>
      </c>
      <c r="G107" s="172">
        <v>0</v>
      </c>
      <c r="H107" s="172">
        <v>0</v>
      </c>
      <c r="I107" s="172">
        <v>0</v>
      </c>
      <c r="J107" s="172">
        <v>0</v>
      </c>
      <c r="K107" s="172">
        <v>2082.64</v>
      </c>
      <c r="L107" s="172">
        <v>0</v>
      </c>
      <c r="M107" s="172">
        <v>0</v>
      </c>
      <c r="N107" s="173">
        <v>12000</v>
      </c>
    </row>
    <row r="108" spans="1:14">
      <c r="A108" s="149" t="s">
        <v>4071</v>
      </c>
      <c r="B108" s="147" t="s">
        <v>4087</v>
      </c>
      <c r="C108" s="147" t="s">
        <v>772</v>
      </c>
      <c r="D108" s="147" t="s">
        <v>123</v>
      </c>
      <c r="E108" s="147">
        <v>705467</v>
      </c>
      <c r="F108" s="170">
        <v>7024.79</v>
      </c>
      <c r="G108" s="170">
        <v>0</v>
      </c>
      <c r="H108" s="170">
        <v>0</v>
      </c>
      <c r="I108" s="170">
        <v>0</v>
      </c>
      <c r="J108" s="170">
        <v>0</v>
      </c>
      <c r="K108" s="170">
        <v>1475.21</v>
      </c>
      <c r="L108" s="170">
        <v>0</v>
      </c>
      <c r="M108" s="170">
        <v>0</v>
      </c>
      <c r="N108" s="171">
        <v>8500</v>
      </c>
    </row>
    <row r="109" spans="1:14">
      <c r="A109" s="150" t="s">
        <v>4071</v>
      </c>
      <c r="B109" s="148" t="s">
        <v>4088</v>
      </c>
      <c r="C109" s="148" t="s">
        <v>775</v>
      </c>
      <c r="D109" s="148" t="s">
        <v>123</v>
      </c>
      <c r="E109" s="148">
        <v>20404430</v>
      </c>
      <c r="F109" s="172">
        <v>9917.36</v>
      </c>
      <c r="G109" s="172">
        <v>0</v>
      </c>
      <c r="H109" s="172">
        <v>0</v>
      </c>
      <c r="I109" s="172">
        <v>0</v>
      </c>
      <c r="J109" s="172">
        <v>0</v>
      </c>
      <c r="K109" s="172">
        <v>2082.64</v>
      </c>
      <c r="L109" s="172">
        <v>0</v>
      </c>
      <c r="M109" s="172">
        <v>0</v>
      </c>
      <c r="N109" s="173">
        <v>12000</v>
      </c>
    </row>
    <row r="110" spans="1:14">
      <c r="A110" s="149" t="s">
        <v>4089</v>
      </c>
      <c r="B110" s="147" t="s">
        <v>4090</v>
      </c>
      <c r="C110" s="147" t="s">
        <v>122</v>
      </c>
      <c r="D110" s="147" t="s">
        <v>123</v>
      </c>
      <c r="E110" s="147" t="s">
        <v>124</v>
      </c>
      <c r="F110" s="170">
        <v>11446.28</v>
      </c>
      <c r="G110" s="170">
        <v>0</v>
      </c>
      <c r="H110" s="170">
        <v>0</v>
      </c>
      <c r="I110" s="170">
        <v>0</v>
      </c>
      <c r="J110" s="170">
        <v>0</v>
      </c>
      <c r="K110" s="170">
        <v>2403.7200000000003</v>
      </c>
      <c r="L110" s="170">
        <v>0</v>
      </c>
      <c r="M110" s="170">
        <v>0</v>
      </c>
      <c r="N110" s="171">
        <v>13850</v>
      </c>
    </row>
    <row r="111" spans="1:14">
      <c r="A111" s="150" t="s">
        <v>4089</v>
      </c>
      <c r="B111" s="148" t="s">
        <v>4091</v>
      </c>
      <c r="C111" s="148" t="s">
        <v>122</v>
      </c>
      <c r="D111" s="148" t="s">
        <v>123</v>
      </c>
      <c r="E111" s="148" t="s">
        <v>124</v>
      </c>
      <c r="F111" s="172">
        <v>11818.18</v>
      </c>
      <c r="G111" s="172">
        <v>0</v>
      </c>
      <c r="H111" s="172">
        <v>0</v>
      </c>
      <c r="I111" s="172">
        <v>0</v>
      </c>
      <c r="J111" s="172">
        <v>0</v>
      </c>
      <c r="K111" s="172">
        <v>2481.8200000000002</v>
      </c>
      <c r="L111" s="172">
        <v>0</v>
      </c>
      <c r="M111" s="172">
        <v>0</v>
      </c>
      <c r="N111" s="173">
        <v>14300</v>
      </c>
    </row>
    <row r="112" spans="1:14">
      <c r="A112" s="149" t="s">
        <v>4089</v>
      </c>
      <c r="B112" s="147" t="s">
        <v>4092</v>
      </c>
      <c r="C112" s="147" t="s">
        <v>122</v>
      </c>
      <c r="D112" s="147" t="s">
        <v>123</v>
      </c>
      <c r="E112" s="147" t="s">
        <v>124</v>
      </c>
      <c r="F112" s="170">
        <v>8264.4600000000009</v>
      </c>
      <c r="G112" s="170">
        <v>0</v>
      </c>
      <c r="H112" s="170">
        <v>0</v>
      </c>
      <c r="I112" s="170">
        <v>0</v>
      </c>
      <c r="J112" s="170">
        <v>0</v>
      </c>
      <c r="K112" s="170">
        <v>1735.54</v>
      </c>
      <c r="L112" s="170">
        <v>0</v>
      </c>
      <c r="M112" s="170">
        <v>0</v>
      </c>
      <c r="N112" s="171">
        <v>10000</v>
      </c>
    </row>
    <row r="113" spans="1:14">
      <c r="A113" s="150" t="s">
        <v>4089</v>
      </c>
      <c r="B113" s="148" t="s">
        <v>4093</v>
      </c>
      <c r="C113" s="148" t="s">
        <v>122</v>
      </c>
      <c r="D113" s="148" t="s">
        <v>123</v>
      </c>
      <c r="E113" s="148" t="s">
        <v>124</v>
      </c>
      <c r="F113" s="172">
        <v>11818.18</v>
      </c>
      <c r="G113" s="172">
        <v>0</v>
      </c>
      <c r="H113" s="172">
        <v>0</v>
      </c>
      <c r="I113" s="172">
        <v>0</v>
      </c>
      <c r="J113" s="172">
        <v>0</v>
      </c>
      <c r="K113" s="172">
        <v>2481.8200000000002</v>
      </c>
      <c r="L113" s="172">
        <v>0</v>
      </c>
      <c r="M113" s="172">
        <v>0</v>
      </c>
      <c r="N113" s="173">
        <v>14300</v>
      </c>
    </row>
    <row r="114" spans="1:14">
      <c r="A114" s="149" t="s">
        <v>4089</v>
      </c>
      <c r="B114" s="147" t="s">
        <v>4094</v>
      </c>
      <c r="C114" s="147" t="s">
        <v>122</v>
      </c>
      <c r="D114" s="147" t="s">
        <v>123</v>
      </c>
      <c r="E114" s="147" t="s">
        <v>124</v>
      </c>
      <c r="F114" s="170">
        <v>11446.28</v>
      </c>
      <c r="G114" s="170">
        <v>0</v>
      </c>
      <c r="H114" s="170">
        <v>0</v>
      </c>
      <c r="I114" s="170">
        <v>0</v>
      </c>
      <c r="J114" s="170">
        <v>0</v>
      </c>
      <c r="K114" s="170">
        <v>2403.7200000000003</v>
      </c>
      <c r="L114" s="170">
        <v>0</v>
      </c>
      <c r="M114" s="170">
        <v>0</v>
      </c>
      <c r="N114" s="171">
        <v>13850</v>
      </c>
    </row>
    <row r="115" spans="1:14">
      <c r="A115" s="150" t="s">
        <v>4089</v>
      </c>
      <c r="B115" s="148" t="s">
        <v>4095</v>
      </c>
      <c r="C115" s="148" t="s">
        <v>122</v>
      </c>
      <c r="D115" s="148" t="s">
        <v>123</v>
      </c>
      <c r="E115" s="148" t="s">
        <v>124</v>
      </c>
      <c r="F115" s="172">
        <v>7851.24</v>
      </c>
      <c r="G115" s="172">
        <v>0</v>
      </c>
      <c r="H115" s="172">
        <v>0</v>
      </c>
      <c r="I115" s="172">
        <v>0</v>
      </c>
      <c r="J115" s="172">
        <v>0</v>
      </c>
      <c r="K115" s="172">
        <v>1648.76</v>
      </c>
      <c r="L115" s="172">
        <v>0</v>
      </c>
      <c r="M115" s="172">
        <v>0</v>
      </c>
      <c r="N115" s="173">
        <v>9500</v>
      </c>
    </row>
    <row r="116" spans="1:14">
      <c r="A116" s="149" t="s">
        <v>4089</v>
      </c>
      <c r="B116" s="147" t="s">
        <v>4096</v>
      </c>
      <c r="C116" s="147" t="s">
        <v>122</v>
      </c>
      <c r="D116" s="147" t="s">
        <v>123</v>
      </c>
      <c r="E116" s="147" t="s">
        <v>124</v>
      </c>
      <c r="F116" s="170">
        <v>7107.44</v>
      </c>
      <c r="G116" s="170">
        <v>0</v>
      </c>
      <c r="H116" s="170">
        <v>0</v>
      </c>
      <c r="I116" s="170">
        <v>0</v>
      </c>
      <c r="J116" s="170">
        <v>0</v>
      </c>
      <c r="K116" s="170">
        <v>1492.56</v>
      </c>
      <c r="L116" s="170">
        <v>0</v>
      </c>
      <c r="M116" s="170">
        <v>0</v>
      </c>
      <c r="N116" s="171">
        <v>8600</v>
      </c>
    </row>
    <row r="117" spans="1:14">
      <c r="A117" s="150" t="s">
        <v>4089</v>
      </c>
      <c r="B117" s="148" t="s">
        <v>4097</v>
      </c>
      <c r="C117" s="148" t="s">
        <v>122</v>
      </c>
      <c r="D117" s="148" t="s">
        <v>123</v>
      </c>
      <c r="E117" s="148" t="s">
        <v>124</v>
      </c>
      <c r="F117" s="172">
        <v>5702.48</v>
      </c>
      <c r="G117" s="172">
        <v>0</v>
      </c>
      <c r="H117" s="172">
        <v>0</v>
      </c>
      <c r="I117" s="172">
        <v>0</v>
      </c>
      <c r="J117" s="172">
        <v>0</v>
      </c>
      <c r="K117" s="172">
        <v>1197.52</v>
      </c>
      <c r="L117" s="172">
        <v>0</v>
      </c>
      <c r="M117" s="172">
        <v>0</v>
      </c>
      <c r="N117" s="173">
        <v>6900</v>
      </c>
    </row>
    <row r="118" spans="1:14">
      <c r="A118" s="149" t="s">
        <v>4089</v>
      </c>
      <c r="B118" s="147" t="s">
        <v>4098</v>
      </c>
      <c r="C118" s="147" t="s">
        <v>122</v>
      </c>
      <c r="D118" s="147" t="s">
        <v>123</v>
      </c>
      <c r="E118" s="147" t="s">
        <v>124</v>
      </c>
      <c r="F118" s="170">
        <v>3595.04</v>
      </c>
      <c r="G118" s="170">
        <v>0</v>
      </c>
      <c r="H118" s="170">
        <v>0</v>
      </c>
      <c r="I118" s="170">
        <v>0</v>
      </c>
      <c r="J118" s="170">
        <v>0</v>
      </c>
      <c r="K118" s="170">
        <v>754.96</v>
      </c>
      <c r="L118" s="170">
        <v>0</v>
      </c>
      <c r="M118" s="170">
        <v>0</v>
      </c>
      <c r="N118" s="171">
        <v>4350</v>
      </c>
    </row>
    <row r="119" spans="1:14">
      <c r="A119" s="150" t="s">
        <v>4089</v>
      </c>
      <c r="B119" s="148" t="s">
        <v>4099</v>
      </c>
      <c r="C119" s="148" t="s">
        <v>122</v>
      </c>
      <c r="D119" s="148" t="s">
        <v>123</v>
      </c>
      <c r="E119" s="148" t="s">
        <v>124</v>
      </c>
      <c r="F119" s="172">
        <v>7851.24</v>
      </c>
      <c r="G119" s="172">
        <v>0</v>
      </c>
      <c r="H119" s="172">
        <v>0</v>
      </c>
      <c r="I119" s="172">
        <v>0</v>
      </c>
      <c r="J119" s="172">
        <v>0</v>
      </c>
      <c r="K119" s="172">
        <v>1648.76</v>
      </c>
      <c r="L119" s="172">
        <v>0</v>
      </c>
      <c r="M119" s="172">
        <v>0</v>
      </c>
      <c r="N119" s="173">
        <v>9500</v>
      </c>
    </row>
    <row r="120" spans="1:14">
      <c r="A120" s="149" t="s">
        <v>4104</v>
      </c>
      <c r="B120" s="147" t="s">
        <v>4105</v>
      </c>
      <c r="C120" s="147" t="s">
        <v>122</v>
      </c>
      <c r="D120" s="147" t="s">
        <v>123</v>
      </c>
      <c r="E120" s="147" t="s">
        <v>124</v>
      </c>
      <c r="F120" s="170">
        <v>11818.18</v>
      </c>
      <c r="G120" s="170">
        <v>0</v>
      </c>
      <c r="H120" s="170">
        <v>0</v>
      </c>
      <c r="I120" s="170">
        <v>0</v>
      </c>
      <c r="J120" s="170">
        <v>0</v>
      </c>
      <c r="K120" s="170">
        <v>2481.8200000000002</v>
      </c>
      <c r="L120" s="170">
        <v>0</v>
      </c>
      <c r="M120" s="170">
        <v>0</v>
      </c>
      <c r="N120" s="171">
        <v>14300</v>
      </c>
    </row>
    <row r="121" spans="1:14">
      <c r="A121" s="150" t="s">
        <v>4104</v>
      </c>
      <c r="B121" s="148" t="s">
        <v>4106</v>
      </c>
      <c r="C121" s="148" t="s">
        <v>122</v>
      </c>
      <c r="D121" s="148" t="s">
        <v>123</v>
      </c>
      <c r="E121" s="148" t="s">
        <v>124</v>
      </c>
      <c r="F121" s="172">
        <v>8099.17</v>
      </c>
      <c r="G121" s="172">
        <v>0</v>
      </c>
      <c r="H121" s="172">
        <v>0</v>
      </c>
      <c r="I121" s="172">
        <v>0</v>
      </c>
      <c r="J121" s="172">
        <v>0</v>
      </c>
      <c r="K121" s="172">
        <v>1700.83</v>
      </c>
      <c r="L121" s="172">
        <v>0</v>
      </c>
      <c r="M121" s="172">
        <v>0</v>
      </c>
      <c r="N121" s="173">
        <v>9800</v>
      </c>
    </row>
    <row r="122" spans="1:14">
      <c r="A122" s="149" t="s">
        <v>4104</v>
      </c>
      <c r="B122" s="147" t="s">
        <v>4107</v>
      </c>
      <c r="C122" s="147" t="s">
        <v>122</v>
      </c>
      <c r="D122" s="147" t="s">
        <v>123</v>
      </c>
      <c r="E122" s="147" t="s">
        <v>124</v>
      </c>
      <c r="F122" s="170">
        <v>9752.07</v>
      </c>
      <c r="G122" s="170">
        <v>0</v>
      </c>
      <c r="H122" s="170">
        <v>0</v>
      </c>
      <c r="I122" s="170">
        <v>0</v>
      </c>
      <c r="J122" s="170">
        <v>0</v>
      </c>
      <c r="K122" s="170">
        <v>2047.93</v>
      </c>
      <c r="L122" s="170">
        <v>0</v>
      </c>
      <c r="M122" s="170">
        <v>0</v>
      </c>
      <c r="N122" s="171">
        <v>11800</v>
      </c>
    </row>
    <row r="123" spans="1:14">
      <c r="A123" s="150" t="s">
        <v>4104</v>
      </c>
      <c r="B123" s="148" t="s">
        <v>4108</v>
      </c>
      <c r="C123" s="148" t="s">
        <v>122</v>
      </c>
      <c r="D123" s="148" t="s">
        <v>123</v>
      </c>
      <c r="E123" s="148" t="s">
        <v>124</v>
      </c>
      <c r="F123" s="172">
        <v>5330.58</v>
      </c>
      <c r="G123" s="172">
        <v>0</v>
      </c>
      <c r="H123" s="172">
        <v>0</v>
      </c>
      <c r="I123" s="172">
        <v>0</v>
      </c>
      <c r="J123" s="172">
        <v>0</v>
      </c>
      <c r="K123" s="172">
        <v>1119.42</v>
      </c>
      <c r="L123" s="172">
        <v>0</v>
      </c>
      <c r="M123" s="172">
        <v>0</v>
      </c>
      <c r="N123" s="173">
        <v>6450</v>
      </c>
    </row>
    <row r="124" spans="1:14">
      <c r="A124" s="149" t="s">
        <v>4104</v>
      </c>
      <c r="B124" s="147" t="s">
        <v>4109</v>
      </c>
      <c r="C124" s="147" t="s">
        <v>122</v>
      </c>
      <c r="D124" s="147" t="s">
        <v>123</v>
      </c>
      <c r="E124" s="147" t="s">
        <v>124</v>
      </c>
      <c r="F124" s="170">
        <v>1900.83</v>
      </c>
      <c r="G124" s="170">
        <v>0</v>
      </c>
      <c r="H124" s="170">
        <v>0</v>
      </c>
      <c r="I124" s="170">
        <v>0</v>
      </c>
      <c r="J124" s="170">
        <v>0</v>
      </c>
      <c r="K124" s="170">
        <v>399.17</v>
      </c>
      <c r="L124" s="170">
        <v>0</v>
      </c>
      <c r="M124" s="170">
        <v>0</v>
      </c>
      <c r="N124" s="171">
        <v>2300</v>
      </c>
    </row>
    <row r="125" spans="1:14">
      <c r="A125" s="150" t="s">
        <v>4104</v>
      </c>
      <c r="B125" s="148" t="s">
        <v>4110</v>
      </c>
      <c r="C125" s="148" t="s">
        <v>122</v>
      </c>
      <c r="D125" s="148" t="s">
        <v>123</v>
      </c>
      <c r="E125" s="148" t="s">
        <v>124</v>
      </c>
      <c r="F125" s="172">
        <v>8264.4600000000009</v>
      </c>
      <c r="G125" s="172">
        <v>0</v>
      </c>
      <c r="H125" s="172">
        <v>0</v>
      </c>
      <c r="I125" s="172">
        <v>0</v>
      </c>
      <c r="J125" s="172">
        <v>0</v>
      </c>
      <c r="K125" s="172">
        <v>1735.54</v>
      </c>
      <c r="L125" s="172">
        <v>0</v>
      </c>
      <c r="M125" s="172">
        <v>0</v>
      </c>
      <c r="N125" s="173">
        <v>10000</v>
      </c>
    </row>
    <row r="126" spans="1:14">
      <c r="A126" s="149" t="s">
        <v>4104</v>
      </c>
      <c r="B126" s="147" t="s">
        <v>4111</v>
      </c>
      <c r="C126" s="147" t="s">
        <v>122</v>
      </c>
      <c r="D126" s="147" t="s">
        <v>123</v>
      </c>
      <c r="E126" s="147" t="s">
        <v>124</v>
      </c>
      <c r="F126" s="170">
        <v>8140.5</v>
      </c>
      <c r="G126" s="170">
        <v>0</v>
      </c>
      <c r="H126" s="170">
        <v>0</v>
      </c>
      <c r="I126" s="170">
        <v>0</v>
      </c>
      <c r="J126" s="170">
        <v>0</v>
      </c>
      <c r="K126" s="170">
        <v>1709.5</v>
      </c>
      <c r="L126" s="170">
        <v>0</v>
      </c>
      <c r="M126" s="170">
        <v>0</v>
      </c>
      <c r="N126" s="171">
        <v>9850</v>
      </c>
    </row>
    <row r="127" spans="1:14">
      <c r="A127" s="150" t="s">
        <v>4104</v>
      </c>
      <c r="B127" s="148" t="s">
        <v>4112</v>
      </c>
      <c r="C127" s="148" t="s">
        <v>122</v>
      </c>
      <c r="D127" s="148" t="s">
        <v>123</v>
      </c>
      <c r="E127" s="148" t="s">
        <v>124</v>
      </c>
      <c r="F127" s="172">
        <v>25123.97</v>
      </c>
      <c r="G127" s="172">
        <v>0</v>
      </c>
      <c r="H127" s="172">
        <v>0</v>
      </c>
      <c r="I127" s="172">
        <v>0</v>
      </c>
      <c r="J127" s="172">
        <v>0</v>
      </c>
      <c r="K127" s="172">
        <v>5276.03</v>
      </c>
      <c r="L127" s="172">
        <v>0</v>
      </c>
      <c r="M127" s="172">
        <v>0</v>
      </c>
      <c r="N127" s="173">
        <v>30400</v>
      </c>
    </row>
    <row r="128" spans="1:14">
      <c r="A128" s="149" t="s">
        <v>4104</v>
      </c>
      <c r="B128" s="147" t="s">
        <v>4113</v>
      </c>
      <c r="C128" s="147" t="s">
        <v>122</v>
      </c>
      <c r="D128" s="147" t="s">
        <v>123</v>
      </c>
      <c r="E128" s="147" t="s">
        <v>124</v>
      </c>
      <c r="F128" s="170">
        <v>10909.09</v>
      </c>
      <c r="G128" s="170">
        <v>0</v>
      </c>
      <c r="H128" s="170">
        <v>0</v>
      </c>
      <c r="I128" s="170">
        <v>0</v>
      </c>
      <c r="J128" s="170">
        <v>0</v>
      </c>
      <c r="K128" s="170">
        <v>2290.91</v>
      </c>
      <c r="L128" s="170">
        <v>0</v>
      </c>
      <c r="M128" s="170">
        <v>0</v>
      </c>
      <c r="N128" s="171">
        <v>13200</v>
      </c>
    </row>
    <row r="129" spans="1:14">
      <c r="A129" s="150" t="s">
        <v>4119</v>
      </c>
      <c r="B129" s="148" t="s">
        <v>4120</v>
      </c>
      <c r="C129" s="148" t="s">
        <v>122</v>
      </c>
      <c r="D129" s="148" t="s">
        <v>123</v>
      </c>
      <c r="E129" s="148" t="s">
        <v>124</v>
      </c>
      <c r="F129" s="172">
        <v>21322.31</v>
      </c>
      <c r="G129" s="172">
        <v>0</v>
      </c>
      <c r="H129" s="172">
        <v>0</v>
      </c>
      <c r="I129" s="172">
        <v>0</v>
      </c>
      <c r="J129" s="172">
        <v>0</v>
      </c>
      <c r="K129" s="172">
        <v>4477.6900000000005</v>
      </c>
      <c r="L129" s="172">
        <v>0</v>
      </c>
      <c r="M129" s="172">
        <v>0</v>
      </c>
      <c r="N129" s="173">
        <v>25800</v>
      </c>
    </row>
    <row r="130" spans="1:14">
      <c r="A130" s="149" t="s">
        <v>4119</v>
      </c>
      <c r="B130" s="147" t="s">
        <v>4121</v>
      </c>
      <c r="C130" s="147" t="s">
        <v>122</v>
      </c>
      <c r="D130" s="147" t="s">
        <v>123</v>
      </c>
      <c r="E130" s="147" t="s">
        <v>124</v>
      </c>
      <c r="F130" s="170">
        <v>17355.37</v>
      </c>
      <c r="G130" s="170">
        <v>0</v>
      </c>
      <c r="H130" s="170">
        <v>0</v>
      </c>
      <c r="I130" s="170">
        <v>0</v>
      </c>
      <c r="J130" s="170">
        <v>0</v>
      </c>
      <c r="K130" s="170">
        <v>3644.63</v>
      </c>
      <c r="L130" s="170">
        <v>0</v>
      </c>
      <c r="M130" s="170">
        <v>0</v>
      </c>
      <c r="N130" s="171">
        <v>21000</v>
      </c>
    </row>
    <row r="131" spans="1:14">
      <c r="A131" s="150" t="s">
        <v>4119</v>
      </c>
      <c r="B131" s="148" t="s">
        <v>4122</v>
      </c>
      <c r="C131" s="148" t="s">
        <v>122</v>
      </c>
      <c r="D131" s="148" t="s">
        <v>123</v>
      </c>
      <c r="E131" s="148" t="s">
        <v>124</v>
      </c>
      <c r="F131" s="172">
        <v>61983.47</v>
      </c>
      <c r="G131" s="172">
        <v>0</v>
      </c>
      <c r="H131" s="172">
        <v>0</v>
      </c>
      <c r="I131" s="172">
        <v>0</v>
      </c>
      <c r="J131" s="172">
        <v>0</v>
      </c>
      <c r="K131" s="172">
        <v>13016.53</v>
      </c>
      <c r="L131" s="172">
        <v>0</v>
      </c>
      <c r="M131" s="172">
        <v>0</v>
      </c>
      <c r="N131" s="173">
        <v>75000</v>
      </c>
    </row>
    <row r="132" spans="1:14">
      <c r="A132" s="149" t="s">
        <v>4119</v>
      </c>
      <c r="B132" s="147" t="s">
        <v>4123</v>
      </c>
      <c r="C132" s="147" t="s">
        <v>122</v>
      </c>
      <c r="D132" s="147" t="s">
        <v>123</v>
      </c>
      <c r="E132" s="147" t="s">
        <v>124</v>
      </c>
      <c r="F132" s="170">
        <v>6487.6</v>
      </c>
      <c r="G132" s="170">
        <v>0</v>
      </c>
      <c r="H132" s="170">
        <v>0</v>
      </c>
      <c r="I132" s="170">
        <v>0</v>
      </c>
      <c r="J132" s="170">
        <v>0</v>
      </c>
      <c r="K132" s="170">
        <v>1362.4</v>
      </c>
      <c r="L132" s="170">
        <v>0</v>
      </c>
      <c r="M132" s="170">
        <v>0</v>
      </c>
      <c r="N132" s="171">
        <v>7850</v>
      </c>
    </row>
    <row r="133" spans="1:14">
      <c r="A133" s="150" t="s">
        <v>4119</v>
      </c>
      <c r="B133" s="148" t="s">
        <v>4124</v>
      </c>
      <c r="C133" s="148" t="s">
        <v>122</v>
      </c>
      <c r="D133" s="148" t="s">
        <v>123</v>
      </c>
      <c r="E133" s="148" t="s">
        <v>124</v>
      </c>
      <c r="F133" s="172">
        <v>10495.87</v>
      </c>
      <c r="G133" s="172">
        <v>0</v>
      </c>
      <c r="H133" s="172">
        <v>0</v>
      </c>
      <c r="I133" s="172">
        <v>0</v>
      </c>
      <c r="J133" s="172">
        <v>0</v>
      </c>
      <c r="K133" s="172">
        <v>2204.13</v>
      </c>
      <c r="L133" s="172">
        <v>0</v>
      </c>
      <c r="M133" s="172">
        <v>0</v>
      </c>
      <c r="N133" s="173">
        <v>12700</v>
      </c>
    </row>
    <row r="134" spans="1:14">
      <c r="A134" s="149" t="s">
        <v>4119</v>
      </c>
      <c r="B134" s="147" t="s">
        <v>4125</v>
      </c>
      <c r="C134" s="147" t="s">
        <v>122</v>
      </c>
      <c r="D134" s="147" t="s">
        <v>123</v>
      </c>
      <c r="E134" s="147" t="s">
        <v>124</v>
      </c>
      <c r="F134" s="170">
        <v>5289.26</v>
      </c>
      <c r="G134" s="170">
        <v>0</v>
      </c>
      <c r="H134" s="170">
        <v>0</v>
      </c>
      <c r="I134" s="170">
        <v>0</v>
      </c>
      <c r="J134" s="170">
        <v>0</v>
      </c>
      <c r="K134" s="170">
        <v>1110.74</v>
      </c>
      <c r="L134" s="170">
        <v>0</v>
      </c>
      <c r="M134" s="170">
        <v>0</v>
      </c>
      <c r="N134" s="171">
        <v>6400</v>
      </c>
    </row>
    <row r="135" spans="1:14">
      <c r="A135" s="150" t="s">
        <v>4119</v>
      </c>
      <c r="B135" s="148" t="s">
        <v>4126</v>
      </c>
      <c r="C135" s="148" t="s">
        <v>122</v>
      </c>
      <c r="D135" s="148" t="s">
        <v>123</v>
      </c>
      <c r="E135" s="148" t="s">
        <v>124</v>
      </c>
      <c r="F135" s="172">
        <v>12975.21</v>
      </c>
      <c r="G135" s="172">
        <v>0</v>
      </c>
      <c r="H135" s="172">
        <v>0</v>
      </c>
      <c r="I135" s="172">
        <v>0</v>
      </c>
      <c r="J135" s="172">
        <v>0</v>
      </c>
      <c r="K135" s="172">
        <v>2724.79</v>
      </c>
      <c r="L135" s="172">
        <v>0</v>
      </c>
      <c r="M135" s="172">
        <v>0</v>
      </c>
      <c r="N135" s="173">
        <v>15700</v>
      </c>
    </row>
    <row r="136" spans="1:14">
      <c r="A136" s="149" t="s">
        <v>4119</v>
      </c>
      <c r="B136" s="147" t="s">
        <v>4128</v>
      </c>
      <c r="C136" s="147" t="s">
        <v>321</v>
      </c>
      <c r="D136" s="147" t="s">
        <v>123</v>
      </c>
      <c r="E136" s="147">
        <v>4838627</v>
      </c>
      <c r="F136" s="170">
        <v>8016.52</v>
      </c>
      <c r="G136" s="170">
        <v>0</v>
      </c>
      <c r="H136" s="170">
        <v>0</v>
      </c>
      <c r="I136" s="170">
        <v>0</v>
      </c>
      <c r="J136" s="170">
        <v>0</v>
      </c>
      <c r="K136" s="170">
        <v>1683.48</v>
      </c>
      <c r="L136" s="170">
        <v>0</v>
      </c>
      <c r="M136" s="170">
        <v>0</v>
      </c>
      <c r="N136" s="171">
        <v>9700</v>
      </c>
    </row>
    <row r="137" spans="1:14">
      <c r="A137" s="150" t="s">
        <v>4119</v>
      </c>
      <c r="B137" s="148" t="s">
        <v>4129</v>
      </c>
      <c r="C137" s="148" t="s">
        <v>854</v>
      </c>
      <c r="D137" s="148" t="s">
        <v>123</v>
      </c>
      <c r="E137" s="148">
        <v>24699538</v>
      </c>
      <c r="F137" s="172">
        <v>9504.130000000001</v>
      </c>
      <c r="G137" s="172">
        <v>0</v>
      </c>
      <c r="H137" s="172">
        <v>0</v>
      </c>
      <c r="I137" s="172">
        <v>0</v>
      </c>
      <c r="J137" s="172">
        <v>0</v>
      </c>
      <c r="K137" s="172">
        <v>1995.87</v>
      </c>
      <c r="L137" s="172">
        <v>0</v>
      </c>
      <c r="M137" s="172">
        <v>0</v>
      </c>
      <c r="N137" s="173">
        <v>11500</v>
      </c>
    </row>
    <row r="138" spans="1:14">
      <c r="A138" s="149" t="s">
        <v>4119</v>
      </c>
      <c r="B138" s="147" t="s">
        <v>4130</v>
      </c>
      <c r="C138" s="147" t="s">
        <v>331</v>
      </c>
      <c r="D138" s="147" t="s">
        <v>276</v>
      </c>
      <c r="E138" s="147">
        <v>30685228501</v>
      </c>
      <c r="F138" s="170">
        <v>36363.64</v>
      </c>
      <c r="G138" s="170">
        <v>0</v>
      </c>
      <c r="H138" s="170">
        <v>0</v>
      </c>
      <c r="I138" s="170">
        <v>0</v>
      </c>
      <c r="J138" s="170">
        <v>0</v>
      </c>
      <c r="K138" s="170">
        <v>7636.36</v>
      </c>
      <c r="L138" s="170">
        <v>0</v>
      </c>
      <c r="M138" s="170">
        <v>0</v>
      </c>
      <c r="N138" s="171">
        <v>44000</v>
      </c>
    </row>
    <row r="139" spans="1:14">
      <c r="A139" s="150" t="s">
        <v>4131</v>
      </c>
      <c r="B139" s="148" t="s">
        <v>4132</v>
      </c>
      <c r="C139" s="148" t="s">
        <v>122</v>
      </c>
      <c r="D139" s="148" t="s">
        <v>123</v>
      </c>
      <c r="E139" s="148" t="s">
        <v>124</v>
      </c>
      <c r="F139" s="172">
        <v>9008.26</v>
      </c>
      <c r="G139" s="172">
        <v>0</v>
      </c>
      <c r="H139" s="172">
        <v>0</v>
      </c>
      <c r="I139" s="172">
        <v>0</v>
      </c>
      <c r="J139" s="172">
        <v>0</v>
      </c>
      <c r="K139" s="172">
        <v>1891.74</v>
      </c>
      <c r="L139" s="172">
        <v>0</v>
      </c>
      <c r="M139" s="172">
        <v>0</v>
      </c>
      <c r="N139" s="173">
        <v>10900</v>
      </c>
    </row>
    <row r="140" spans="1:14">
      <c r="A140" s="149" t="s">
        <v>4131</v>
      </c>
      <c r="B140" s="147" t="s">
        <v>4133</v>
      </c>
      <c r="C140" s="147" t="s">
        <v>122</v>
      </c>
      <c r="D140" s="147" t="s">
        <v>123</v>
      </c>
      <c r="E140" s="147" t="s">
        <v>124</v>
      </c>
      <c r="F140" s="170">
        <v>11570.25</v>
      </c>
      <c r="G140" s="170">
        <v>0</v>
      </c>
      <c r="H140" s="170">
        <v>0</v>
      </c>
      <c r="I140" s="170">
        <v>0</v>
      </c>
      <c r="J140" s="170">
        <v>0</v>
      </c>
      <c r="K140" s="170">
        <v>2429.75</v>
      </c>
      <c r="L140" s="170">
        <v>0</v>
      </c>
      <c r="M140" s="170">
        <v>0</v>
      </c>
      <c r="N140" s="171">
        <v>14000</v>
      </c>
    </row>
    <row r="141" spans="1:14">
      <c r="A141" s="150" t="s">
        <v>4131</v>
      </c>
      <c r="B141" s="148" t="s">
        <v>4134</v>
      </c>
      <c r="C141" s="148" t="s">
        <v>122</v>
      </c>
      <c r="D141" s="148" t="s">
        <v>123</v>
      </c>
      <c r="E141" s="148" t="s">
        <v>124</v>
      </c>
      <c r="F141" s="172">
        <v>9917.36</v>
      </c>
      <c r="G141" s="172">
        <v>0</v>
      </c>
      <c r="H141" s="172">
        <v>0</v>
      </c>
      <c r="I141" s="172">
        <v>0</v>
      </c>
      <c r="J141" s="172">
        <v>0</v>
      </c>
      <c r="K141" s="172">
        <v>2082.64</v>
      </c>
      <c r="L141" s="172">
        <v>0</v>
      </c>
      <c r="M141" s="172">
        <v>0</v>
      </c>
      <c r="N141" s="173">
        <v>12000</v>
      </c>
    </row>
    <row r="142" spans="1:14">
      <c r="A142" s="149" t="s">
        <v>4131</v>
      </c>
      <c r="B142" s="147" t="s">
        <v>4135</v>
      </c>
      <c r="C142" s="147" t="s">
        <v>122</v>
      </c>
      <c r="D142" s="147" t="s">
        <v>123</v>
      </c>
      <c r="E142" s="147" t="s">
        <v>124</v>
      </c>
      <c r="F142" s="170">
        <v>6074.38</v>
      </c>
      <c r="G142" s="170">
        <v>0</v>
      </c>
      <c r="H142" s="170">
        <v>0</v>
      </c>
      <c r="I142" s="170">
        <v>0</v>
      </c>
      <c r="J142" s="170">
        <v>0</v>
      </c>
      <c r="K142" s="170">
        <v>1275.6200000000001</v>
      </c>
      <c r="L142" s="170">
        <v>0</v>
      </c>
      <c r="M142" s="170">
        <v>0</v>
      </c>
      <c r="N142" s="171">
        <v>7350</v>
      </c>
    </row>
    <row r="143" spans="1:14">
      <c r="A143" s="150" t="s">
        <v>4131</v>
      </c>
      <c r="B143" s="148" t="s">
        <v>4136</v>
      </c>
      <c r="C143" s="148" t="s">
        <v>122</v>
      </c>
      <c r="D143" s="148" t="s">
        <v>123</v>
      </c>
      <c r="E143" s="148" t="s">
        <v>124</v>
      </c>
      <c r="F143" s="172">
        <v>16446.28</v>
      </c>
      <c r="G143" s="172">
        <v>0</v>
      </c>
      <c r="H143" s="172">
        <v>0</v>
      </c>
      <c r="I143" s="172">
        <v>0</v>
      </c>
      <c r="J143" s="172">
        <v>0</v>
      </c>
      <c r="K143" s="172">
        <v>3453.72</v>
      </c>
      <c r="L143" s="172">
        <v>0</v>
      </c>
      <c r="M143" s="172">
        <v>0</v>
      </c>
      <c r="N143" s="173">
        <v>19900</v>
      </c>
    </row>
    <row r="144" spans="1:14">
      <c r="A144" s="149" t="s">
        <v>4131</v>
      </c>
      <c r="B144" s="147" t="s">
        <v>4137</v>
      </c>
      <c r="C144" s="147" t="s">
        <v>122</v>
      </c>
      <c r="D144" s="147" t="s">
        <v>123</v>
      </c>
      <c r="E144" s="147" t="s">
        <v>124</v>
      </c>
      <c r="F144" s="170">
        <v>31404.959999999999</v>
      </c>
      <c r="G144" s="170">
        <v>0</v>
      </c>
      <c r="H144" s="170">
        <v>0</v>
      </c>
      <c r="I144" s="170">
        <v>0</v>
      </c>
      <c r="J144" s="170">
        <v>0</v>
      </c>
      <c r="K144" s="170">
        <v>6595.04</v>
      </c>
      <c r="L144" s="170">
        <v>0</v>
      </c>
      <c r="M144" s="170">
        <v>0</v>
      </c>
      <c r="N144" s="171">
        <v>38000</v>
      </c>
    </row>
    <row r="145" spans="1:14">
      <c r="A145" s="150" t="s">
        <v>4131</v>
      </c>
      <c r="B145" s="148" t="s">
        <v>4138</v>
      </c>
      <c r="C145" s="148" t="s">
        <v>122</v>
      </c>
      <c r="D145" s="148" t="s">
        <v>123</v>
      </c>
      <c r="E145" s="148" t="s">
        <v>124</v>
      </c>
      <c r="F145" s="172">
        <v>13305.79</v>
      </c>
      <c r="G145" s="172">
        <v>0</v>
      </c>
      <c r="H145" s="172">
        <v>0</v>
      </c>
      <c r="I145" s="172">
        <v>0</v>
      </c>
      <c r="J145" s="172">
        <v>0</v>
      </c>
      <c r="K145" s="172">
        <v>2794.21</v>
      </c>
      <c r="L145" s="172">
        <v>0</v>
      </c>
      <c r="M145" s="172">
        <v>0</v>
      </c>
      <c r="N145" s="173">
        <v>16100</v>
      </c>
    </row>
    <row r="146" spans="1:14">
      <c r="A146" s="149" t="s">
        <v>4131</v>
      </c>
      <c r="B146" s="147" t="s">
        <v>4139</v>
      </c>
      <c r="C146" s="147" t="s">
        <v>122</v>
      </c>
      <c r="D146" s="147" t="s">
        <v>123</v>
      </c>
      <c r="E146" s="147" t="s">
        <v>124</v>
      </c>
      <c r="F146" s="170">
        <v>826.45</v>
      </c>
      <c r="G146" s="170">
        <v>0</v>
      </c>
      <c r="H146" s="170">
        <v>0</v>
      </c>
      <c r="I146" s="170">
        <v>0</v>
      </c>
      <c r="J146" s="170">
        <v>0</v>
      </c>
      <c r="K146" s="170">
        <v>173.55</v>
      </c>
      <c r="L146" s="170">
        <v>0</v>
      </c>
      <c r="M146" s="170">
        <v>0</v>
      </c>
      <c r="N146" s="171">
        <v>1000</v>
      </c>
    </row>
    <row r="147" spans="1:14">
      <c r="A147" s="150" t="s">
        <v>4131</v>
      </c>
      <c r="B147" s="148" t="s">
        <v>4140</v>
      </c>
      <c r="C147" s="148" t="s">
        <v>122</v>
      </c>
      <c r="D147" s="148" t="s">
        <v>123</v>
      </c>
      <c r="E147" s="148" t="s">
        <v>124</v>
      </c>
      <c r="F147" s="172">
        <v>11446.28</v>
      </c>
      <c r="G147" s="172">
        <v>0</v>
      </c>
      <c r="H147" s="172">
        <v>0</v>
      </c>
      <c r="I147" s="172">
        <v>0</v>
      </c>
      <c r="J147" s="172">
        <v>0</v>
      </c>
      <c r="K147" s="172">
        <v>2403.7200000000003</v>
      </c>
      <c r="L147" s="172">
        <v>0</v>
      </c>
      <c r="M147" s="172">
        <v>0</v>
      </c>
      <c r="N147" s="173">
        <v>13850</v>
      </c>
    </row>
    <row r="148" spans="1:14">
      <c r="A148" s="149" t="s">
        <v>4131</v>
      </c>
      <c r="B148" s="147" t="s">
        <v>4141</v>
      </c>
      <c r="C148" s="147" t="s">
        <v>122</v>
      </c>
      <c r="D148" s="147" t="s">
        <v>123</v>
      </c>
      <c r="E148" s="147" t="s">
        <v>124</v>
      </c>
      <c r="F148" s="170">
        <v>12975.21</v>
      </c>
      <c r="G148" s="170">
        <v>0</v>
      </c>
      <c r="H148" s="170">
        <v>0</v>
      </c>
      <c r="I148" s="170">
        <v>0</v>
      </c>
      <c r="J148" s="170">
        <v>0</v>
      </c>
      <c r="K148" s="170">
        <v>2724.79</v>
      </c>
      <c r="L148" s="170">
        <v>0</v>
      </c>
      <c r="M148" s="170">
        <v>0</v>
      </c>
      <c r="N148" s="171">
        <v>15700</v>
      </c>
    </row>
    <row r="149" spans="1:14">
      <c r="A149" s="150" t="s">
        <v>4131</v>
      </c>
      <c r="B149" s="148" t="s">
        <v>4142</v>
      </c>
      <c r="C149" s="148" t="s">
        <v>122</v>
      </c>
      <c r="D149" s="148" t="s">
        <v>123</v>
      </c>
      <c r="E149" s="148" t="s">
        <v>124</v>
      </c>
      <c r="F149" s="172">
        <v>66115.7</v>
      </c>
      <c r="G149" s="172">
        <v>0</v>
      </c>
      <c r="H149" s="172">
        <v>0</v>
      </c>
      <c r="I149" s="172">
        <v>0</v>
      </c>
      <c r="J149" s="172">
        <v>0</v>
      </c>
      <c r="K149" s="172">
        <v>13884.3</v>
      </c>
      <c r="L149" s="172">
        <v>0</v>
      </c>
      <c r="M149" s="172">
        <v>0</v>
      </c>
      <c r="N149" s="173">
        <v>80000</v>
      </c>
    </row>
    <row r="150" spans="1:14">
      <c r="A150" s="149" t="s">
        <v>4131</v>
      </c>
      <c r="B150" s="147" t="s">
        <v>4143</v>
      </c>
      <c r="C150" s="147" t="s">
        <v>354</v>
      </c>
      <c r="D150" s="147" t="s">
        <v>123</v>
      </c>
      <c r="E150" s="147">
        <v>382591</v>
      </c>
      <c r="F150" s="170">
        <v>7272.72</v>
      </c>
      <c r="G150" s="170">
        <v>0</v>
      </c>
      <c r="H150" s="170">
        <v>0</v>
      </c>
      <c r="I150" s="170">
        <v>0</v>
      </c>
      <c r="J150" s="170">
        <v>0</v>
      </c>
      <c r="K150" s="170">
        <v>1527.28</v>
      </c>
      <c r="L150" s="170">
        <v>0</v>
      </c>
      <c r="M150" s="170">
        <v>0</v>
      </c>
      <c r="N150" s="171">
        <v>8800</v>
      </c>
    </row>
    <row r="151" spans="1:14">
      <c r="A151" s="150" t="s">
        <v>4131</v>
      </c>
      <c r="B151" s="148" t="s">
        <v>4144</v>
      </c>
      <c r="C151" s="148" t="s">
        <v>367</v>
      </c>
      <c r="D151" s="148" t="s">
        <v>123</v>
      </c>
      <c r="E151" s="148">
        <v>17855620</v>
      </c>
      <c r="F151" s="172">
        <v>7851.24</v>
      </c>
      <c r="G151" s="172">
        <v>0</v>
      </c>
      <c r="H151" s="172">
        <v>0</v>
      </c>
      <c r="I151" s="172">
        <v>0</v>
      </c>
      <c r="J151" s="172">
        <v>0</v>
      </c>
      <c r="K151" s="172">
        <v>1648.76</v>
      </c>
      <c r="L151" s="172">
        <v>0</v>
      </c>
      <c r="M151" s="172">
        <v>0</v>
      </c>
      <c r="N151" s="173">
        <v>9500</v>
      </c>
    </row>
    <row r="152" spans="1:14">
      <c r="A152" s="149" t="s">
        <v>4131</v>
      </c>
      <c r="B152" s="147" t="s">
        <v>4145</v>
      </c>
      <c r="C152" s="147" t="s">
        <v>375</v>
      </c>
      <c r="D152" s="147" t="s">
        <v>123</v>
      </c>
      <c r="E152" s="147">
        <v>22990821</v>
      </c>
      <c r="F152" s="170">
        <v>9917.36</v>
      </c>
      <c r="G152" s="170">
        <v>0</v>
      </c>
      <c r="H152" s="170">
        <v>0</v>
      </c>
      <c r="I152" s="170">
        <v>0</v>
      </c>
      <c r="J152" s="170">
        <v>0</v>
      </c>
      <c r="K152" s="170">
        <v>2082.64</v>
      </c>
      <c r="L152" s="170">
        <v>0</v>
      </c>
      <c r="M152" s="170">
        <v>0</v>
      </c>
      <c r="N152" s="171">
        <v>12000</v>
      </c>
    </row>
    <row r="153" spans="1:14">
      <c r="A153" s="150" t="s">
        <v>4131</v>
      </c>
      <c r="B153" s="148" t="s">
        <v>4146</v>
      </c>
      <c r="C153" s="148" t="s">
        <v>286</v>
      </c>
      <c r="D153" s="148" t="s">
        <v>123</v>
      </c>
      <c r="E153" s="148">
        <v>10138957</v>
      </c>
      <c r="F153" s="172">
        <v>7024.79</v>
      </c>
      <c r="G153" s="172">
        <v>0</v>
      </c>
      <c r="H153" s="172">
        <v>0</v>
      </c>
      <c r="I153" s="172">
        <v>0</v>
      </c>
      <c r="J153" s="172">
        <v>0</v>
      </c>
      <c r="K153" s="172">
        <v>1475.21</v>
      </c>
      <c r="L153" s="172">
        <v>0</v>
      </c>
      <c r="M153" s="172">
        <v>0</v>
      </c>
      <c r="N153" s="173">
        <v>8500</v>
      </c>
    </row>
    <row r="154" spans="1:14">
      <c r="A154" s="149" t="s">
        <v>4147</v>
      </c>
      <c r="B154" s="147" t="s">
        <v>4148</v>
      </c>
      <c r="C154" s="147" t="s">
        <v>122</v>
      </c>
      <c r="D154" s="147" t="s">
        <v>123</v>
      </c>
      <c r="E154" s="147" t="s">
        <v>124</v>
      </c>
      <c r="F154" s="170">
        <v>10743.8</v>
      </c>
      <c r="G154" s="170">
        <v>0</v>
      </c>
      <c r="H154" s="170">
        <v>0</v>
      </c>
      <c r="I154" s="170">
        <v>0</v>
      </c>
      <c r="J154" s="170">
        <v>0</v>
      </c>
      <c r="K154" s="170">
        <v>2256.2000000000003</v>
      </c>
      <c r="L154" s="170">
        <v>0</v>
      </c>
      <c r="M154" s="170">
        <v>0</v>
      </c>
      <c r="N154" s="171">
        <v>13000</v>
      </c>
    </row>
    <row r="155" spans="1:14">
      <c r="A155" s="150" t="s">
        <v>4147</v>
      </c>
      <c r="B155" s="148" t="s">
        <v>4149</v>
      </c>
      <c r="C155" s="148" t="s">
        <v>122</v>
      </c>
      <c r="D155" s="148" t="s">
        <v>123</v>
      </c>
      <c r="E155" s="148" t="s">
        <v>124</v>
      </c>
      <c r="F155" s="172">
        <v>4132.2300000000005</v>
      </c>
      <c r="G155" s="172">
        <v>0</v>
      </c>
      <c r="H155" s="172">
        <v>0</v>
      </c>
      <c r="I155" s="172">
        <v>0</v>
      </c>
      <c r="J155" s="172">
        <v>0</v>
      </c>
      <c r="K155" s="172">
        <v>867.77</v>
      </c>
      <c r="L155" s="172">
        <v>0</v>
      </c>
      <c r="M155" s="172">
        <v>0</v>
      </c>
      <c r="N155" s="173">
        <v>5000</v>
      </c>
    </row>
    <row r="156" spans="1:14">
      <c r="A156" s="149" t="s">
        <v>4147</v>
      </c>
      <c r="B156" s="147" t="s">
        <v>4150</v>
      </c>
      <c r="C156" s="147" t="s">
        <v>122</v>
      </c>
      <c r="D156" s="147" t="s">
        <v>123</v>
      </c>
      <c r="E156" s="147" t="s">
        <v>124</v>
      </c>
      <c r="F156" s="170">
        <v>10661.16</v>
      </c>
      <c r="G156" s="170">
        <v>0</v>
      </c>
      <c r="H156" s="170">
        <v>0</v>
      </c>
      <c r="I156" s="170">
        <v>0</v>
      </c>
      <c r="J156" s="170">
        <v>0</v>
      </c>
      <c r="K156" s="170">
        <v>2238.84</v>
      </c>
      <c r="L156" s="170">
        <v>0</v>
      </c>
      <c r="M156" s="170">
        <v>0</v>
      </c>
      <c r="N156" s="171">
        <v>12900</v>
      </c>
    </row>
    <row r="157" spans="1:14">
      <c r="A157" s="150" t="s">
        <v>4147</v>
      </c>
      <c r="B157" s="148" t="s">
        <v>4151</v>
      </c>
      <c r="C157" s="148" t="s">
        <v>122</v>
      </c>
      <c r="D157" s="148" t="s">
        <v>123</v>
      </c>
      <c r="E157" s="148" t="s">
        <v>124</v>
      </c>
      <c r="F157" s="172">
        <v>6487.6</v>
      </c>
      <c r="G157" s="172">
        <v>0</v>
      </c>
      <c r="H157" s="172">
        <v>0</v>
      </c>
      <c r="I157" s="172">
        <v>0</v>
      </c>
      <c r="J157" s="172">
        <v>0</v>
      </c>
      <c r="K157" s="172">
        <v>1362.4</v>
      </c>
      <c r="L157" s="172">
        <v>0</v>
      </c>
      <c r="M157" s="172">
        <v>0</v>
      </c>
      <c r="N157" s="173">
        <v>7850</v>
      </c>
    </row>
    <row r="158" spans="1:14">
      <c r="A158" s="149" t="s">
        <v>4147</v>
      </c>
      <c r="B158" s="147" t="s">
        <v>4152</v>
      </c>
      <c r="C158" s="147" t="s">
        <v>122</v>
      </c>
      <c r="D158" s="147" t="s">
        <v>123</v>
      </c>
      <c r="E158" s="147" t="s">
        <v>124</v>
      </c>
      <c r="F158" s="170">
        <v>12975.21</v>
      </c>
      <c r="G158" s="170">
        <v>0</v>
      </c>
      <c r="H158" s="170">
        <v>0</v>
      </c>
      <c r="I158" s="170">
        <v>0</v>
      </c>
      <c r="J158" s="170">
        <v>0</v>
      </c>
      <c r="K158" s="170">
        <v>2724.79</v>
      </c>
      <c r="L158" s="170">
        <v>0</v>
      </c>
      <c r="M158" s="170">
        <v>0</v>
      </c>
      <c r="N158" s="171">
        <v>15700</v>
      </c>
    </row>
    <row r="159" spans="1:14">
      <c r="A159" s="150" t="s">
        <v>4147</v>
      </c>
      <c r="B159" s="148" t="s">
        <v>4153</v>
      </c>
      <c r="C159" s="148" t="s">
        <v>122</v>
      </c>
      <c r="D159" s="148" t="s">
        <v>123</v>
      </c>
      <c r="E159" s="148" t="s">
        <v>124</v>
      </c>
      <c r="F159" s="172">
        <v>16280.99</v>
      </c>
      <c r="G159" s="172">
        <v>0</v>
      </c>
      <c r="H159" s="172">
        <v>0</v>
      </c>
      <c r="I159" s="172">
        <v>0</v>
      </c>
      <c r="J159" s="172">
        <v>0</v>
      </c>
      <c r="K159" s="172">
        <v>3419.01</v>
      </c>
      <c r="L159" s="172">
        <v>0</v>
      </c>
      <c r="M159" s="172">
        <v>0</v>
      </c>
      <c r="N159" s="173">
        <v>19700</v>
      </c>
    </row>
    <row r="160" spans="1:14">
      <c r="A160" s="149" t="s">
        <v>4147</v>
      </c>
      <c r="B160" s="147" t="s">
        <v>4154</v>
      </c>
      <c r="C160" s="147" t="s">
        <v>122</v>
      </c>
      <c r="D160" s="147" t="s">
        <v>123</v>
      </c>
      <c r="E160" s="147" t="s">
        <v>124</v>
      </c>
      <c r="F160" s="170">
        <v>5702.48</v>
      </c>
      <c r="G160" s="170">
        <v>0</v>
      </c>
      <c r="H160" s="170">
        <v>0</v>
      </c>
      <c r="I160" s="170">
        <v>0</v>
      </c>
      <c r="J160" s="170">
        <v>0</v>
      </c>
      <c r="K160" s="170">
        <v>1197.52</v>
      </c>
      <c r="L160" s="170">
        <v>0</v>
      </c>
      <c r="M160" s="170">
        <v>0</v>
      </c>
      <c r="N160" s="171">
        <v>6900</v>
      </c>
    </row>
    <row r="161" spans="1:14">
      <c r="A161" s="150" t="s">
        <v>4147</v>
      </c>
      <c r="B161" s="148" t="s">
        <v>4156</v>
      </c>
      <c r="C161" s="148" t="s">
        <v>379</v>
      </c>
      <c r="D161" s="148" t="s">
        <v>123</v>
      </c>
      <c r="E161" s="148">
        <v>14123802</v>
      </c>
      <c r="F161" s="172">
        <v>17355.36</v>
      </c>
      <c r="G161" s="172">
        <v>0</v>
      </c>
      <c r="H161" s="172">
        <v>0</v>
      </c>
      <c r="I161" s="172">
        <v>0</v>
      </c>
      <c r="J161" s="172">
        <v>0</v>
      </c>
      <c r="K161" s="172">
        <v>3644.64</v>
      </c>
      <c r="L161" s="172">
        <v>0</v>
      </c>
      <c r="M161" s="172">
        <v>0</v>
      </c>
      <c r="N161" s="173">
        <v>21000</v>
      </c>
    </row>
    <row r="162" spans="1:14">
      <c r="A162" s="149" t="s">
        <v>4147</v>
      </c>
      <c r="B162" s="147" t="s">
        <v>4157</v>
      </c>
      <c r="C162" s="147" t="s">
        <v>424</v>
      </c>
      <c r="D162" s="147" t="s">
        <v>123</v>
      </c>
      <c r="E162" s="147">
        <v>29654556</v>
      </c>
      <c r="F162" s="170">
        <v>11818.18</v>
      </c>
      <c r="G162" s="170">
        <v>0</v>
      </c>
      <c r="H162" s="170">
        <v>0</v>
      </c>
      <c r="I162" s="170">
        <v>0</v>
      </c>
      <c r="J162" s="170">
        <v>0</v>
      </c>
      <c r="K162" s="170">
        <v>2481.8200000000002</v>
      </c>
      <c r="L162" s="170">
        <v>0</v>
      </c>
      <c r="M162" s="170">
        <v>0</v>
      </c>
      <c r="N162" s="171">
        <v>14300</v>
      </c>
    </row>
    <row r="163" spans="1:14">
      <c r="A163" s="150" t="s">
        <v>4147</v>
      </c>
      <c r="B163" s="148" t="s">
        <v>4158</v>
      </c>
      <c r="C163" s="148" t="s">
        <v>426</v>
      </c>
      <c r="D163" s="148" t="s">
        <v>123</v>
      </c>
      <c r="E163" s="148">
        <v>28692323</v>
      </c>
      <c r="F163" s="172">
        <v>19008.260000000002</v>
      </c>
      <c r="G163" s="172">
        <v>0</v>
      </c>
      <c r="H163" s="172">
        <v>0</v>
      </c>
      <c r="I163" s="172">
        <v>0</v>
      </c>
      <c r="J163" s="172">
        <v>0</v>
      </c>
      <c r="K163" s="172">
        <v>3991.74</v>
      </c>
      <c r="L163" s="172">
        <v>0</v>
      </c>
      <c r="M163" s="172">
        <v>0</v>
      </c>
      <c r="N163" s="173">
        <v>23000</v>
      </c>
    </row>
    <row r="164" spans="1:14">
      <c r="A164" s="149" t="s">
        <v>4147</v>
      </c>
      <c r="B164" s="147" t="s">
        <v>4159</v>
      </c>
      <c r="C164" s="147" t="s">
        <v>802</v>
      </c>
      <c r="D164" s="147" t="s">
        <v>123</v>
      </c>
      <c r="E164" s="147">
        <v>37904748</v>
      </c>
      <c r="F164" s="170">
        <v>12396.69</v>
      </c>
      <c r="G164" s="170">
        <v>0</v>
      </c>
      <c r="H164" s="170">
        <v>0</v>
      </c>
      <c r="I164" s="170">
        <v>0</v>
      </c>
      <c r="J164" s="170">
        <v>0</v>
      </c>
      <c r="K164" s="170">
        <v>2603.31</v>
      </c>
      <c r="L164" s="170">
        <v>0</v>
      </c>
      <c r="M164" s="170">
        <v>0</v>
      </c>
      <c r="N164" s="171">
        <v>15000</v>
      </c>
    </row>
    <row r="165" spans="1:14">
      <c r="A165" s="150" t="s">
        <v>4147</v>
      </c>
      <c r="B165" s="148" t="s">
        <v>4160</v>
      </c>
      <c r="C165" s="148" t="s">
        <v>1125</v>
      </c>
      <c r="D165" s="148" t="s">
        <v>123</v>
      </c>
      <c r="E165" s="148">
        <v>8607637</v>
      </c>
      <c r="F165" s="172">
        <v>24298.55</v>
      </c>
      <c r="G165" s="172">
        <v>0</v>
      </c>
      <c r="H165" s="172">
        <v>0</v>
      </c>
      <c r="I165" s="172">
        <v>0</v>
      </c>
      <c r="J165" s="172">
        <v>0</v>
      </c>
      <c r="K165" s="172">
        <v>5102.6900000000005</v>
      </c>
      <c r="L165" s="172">
        <v>0</v>
      </c>
      <c r="M165" s="172">
        <v>0</v>
      </c>
      <c r="N165" s="173">
        <v>29401.24</v>
      </c>
    </row>
    <row r="166" spans="1:14">
      <c r="A166" s="149" t="s">
        <v>4147</v>
      </c>
      <c r="B166" s="147" t="s">
        <v>4161</v>
      </c>
      <c r="C166" s="147" t="s">
        <v>2243</v>
      </c>
      <c r="D166" s="147" t="s">
        <v>123</v>
      </c>
      <c r="E166" s="147">
        <v>17275405</v>
      </c>
      <c r="F166" s="170">
        <v>16115.7</v>
      </c>
      <c r="G166" s="170">
        <v>0</v>
      </c>
      <c r="H166" s="170">
        <v>0</v>
      </c>
      <c r="I166" s="170">
        <v>0</v>
      </c>
      <c r="J166" s="170">
        <v>0</v>
      </c>
      <c r="K166" s="170">
        <v>3384.3</v>
      </c>
      <c r="L166" s="170">
        <v>0</v>
      </c>
      <c r="M166" s="170">
        <v>0</v>
      </c>
      <c r="N166" s="171">
        <v>19500</v>
      </c>
    </row>
    <row r="167" spans="1:14">
      <c r="A167" s="150" t="s">
        <v>4147</v>
      </c>
      <c r="B167" s="148" t="s">
        <v>4162</v>
      </c>
      <c r="C167" s="148" t="s">
        <v>1882</v>
      </c>
      <c r="D167" s="148" t="s">
        <v>123</v>
      </c>
      <c r="E167" s="148">
        <v>25864351</v>
      </c>
      <c r="F167" s="172">
        <v>11818.18</v>
      </c>
      <c r="G167" s="172">
        <v>0</v>
      </c>
      <c r="H167" s="172">
        <v>0</v>
      </c>
      <c r="I167" s="172">
        <v>0</v>
      </c>
      <c r="J167" s="172">
        <v>0</v>
      </c>
      <c r="K167" s="172">
        <v>2481.8200000000002</v>
      </c>
      <c r="L167" s="172">
        <v>0</v>
      </c>
      <c r="M167" s="172">
        <v>0</v>
      </c>
      <c r="N167" s="173">
        <v>14300</v>
      </c>
    </row>
    <row r="168" spans="1:14">
      <c r="A168" s="149" t="s">
        <v>4147</v>
      </c>
      <c r="B168" s="147" t="s">
        <v>4163</v>
      </c>
      <c r="C168" s="147" t="s">
        <v>2452</v>
      </c>
      <c r="D168" s="147" t="s">
        <v>123</v>
      </c>
      <c r="E168" s="147">
        <v>12453213</v>
      </c>
      <c r="F168" s="170">
        <v>23636.36</v>
      </c>
      <c r="G168" s="170">
        <v>0</v>
      </c>
      <c r="H168" s="170">
        <v>0</v>
      </c>
      <c r="I168" s="170">
        <v>0</v>
      </c>
      <c r="J168" s="170">
        <v>0</v>
      </c>
      <c r="K168" s="170">
        <v>4963.6400000000003</v>
      </c>
      <c r="L168" s="170">
        <v>0</v>
      </c>
      <c r="M168" s="170">
        <v>0</v>
      </c>
      <c r="N168" s="171">
        <v>28600</v>
      </c>
    </row>
    <row r="169" spans="1:14">
      <c r="A169" s="150" t="s">
        <v>4147</v>
      </c>
      <c r="B169" s="148" t="s">
        <v>4164</v>
      </c>
      <c r="C169" s="148" t="s">
        <v>2550</v>
      </c>
      <c r="D169" s="148" t="s">
        <v>123</v>
      </c>
      <c r="E169" s="148">
        <v>643000</v>
      </c>
      <c r="F169" s="172">
        <v>942.15</v>
      </c>
      <c r="G169" s="172">
        <v>0</v>
      </c>
      <c r="H169" s="172">
        <v>0</v>
      </c>
      <c r="I169" s="172">
        <v>0</v>
      </c>
      <c r="J169" s="172">
        <v>0</v>
      </c>
      <c r="K169" s="172">
        <v>197.85</v>
      </c>
      <c r="L169" s="172">
        <v>0</v>
      </c>
      <c r="M169" s="172">
        <v>0</v>
      </c>
      <c r="N169" s="173">
        <v>1140</v>
      </c>
    </row>
    <row r="170" spans="1:14">
      <c r="A170" s="149" t="s">
        <v>4147</v>
      </c>
      <c r="B170" s="147" t="s">
        <v>4165</v>
      </c>
      <c r="C170" s="147" t="s">
        <v>2530</v>
      </c>
      <c r="D170" s="147" t="s">
        <v>123</v>
      </c>
      <c r="E170" s="147" t="s">
        <v>124</v>
      </c>
      <c r="F170" s="170">
        <v>15454.54</v>
      </c>
      <c r="G170" s="170">
        <v>0</v>
      </c>
      <c r="H170" s="170">
        <v>0</v>
      </c>
      <c r="I170" s="170">
        <v>0</v>
      </c>
      <c r="J170" s="170">
        <v>0</v>
      </c>
      <c r="K170" s="170">
        <v>3245.46</v>
      </c>
      <c r="L170" s="170">
        <v>0</v>
      </c>
      <c r="M170" s="170">
        <v>0</v>
      </c>
      <c r="N170" s="171">
        <v>18700</v>
      </c>
    </row>
    <row r="171" spans="1:14">
      <c r="A171" s="150" t="s">
        <v>4147</v>
      </c>
      <c r="B171" s="148" t="s">
        <v>4166</v>
      </c>
      <c r="C171" s="148" t="s">
        <v>2749</v>
      </c>
      <c r="D171" s="148" t="s">
        <v>123</v>
      </c>
      <c r="E171" s="148">
        <v>27807195</v>
      </c>
      <c r="F171" s="172">
        <v>11818.18</v>
      </c>
      <c r="G171" s="172">
        <v>0</v>
      </c>
      <c r="H171" s="172">
        <v>0</v>
      </c>
      <c r="I171" s="172">
        <v>0</v>
      </c>
      <c r="J171" s="172">
        <v>0</v>
      </c>
      <c r="K171" s="172">
        <v>2481.8200000000002</v>
      </c>
      <c r="L171" s="172">
        <v>0</v>
      </c>
      <c r="M171" s="172">
        <v>0</v>
      </c>
      <c r="N171" s="173">
        <v>14300</v>
      </c>
    </row>
    <row r="172" spans="1:14">
      <c r="A172" s="149" t="s">
        <v>4147</v>
      </c>
      <c r="B172" s="147" t="s">
        <v>4167</v>
      </c>
      <c r="C172" s="147" t="s">
        <v>3471</v>
      </c>
      <c r="D172" s="147" t="s">
        <v>123</v>
      </c>
      <c r="E172" s="147">
        <v>2719694</v>
      </c>
      <c r="F172" s="170">
        <v>2588.42</v>
      </c>
      <c r="G172" s="170">
        <v>0</v>
      </c>
      <c r="H172" s="170">
        <v>0</v>
      </c>
      <c r="I172" s="170">
        <v>0</v>
      </c>
      <c r="J172" s="170">
        <v>0</v>
      </c>
      <c r="K172" s="170">
        <v>543.58000000000004</v>
      </c>
      <c r="L172" s="170">
        <v>0</v>
      </c>
      <c r="M172" s="170">
        <v>0</v>
      </c>
      <c r="N172" s="171">
        <v>3132</v>
      </c>
    </row>
    <row r="173" spans="1:14">
      <c r="A173" s="150" t="s">
        <v>4147</v>
      </c>
      <c r="B173" s="148" t="s">
        <v>4168</v>
      </c>
      <c r="C173" s="148" t="s">
        <v>3212</v>
      </c>
      <c r="D173" s="148" t="s">
        <v>123</v>
      </c>
      <c r="E173" s="148">
        <v>5607654</v>
      </c>
      <c r="F173" s="172">
        <v>11818.18</v>
      </c>
      <c r="G173" s="172">
        <v>0</v>
      </c>
      <c r="H173" s="172">
        <v>0</v>
      </c>
      <c r="I173" s="172">
        <v>0</v>
      </c>
      <c r="J173" s="172">
        <v>0</v>
      </c>
      <c r="K173" s="172">
        <v>2481.8200000000002</v>
      </c>
      <c r="L173" s="172">
        <v>0</v>
      </c>
      <c r="M173" s="172">
        <v>0</v>
      </c>
      <c r="N173" s="173">
        <v>14300</v>
      </c>
    </row>
    <row r="174" spans="1:14">
      <c r="A174" s="149" t="s">
        <v>4147</v>
      </c>
      <c r="B174" s="147" t="s">
        <v>4169</v>
      </c>
      <c r="C174" s="147" t="s">
        <v>3444</v>
      </c>
      <c r="D174" s="147" t="s">
        <v>123</v>
      </c>
      <c r="E174" s="147">
        <v>17976550</v>
      </c>
      <c r="F174" s="170">
        <v>14049.59</v>
      </c>
      <c r="G174" s="170">
        <v>0</v>
      </c>
      <c r="H174" s="170">
        <v>0</v>
      </c>
      <c r="I174" s="170">
        <v>0</v>
      </c>
      <c r="J174" s="170">
        <v>0</v>
      </c>
      <c r="K174" s="170">
        <v>2950.41</v>
      </c>
      <c r="L174" s="170">
        <v>0</v>
      </c>
      <c r="M174" s="170">
        <v>0</v>
      </c>
      <c r="N174" s="171">
        <v>17000</v>
      </c>
    </row>
    <row r="175" spans="1:14">
      <c r="A175" s="150" t="s">
        <v>4147</v>
      </c>
      <c r="B175" s="148" t="s">
        <v>4170</v>
      </c>
      <c r="C175" s="148" t="s">
        <v>3154</v>
      </c>
      <c r="D175" s="148" t="s">
        <v>123</v>
      </c>
      <c r="E175" s="148">
        <v>3213857</v>
      </c>
      <c r="F175" s="172">
        <v>3900.83</v>
      </c>
      <c r="G175" s="172">
        <v>0</v>
      </c>
      <c r="H175" s="172">
        <v>0</v>
      </c>
      <c r="I175" s="172">
        <v>0</v>
      </c>
      <c r="J175" s="172">
        <v>0</v>
      </c>
      <c r="K175" s="172">
        <v>819.17</v>
      </c>
      <c r="L175" s="172">
        <v>0</v>
      </c>
      <c r="M175" s="172">
        <v>0</v>
      </c>
      <c r="N175" s="173">
        <v>4720</v>
      </c>
    </row>
    <row r="176" spans="1:14">
      <c r="A176" s="149" t="s">
        <v>4147</v>
      </c>
      <c r="B176" s="147" t="s">
        <v>4171</v>
      </c>
      <c r="C176" s="147" t="s">
        <v>3152</v>
      </c>
      <c r="D176" s="147" t="s">
        <v>123</v>
      </c>
      <c r="E176" s="147">
        <v>3292785</v>
      </c>
      <c r="F176" s="170">
        <v>1446.28</v>
      </c>
      <c r="G176" s="170">
        <v>0</v>
      </c>
      <c r="H176" s="170">
        <v>0</v>
      </c>
      <c r="I176" s="170">
        <v>0</v>
      </c>
      <c r="J176" s="170">
        <v>0</v>
      </c>
      <c r="K176" s="170">
        <v>303.72000000000003</v>
      </c>
      <c r="L176" s="170">
        <v>0</v>
      </c>
      <c r="M176" s="170">
        <v>0</v>
      </c>
      <c r="N176" s="171">
        <v>1750</v>
      </c>
    </row>
    <row r="177" spans="1:14">
      <c r="A177" s="150" t="s">
        <v>4147</v>
      </c>
      <c r="B177" s="148" t="s">
        <v>4172</v>
      </c>
      <c r="C177" s="148" t="s">
        <v>4173</v>
      </c>
      <c r="D177" s="148" t="s">
        <v>123</v>
      </c>
      <c r="E177" s="148">
        <v>20008996</v>
      </c>
      <c r="F177" s="172">
        <v>11818.18</v>
      </c>
      <c r="G177" s="172">
        <v>0</v>
      </c>
      <c r="H177" s="172">
        <v>0</v>
      </c>
      <c r="I177" s="172">
        <v>0</v>
      </c>
      <c r="J177" s="172">
        <v>0</v>
      </c>
      <c r="K177" s="172">
        <v>2481.8200000000002</v>
      </c>
      <c r="L177" s="172">
        <v>0</v>
      </c>
      <c r="M177" s="172">
        <v>0</v>
      </c>
      <c r="N177" s="173">
        <v>14300</v>
      </c>
    </row>
    <row r="178" spans="1:14">
      <c r="A178" s="149" t="s">
        <v>4147</v>
      </c>
      <c r="B178" s="147" t="s">
        <v>4174</v>
      </c>
      <c r="C178" s="147" t="s">
        <v>3657</v>
      </c>
      <c r="D178" s="147" t="s">
        <v>123</v>
      </c>
      <c r="E178" s="147">
        <v>3087423</v>
      </c>
      <c r="F178" s="170">
        <v>1567.77</v>
      </c>
      <c r="G178" s="170">
        <v>0</v>
      </c>
      <c r="H178" s="170">
        <v>0</v>
      </c>
      <c r="I178" s="170">
        <v>0</v>
      </c>
      <c r="J178" s="170">
        <v>0</v>
      </c>
      <c r="K178" s="170">
        <v>329.23</v>
      </c>
      <c r="L178" s="170">
        <v>0</v>
      </c>
      <c r="M178" s="170">
        <v>0</v>
      </c>
      <c r="N178" s="171">
        <v>1897</v>
      </c>
    </row>
    <row r="179" spans="1:14">
      <c r="A179" s="150" t="s">
        <v>4175</v>
      </c>
      <c r="B179" s="148" t="s">
        <v>4176</v>
      </c>
      <c r="C179" s="148" t="s">
        <v>122</v>
      </c>
      <c r="D179" s="148" t="s">
        <v>123</v>
      </c>
      <c r="E179" s="148" t="s">
        <v>124</v>
      </c>
      <c r="F179" s="172">
        <v>8471.07</v>
      </c>
      <c r="G179" s="172">
        <v>0</v>
      </c>
      <c r="H179" s="172">
        <v>0</v>
      </c>
      <c r="I179" s="172">
        <v>0</v>
      </c>
      <c r="J179" s="172">
        <v>0</v>
      </c>
      <c r="K179" s="172">
        <v>1778.93</v>
      </c>
      <c r="L179" s="172">
        <v>0</v>
      </c>
      <c r="M179" s="172">
        <v>0</v>
      </c>
      <c r="N179" s="173">
        <v>10250</v>
      </c>
    </row>
    <row r="180" spans="1:14">
      <c r="A180" s="149" t="s">
        <v>4175</v>
      </c>
      <c r="B180" s="147" t="s">
        <v>4177</v>
      </c>
      <c r="C180" s="147" t="s">
        <v>122</v>
      </c>
      <c r="D180" s="147" t="s">
        <v>123</v>
      </c>
      <c r="E180" s="147" t="s">
        <v>124</v>
      </c>
      <c r="F180" s="170">
        <v>22892.560000000001</v>
      </c>
      <c r="G180" s="170">
        <v>0</v>
      </c>
      <c r="H180" s="170">
        <v>0</v>
      </c>
      <c r="I180" s="170">
        <v>0</v>
      </c>
      <c r="J180" s="170">
        <v>0</v>
      </c>
      <c r="K180" s="170">
        <v>4807.4400000000005</v>
      </c>
      <c r="L180" s="170">
        <v>0</v>
      </c>
      <c r="M180" s="170">
        <v>0</v>
      </c>
      <c r="N180" s="171">
        <v>27700</v>
      </c>
    </row>
    <row r="181" spans="1:14">
      <c r="A181" s="150" t="s">
        <v>4175</v>
      </c>
      <c r="B181" s="148" t="s">
        <v>4178</v>
      </c>
      <c r="C181" s="148" t="s">
        <v>122</v>
      </c>
      <c r="D181" s="148" t="s">
        <v>123</v>
      </c>
      <c r="E181" s="148" t="s">
        <v>124</v>
      </c>
      <c r="F181" s="172">
        <v>8140.5</v>
      </c>
      <c r="G181" s="172">
        <v>0</v>
      </c>
      <c r="H181" s="172">
        <v>0</v>
      </c>
      <c r="I181" s="172">
        <v>0</v>
      </c>
      <c r="J181" s="172">
        <v>0</v>
      </c>
      <c r="K181" s="172">
        <v>1709.5</v>
      </c>
      <c r="L181" s="172">
        <v>0</v>
      </c>
      <c r="M181" s="172">
        <v>0</v>
      </c>
      <c r="N181" s="173">
        <v>9850</v>
      </c>
    </row>
    <row r="182" spans="1:14">
      <c r="A182" s="149" t="s">
        <v>4175</v>
      </c>
      <c r="B182" s="147" t="s">
        <v>4179</v>
      </c>
      <c r="C182" s="147" t="s">
        <v>122</v>
      </c>
      <c r="D182" s="147" t="s">
        <v>123</v>
      </c>
      <c r="E182" s="147" t="s">
        <v>124</v>
      </c>
      <c r="F182" s="170">
        <v>30165.29</v>
      </c>
      <c r="G182" s="170">
        <v>0</v>
      </c>
      <c r="H182" s="170">
        <v>0</v>
      </c>
      <c r="I182" s="170">
        <v>0</v>
      </c>
      <c r="J182" s="170">
        <v>0</v>
      </c>
      <c r="K182" s="170">
        <v>6334.71</v>
      </c>
      <c r="L182" s="170">
        <v>0</v>
      </c>
      <c r="M182" s="170">
        <v>0</v>
      </c>
      <c r="N182" s="171">
        <v>36500</v>
      </c>
    </row>
    <row r="183" spans="1:14">
      <c r="A183" s="150" t="s">
        <v>4175</v>
      </c>
      <c r="B183" s="148" t="s">
        <v>4180</v>
      </c>
      <c r="C183" s="148" t="s">
        <v>122</v>
      </c>
      <c r="D183" s="148" t="s">
        <v>123</v>
      </c>
      <c r="E183" s="148" t="s">
        <v>124</v>
      </c>
      <c r="F183" s="172">
        <v>6487.6</v>
      </c>
      <c r="G183" s="172">
        <v>0</v>
      </c>
      <c r="H183" s="172">
        <v>0</v>
      </c>
      <c r="I183" s="172">
        <v>0</v>
      </c>
      <c r="J183" s="172">
        <v>0</v>
      </c>
      <c r="K183" s="172">
        <v>1362.4</v>
      </c>
      <c r="L183" s="172">
        <v>0</v>
      </c>
      <c r="M183" s="172">
        <v>0</v>
      </c>
      <c r="N183" s="173">
        <v>7850</v>
      </c>
    </row>
    <row r="184" spans="1:14">
      <c r="A184" s="149" t="s">
        <v>4175</v>
      </c>
      <c r="B184" s="147" t="s">
        <v>4181</v>
      </c>
      <c r="C184" s="147" t="s">
        <v>122</v>
      </c>
      <c r="D184" s="147" t="s">
        <v>123</v>
      </c>
      <c r="E184" s="147" t="s">
        <v>124</v>
      </c>
      <c r="F184" s="170">
        <v>15082.64</v>
      </c>
      <c r="G184" s="170">
        <v>0</v>
      </c>
      <c r="H184" s="170">
        <v>0</v>
      </c>
      <c r="I184" s="170">
        <v>0</v>
      </c>
      <c r="J184" s="170">
        <v>0</v>
      </c>
      <c r="K184" s="170">
        <v>3167.36</v>
      </c>
      <c r="L184" s="170">
        <v>0</v>
      </c>
      <c r="M184" s="170">
        <v>0</v>
      </c>
      <c r="N184" s="171">
        <v>18250</v>
      </c>
    </row>
    <row r="185" spans="1:14">
      <c r="A185" s="150" t="s">
        <v>4175</v>
      </c>
      <c r="B185" s="148" t="s">
        <v>4182</v>
      </c>
      <c r="C185" s="148" t="s">
        <v>122</v>
      </c>
      <c r="D185" s="148" t="s">
        <v>123</v>
      </c>
      <c r="E185" s="148" t="s">
        <v>124</v>
      </c>
      <c r="F185" s="172">
        <v>11818.18</v>
      </c>
      <c r="G185" s="172">
        <v>0</v>
      </c>
      <c r="H185" s="172">
        <v>0</v>
      </c>
      <c r="I185" s="172">
        <v>0</v>
      </c>
      <c r="J185" s="172">
        <v>0</v>
      </c>
      <c r="K185" s="172">
        <v>2481.8200000000002</v>
      </c>
      <c r="L185" s="172">
        <v>0</v>
      </c>
      <c r="M185" s="172">
        <v>0</v>
      </c>
      <c r="N185" s="173">
        <v>14300</v>
      </c>
    </row>
    <row r="186" spans="1:14">
      <c r="A186" s="149" t="s">
        <v>4175</v>
      </c>
      <c r="B186" s="147" t="s">
        <v>4183</v>
      </c>
      <c r="C186" s="147" t="s">
        <v>122</v>
      </c>
      <c r="D186" s="147" t="s">
        <v>123</v>
      </c>
      <c r="E186" s="147" t="s">
        <v>124</v>
      </c>
      <c r="F186" s="170">
        <v>8264.4600000000009</v>
      </c>
      <c r="G186" s="170">
        <v>0</v>
      </c>
      <c r="H186" s="170">
        <v>0</v>
      </c>
      <c r="I186" s="170">
        <v>0</v>
      </c>
      <c r="J186" s="170">
        <v>0</v>
      </c>
      <c r="K186" s="170">
        <v>1735.54</v>
      </c>
      <c r="L186" s="170">
        <v>0</v>
      </c>
      <c r="M186" s="170">
        <v>0</v>
      </c>
      <c r="N186" s="171">
        <v>10000</v>
      </c>
    </row>
    <row r="187" spans="1:14">
      <c r="A187" s="150" t="s">
        <v>4175</v>
      </c>
      <c r="B187" s="148" t="s">
        <v>4185</v>
      </c>
      <c r="C187" s="148" t="s">
        <v>1533</v>
      </c>
      <c r="D187" s="148" t="s">
        <v>123</v>
      </c>
      <c r="E187" s="148">
        <v>22040665</v>
      </c>
      <c r="F187" s="172">
        <v>23553.72</v>
      </c>
      <c r="G187" s="172">
        <v>0</v>
      </c>
      <c r="H187" s="172">
        <v>0</v>
      </c>
      <c r="I187" s="172">
        <v>0</v>
      </c>
      <c r="J187" s="172">
        <v>0</v>
      </c>
      <c r="K187" s="172">
        <v>4946.28</v>
      </c>
      <c r="L187" s="172">
        <v>0</v>
      </c>
      <c r="M187" s="172">
        <v>0</v>
      </c>
      <c r="N187" s="173">
        <v>28500</v>
      </c>
    </row>
    <row r="188" spans="1:14">
      <c r="A188" s="149" t="s">
        <v>4186</v>
      </c>
      <c r="B188" s="147" t="s">
        <v>4187</v>
      </c>
      <c r="C188" s="147" t="s">
        <v>122</v>
      </c>
      <c r="D188" s="147" t="s">
        <v>123</v>
      </c>
      <c r="E188" s="147" t="s">
        <v>124</v>
      </c>
      <c r="F188" s="170">
        <v>10330.58</v>
      </c>
      <c r="G188" s="170">
        <v>0</v>
      </c>
      <c r="H188" s="170">
        <v>0</v>
      </c>
      <c r="I188" s="170">
        <v>0</v>
      </c>
      <c r="J188" s="170">
        <v>0</v>
      </c>
      <c r="K188" s="170">
        <v>2169.42</v>
      </c>
      <c r="L188" s="170">
        <v>0</v>
      </c>
      <c r="M188" s="170">
        <v>0</v>
      </c>
      <c r="N188" s="171">
        <v>12500</v>
      </c>
    </row>
    <row r="189" spans="1:14">
      <c r="A189" s="150" t="s">
        <v>4186</v>
      </c>
      <c r="B189" s="148" t="s">
        <v>4188</v>
      </c>
      <c r="C189" s="148" t="s">
        <v>122</v>
      </c>
      <c r="D189" s="148" t="s">
        <v>123</v>
      </c>
      <c r="E189" s="148" t="s">
        <v>124</v>
      </c>
      <c r="F189" s="172">
        <v>18181.82</v>
      </c>
      <c r="G189" s="172">
        <v>0</v>
      </c>
      <c r="H189" s="172">
        <v>0</v>
      </c>
      <c r="I189" s="172">
        <v>0</v>
      </c>
      <c r="J189" s="172">
        <v>0</v>
      </c>
      <c r="K189" s="172">
        <v>3818.18</v>
      </c>
      <c r="L189" s="172">
        <v>0</v>
      </c>
      <c r="M189" s="172">
        <v>0</v>
      </c>
      <c r="N189" s="173">
        <v>22000</v>
      </c>
    </row>
    <row r="190" spans="1:14">
      <c r="A190" s="149" t="s">
        <v>4186</v>
      </c>
      <c r="B190" s="147" t="s">
        <v>4189</v>
      </c>
      <c r="C190" s="147" t="s">
        <v>122</v>
      </c>
      <c r="D190" s="147" t="s">
        <v>123</v>
      </c>
      <c r="E190" s="147" t="s">
        <v>124</v>
      </c>
      <c r="F190" s="170">
        <v>9090.91</v>
      </c>
      <c r="G190" s="170">
        <v>0</v>
      </c>
      <c r="H190" s="170">
        <v>0</v>
      </c>
      <c r="I190" s="170">
        <v>0</v>
      </c>
      <c r="J190" s="170">
        <v>0</v>
      </c>
      <c r="K190" s="170">
        <v>1909.09</v>
      </c>
      <c r="L190" s="170">
        <v>0</v>
      </c>
      <c r="M190" s="170">
        <v>0</v>
      </c>
      <c r="N190" s="171">
        <v>11000</v>
      </c>
    </row>
    <row r="191" spans="1:14">
      <c r="A191" s="150" t="s">
        <v>4186</v>
      </c>
      <c r="B191" s="148" t="s">
        <v>4190</v>
      </c>
      <c r="C191" s="148" t="s">
        <v>122</v>
      </c>
      <c r="D191" s="148" t="s">
        <v>123</v>
      </c>
      <c r="E191" s="148" t="s">
        <v>124</v>
      </c>
      <c r="F191" s="172">
        <v>19008.260000000002</v>
      </c>
      <c r="G191" s="172">
        <v>0</v>
      </c>
      <c r="H191" s="172">
        <v>0</v>
      </c>
      <c r="I191" s="172">
        <v>0</v>
      </c>
      <c r="J191" s="172">
        <v>0</v>
      </c>
      <c r="K191" s="172">
        <v>3991.74</v>
      </c>
      <c r="L191" s="172">
        <v>0</v>
      </c>
      <c r="M191" s="172">
        <v>0</v>
      </c>
      <c r="N191" s="173">
        <v>23000</v>
      </c>
    </row>
    <row r="192" spans="1:14">
      <c r="A192" s="149" t="s">
        <v>4186</v>
      </c>
      <c r="B192" s="147" t="s">
        <v>4191</v>
      </c>
      <c r="C192" s="147" t="s">
        <v>122</v>
      </c>
      <c r="D192" s="147" t="s">
        <v>123</v>
      </c>
      <c r="E192" s="147" t="s">
        <v>124</v>
      </c>
      <c r="F192" s="170">
        <v>10289.26</v>
      </c>
      <c r="G192" s="170">
        <v>0</v>
      </c>
      <c r="H192" s="170">
        <v>0</v>
      </c>
      <c r="I192" s="170">
        <v>0</v>
      </c>
      <c r="J192" s="170">
        <v>0</v>
      </c>
      <c r="K192" s="170">
        <v>2160.7400000000002</v>
      </c>
      <c r="L192" s="170">
        <v>0</v>
      </c>
      <c r="M192" s="170">
        <v>0</v>
      </c>
      <c r="N192" s="171">
        <v>12450</v>
      </c>
    </row>
    <row r="193" spans="1:14">
      <c r="A193" s="150" t="s">
        <v>4186</v>
      </c>
      <c r="B193" s="148" t="s">
        <v>4192</v>
      </c>
      <c r="C193" s="148" t="s">
        <v>122</v>
      </c>
      <c r="D193" s="148" t="s">
        <v>123</v>
      </c>
      <c r="E193" s="148" t="s">
        <v>124</v>
      </c>
      <c r="F193" s="172">
        <v>12975.21</v>
      </c>
      <c r="G193" s="172">
        <v>0</v>
      </c>
      <c r="H193" s="172">
        <v>0</v>
      </c>
      <c r="I193" s="172">
        <v>0</v>
      </c>
      <c r="J193" s="172">
        <v>0</v>
      </c>
      <c r="K193" s="172">
        <v>2724.79</v>
      </c>
      <c r="L193" s="172">
        <v>0</v>
      </c>
      <c r="M193" s="172">
        <v>0</v>
      </c>
      <c r="N193" s="173">
        <v>15700</v>
      </c>
    </row>
    <row r="194" spans="1:14">
      <c r="A194" s="149" t="s">
        <v>4186</v>
      </c>
      <c r="B194" s="147" t="s">
        <v>4193</v>
      </c>
      <c r="C194" s="147" t="s">
        <v>122</v>
      </c>
      <c r="D194" s="147" t="s">
        <v>123</v>
      </c>
      <c r="E194" s="147" t="s">
        <v>124</v>
      </c>
      <c r="F194" s="170">
        <v>30082.639999999999</v>
      </c>
      <c r="G194" s="170">
        <v>0</v>
      </c>
      <c r="H194" s="170">
        <v>0</v>
      </c>
      <c r="I194" s="170">
        <v>0</v>
      </c>
      <c r="J194" s="170">
        <v>0</v>
      </c>
      <c r="K194" s="170">
        <v>6317.36</v>
      </c>
      <c r="L194" s="170">
        <v>0</v>
      </c>
      <c r="M194" s="170">
        <v>0</v>
      </c>
      <c r="N194" s="171">
        <v>36400</v>
      </c>
    </row>
    <row r="195" spans="1:14">
      <c r="A195" s="150" t="s">
        <v>4186</v>
      </c>
      <c r="B195" s="148" t="s">
        <v>4194</v>
      </c>
      <c r="C195" s="148" t="s">
        <v>122</v>
      </c>
      <c r="D195" s="148" t="s">
        <v>123</v>
      </c>
      <c r="E195" s="148" t="s">
        <v>124</v>
      </c>
      <c r="F195" s="172">
        <v>18181.82</v>
      </c>
      <c r="G195" s="172">
        <v>0</v>
      </c>
      <c r="H195" s="172">
        <v>0</v>
      </c>
      <c r="I195" s="172">
        <v>0</v>
      </c>
      <c r="J195" s="172">
        <v>0</v>
      </c>
      <c r="K195" s="172">
        <v>3818.18</v>
      </c>
      <c r="L195" s="172">
        <v>0</v>
      </c>
      <c r="M195" s="172">
        <v>0</v>
      </c>
      <c r="N195" s="173">
        <v>22000</v>
      </c>
    </row>
    <row r="196" spans="1:14">
      <c r="A196" s="149" t="s">
        <v>4186</v>
      </c>
      <c r="B196" s="147" t="s">
        <v>4195</v>
      </c>
      <c r="C196" s="147" t="s">
        <v>122</v>
      </c>
      <c r="D196" s="147" t="s">
        <v>123</v>
      </c>
      <c r="E196" s="147" t="s">
        <v>124</v>
      </c>
      <c r="F196" s="170">
        <v>9917.36</v>
      </c>
      <c r="G196" s="170">
        <v>0</v>
      </c>
      <c r="H196" s="170">
        <v>0</v>
      </c>
      <c r="I196" s="170">
        <v>0</v>
      </c>
      <c r="J196" s="170">
        <v>0</v>
      </c>
      <c r="K196" s="170">
        <v>2082.64</v>
      </c>
      <c r="L196" s="170">
        <v>0</v>
      </c>
      <c r="M196" s="170">
        <v>0</v>
      </c>
      <c r="N196" s="171">
        <v>12000</v>
      </c>
    </row>
    <row r="197" spans="1:14">
      <c r="A197" s="150" t="s">
        <v>4186</v>
      </c>
      <c r="B197" s="148" t="s">
        <v>4196</v>
      </c>
      <c r="C197" s="148" t="s">
        <v>122</v>
      </c>
      <c r="D197" s="148" t="s">
        <v>123</v>
      </c>
      <c r="E197" s="148" t="s">
        <v>124</v>
      </c>
      <c r="F197" s="172">
        <v>10743.8</v>
      </c>
      <c r="G197" s="172">
        <v>0</v>
      </c>
      <c r="H197" s="172">
        <v>0</v>
      </c>
      <c r="I197" s="172">
        <v>0</v>
      </c>
      <c r="J197" s="172">
        <v>0</v>
      </c>
      <c r="K197" s="172">
        <v>2256.2000000000003</v>
      </c>
      <c r="L197" s="172">
        <v>0</v>
      </c>
      <c r="M197" s="172">
        <v>0</v>
      </c>
      <c r="N197" s="173">
        <v>13000</v>
      </c>
    </row>
    <row r="198" spans="1:14">
      <c r="A198" s="149" t="s">
        <v>4186</v>
      </c>
      <c r="B198" s="147" t="s">
        <v>4197</v>
      </c>
      <c r="C198" s="147" t="s">
        <v>122</v>
      </c>
      <c r="D198" s="147" t="s">
        <v>123</v>
      </c>
      <c r="E198" s="147" t="s">
        <v>124</v>
      </c>
      <c r="F198" s="170">
        <v>6487.6</v>
      </c>
      <c r="G198" s="170">
        <v>0</v>
      </c>
      <c r="H198" s="170">
        <v>0</v>
      </c>
      <c r="I198" s="170">
        <v>0</v>
      </c>
      <c r="J198" s="170">
        <v>0</v>
      </c>
      <c r="K198" s="170">
        <v>1362.4</v>
      </c>
      <c r="L198" s="170">
        <v>0</v>
      </c>
      <c r="M198" s="170">
        <v>0</v>
      </c>
      <c r="N198" s="171">
        <v>7850</v>
      </c>
    </row>
    <row r="199" spans="1:14">
      <c r="A199" s="150" t="s">
        <v>4186</v>
      </c>
      <c r="B199" s="148" t="s">
        <v>4198</v>
      </c>
      <c r="C199" s="148" t="s">
        <v>122</v>
      </c>
      <c r="D199" s="148" t="s">
        <v>123</v>
      </c>
      <c r="E199" s="148" t="s">
        <v>124</v>
      </c>
      <c r="F199" s="172">
        <v>7438.02</v>
      </c>
      <c r="G199" s="172">
        <v>0</v>
      </c>
      <c r="H199" s="172">
        <v>0</v>
      </c>
      <c r="I199" s="172">
        <v>0</v>
      </c>
      <c r="J199" s="172">
        <v>0</v>
      </c>
      <c r="K199" s="172">
        <v>1561.98</v>
      </c>
      <c r="L199" s="172">
        <v>0</v>
      </c>
      <c r="M199" s="172">
        <v>0</v>
      </c>
      <c r="N199" s="173">
        <v>9000</v>
      </c>
    </row>
    <row r="200" spans="1:14">
      <c r="A200" s="149" t="s">
        <v>4186</v>
      </c>
      <c r="B200" s="147" t="s">
        <v>4199</v>
      </c>
      <c r="C200" s="147" t="s">
        <v>122</v>
      </c>
      <c r="D200" s="147" t="s">
        <v>123</v>
      </c>
      <c r="E200" s="147" t="s">
        <v>124</v>
      </c>
      <c r="F200" s="170">
        <v>4380.17</v>
      </c>
      <c r="G200" s="170">
        <v>0</v>
      </c>
      <c r="H200" s="170">
        <v>0</v>
      </c>
      <c r="I200" s="170">
        <v>0</v>
      </c>
      <c r="J200" s="170">
        <v>0</v>
      </c>
      <c r="K200" s="170">
        <v>919.83</v>
      </c>
      <c r="L200" s="170">
        <v>0</v>
      </c>
      <c r="M200" s="170">
        <v>0</v>
      </c>
      <c r="N200" s="171">
        <v>5300</v>
      </c>
    </row>
    <row r="201" spans="1:14">
      <c r="A201" s="150" t="s">
        <v>4201</v>
      </c>
      <c r="B201" s="148" t="s">
        <v>4202</v>
      </c>
      <c r="C201" s="148" t="s">
        <v>122</v>
      </c>
      <c r="D201" s="148" t="s">
        <v>123</v>
      </c>
      <c r="E201" s="148" t="s">
        <v>124</v>
      </c>
      <c r="F201" s="172">
        <v>10330.58</v>
      </c>
      <c r="G201" s="172">
        <v>0</v>
      </c>
      <c r="H201" s="172">
        <v>0</v>
      </c>
      <c r="I201" s="172">
        <v>0</v>
      </c>
      <c r="J201" s="172">
        <v>0</v>
      </c>
      <c r="K201" s="172">
        <v>2169.42</v>
      </c>
      <c r="L201" s="172">
        <v>0</v>
      </c>
      <c r="M201" s="172">
        <v>0</v>
      </c>
      <c r="N201" s="173">
        <v>12500</v>
      </c>
    </row>
    <row r="202" spans="1:14">
      <c r="A202" s="149" t="s">
        <v>4201</v>
      </c>
      <c r="B202" s="147" t="s">
        <v>4203</v>
      </c>
      <c r="C202" s="147" t="s">
        <v>122</v>
      </c>
      <c r="D202" s="147" t="s">
        <v>123</v>
      </c>
      <c r="E202" s="147" t="s">
        <v>124</v>
      </c>
      <c r="F202" s="170">
        <v>11735.54</v>
      </c>
      <c r="G202" s="170">
        <v>0</v>
      </c>
      <c r="H202" s="170">
        <v>0</v>
      </c>
      <c r="I202" s="170">
        <v>0</v>
      </c>
      <c r="J202" s="170">
        <v>0</v>
      </c>
      <c r="K202" s="170">
        <v>2464.46</v>
      </c>
      <c r="L202" s="170">
        <v>0</v>
      </c>
      <c r="M202" s="170">
        <v>0</v>
      </c>
      <c r="N202" s="171">
        <v>14200</v>
      </c>
    </row>
    <row r="203" spans="1:14">
      <c r="A203" s="150" t="s">
        <v>4201</v>
      </c>
      <c r="B203" s="148" t="s">
        <v>4204</v>
      </c>
      <c r="C203" s="148" t="s">
        <v>122</v>
      </c>
      <c r="D203" s="148" t="s">
        <v>123</v>
      </c>
      <c r="E203" s="148" t="s">
        <v>124</v>
      </c>
      <c r="F203" s="172">
        <v>6363.64</v>
      </c>
      <c r="G203" s="172">
        <v>0</v>
      </c>
      <c r="H203" s="172">
        <v>0</v>
      </c>
      <c r="I203" s="172">
        <v>0</v>
      </c>
      <c r="J203" s="172">
        <v>0</v>
      </c>
      <c r="K203" s="172">
        <v>1336.36</v>
      </c>
      <c r="L203" s="172">
        <v>0</v>
      </c>
      <c r="M203" s="172">
        <v>0</v>
      </c>
      <c r="N203" s="173">
        <v>7700</v>
      </c>
    </row>
    <row r="204" spans="1:14">
      <c r="A204" s="149" t="s">
        <v>4201</v>
      </c>
      <c r="B204" s="147" t="s">
        <v>4205</v>
      </c>
      <c r="C204" s="147" t="s">
        <v>4206</v>
      </c>
      <c r="D204" s="147" t="s">
        <v>123</v>
      </c>
      <c r="E204" s="147">
        <v>7373890</v>
      </c>
      <c r="F204" s="170">
        <v>33057.85</v>
      </c>
      <c r="G204" s="170">
        <v>0</v>
      </c>
      <c r="H204" s="170">
        <v>0</v>
      </c>
      <c r="I204" s="170">
        <v>0</v>
      </c>
      <c r="J204" s="170">
        <v>0</v>
      </c>
      <c r="K204" s="170">
        <v>6942.15</v>
      </c>
      <c r="L204" s="170">
        <v>0</v>
      </c>
      <c r="M204" s="170">
        <v>0</v>
      </c>
      <c r="N204" s="171">
        <v>40000</v>
      </c>
    </row>
    <row r="205" spans="1:14">
      <c r="A205" s="150" t="s">
        <v>4201</v>
      </c>
      <c r="B205" s="148" t="s">
        <v>4207</v>
      </c>
      <c r="C205" s="148" t="s">
        <v>122</v>
      </c>
      <c r="D205" s="148" t="s">
        <v>123</v>
      </c>
      <c r="E205" s="148" t="s">
        <v>124</v>
      </c>
      <c r="F205" s="172">
        <v>10330.58</v>
      </c>
      <c r="G205" s="172">
        <v>0</v>
      </c>
      <c r="H205" s="172">
        <v>0</v>
      </c>
      <c r="I205" s="172">
        <v>0</v>
      </c>
      <c r="J205" s="172">
        <v>0</v>
      </c>
      <c r="K205" s="172">
        <v>2169.42</v>
      </c>
      <c r="L205" s="172">
        <v>0</v>
      </c>
      <c r="M205" s="172">
        <v>0</v>
      </c>
      <c r="N205" s="173">
        <v>12500</v>
      </c>
    </row>
    <row r="206" spans="1:14">
      <c r="A206" s="149" t="s">
        <v>4201</v>
      </c>
      <c r="B206" s="147" t="s">
        <v>4208</v>
      </c>
      <c r="C206" s="147" t="s">
        <v>122</v>
      </c>
      <c r="D206" s="147" t="s">
        <v>123</v>
      </c>
      <c r="E206" s="147" t="s">
        <v>124</v>
      </c>
      <c r="F206" s="170">
        <v>10330.58</v>
      </c>
      <c r="G206" s="170">
        <v>0</v>
      </c>
      <c r="H206" s="170">
        <v>0</v>
      </c>
      <c r="I206" s="170">
        <v>0</v>
      </c>
      <c r="J206" s="170">
        <v>0</v>
      </c>
      <c r="K206" s="170">
        <v>2169.42</v>
      </c>
      <c r="L206" s="170">
        <v>0</v>
      </c>
      <c r="M206" s="170">
        <v>0</v>
      </c>
      <c r="N206" s="171">
        <v>12500</v>
      </c>
    </row>
    <row r="207" spans="1:14">
      <c r="A207" s="150" t="s">
        <v>4201</v>
      </c>
      <c r="B207" s="148" t="s">
        <v>4209</v>
      </c>
      <c r="C207" s="148" t="s">
        <v>122</v>
      </c>
      <c r="D207" s="148" t="s">
        <v>123</v>
      </c>
      <c r="E207" s="148" t="s">
        <v>124</v>
      </c>
      <c r="F207" s="172">
        <v>43966.94</v>
      </c>
      <c r="G207" s="172">
        <v>0</v>
      </c>
      <c r="H207" s="172">
        <v>0</v>
      </c>
      <c r="I207" s="172">
        <v>0</v>
      </c>
      <c r="J207" s="172">
        <v>0</v>
      </c>
      <c r="K207" s="172">
        <v>9233.06</v>
      </c>
      <c r="L207" s="172">
        <v>0</v>
      </c>
      <c r="M207" s="172">
        <v>0</v>
      </c>
      <c r="N207" s="173">
        <v>53200</v>
      </c>
    </row>
    <row r="208" spans="1:14">
      <c r="A208" s="149" t="s">
        <v>4201</v>
      </c>
      <c r="B208" s="147" t="s">
        <v>4210</v>
      </c>
      <c r="C208" s="147" t="s">
        <v>122</v>
      </c>
      <c r="D208" s="147" t="s">
        <v>123</v>
      </c>
      <c r="E208" s="147" t="s">
        <v>124</v>
      </c>
      <c r="F208" s="170">
        <v>2479.34</v>
      </c>
      <c r="G208" s="170">
        <v>0</v>
      </c>
      <c r="H208" s="170">
        <v>0</v>
      </c>
      <c r="I208" s="170">
        <v>0</v>
      </c>
      <c r="J208" s="170">
        <v>0</v>
      </c>
      <c r="K208" s="170">
        <v>520.66</v>
      </c>
      <c r="L208" s="170">
        <v>0</v>
      </c>
      <c r="M208" s="170">
        <v>0</v>
      </c>
      <c r="N208" s="171">
        <v>3000</v>
      </c>
    </row>
    <row r="209" spans="1:14">
      <c r="A209" s="150" t="s">
        <v>4201</v>
      </c>
      <c r="B209" s="148" t="s">
        <v>4211</v>
      </c>
      <c r="C209" s="148" t="s">
        <v>122</v>
      </c>
      <c r="D209" s="148" t="s">
        <v>123</v>
      </c>
      <c r="E209" s="148" t="s">
        <v>124</v>
      </c>
      <c r="F209" s="172">
        <v>11694.21</v>
      </c>
      <c r="G209" s="172">
        <v>0</v>
      </c>
      <c r="H209" s="172">
        <v>0</v>
      </c>
      <c r="I209" s="172">
        <v>0</v>
      </c>
      <c r="J209" s="172">
        <v>0</v>
      </c>
      <c r="K209" s="172">
        <v>2455.79</v>
      </c>
      <c r="L209" s="172">
        <v>0</v>
      </c>
      <c r="M209" s="172">
        <v>0</v>
      </c>
      <c r="N209" s="173">
        <v>14150</v>
      </c>
    </row>
    <row r="210" spans="1:14">
      <c r="A210" s="149" t="s">
        <v>4201</v>
      </c>
      <c r="B210" s="147" t="s">
        <v>4212</v>
      </c>
      <c r="C210" s="147" t="s">
        <v>122</v>
      </c>
      <c r="D210" s="147" t="s">
        <v>123</v>
      </c>
      <c r="E210" s="147" t="s">
        <v>124</v>
      </c>
      <c r="F210" s="170">
        <v>24421.49</v>
      </c>
      <c r="G210" s="170">
        <v>0</v>
      </c>
      <c r="H210" s="170">
        <v>0</v>
      </c>
      <c r="I210" s="170">
        <v>0</v>
      </c>
      <c r="J210" s="170">
        <v>0</v>
      </c>
      <c r="K210" s="170">
        <v>5128.51</v>
      </c>
      <c r="L210" s="170">
        <v>0</v>
      </c>
      <c r="M210" s="170">
        <v>0</v>
      </c>
      <c r="N210" s="171">
        <v>29550</v>
      </c>
    </row>
    <row r="211" spans="1:14">
      <c r="A211" s="150" t="s">
        <v>4201</v>
      </c>
      <c r="B211" s="148" t="s">
        <v>4213</v>
      </c>
      <c r="C211" s="148" t="s">
        <v>122</v>
      </c>
      <c r="D211" s="148" t="s">
        <v>123</v>
      </c>
      <c r="E211" s="148" t="s">
        <v>124</v>
      </c>
      <c r="F211" s="172">
        <v>11446.28</v>
      </c>
      <c r="G211" s="172">
        <v>0</v>
      </c>
      <c r="H211" s="172">
        <v>0</v>
      </c>
      <c r="I211" s="172">
        <v>0</v>
      </c>
      <c r="J211" s="172">
        <v>0</v>
      </c>
      <c r="K211" s="172">
        <v>2403.7200000000003</v>
      </c>
      <c r="L211" s="172">
        <v>0</v>
      </c>
      <c r="M211" s="172">
        <v>0</v>
      </c>
      <c r="N211" s="173">
        <v>13850</v>
      </c>
    </row>
    <row r="212" spans="1:14">
      <c r="A212" s="149" t="s">
        <v>4201</v>
      </c>
      <c r="B212" s="147" t="s">
        <v>4214</v>
      </c>
      <c r="C212" s="147" t="s">
        <v>122</v>
      </c>
      <c r="D212" s="147" t="s">
        <v>123</v>
      </c>
      <c r="E212" s="147" t="s">
        <v>124</v>
      </c>
      <c r="F212" s="170">
        <v>9090.91</v>
      </c>
      <c r="G212" s="170">
        <v>0</v>
      </c>
      <c r="H212" s="170">
        <v>0</v>
      </c>
      <c r="I212" s="170">
        <v>0</v>
      </c>
      <c r="J212" s="170">
        <v>0</v>
      </c>
      <c r="K212" s="170">
        <v>1909.09</v>
      </c>
      <c r="L212" s="170">
        <v>0</v>
      </c>
      <c r="M212" s="170">
        <v>0</v>
      </c>
      <c r="N212" s="171">
        <v>11000</v>
      </c>
    </row>
    <row r="213" spans="1:14">
      <c r="A213" s="150" t="s">
        <v>4215</v>
      </c>
      <c r="B213" s="148" t="s">
        <v>4216</v>
      </c>
      <c r="C213" s="148" t="s">
        <v>122</v>
      </c>
      <c r="D213" s="148" t="s">
        <v>123</v>
      </c>
      <c r="E213" s="148" t="s">
        <v>124</v>
      </c>
      <c r="F213" s="172">
        <v>-9297.52</v>
      </c>
      <c r="G213" s="172">
        <v>0</v>
      </c>
      <c r="H213" s="172">
        <v>0</v>
      </c>
      <c r="I213" s="172">
        <v>0</v>
      </c>
      <c r="J213" s="172">
        <v>0</v>
      </c>
      <c r="K213" s="172">
        <v>-1952.48</v>
      </c>
      <c r="L213" s="172">
        <v>0</v>
      </c>
      <c r="M213" s="172">
        <v>0</v>
      </c>
      <c r="N213" s="173">
        <v>-11250</v>
      </c>
    </row>
    <row r="214" spans="1:14">
      <c r="A214" s="149" t="s">
        <v>4215</v>
      </c>
      <c r="B214" s="147" t="s">
        <v>4217</v>
      </c>
      <c r="C214" s="147" t="s">
        <v>122</v>
      </c>
      <c r="D214" s="147" t="s">
        <v>123</v>
      </c>
      <c r="E214" s="147" t="s">
        <v>124</v>
      </c>
      <c r="F214" s="170">
        <v>11280.99</v>
      </c>
      <c r="G214" s="170">
        <v>0</v>
      </c>
      <c r="H214" s="170">
        <v>0</v>
      </c>
      <c r="I214" s="170">
        <v>0</v>
      </c>
      <c r="J214" s="170">
        <v>0</v>
      </c>
      <c r="K214" s="170">
        <v>2369.0100000000002</v>
      </c>
      <c r="L214" s="170">
        <v>0</v>
      </c>
      <c r="M214" s="170">
        <v>0</v>
      </c>
      <c r="N214" s="171">
        <v>13650</v>
      </c>
    </row>
    <row r="215" spans="1:14">
      <c r="A215" s="150" t="s">
        <v>4215</v>
      </c>
      <c r="B215" s="148" t="s">
        <v>4218</v>
      </c>
      <c r="C215" s="148" t="s">
        <v>122</v>
      </c>
      <c r="D215" s="148" t="s">
        <v>123</v>
      </c>
      <c r="E215" s="148" t="s">
        <v>124</v>
      </c>
      <c r="F215" s="172">
        <v>8471.07</v>
      </c>
      <c r="G215" s="172">
        <v>0</v>
      </c>
      <c r="H215" s="172">
        <v>0</v>
      </c>
      <c r="I215" s="172">
        <v>0</v>
      </c>
      <c r="J215" s="172">
        <v>0</v>
      </c>
      <c r="K215" s="172">
        <v>1778.93</v>
      </c>
      <c r="L215" s="172">
        <v>0</v>
      </c>
      <c r="M215" s="172">
        <v>0</v>
      </c>
      <c r="N215" s="173">
        <v>10250</v>
      </c>
    </row>
    <row r="216" spans="1:14">
      <c r="A216" s="149" t="s">
        <v>4215</v>
      </c>
      <c r="B216" s="147" t="s">
        <v>4219</v>
      </c>
      <c r="C216" s="147" t="s">
        <v>122</v>
      </c>
      <c r="D216" s="147" t="s">
        <v>123</v>
      </c>
      <c r="E216" s="147" t="s">
        <v>124</v>
      </c>
      <c r="F216" s="170">
        <v>7190.08</v>
      </c>
      <c r="G216" s="170">
        <v>0</v>
      </c>
      <c r="H216" s="170">
        <v>0</v>
      </c>
      <c r="I216" s="170">
        <v>0</v>
      </c>
      <c r="J216" s="170">
        <v>0</v>
      </c>
      <c r="K216" s="170">
        <v>1509.92</v>
      </c>
      <c r="L216" s="170">
        <v>0</v>
      </c>
      <c r="M216" s="170">
        <v>0</v>
      </c>
      <c r="N216" s="171">
        <v>8700</v>
      </c>
    </row>
    <row r="217" spans="1:14">
      <c r="A217" s="150" t="s">
        <v>4215</v>
      </c>
      <c r="B217" s="148" t="s">
        <v>4220</v>
      </c>
      <c r="C217" s="148" t="s">
        <v>122</v>
      </c>
      <c r="D217" s="148" t="s">
        <v>123</v>
      </c>
      <c r="E217" s="148" t="s">
        <v>124</v>
      </c>
      <c r="F217" s="172">
        <v>30165.29</v>
      </c>
      <c r="G217" s="172">
        <v>0</v>
      </c>
      <c r="H217" s="172">
        <v>0</v>
      </c>
      <c r="I217" s="172">
        <v>0</v>
      </c>
      <c r="J217" s="172">
        <v>0</v>
      </c>
      <c r="K217" s="172">
        <v>6334.71</v>
      </c>
      <c r="L217" s="172">
        <v>0</v>
      </c>
      <c r="M217" s="172">
        <v>0</v>
      </c>
      <c r="N217" s="173">
        <v>36500</v>
      </c>
    </row>
    <row r="218" spans="1:14">
      <c r="A218" s="149" t="s">
        <v>4215</v>
      </c>
      <c r="B218" s="147" t="s">
        <v>4221</v>
      </c>
      <c r="C218" s="147" t="s">
        <v>122</v>
      </c>
      <c r="D218" s="147" t="s">
        <v>123</v>
      </c>
      <c r="E218" s="147" t="s">
        <v>124</v>
      </c>
      <c r="F218" s="170">
        <v>9297.52</v>
      </c>
      <c r="G218" s="170">
        <v>0</v>
      </c>
      <c r="H218" s="170">
        <v>0</v>
      </c>
      <c r="I218" s="170">
        <v>0</v>
      </c>
      <c r="J218" s="170">
        <v>0</v>
      </c>
      <c r="K218" s="170">
        <v>1952.48</v>
      </c>
      <c r="L218" s="170">
        <v>0</v>
      </c>
      <c r="M218" s="170">
        <v>0</v>
      </c>
      <c r="N218" s="171">
        <v>11250</v>
      </c>
    </row>
    <row r="219" spans="1:14">
      <c r="A219" s="150" t="s">
        <v>4215</v>
      </c>
      <c r="B219" s="148" t="s">
        <v>4222</v>
      </c>
      <c r="C219" s="148" t="s">
        <v>122</v>
      </c>
      <c r="D219" s="148" t="s">
        <v>123</v>
      </c>
      <c r="E219" s="148" t="s">
        <v>124</v>
      </c>
      <c r="F219" s="172">
        <v>11446.28</v>
      </c>
      <c r="G219" s="172">
        <v>0</v>
      </c>
      <c r="H219" s="172">
        <v>0</v>
      </c>
      <c r="I219" s="172">
        <v>0</v>
      </c>
      <c r="J219" s="172">
        <v>0</v>
      </c>
      <c r="K219" s="172">
        <v>2403.7200000000003</v>
      </c>
      <c r="L219" s="172">
        <v>0</v>
      </c>
      <c r="M219" s="172">
        <v>0</v>
      </c>
      <c r="N219" s="173">
        <v>13850</v>
      </c>
    </row>
    <row r="220" spans="1:14">
      <c r="A220" s="149" t="s">
        <v>4215</v>
      </c>
      <c r="B220" s="147" t="s">
        <v>4223</v>
      </c>
      <c r="C220" s="147" t="s">
        <v>122</v>
      </c>
      <c r="D220" s="147" t="s">
        <v>123</v>
      </c>
      <c r="E220" s="147" t="s">
        <v>124</v>
      </c>
      <c r="F220" s="170">
        <v>20661.16</v>
      </c>
      <c r="G220" s="170">
        <v>0</v>
      </c>
      <c r="H220" s="170">
        <v>0</v>
      </c>
      <c r="I220" s="170">
        <v>0</v>
      </c>
      <c r="J220" s="170">
        <v>0</v>
      </c>
      <c r="K220" s="170">
        <v>4338.84</v>
      </c>
      <c r="L220" s="170">
        <v>0</v>
      </c>
      <c r="M220" s="170">
        <v>0</v>
      </c>
      <c r="N220" s="171">
        <v>25000</v>
      </c>
    </row>
    <row r="221" spans="1:14">
      <c r="A221" s="150" t="s">
        <v>4215</v>
      </c>
      <c r="B221" s="148" t="s">
        <v>4224</v>
      </c>
      <c r="C221" s="148" t="s">
        <v>122</v>
      </c>
      <c r="D221" s="148" t="s">
        <v>123</v>
      </c>
      <c r="E221" s="148" t="s">
        <v>124</v>
      </c>
      <c r="F221" s="172">
        <v>11735.54</v>
      </c>
      <c r="G221" s="172">
        <v>0</v>
      </c>
      <c r="H221" s="172">
        <v>0</v>
      </c>
      <c r="I221" s="172">
        <v>0</v>
      </c>
      <c r="J221" s="172">
        <v>0</v>
      </c>
      <c r="K221" s="172">
        <v>2464.46</v>
      </c>
      <c r="L221" s="172">
        <v>0</v>
      </c>
      <c r="M221" s="172">
        <v>0</v>
      </c>
      <c r="N221" s="173">
        <v>14200</v>
      </c>
    </row>
    <row r="222" spans="1:14">
      <c r="A222" s="149" t="s">
        <v>4215</v>
      </c>
      <c r="B222" s="147" t="s">
        <v>4225</v>
      </c>
      <c r="C222" s="147" t="s">
        <v>275</v>
      </c>
      <c r="D222" s="147" t="s">
        <v>276</v>
      </c>
      <c r="E222" s="147">
        <v>30590354798</v>
      </c>
      <c r="F222" s="170">
        <v>-7555.61</v>
      </c>
      <c r="G222" s="170">
        <v>0</v>
      </c>
      <c r="H222" s="170">
        <v>0</v>
      </c>
      <c r="I222" s="170">
        <v>0</v>
      </c>
      <c r="J222" s="170">
        <v>0</v>
      </c>
      <c r="K222" s="170">
        <v>-1586.68</v>
      </c>
      <c r="L222" s="170">
        <v>0</v>
      </c>
      <c r="M222" s="170">
        <v>0</v>
      </c>
      <c r="N222" s="171">
        <v>-9142.2900000000009</v>
      </c>
    </row>
    <row r="223" spans="1:14">
      <c r="A223" s="150" t="s">
        <v>4215</v>
      </c>
      <c r="B223" s="148" t="s">
        <v>4226</v>
      </c>
      <c r="C223" s="148" t="s">
        <v>2352</v>
      </c>
      <c r="D223" s="148" t="s">
        <v>123</v>
      </c>
      <c r="E223" s="148">
        <v>93332052</v>
      </c>
      <c r="F223" s="172">
        <v>2231.41</v>
      </c>
      <c r="G223" s="172">
        <v>0</v>
      </c>
      <c r="H223" s="172">
        <v>0</v>
      </c>
      <c r="I223" s="172">
        <v>0</v>
      </c>
      <c r="J223" s="172">
        <v>0</v>
      </c>
      <c r="K223" s="172">
        <v>468.59</v>
      </c>
      <c r="L223" s="172">
        <v>0</v>
      </c>
      <c r="M223" s="172">
        <v>0</v>
      </c>
      <c r="N223" s="173">
        <v>2700</v>
      </c>
    </row>
    <row r="224" spans="1:14">
      <c r="A224" s="149" t="s">
        <v>4215</v>
      </c>
      <c r="B224" s="147" t="s">
        <v>4227</v>
      </c>
      <c r="C224" s="147" t="s">
        <v>298</v>
      </c>
      <c r="D224" s="147" t="s">
        <v>123</v>
      </c>
      <c r="E224" s="147">
        <v>24448662</v>
      </c>
      <c r="F224" s="170">
        <v>8842.9699999999993</v>
      </c>
      <c r="G224" s="170">
        <v>0</v>
      </c>
      <c r="H224" s="170">
        <v>0</v>
      </c>
      <c r="I224" s="170">
        <v>0</v>
      </c>
      <c r="J224" s="170">
        <v>0</v>
      </c>
      <c r="K224" s="170">
        <v>1857.03</v>
      </c>
      <c r="L224" s="170">
        <v>0</v>
      </c>
      <c r="M224" s="170">
        <v>0</v>
      </c>
      <c r="N224" s="171">
        <v>10700</v>
      </c>
    </row>
    <row r="225" spans="1:14">
      <c r="A225" s="150" t="s">
        <v>4215</v>
      </c>
      <c r="B225" s="148" t="s">
        <v>4228</v>
      </c>
      <c r="C225" s="148" t="s">
        <v>411</v>
      </c>
      <c r="D225" s="148" t="s">
        <v>123</v>
      </c>
      <c r="E225" s="148">
        <v>13699449</v>
      </c>
      <c r="F225" s="172">
        <v>48347.11</v>
      </c>
      <c r="G225" s="172">
        <v>0</v>
      </c>
      <c r="H225" s="172">
        <v>0</v>
      </c>
      <c r="I225" s="172">
        <v>0</v>
      </c>
      <c r="J225" s="172">
        <v>0</v>
      </c>
      <c r="K225" s="172">
        <v>10152.89</v>
      </c>
      <c r="L225" s="172">
        <v>0</v>
      </c>
      <c r="M225" s="172">
        <v>0</v>
      </c>
      <c r="N225" s="173">
        <v>58500</v>
      </c>
    </row>
    <row r="226" spans="1:14">
      <c r="A226" s="149" t="s">
        <v>4215</v>
      </c>
      <c r="B226" s="147" t="s">
        <v>4229</v>
      </c>
      <c r="C226" s="147" t="s">
        <v>360</v>
      </c>
      <c r="D226" s="147" t="s">
        <v>123</v>
      </c>
      <c r="E226" s="147">
        <v>5804480</v>
      </c>
      <c r="F226" s="170">
        <v>7024.79</v>
      </c>
      <c r="G226" s="170">
        <v>0</v>
      </c>
      <c r="H226" s="170">
        <v>0</v>
      </c>
      <c r="I226" s="170">
        <v>0</v>
      </c>
      <c r="J226" s="170">
        <v>0</v>
      </c>
      <c r="K226" s="170">
        <v>1475.21</v>
      </c>
      <c r="L226" s="170">
        <v>0</v>
      </c>
      <c r="M226" s="170">
        <v>0</v>
      </c>
      <c r="N226" s="171">
        <v>8500</v>
      </c>
    </row>
    <row r="227" spans="1:14">
      <c r="A227" s="150" t="s">
        <v>4215</v>
      </c>
      <c r="B227" s="148" t="s">
        <v>4230</v>
      </c>
      <c r="C227" s="148" t="s">
        <v>348</v>
      </c>
      <c r="D227" s="148" t="s">
        <v>123</v>
      </c>
      <c r="E227" s="148">
        <v>26542077</v>
      </c>
      <c r="F227" s="172">
        <v>16115.7</v>
      </c>
      <c r="G227" s="172">
        <v>0</v>
      </c>
      <c r="H227" s="172">
        <v>0</v>
      </c>
      <c r="I227" s="172">
        <v>0</v>
      </c>
      <c r="J227" s="172">
        <v>0</v>
      </c>
      <c r="K227" s="172">
        <v>3384.3</v>
      </c>
      <c r="L227" s="172">
        <v>0</v>
      </c>
      <c r="M227" s="172">
        <v>0</v>
      </c>
      <c r="N227" s="173">
        <v>19500</v>
      </c>
    </row>
    <row r="228" spans="1:14">
      <c r="A228" s="149" t="s">
        <v>4215</v>
      </c>
      <c r="B228" s="147" t="s">
        <v>4231</v>
      </c>
      <c r="C228" s="147" t="s">
        <v>358</v>
      </c>
      <c r="D228" s="147" t="s">
        <v>123</v>
      </c>
      <c r="E228" s="147">
        <v>93195134</v>
      </c>
      <c r="F228" s="170">
        <v>7479.33</v>
      </c>
      <c r="G228" s="170">
        <v>0</v>
      </c>
      <c r="H228" s="170">
        <v>0</v>
      </c>
      <c r="I228" s="170">
        <v>0</v>
      </c>
      <c r="J228" s="170">
        <v>0</v>
      </c>
      <c r="K228" s="170">
        <v>1570.67</v>
      </c>
      <c r="L228" s="170">
        <v>0</v>
      </c>
      <c r="M228" s="170">
        <v>0</v>
      </c>
      <c r="N228" s="171">
        <v>9050</v>
      </c>
    </row>
    <row r="229" spans="1:14">
      <c r="A229" s="150" t="s">
        <v>4215</v>
      </c>
      <c r="B229" s="148" t="s">
        <v>4232</v>
      </c>
      <c r="C229" s="148" t="s">
        <v>2550</v>
      </c>
      <c r="D229" s="148" t="s">
        <v>123</v>
      </c>
      <c r="E229" s="148">
        <v>643000</v>
      </c>
      <c r="F229" s="172">
        <v>1528.92</v>
      </c>
      <c r="G229" s="172">
        <v>0</v>
      </c>
      <c r="H229" s="172">
        <v>0</v>
      </c>
      <c r="I229" s="172">
        <v>0</v>
      </c>
      <c r="J229" s="172">
        <v>0</v>
      </c>
      <c r="K229" s="172">
        <v>321.08</v>
      </c>
      <c r="L229" s="172">
        <v>0</v>
      </c>
      <c r="M229" s="172">
        <v>0</v>
      </c>
      <c r="N229" s="173">
        <v>1850</v>
      </c>
    </row>
    <row r="230" spans="1:14">
      <c r="A230" s="149" t="s">
        <v>4215</v>
      </c>
      <c r="B230" s="147" t="s">
        <v>4233</v>
      </c>
      <c r="C230" s="147" t="s">
        <v>3212</v>
      </c>
      <c r="D230" s="147" t="s">
        <v>123</v>
      </c>
      <c r="E230" s="147">
        <v>5607654</v>
      </c>
      <c r="F230" s="170">
        <v>13223.15</v>
      </c>
      <c r="G230" s="170">
        <v>0</v>
      </c>
      <c r="H230" s="170">
        <v>0</v>
      </c>
      <c r="I230" s="170">
        <v>0</v>
      </c>
      <c r="J230" s="170">
        <v>0</v>
      </c>
      <c r="K230" s="170">
        <v>2776.85</v>
      </c>
      <c r="L230" s="170">
        <v>0</v>
      </c>
      <c r="M230" s="170">
        <v>0</v>
      </c>
      <c r="N230" s="171">
        <v>16000</v>
      </c>
    </row>
    <row r="231" spans="1:14">
      <c r="A231" s="150" t="s">
        <v>4215</v>
      </c>
      <c r="B231" s="148" t="s">
        <v>4234</v>
      </c>
      <c r="C231" s="148" t="s">
        <v>3444</v>
      </c>
      <c r="D231" s="148" t="s">
        <v>123</v>
      </c>
      <c r="E231" s="148">
        <v>17976550</v>
      </c>
      <c r="F231" s="172">
        <v>15454.54</v>
      </c>
      <c r="G231" s="172">
        <v>0</v>
      </c>
      <c r="H231" s="172">
        <v>0</v>
      </c>
      <c r="I231" s="172">
        <v>0</v>
      </c>
      <c r="J231" s="172">
        <v>0</v>
      </c>
      <c r="K231" s="172">
        <v>3245.46</v>
      </c>
      <c r="L231" s="172">
        <v>0</v>
      </c>
      <c r="M231" s="172">
        <v>0</v>
      </c>
      <c r="N231" s="173">
        <v>18700</v>
      </c>
    </row>
    <row r="232" spans="1:14">
      <c r="A232" s="149" t="s">
        <v>4215</v>
      </c>
      <c r="B232" s="147" t="s">
        <v>4235</v>
      </c>
      <c r="C232" s="147" t="s">
        <v>428</v>
      </c>
      <c r="D232" s="147" t="s">
        <v>123</v>
      </c>
      <c r="E232" s="147">
        <v>30206585</v>
      </c>
      <c r="F232" s="170">
        <v>8000</v>
      </c>
      <c r="G232" s="170">
        <v>0</v>
      </c>
      <c r="H232" s="170">
        <v>0</v>
      </c>
      <c r="I232" s="170">
        <v>0</v>
      </c>
      <c r="J232" s="170">
        <v>0</v>
      </c>
      <c r="K232" s="170">
        <v>1680</v>
      </c>
      <c r="L232" s="170">
        <v>0</v>
      </c>
      <c r="M232" s="170">
        <v>0</v>
      </c>
      <c r="N232" s="171">
        <v>9680</v>
      </c>
    </row>
    <row r="233" spans="1:14">
      <c r="A233" s="150" t="s">
        <v>4215</v>
      </c>
      <c r="B233" s="148" t="s">
        <v>4236</v>
      </c>
      <c r="C233" s="148" t="s">
        <v>379</v>
      </c>
      <c r="D233" s="148" t="s">
        <v>123</v>
      </c>
      <c r="E233" s="148">
        <v>14123802</v>
      </c>
      <c r="F233" s="172">
        <v>7851.24</v>
      </c>
      <c r="G233" s="172">
        <v>0</v>
      </c>
      <c r="H233" s="172">
        <v>0</v>
      </c>
      <c r="I233" s="172">
        <v>0</v>
      </c>
      <c r="J233" s="172">
        <v>0</v>
      </c>
      <c r="K233" s="172">
        <v>1648.76</v>
      </c>
      <c r="L233" s="172">
        <v>0</v>
      </c>
      <c r="M233" s="172">
        <v>0</v>
      </c>
      <c r="N233" s="173">
        <v>9500</v>
      </c>
    </row>
    <row r="234" spans="1:14">
      <c r="A234" s="149" t="s">
        <v>4237</v>
      </c>
      <c r="B234" s="147" t="s">
        <v>4238</v>
      </c>
      <c r="C234" s="147" t="s">
        <v>122</v>
      </c>
      <c r="D234" s="147" t="s">
        <v>123</v>
      </c>
      <c r="E234" s="147" t="s">
        <v>124</v>
      </c>
      <c r="F234" s="170">
        <v>8471.07</v>
      </c>
      <c r="G234" s="170">
        <v>0</v>
      </c>
      <c r="H234" s="170">
        <v>0</v>
      </c>
      <c r="I234" s="170">
        <v>0</v>
      </c>
      <c r="J234" s="170">
        <v>0</v>
      </c>
      <c r="K234" s="170">
        <v>1778.93</v>
      </c>
      <c r="L234" s="170">
        <v>0</v>
      </c>
      <c r="M234" s="170">
        <v>0</v>
      </c>
      <c r="N234" s="171">
        <v>10250</v>
      </c>
    </row>
    <row r="235" spans="1:14">
      <c r="A235" s="150" t="s">
        <v>4237</v>
      </c>
      <c r="B235" s="148" t="s">
        <v>4239</v>
      </c>
      <c r="C235" s="148" t="s">
        <v>122</v>
      </c>
      <c r="D235" s="148" t="s">
        <v>123</v>
      </c>
      <c r="E235" s="148" t="s">
        <v>124</v>
      </c>
      <c r="F235" s="172">
        <v>16942.150000000001</v>
      </c>
      <c r="G235" s="172">
        <v>0</v>
      </c>
      <c r="H235" s="172">
        <v>0</v>
      </c>
      <c r="I235" s="172">
        <v>0</v>
      </c>
      <c r="J235" s="172">
        <v>0</v>
      </c>
      <c r="K235" s="172">
        <v>3557.85</v>
      </c>
      <c r="L235" s="172">
        <v>0</v>
      </c>
      <c r="M235" s="172">
        <v>0</v>
      </c>
      <c r="N235" s="173">
        <v>20500</v>
      </c>
    </row>
    <row r="236" spans="1:14">
      <c r="A236" s="149" t="s">
        <v>4237</v>
      </c>
      <c r="B236" s="147" t="s">
        <v>4240</v>
      </c>
      <c r="C236" s="147" t="s">
        <v>122</v>
      </c>
      <c r="D236" s="147" t="s">
        <v>123</v>
      </c>
      <c r="E236" s="147" t="s">
        <v>124</v>
      </c>
      <c r="F236" s="170">
        <v>8264.4600000000009</v>
      </c>
      <c r="G236" s="170">
        <v>0</v>
      </c>
      <c r="H236" s="170">
        <v>0</v>
      </c>
      <c r="I236" s="170">
        <v>0</v>
      </c>
      <c r="J236" s="170">
        <v>0</v>
      </c>
      <c r="K236" s="170">
        <v>1735.54</v>
      </c>
      <c r="L236" s="170">
        <v>0</v>
      </c>
      <c r="M236" s="170">
        <v>0</v>
      </c>
      <c r="N236" s="171">
        <v>10000</v>
      </c>
    </row>
    <row r="237" spans="1:14">
      <c r="A237" s="150" t="s">
        <v>4237</v>
      </c>
      <c r="B237" s="148" t="s">
        <v>4241</v>
      </c>
      <c r="C237" s="148" t="s">
        <v>122</v>
      </c>
      <c r="D237" s="148" t="s">
        <v>123</v>
      </c>
      <c r="E237" s="148" t="s">
        <v>124</v>
      </c>
      <c r="F237" s="172">
        <v>9917.36</v>
      </c>
      <c r="G237" s="172">
        <v>0</v>
      </c>
      <c r="H237" s="172">
        <v>0</v>
      </c>
      <c r="I237" s="172">
        <v>0</v>
      </c>
      <c r="J237" s="172">
        <v>0</v>
      </c>
      <c r="K237" s="172">
        <v>2082.64</v>
      </c>
      <c r="L237" s="172">
        <v>0</v>
      </c>
      <c r="M237" s="172">
        <v>0</v>
      </c>
      <c r="N237" s="173">
        <v>12000</v>
      </c>
    </row>
    <row r="238" spans="1:14">
      <c r="A238" s="149" t="s">
        <v>4237</v>
      </c>
      <c r="B238" s="147" t="s">
        <v>4242</v>
      </c>
      <c r="C238" s="147" t="s">
        <v>122</v>
      </c>
      <c r="D238" s="147" t="s">
        <v>123</v>
      </c>
      <c r="E238" s="147" t="s">
        <v>124</v>
      </c>
      <c r="F238" s="170">
        <v>22314.05</v>
      </c>
      <c r="G238" s="170">
        <v>0</v>
      </c>
      <c r="H238" s="170">
        <v>0</v>
      </c>
      <c r="I238" s="170">
        <v>0</v>
      </c>
      <c r="J238" s="170">
        <v>0</v>
      </c>
      <c r="K238" s="170">
        <v>4685.95</v>
      </c>
      <c r="L238" s="170">
        <v>0</v>
      </c>
      <c r="M238" s="170">
        <v>0</v>
      </c>
      <c r="N238" s="171">
        <v>27000</v>
      </c>
    </row>
    <row r="239" spans="1:14">
      <c r="A239" s="150" t="s">
        <v>4237</v>
      </c>
      <c r="B239" s="148" t="s">
        <v>4243</v>
      </c>
      <c r="C239" s="148" t="s">
        <v>122</v>
      </c>
      <c r="D239" s="148" t="s">
        <v>123</v>
      </c>
      <c r="E239" s="148" t="s">
        <v>124</v>
      </c>
      <c r="F239" s="172">
        <v>16528.93</v>
      </c>
      <c r="G239" s="172">
        <v>0</v>
      </c>
      <c r="H239" s="172">
        <v>0</v>
      </c>
      <c r="I239" s="172">
        <v>0</v>
      </c>
      <c r="J239" s="172">
        <v>0</v>
      </c>
      <c r="K239" s="172">
        <v>3471.07</v>
      </c>
      <c r="L239" s="172">
        <v>0</v>
      </c>
      <c r="M239" s="172">
        <v>0</v>
      </c>
      <c r="N239" s="173">
        <v>20000</v>
      </c>
    </row>
    <row r="240" spans="1:14">
      <c r="A240" s="149" t="s">
        <v>4237</v>
      </c>
      <c r="B240" s="147" t="s">
        <v>4244</v>
      </c>
      <c r="C240" s="147" t="s">
        <v>1599</v>
      </c>
      <c r="D240" s="147" t="s">
        <v>123</v>
      </c>
      <c r="E240" s="147">
        <v>17814995</v>
      </c>
      <c r="F240" s="170">
        <v>10495.87</v>
      </c>
      <c r="G240" s="170">
        <v>0</v>
      </c>
      <c r="H240" s="170">
        <v>0</v>
      </c>
      <c r="I240" s="170">
        <v>0</v>
      </c>
      <c r="J240" s="170">
        <v>0</v>
      </c>
      <c r="K240" s="170">
        <v>2204.13</v>
      </c>
      <c r="L240" s="170">
        <v>0</v>
      </c>
      <c r="M240" s="170">
        <v>0</v>
      </c>
      <c r="N240" s="171">
        <v>12700</v>
      </c>
    </row>
    <row r="241" spans="1:14">
      <c r="A241" s="150" t="s">
        <v>4245</v>
      </c>
      <c r="B241" s="148" t="s">
        <v>4246</v>
      </c>
      <c r="C241" s="148" t="s">
        <v>122</v>
      </c>
      <c r="D241" s="148" t="s">
        <v>123</v>
      </c>
      <c r="E241" s="148" t="s">
        <v>124</v>
      </c>
      <c r="F241" s="172">
        <v>8264.4600000000009</v>
      </c>
      <c r="G241" s="172">
        <v>0</v>
      </c>
      <c r="H241" s="172">
        <v>0</v>
      </c>
      <c r="I241" s="172">
        <v>0</v>
      </c>
      <c r="J241" s="172">
        <v>0</v>
      </c>
      <c r="K241" s="172">
        <v>1735.54</v>
      </c>
      <c r="L241" s="172">
        <v>0</v>
      </c>
      <c r="M241" s="172">
        <v>0</v>
      </c>
      <c r="N241" s="173">
        <v>10000</v>
      </c>
    </row>
    <row r="242" spans="1:14">
      <c r="A242" s="149" t="s">
        <v>4245</v>
      </c>
      <c r="B242" s="147" t="s">
        <v>4247</v>
      </c>
      <c r="C242" s="147" t="s">
        <v>122</v>
      </c>
      <c r="D242" s="147" t="s">
        <v>123</v>
      </c>
      <c r="E242" s="147" t="s">
        <v>124</v>
      </c>
      <c r="F242" s="170">
        <v>10661.16</v>
      </c>
      <c r="G242" s="170">
        <v>0</v>
      </c>
      <c r="H242" s="170">
        <v>0</v>
      </c>
      <c r="I242" s="170">
        <v>0</v>
      </c>
      <c r="J242" s="170">
        <v>0</v>
      </c>
      <c r="K242" s="170">
        <v>2238.84</v>
      </c>
      <c r="L242" s="170">
        <v>0</v>
      </c>
      <c r="M242" s="170">
        <v>0</v>
      </c>
      <c r="N242" s="171">
        <v>12900</v>
      </c>
    </row>
    <row r="243" spans="1:14">
      <c r="A243" s="150" t="s">
        <v>4245</v>
      </c>
      <c r="B243" s="148" t="s">
        <v>4248</v>
      </c>
      <c r="C243" s="148" t="s">
        <v>122</v>
      </c>
      <c r="D243" s="148" t="s">
        <v>123</v>
      </c>
      <c r="E243" s="148" t="s">
        <v>124</v>
      </c>
      <c r="F243" s="172">
        <v>10330.58</v>
      </c>
      <c r="G243" s="172">
        <v>0</v>
      </c>
      <c r="H243" s="172">
        <v>0</v>
      </c>
      <c r="I243" s="172">
        <v>0</v>
      </c>
      <c r="J243" s="172">
        <v>0</v>
      </c>
      <c r="K243" s="172">
        <v>2169.42</v>
      </c>
      <c r="L243" s="172">
        <v>0</v>
      </c>
      <c r="M243" s="172">
        <v>0</v>
      </c>
      <c r="N243" s="173">
        <v>12500</v>
      </c>
    </row>
    <row r="244" spans="1:14">
      <c r="A244" s="149" t="s">
        <v>4245</v>
      </c>
      <c r="B244" s="147" t="s">
        <v>4249</v>
      </c>
      <c r="C244" s="147" t="s">
        <v>122</v>
      </c>
      <c r="D244" s="147" t="s">
        <v>123</v>
      </c>
      <c r="E244" s="147" t="s">
        <v>124</v>
      </c>
      <c r="F244" s="170">
        <v>6611.57</v>
      </c>
      <c r="G244" s="170">
        <v>0</v>
      </c>
      <c r="H244" s="170">
        <v>0</v>
      </c>
      <c r="I244" s="170">
        <v>0</v>
      </c>
      <c r="J244" s="170">
        <v>0</v>
      </c>
      <c r="K244" s="170">
        <v>1388.43</v>
      </c>
      <c r="L244" s="170">
        <v>0</v>
      </c>
      <c r="M244" s="170">
        <v>0</v>
      </c>
      <c r="N244" s="171">
        <v>8000</v>
      </c>
    </row>
    <row r="245" spans="1:14">
      <c r="A245" s="150" t="s">
        <v>4245</v>
      </c>
      <c r="B245" s="148" t="s">
        <v>4250</v>
      </c>
      <c r="C245" s="148" t="s">
        <v>122</v>
      </c>
      <c r="D245" s="148" t="s">
        <v>123</v>
      </c>
      <c r="E245" s="148" t="s">
        <v>124</v>
      </c>
      <c r="F245" s="172">
        <v>38842.97</v>
      </c>
      <c r="G245" s="172">
        <v>0</v>
      </c>
      <c r="H245" s="172">
        <v>0</v>
      </c>
      <c r="I245" s="172">
        <v>0</v>
      </c>
      <c r="J245" s="172">
        <v>0</v>
      </c>
      <c r="K245" s="172">
        <v>8157.03</v>
      </c>
      <c r="L245" s="172">
        <v>0</v>
      </c>
      <c r="M245" s="172">
        <v>0</v>
      </c>
      <c r="N245" s="173">
        <v>47000</v>
      </c>
    </row>
    <row r="246" spans="1:14">
      <c r="A246" s="149" t="s">
        <v>4245</v>
      </c>
      <c r="B246" s="147" t="s">
        <v>4251</v>
      </c>
      <c r="C246" s="147" t="s">
        <v>122</v>
      </c>
      <c r="D246" s="147" t="s">
        <v>123</v>
      </c>
      <c r="E246" s="147" t="s">
        <v>124</v>
      </c>
      <c r="F246" s="170">
        <v>10330.58</v>
      </c>
      <c r="G246" s="170">
        <v>0</v>
      </c>
      <c r="H246" s="170">
        <v>0</v>
      </c>
      <c r="I246" s="170">
        <v>0</v>
      </c>
      <c r="J246" s="170">
        <v>0</v>
      </c>
      <c r="K246" s="170">
        <v>2169.42</v>
      </c>
      <c r="L246" s="170">
        <v>0</v>
      </c>
      <c r="M246" s="170">
        <v>0</v>
      </c>
      <c r="N246" s="171">
        <v>12500</v>
      </c>
    </row>
    <row r="247" spans="1:14">
      <c r="A247" s="150" t="s">
        <v>4245</v>
      </c>
      <c r="B247" s="148" t="s">
        <v>4252</v>
      </c>
      <c r="C247" s="148" t="s">
        <v>122</v>
      </c>
      <c r="D247" s="148" t="s">
        <v>123</v>
      </c>
      <c r="E247" s="148" t="s">
        <v>124</v>
      </c>
      <c r="F247" s="172">
        <v>33884.300000000003</v>
      </c>
      <c r="G247" s="172">
        <v>0</v>
      </c>
      <c r="H247" s="172">
        <v>0</v>
      </c>
      <c r="I247" s="172">
        <v>0</v>
      </c>
      <c r="J247" s="172">
        <v>0</v>
      </c>
      <c r="K247" s="172">
        <v>7115.7</v>
      </c>
      <c r="L247" s="172">
        <v>0</v>
      </c>
      <c r="M247" s="172">
        <v>0</v>
      </c>
      <c r="N247" s="173">
        <v>41000</v>
      </c>
    </row>
    <row r="248" spans="1:14">
      <c r="A248" s="149" t="s">
        <v>4245</v>
      </c>
      <c r="B248" s="147" t="s">
        <v>4253</v>
      </c>
      <c r="C248" s="147" t="s">
        <v>122</v>
      </c>
      <c r="D248" s="147" t="s">
        <v>123</v>
      </c>
      <c r="E248" s="147" t="s">
        <v>124</v>
      </c>
      <c r="F248" s="170">
        <v>12396.69</v>
      </c>
      <c r="G248" s="170">
        <v>0</v>
      </c>
      <c r="H248" s="170">
        <v>0</v>
      </c>
      <c r="I248" s="170">
        <v>0</v>
      </c>
      <c r="J248" s="170">
        <v>0</v>
      </c>
      <c r="K248" s="170">
        <v>2603.31</v>
      </c>
      <c r="L248" s="170">
        <v>0</v>
      </c>
      <c r="M248" s="170">
        <v>0</v>
      </c>
      <c r="N248" s="171">
        <v>15000</v>
      </c>
    </row>
    <row r="249" spans="1:14">
      <c r="A249" s="150" t="s">
        <v>4245</v>
      </c>
      <c r="B249" s="148" t="s">
        <v>4254</v>
      </c>
      <c r="C249" s="148" t="s">
        <v>1767</v>
      </c>
      <c r="D249" s="148" t="s">
        <v>123</v>
      </c>
      <c r="E249" s="148" t="s">
        <v>124</v>
      </c>
      <c r="F249" s="172">
        <v>21074.38</v>
      </c>
      <c r="G249" s="172">
        <v>0</v>
      </c>
      <c r="H249" s="172">
        <v>0</v>
      </c>
      <c r="I249" s="172">
        <v>0</v>
      </c>
      <c r="J249" s="172">
        <v>0</v>
      </c>
      <c r="K249" s="172">
        <v>4425.62</v>
      </c>
      <c r="L249" s="172">
        <v>0</v>
      </c>
      <c r="M249" s="172">
        <v>0</v>
      </c>
      <c r="N249" s="173">
        <v>25500</v>
      </c>
    </row>
    <row r="250" spans="1:14" ht="15.75" thickBot="1">
      <c r="A250" s="149" t="s">
        <v>4245</v>
      </c>
      <c r="B250" s="147" t="s">
        <v>4255</v>
      </c>
      <c r="C250" s="147" t="s">
        <v>1547</v>
      </c>
      <c r="D250" s="147" t="s">
        <v>123</v>
      </c>
      <c r="E250" s="147">
        <v>14547747</v>
      </c>
      <c r="F250" s="170">
        <v>8264.4699999999993</v>
      </c>
      <c r="G250" s="170">
        <v>0</v>
      </c>
      <c r="H250" s="170">
        <v>0</v>
      </c>
      <c r="I250" s="170">
        <v>0</v>
      </c>
      <c r="J250" s="170">
        <v>0</v>
      </c>
      <c r="K250" s="170">
        <v>1735.53</v>
      </c>
      <c r="L250" s="170">
        <v>0</v>
      </c>
      <c r="M250" s="170">
        <v>0</v>
      </c>
      <c r="N250" s="171">
        <v>10000</v>
      </c>
    </row>
    <row r="251" spans="1:14" ht="15.75" thickTop="1">
      <c r="A251" s="153"/>
      <c r="B251" s="154"/>
      <c r="C251" s="154"/>
      <c r="D251" s="154"/>
      <c r="E251" s="154"/>
      <c r="F251" s="174">
        <v>5615479.8200000031</v>
      </c>
      <c r="G251" s="174">
        <v>0</v>
      </c>
      <c r="H251" s="174">
        <v>0</v>
      </c>
      <c r="I251" s="174"/>
      <c r="J251" s="174"/>
      <c r="K251" s="174">
        <v>1179250.8000000003</v>
      </c>
      <c r="L251" s="174"/>
      <c r="M251" s="174"/>
      <c r="N251" s="175">
        <v>6794730.6200000001</v>
      </c>
    </row>
    <row r="253" spans="1:14" ht="15.75" thickBot="1">
      <c r="A253" s="151" t="s">
        <v>0</v>
      </c>
      <c r="B253" s="152" t="s">
        <v>1</v>
      </c>
      <c r="C253" s="152" t="s">
        <v>2</v>
      </c>
      <c r="D253" s="152" t="s">
        <v>3</v>
      </c>
      <c r="E253" s="152" t="s">
        <v>4</v>
      </c>
      <c r="F253" s="168" t="s">
        <v>5</v>
      </c>
      <c r="G253" s="168" t="s">
        <v>6</v>
      </c>
      <c r="H253" s="168" t="s">
        <v>7</v>
      </c>
      <c r="I253" s="168" t="s">
        <v>8</v>
      </c>
      <c r="J253" s="168" t="s">
        <v>9</v>
      </c>
      <c r="K253" s="168" t="s">
        <v>10</v>
      </c>
      <c r="L253" s="168" t="s">
        <v>11</v>
      </c>
      <c r="M253" s="168" t="s">
        <v>12</v>
      </c>
      <c r="N253" s="169" t="s">
        <v>13</v>
      </c>
    </row>
    <row r="254" spans="1:14">
      <c r="A254" s="149" t="s">
        <v>3965</v>
      </c>
      <c r="B254" s="147" t="s">
        <v>3984</v>
      </c>
      <c r="C254" s="147" t="s">
        <v>16</v>
      </c>
      <c r="D254" s="147" t="s">
        <v>17</v>
      </c>
      <c r="E254" s="147">
        <v>30522428163</v>
      </c>
      <c r="F254" s="170">
        <v>13875619.85</v>
      </c>
      <c r="G254" s="170">
        <v>0</v>
      </c>
      <c r="H254" s="170">
        <v>0</v>
      </c>
      <c r="I254" s="170">
        <v>0</v>
      </c>
      <c r="J254" s="170">
        <v>0</v>
      </c>
      <c r="K254" s="170">
        <v>2913880.16</v>
      </c>
      <c r="L254" s="170">
        <v>0</v>
      </c>
      <c r="M254" s="170">
        <v>0</v>
      </c>
      <c r="N254" s="171">
        <v>16789500.010000002</v>
      </c>
    </row>
    <row r="255" spans="1:14">
      <c r="A255" s="150" t="s">
        <v>3965</v>
      </c>
      <c r="B255" s="148" t="s">
        <v>3985</v>
      </c>
      <c r="C255" s="148" t="s">
        <v>16</v>
      </c>
      <c r="D255" s="148" t="s">
        <v>17</v>
      </c>
      <c r="E255" s="148">
        <v>30522428163</v>
      </c>
      <c r="F255" s="172">
        <v>503782.82</v>
      </c>
      <c r="G255" s="172">
        <v>0</v>
      </c>
      <c r="H255" s="172">
        <v>0</v>
      </c>
      <c r="I255" s="172">
        <v>0</v>
      </c>
      <c r="J255" s="172">
        <v>0</v>
      </c>
      <c r="K255" s="172">
        <v>105794.39</v>
      </c>
      <c r="L255" s="172">
        <v>0</v>
      </c>
      <c r="M255" s="172">
        <v>0</v>
      </c>
      <c r="N255" s="173">
        <v>609577.21</v>
      </c>
    </row>
    <row r="256" spans="1:14">
      <c r="A256" s="149" t="s">
        <v>3965</v>
      </c>
      <c r="B256" s="147" t="s">
        <v>3986</v>
      </c>
      <c r="C256" s="147" t="s">
        <v>16</v>
      </c>
      <c r="D256" s="147" t="s">
        <v>17</v>
      </c>
      <c r="E256" s="147">
        <v>30522428163</v>
      </c>
      <c r="F256" s="170">
        <v>53554.080000000002</v>
      </c>
      <c r="G256" s="170">
        <v>0</v>
      </c>
      <c r="H256" s="170">
        <v>0</v>
      </c>
      <c r="I256" s="170">
        <v>0</v>
      </c>
      <c r="J256" s="170">
        <v>0</v>
      </c>
      <c r="K256" s="170">
        <v>11246.36</v>
      </c>
      <c r="L256" s="170">
        <v>0</v>
      </c>
      <c r="M256" s="170">
        <v>0</v>
      </c>
      <c r="N256" s="171">
        <v>64800.44</v>
      </c>
    </row>
    <row r="257" spans="1:14">
      <c r="A257" s="150" t="s">
        <v>3965</v>
      </c>
      <c r="B257" s="148" t="s">
        <v>3987</v>
      </c>
      <c r="C257" s="148" t="s">
        <v>16</v>
      </c>
      <c r="D257" s="148" t="s">
        <v>17</v>
      </c>
      <c r="E257" s="148">
        <v>30522428163</v>
      </c>
      <c r="F257" s="172">
        <v>312083.68</v>
      </c>
      <c r="G257" s="172">
        <v>0</v>
      </c>
      <c r="H257" s="172">
        <v>0</v>
      </c>
      <c r="I257" s="172">
        <v>0</v>
      </c>
      <c r="J257" s="172">
        <v>0</v>
      </c>
      <c r="K257" s="172">
        <v>65537.570000000007</v>
      </c>
      <c r="L257" s="172">
        <v>0</v>
      </c>
      <c r="M257" s="172">
        <v>0</v>
      </c>
      <c r="N257" s="173">
        <v>377621.25</v>
      </c>
    </row>
    <row r="258" spans="1:14">
      <c r="A258" s="149" t="s">
        <v>3965</v>
      </c>
      <c r="B258" s="147" t="s">
        <v>3988</v>
      </c>
      <c r="C258" s="147" t="s">
        <v>16</v>
      </c>
      <c r="D258" s="147" t="s">
        <v>17</v>
      </c>
      <c r="E258" s="147">
        <v>30522428163</v>
      </c>
      <c r="F258" s="170">
        <v>72314.05</v>
      </c>
      <c r="G258" s="170">
        <v>0</v>
      </c>
      <c r="H258" s="170">
        <v>0</v>
      </c>
      <c r="I258" s="170">
        <v>0</v>
      </c>
      <c r="J258" s="170">
        <v>0</v>
      </c>
      <c r="K258" s="170">
        <v>15185.95</v>
      </c>
      <c r="L258" s="170">
        <v>0</v>
      </c>
      <c r="M258" s="170">
        <v>0</v>
      </c>
      <c r="N258" s="171">
        <v>87500</v>
      </c>
    </row>
    <row r="259" spans="1:14">
      <c r="A259" s="150" t="s">
        <v>3990</v>
      </c>
      <c r="B259" s="148" t="s">
        <v>3997</v>
      </c>
      <c r="C259" s="148" t="s">
        <v>3551</v>
      </c>
      <c r="D259" s="148" t="s">
        <v>17</v>
      </c>
      <c r="E259" s="148">
        <v>30712529721</v>
      </c>
      <c r="F259" s="172">
        <v>-14297.52</v>
      </c>
      <c r="G259" s="172">
        <v>0</v>
      </c>
      <c r="H259" s="172">
        <v>0</v>
      </c>
      <c r="I259" s="172">
        <v>0</v>
      </c>
      <c r="J259" s="172">
        <v>0</v>
      </c>
      <c r="K259" s="172">
        <v>-3002.48</v>
      </c>
      <c r="L259" s="172">
        <v>0</v>
      </c>
      <c r="M259" s="172">
        <v>0</v>
      </c>
      <c r="N259" s="173">
        <v>-17300</v>
      </c>
    </row>
    <row r="260" spans="1:14">
      <c r="A260" s="149" t="s">
        <v>3990</v>
      </c>
      <c r="B260" s="147" t="s">
        <v>3998</v>
      </c>
      <c r="C260" s="147" t="s">
        <v>57</v>
      </c>
      <c r="D260" s="147" t="s">
        <v>17</v>
      </c>
      <c r="E260" s="147">
        <v>30715186655</v>
      </c>
      <c r="F260" s="170">
        <v>127804.96</v>
      </c>
      <c r="G260" s="170">
        <v>0</v>
      </c>
      <c r="H260" s="170">
        <v>0</v>
      </c>
      <c r="I260" s="170">
        <v>0</v>
      </c>
      <c r="J260" s="170">
        <v>0</v>
      </c>
      <c r="K260" s="170">
        <v>26839.040000000001</v>
      </c>
      <c r="L260" s="170">
        <v>0</v>
      </c>
      <c r="M260" s="170">
        <v>0</v>
      </c>
      <c r="N260" s="171">
        <v>154644</v>
      </c>
    </row>
    <row r="261" spans="1:14">
      <c r="A261" s="150" t="s">
        <v>3990</v>
      </c>
      <c r="B261" s="148" t="s">
        <v>3999</v>
      </c>
      <c r="C261" s="148" t="s">
        <v>57</v>
      </c>
      <c r="D261" s="148" t="s">
        <v>17</v>
      </c>
      <c r="E261" s="148">
        <v>30715186655</v>
      </c>
      <c r="F261" s="172">
        <v>6439.67</v>
      </c>
      <c r="G261" s="172">
        <v>0</v>
      </c>
      <c r="H261" s="172">
        <v>0</v>
      </c>
      <c r="I261" s="172">
        <v>0</v>
      </c>
      <c r="J261" s="172">
        <v>0</v>
      </c>
      <c r="K261" s="172">
        <v>1352.33</v>
      </c>
      <c r="L261" s="172">
        <v>0</v>
      </c>
      <c r="M261" s="172">
        <v>0</v>
      </c>
      <c r="N261" s="173">
        <v>7792</v>
      </c>
    </row>
    <row r="262" spans="1:14">
      <c r="A262" s="149" t="s">
        <v>3990</v>
      </c>
      <c r="B262" s="147" t="s">
        <v>4000</v>
      </c>
      <c r="C262" s="147" t="s">
        <v>66</v>
      </c>
      <c r="D262" s="147" t="s">
        <v>17</v>
      </c>
      <c r="E262" s="147">
        <v>30710961790</v>
      </c>
      <c r="F262" s="170">
        <v>47686.78</v>
      </c>
      <c r="G262" s="170">
        <v>0</v>
      </c>
      <c r="H262" s="170">
        <v>0</v>
      </c>
      <c r="I262" s="170">
        <v>0</v>
      </c>
      <c r="J262" s="170">
        <v>0</v>
      </c>
      <c r="K262" s="170">
        <v>10014.219999999999</v>
      </c>
      <c r="L262" s="170">
        <v>0</v>
      </c>
      <c r="M262" s="170">
        <v>0</v>
      </c>
      <c r="N262" s="171">
        <v>57701</v>
      </c>
    </row>
    <row r="263" spans="1:14">
      <c r="A263" s="150" t="s">
        <v>3990</v>
      </c>
      <c r="B263" s="148" t="s">
        <v>4001</v>
      </c>
      <c r="C263" s="148" t="s">
        <v>62</v>
      </c>
      <c r="D263" s="148" t="s">
        <v>17</v>
      </c>
      <c r="E263" s="148">
        <v>30713669004</v>
      </c>
      <c r="F263" s="172">
        <v>14874.38</v>
      </c>
      <c r="G263" s="172">
        <v>0</v>
      </c>
      <c r="H263" s="172">
        <v>0</v>
      </c>
      <c r="I263" s="172">
        <v>0</v>
      </c>
      <c r="J263" s="172">
        <v>0</v>
      </c>
      <c r="K263" s="172">
        <v>3123.62</v>
      </c>
      <c r="L263" s="172">
        <v>0</v>
      </c>
      <c r="M263" s="172">
        <v>0</v>
      </c>
      <c r="N263" s="173">
        <v>17998</v>
      </c>
    </row>
    <row r="264" spans="1:14">
      <c r="A264" s="149" t="s">
        <v>3990</v>
      </c>
      <c r="B264" s="147" t="s">
        <v>4002</v>
      </c>
      <c r="C264" s="147" t="s">
        <v>60</v>
      </c>
      <c r="D264" s="147" t="s">
        <v>17</v>
      </c>
      <c r="E264" s="147">
        <v>30710538014</v>
      </c>
      <c r="F264" s="170">
        <v>61880.99</v>
      </c>
      <c r="G264" s="170">
        <v>0</v>
      </c>
      <c r="H264" s="170">
        <v>0</v>
      </c>
      <c r="I264" s="170">
        <v>0</v>
      </c>
      <c r="J264" s="170">
        <v>0</v>
      </c>
      <c r="K264" s="170">
        <v>12995.01</v>
      </c>
      <c r="L264" s="170">
        <v>0</v>
      </c>
      <c r="M264" s="170">
        <v>0</v>
      </c>
      <c r="N264" s="171">
        <v>74876</v>
      </c>
    </row>
    <row r="265" spans="1:14">
      <c r="A265" s="150" t="s">
        <v>3990</v>
      </c>
      <c r="B265" s="148" t="s">
        <v>4003</v>
      </c>
      <c r="C265" s="148" t="s">
        <v>74</v>
      </c>
      <c r="D265" s="148" t="s">
        <v>17</v>
      </c>
      <c r="E265" s="148">
        <v>30707612971</v>
      </c>
      <c r="F265" s="172">
        <v>24459.5</v>
      </c>
      <c r="G265" s="172">
        <v>0</v>
      </c>
      <c r="H265" s="172">
        <v>0</v>
      </c>
      <c r="I265" s="172">
        <v>0</v>
      </c>
      <c r="J265" s="172">
        <v>0</v>
      </c>
      <c r="K265" s="172">
        <v>5136.5</v>
      </c>
      <c r="L265" s="172">
        <v>0</v>
      </c>
      <c r="M265" s="172">
        <v>0</v>
      </c>
      <c r="N265" s="173">
        <v>29596</v>
      </c>
    </row>
    <row r="266" spans="1:14">
      <c r="A266" s="149" t="s">
        <v>3990</v>
      </c>
      <c r="B266" s="147" t="s">
        <v>4004</v>
      </c>
      <c r="C266" s="147" t="s">
        <v>1872</v>
      </c>
      <c r="D266" s="147" t="s">
        <v>17</v>
      </c>
      <c r="E266" s="147">
        <v>30606274161</v>
      </c>
      <c r="F266" s="170">
        <v>71900.83</v>
      </c>
      <c r="G266" s="170">
        <v>0</v>
      </c>
      <c r="H266" s="170">
        <v>0</v>
      </c>
      <c r="I266" s="170">
        <v>0</v>
      </c>
      <c r="J266" s="170">
        <v>0</v>
      </c>
      <c r="K266" s="170">
        <v>15099.17</v>
      </c>
      <c r="L266" s="170">
        <v>0</v>
      </c>
      <c r="M266" s="170">
        <v>0</v>
      </c>
      <c r="N266" s="171">
        <v>87000</v>
      </c>
    </row>
    <row r="267" spans="1:14">
      <c r="A267" s="150" t="s">
        <v>3990</v>
      </c>
      <c r="B267" s="148" t="s">
        <v>4005</v>
      </c>
      <c r="C267" s="148" t="s">
        <v>3551</v>
      </c>
      <c r="D267" s="148" t="s">
        <v>17</v>
      </c>
      <c r="E267" s="148">
        <v>30712529721</v>
      </c>
      <c r="F267" s="172">
        <v>14297.52</v>
      </c>
      <c r="G267" s="172">
        <v>0</v>
      </c>
      <c r="H267" s="172">
        <v>0</v>
      </c>
      <c r="I267" s="172">
        <v>0</v>
      </c>
      <c r="J267" s="172">
        <v>0</v>
      </c>
      <c r="K267" s="172">
        <v>3002.48</v>
      </c>
      <c r="L267" s="172">
        <v>0</v>
      </c>
      <c r="M267" s="172">
        <v>0</v>
      </c>
      <c r="N267" s="173">
        <v>17300</v>
      </c>
    </row>
    <row r="268" spans="1:14">
      <c r="A268" s="149" t="s">
        <v>3990</v>
      </c>
      <c r="B268" s="147" t="s">
        <v>4006</v>
      </c>
      <c r="C268" s="147" t="s">
        <v>3551</v>
      </c>
      <c r="D268" s="147" t="s">
        <v>17</v>
      </c>
      <c r="E268" s="147">
        <v>30712529721</v>
      </c>
      <c r="F268" s="170">
        <v>14297.52</v>
      </c>
      <c r="G268" s="170">
        <v>0</v>
      </c>
      <c r="H268" s="170">
        <v>0</v>
      </c>
      <c r="I268" s="170">
        <v>0</v>
      </c>
      <c r="J268" s="170">
        <v>0</v>
      </c>
      <c r="K268" s="170">
        <v>3002.48</v>
      </c>
      <c r="L268" s="170">
        <v>0</v>
      </c>
      <c r="M268" s="170">
        <v>0</v>
      </c>
      <c r="N268" s="171">
        <v>17300</v>
      </c>
    </row>
    <row r="269" spans="1:14">
      <c r="A269" s="150" t="s">
        <v>3990</v>
      </c>
      <c r="B269" s="148" t="s">
        <v>4007</v>
      </c>
      <c r="C269" s="148" t="s">
        <v>64</v>
      </c>
      <c r="D269" s="148" t="s">
        <v>17</v>
      </c>
      <c r="E269" s="148">
        <v>30546771314</v>
      </c>
      <c r="F269" s="172">
        <v>6980.17</v>
      </c>
      <c r="G269" s="172">
        <v>0</v>
      </c>
      <c r="H269" s="172">
        <v>0</v>
      </c>
      <c r="I269" s="172">
        <v>0</v>
      </c>
      <c r="J269" s="172">
        <v>0</v>
      </c>
      <c r="K269" s="172">
        <v>1465.84</v>
      </c>
      <c r="L269" s="172">
        <v>0</v>
      </c>
      <c r="M269" s="172">
        <v>0</v>
      </c>
      <c r="N269" s="173">
        <v>8446.01</v>
      </c>
    </row>
    <row r="270" spans="1:14">
      <c r="A270" s="149" t="s">
        <v>4019</v>
      </c>
      <c r="B270" s="147" t="s">
        <v>4033</v>
      </c>
      <c r="C270" s="147" t="s">
        <v>16</v>
      </c>
      <c r="D270" s="147" t="s">
        <v>17</v>
      </c>
      <c r="E270" s="147">
        <v>30522428163</v>
      </c>
      <c r="F270" s="170">
        <v>-503782.82</v>
      </c>
      <c r="G270" s="170">
        <v>0</v>
      </c>
      <c r="H270" s="170">
        <v>0</v>
      </c>
      <c r="I270" s="170">
        <v>0</v>
      </c>
      <c r="J270" s="170">
        <v>0</v>
      </c>
      <c r="K270" s="170">
        <v>-105794.39</v>
      </c>
      <c r="L270" s="170">
        <v>0</v>
      </c>
      <c r="M270" s="170">
        <v>0</v>
      </c>
      <c r="N270" s="171">
        <v>-609577.21</v>
      </c>
    </row>
    <row r="271" spans="1:14">
      <c r="A271" s="150" t="s">
        <v>4019</v>
      </c>
      <c r="B271" s="148" t="s">
        <v>4034</v>
      </c>
      <c r="C271" s="148" t="s">
        <v>16</v>
      </c>
      <c r="D271" s="148" t="s">
        <v>17</v>
      </c>
      <c r="E271" s="148">
        <v>30522428163</v>
      </c>
      <c r="F271" s="172">
        <v>503782.82</v>
      </c>
      <c r="G271" s="172">
        <v>0</v>
      </c>
      <c r="H271" s="172">
        <v>0</v>
      </c>
      <c r="I271" s="172">
        <v>0</v>
      </c>
      <c r="J271" s="172">
        <v>0</v>
      </c>
      <c r="K271" s="172">
        <v>105794.39</v>
      </c>
      <c r="L271" s="172">
        <v>0</v>
      </c>
      <c r="M271" s="172">
        <v>0</v>
      </c>
      <c r="N271" s="173">
        <v>609577.21</v>
      </c>
    </row>
    <row r="272" spans="1:14">
      <c r="A272" s="149" t="s">
        <v>4019</v>
      </c>
      <c r="B272" s="147" t="s">
        <v>4035</v>
      </c>
      <c r="C272" s="147" t="s">
        <v>16</v>
      </c>
      <c r="D272" s="147" t="s">
        <v>17</v>
      </c>
      <c r="E272" s="147">
        <v>30522428163</v>
      </c>
      <c r="F272" s="170">
        <v>461562.3</v>
      </c>
      <c r="G272" s="170">
        <v>0</v>
      </c>
      <c r="H272" s="170">
        <v>0</v>
      </c>
      <c r="I272" s="170">
        <v>0</v>
      </c>
      <c r="J272" s="170">
        <v>0</v>
      </c>
      <c r="K272" s="170">
        <v>96928.08</v>
      </c>
      <c r="L272" s="170">
        <v>0</v>
      </c>
      <c r="M272" s="170">
        <v>0</v>
      </c>
      <c r="N272" s="171">
        <v>558490.38</v>
      </c>
    </row>
    <row r="273" spans="1:14">
      <c r="A273" s="150" t="s">
        <v>4019</v>
      </c>
      <c r="B273" s="148" t="s">
        <v>4036</v>
      </c>
      <c r="C273" s="148" t="s">
        <v>16</v>
      </c>
      <c r="D273" s="148" t="s">
        <v>17</v>
      </c>
      <c r="E273" s="148">
        <v>30522428163</v>
      </c>
      <c r="F273" s="172">
        <v>3627380.71</v>
      </c>
      <c r="G273" s="172">
        <v>0</v>
      </c>
      <c r="H273" s="172">
        <v>0</v>
      </c>
      <c r="I273" s="172">
        <v>0</v>
      </c>
      <c r="J273" s="172">
        <v>0</v>
      </c>
      <c r="K273" s="172">
        <v>761749.95</v>
      </c>
      <c r="L273" s="172">
        <v>0</v>
      </c>
      <c r="M273" s="172">
        <v>0</v>
      </c>
      <c r="N273" s="173">
        <v>4389130.66</v>
      </c>
    </row>
    <row r="274" spans="1:14">
      <c r="A274" s="149" t="s">
        <v>4052</v>
      </c>
      <c r="B274" s="147" t="s">
        <v>4065</v>
      </c>
      <c r="C274" s="147" t="s">
        <v>16</v>
      </c>
      <c r="D274" s="147" t="s">
        <v>17</v>
      </c>
      <c r="E274" s="147">
        <v>30522428163</v>
      </c>
      <c r="F274" s="170">
        <v>12625619.83</v>
      </c>
      <c r="G274" s="170">
        <v>0</v>
      </c>
      <c r="H274" s="170">
        <v>0</v>
      </c>
      <c r="I274" s="170">
        <v>0</v>
      </c>
      <c r="J274" s="170">
        <v>0</v>
      </c>
      <c r="K274" s="170">
        <v>2651380.17</v>
      </c>
      <c r="L274" s="170">
        <v>0</v>
      </c>
      <c r="M274" s="170">
        <v>0</v>
      </c>
      <c r="N274" s="171">
        <v>15277000</v>
      </c>
    </row>
    <row r="275" spans="1:14">
      <c r="A275" s="150" t="s">
        <v>4052</v>
      </c>
      <c r="B275" s="148" t="s">
        <v>4066</v>
      </c>
      <c r="C275" s="148" t="s">
        <v>72</v>
      </c>
      <c r="D275" s="148" t="s">
        <v>17</v>
      </c>
      <c r="E275" s="148">
        <v>30657418877</v>
      </c>
      <c r="F275" s="172">
        <v>6859.5</v>
      </c>
      <c r="G275" s="172">
        <v>0</v>
      </c>
      <c r="H275" s="172">
        <v>0</v>
      </c>
      <c r="I275" s="172">
        <v>0</v>
      </c>
      <c r="J275" s="172">
        <v>0</v>
      </c>
      <c r="K275" s="172">
        <v>1440.49</v>
      </c>
      <c r="L275" s="172">
        <v>0</v>
      </c>
      <c r="M275" s="172">
        <v>0</v>
      </c>
      <c r="N275" s="173">
        <v>8299.99</v>
      </c>
    </row>
    <row r="276" spans="1:14">
      <c r="A276" s="149" t="s">
        <v>4052</v>
      </c>
      <c r="B276" s="147" t="s">
        <v>4067</v>
      </c>
      <c r="C276" s="147" t="s">
        <v>70</v>
      </c>
      <c r="D276" s="147" t="s">
        <v>17</v>
      </c>
      <c r="E276" s="147">
        <v>30645337979</v>
      </c>
      <c r="F276" s="170">
        <v>19659.5</v>
      </c>
      <c r="G276" s="170">
        <v>0</v>
      </c>
      <c r="H276" s="170">
        <v>0</v>
      </c>
      <c r="I276" s="170">
        <v>0</v>
      </c>
      <c r="J276" s="170">
        <v>0</v>
      </c>
      <c r="K276" s="170">
        <v>4128.5</v>
      </c>
      <c r="L276" s="170">
        <v>0</v>
      </c>
      <c r="M276" s="170">
        <v>0</v>
      </c>
      <c r="N276" s="171">
        <v>23788</v>
      </c>
    </row>
    <row r="277" spans="1:14">
      <c r="A277" s="150" t="s">
        <v>4052</v>
      </c>
      <c r="B277" s="148" t="s">
        <v>4068</v>
      </c>
      <c r="C277" s="148" t="s">
        <v>68</v>
      </c>
      <c r="D277" s="148" t="s">
        <v>17</v>
      </c>
      <c r="E277" s="148">
        <v>30711244383</v>
      </c>
      <c r="F277" s="172">
        <v>10082.64</v>
      </c>
      <c r="G277" s="172">
        <v>0</v>
      </c>
      <c r="H277" s="172">
        <v>0</v>
      </c>
      <c r="I277" s="172">
        <v>0</v>
      </c>
      <c r="J277" s="172">
        <v>0</v>
      </c>
      <c r="K277" s="172">
        <v>2117.35</v>
      </c>
      <c r="L277" s="172">
        <v>0</v>
      </c>
      <c r="M277" s="172">
        <v>0</v>
      </c>
      <c r="N277" s="173">
        <v>12199.99</v>
      </c>
    </row>
    <row r="278" spans="1:14">
      <c r="A278" s="149" t="s">
        <v>4052</v>
      </c>
      <c r="B278" s="147" t="s">
        <v>4069</v>
      </c>
      <c r="C278" s="147" t="s">
        <v>84</v>
      </c>
      <c r="D278" s="147" t="s">
        <v>17</v>
      </c>
      <c r="E278" s="147">
        <v>30709016012</v>
      </c>
      <c r="F278" s="170">
        <v>33996.69</v>
      </c>
      <c r="G278" s="170">
        <v>0</v>
      </c>
      <c r="H278" s="170">
        <v>0</v>
      </c>
      <c r="I278" s="170">
        <v>0</v>
      </c>
      <c r="J278" s="170">
        <v>0</v>
      </c>
      <c r="K278" s="170">
        <v>7139.3</v>
      </c>
      <c r="L278" s="170">
        <v>0</v>
      </c>
      <c r="M278" s="170">
        <v>0</v>
      </c>
      <c r="N278" s="171">
        <v>41135.99</v>
      </c>
    </row>
    <row r="279" spans="1:14">
      <c r="A279" s="150" t="s">
        <v>4052</v>
      </c>
      <c r="B279" s="148" t="s">
        <v>4070</v>
      </c>
      <c r="C279" s="148" t="s">
        <v>84</v>
      </c>
      <c r="D279" s="148" t="s">
        <v>17</v>
      </c>
      <c r="E279" s="148">
        <v>30709016012</v>
      </c>
      <c r="F279" s="172">
        <v>92727.29</v>
      </c>
      <c r="G279" s="172">
        <v>0</v>
      </c>
      <c r="H279" s="172">
        <v>0</v>
      </c>
      <c r="I279" s="172">
        <v>0</v>
      </c>
      <c r="J279" s="172">
        <v>0</v>
      </c>
      <c r="K279" s="172">
        <v>19472.73</v>
      </c>
      <c r="L279" s="172">
        <v>0</v>
      </c>
      <c r="M279" s="172">
        <v>0</v>
      </c>
      <c r="N279" s="173">
        <v>112200.02</v>
      </c>
    </row>
    <row r="280" spans="1:14">
      <c r="A280" s="149" t="s">
        <v>4071</v>
      </c>
      <c r="B280" s="147" t="s">
        <v>4077</v>
      </c>
      <c r="C280" s="147" t="s">
        <v>33</v>
      </c>
      <c r="D280" s="147" t="s">
        <v>17</v>
      </c>
      <c r="E280" s="147">
        <v>30683032227</v>
      </c>
      <c r="F280" s="170">
        <v>606398.01</v>
      </c>
      <c r="G280" s="170">
        <v>0</v>
      </c>
      <c r="H280" s="170">
        <v>0</v>
      </c>
      <c r="I280" s="170">
        <v>0</v>
      </c>
      <c r="J280" s="170">
        <v>0</v>
      </c>
      <c r="K280" s="170">
        <v>127343.58</v>
      </c>
      <c r="L280" s="170">
        <v>0</v>
      </c>
      <c r="M280" s="170">
        <v>0</v>
      </c>
      <c r="N280" s="171">
        <v>733741.59</v>
      </c>
    </row>
    <row r="281" spans="1:14">
      <c r="A281" s="150" t="s">
        <v>4071</v>
      </c>
      <c r="B281" s="148" t="s">
        <v>4078</v>
      </c>
      <c r="C281" s="148" t="s">
        <v>33</v>
      </c>
      <c r="D281" s="148" t="s">
        <v>17</v>
      </c>
      <c r="E281" s="148">
        <v>30683032227</v>
      </c>
      <c r="F281" s="172">
        <v>98640.23</v>
      </c>
      <c r="G281" s="172">
        <v>0</v>
      </c>
      <c r="H281" s="172">
        <v>0</v>
      </c>
      <c r="I281" s="172">
        <v>0</v>
      </c>
      <c r="J281" s="172">
        <v>0</v>
      </c>
      <c r="K281" s="172">
        <v>20714.45</v>
      </c>
      <c r="L281" s="172">
        <v>0</v>
      </c>
      <c r="M281" s="172">
        <v>0</v>
      </c>
      <c r="N281" s="173">
        <v>119354.68</v>
      </c>
    </row>
    <row r="282" spans="1:14">
      <c r="A282" s="149" t="s">
        <v>4089</v>
      </c>
      <c r="B282" s="147" t="s">
        <v>4100</v>
      </c>
      <c r="C282" s="147" t="s">
        <v>16</v>
      </c>
      <c r="D282" s="147" t="s">
        <v>17</v>
      </c>
      <c r="E282" s="147">
        <v>30522428163</v>
      </c>
      <c r="F282" s="170">
        <v>-1370247.93</v>
      </c>
      <c r="G282" s="170">
        <v>0</v>
      </c>
      <c r="H282" s="170">
        <v>0</v>
      </c>
      <c r="I282" s="170">
        <v>0</v>
      </c>
      <c r="J282" s="170">
        <v>0</v>
      </c>
      <c r="K282" s="170">
        <v>-287752.07</v>
      </c>
      <c r="L282" s="170">
        <v>0</v>
      </c>
      <c r="M282" s="170">
        <v>0</v>
      </c>
      <c r="N282" s="171">
        <v>-1658000</v>
      </c>
    </row>
    <row r="283" spans="1:14">
      <c r="A283" s="150" t="s">
        <v>4089</v>
      </c>
      <c r="B283" s="148" t="s">
        <v>4101</v>
      </c>
      <c r="C283" s="148" t="s">
        <v>16</v>
      </c>
      <c r="D283" s="148" t="s">
        <v>17</v>
      </c>
      <c r="E283" s="148">
        <v>30522428163</v>
      </c>
      <c r="F283" s="172">
        <v>-6691.36</v>
      </c>
      <c r="G283" s="172">
        <v>0</v>
      </c>
      <c r="H283" s="172">
        <v>0</v>
      </c>
      <c r="I283" s="172">
        <v>0</v>
      </c>
      <c r="J283" s="172">
        <v>0</v>
      </c>
      <c r="K283" s="172">
        <v>-1405.19</v>
      </c>
      <c r="L283" s="172">
        <v>0</v>
      </c>
      <c r="M283" s="172">
        <v>0</v>
      </c>
      <c r="N283" s="173">
        <v>-8096.55</v>
      </c>
    </row>
    <row r="284" spans="1:14">
      <c r="A284" s="149" t="s">
        <v>4089</v>
      </c>
      <c r="B284" s="147" t="s">
        <v>4102</v>
      </c>
      <c r="C284" s="147" t="s">
        <v>16</v>
      </c>
      <c r="D284" s="147" t="s">
        <v>17</v>
      </c>
      <c r="E284" s="147">
        <v>30522428163</v>
      </c>
      <c r="F284" s="170">
        <v>-126089.48</v>
      </c>
      <c r="G284" s="170">
        <v>0</v>
      </c>
      <c r="H284" s="170">
        <v>0</v>
      </c>
      <c r="I284" s="170">
        <v>0</v>
      </c>
      <c r="J284" s="170">
        <v>0</v>
      </c>
      <c r="K284" s="170">
        <v>-26478.79</v>
      </c>
      <c r="L284" s="170">
        <v>0</v>
      </c>
      <c r="M284" s="170">
        <v>0</v>
      </c>
      <c r="N284" s="171">
        <v>-152568.26999999999</v>
      </c>
    </row>
    <row r="285" spans="1:14">
      <c r="A285" s="150" t="s">
        <v>4089</v>
      </c>
      <c r="B285" s="148" t="s">
        <v>4103</v>
      </c>
      <c r="C285" s="148" t="s">
        <v>16</v>
      </c>
      <c r="D285" s="148" t="s">
        <v>17</v>
      </c>
      <c r="E285" s="148">
        <v>30522428163</v>
      </c>
      <c r="F285" s="172">
        <v>-16629.400000000001</v>
      </c>
      <c r="G285" s="172">
        <v>0</v>
      </c>
      <c r="H285" s="172">
        <v>0</v>
      </c>
      <c r="I285" s="172">
        <v>0</v>
      </c>
      <c r="J285" s="172">
        <v>0</v>
      </c>
      <c r="K285" s="172">
        <v>-3492.17</v>
      </c>
      <c r="L285" s="172">
        <v>0</v>
      </c>
      <c r="M285" s="172">
        <v>0</v>
      </c>
      <c r="N285" s="173">
        <v>-20121.57</v>
      </c>
    </row>
    <row r="286" spans="1:14">
      <c r="A286" s="149" t="s">
        <v>4104</v>
      </c>
      <c r="B286" s="147" t="s">
        <v>4114</v>
      </c>
      <c r="C286" s="147" t="s">
        <v>33</v>
      </c>
      <c r="D286" s="147" t="s">
        <v>17</v>
      </c>
      <c r="E286" s="147">
        <v>30683032227</v>
      </c>
      <c r="F286" s="170">
        <v>3619834.71</v>
      </c>
      <c r="G286" s="170">
        <v>0</v>
      </c>
      <c r="H286" s="170">
        <v>0</v>
      </c>
      <c r="I286" s="170">
        <v>0</v>
      </c>
      <c r="J286" s="170">
        <v>0</v>
      </c>
      <c r="K286" s="170">
        <v>760165.29</v>
      </c>
      <c r="L286" s="170">
        <v>0</v>
      </c>
      <c r="M286" s="170">
        <v>0</v>
      </c>
      <c r="N286" s="171">
        <v>4380000</v>
      </c>
    </row>
    <row r="287" spans="1:14">
      <c r="A287" s="150" t="s">
        <v>4104</v>
      </c>
      <c r="B287" s="148" t="s">
        <v>4115</v>
      </c>
      <c r="C287" s="148" t="s">
        <v>16</v>
      </c>
      <c r="D287" s="148" t="s">
        <v>17</v>
      </c>
      <c r="E287" s="148">
        <v>30522428163</v>
      </c>
      <c r="F287" s="172">
        <v>5181818.18</v>
      </c>
      <c r="G287" s="172">
        <v>0</v>
      </c>
      <c r="H287" s="172">
        <v>0</v>
      </c>
      <c r="I287" s="172">
        <v>0</v>
      </c>
      <c r="J287" s="172">
        <v>0</v>
      </c>
      <c r="K287" s="172">
        <v>1088181.82</v>
      </c>
      <c r="L287" s="172">
        <v>0</v>
      </c>
      <c r="M287" s="172">
        <v>0</v>
      </c>
      <c r="N287" s="173">
        <v>6270000</v>
      </c>
    </row>
    <row r="288" spans="1:14">
      <c r="A288" s="149" t="s">
        <v>4104</v>
      </c>
      <c r="B288" s="147" t="s">
        <v>4116</v>
      </c>
      <c r="C288" s="147" t="s">
        <v>16</v>
      </c>
      <c r="D288" s="147" t="s">
        <v>17</v>
      </c>
      <c r="E288" s="147">
        <v>30522428163</v>
      </c>
      <c r="F288" s="170">
        <v>77506.61</v>
      </c>
      <c r="G288" s="170">
        <v>0</v>
      </c>
      <c r="H288" s="170">
        <v>0</v>
      </c>
      <c r="I288" s="170">
        <v>0</v>
      </c>
      <c r="J288" s="170">
        <v>0</v>
      </c>
      <c r="K288" s="170">
        <v>16276.390000000001</v>
      </c>
      <c r="L288" s="170">
        <v>0</v>
      </c>
      <c r="M288" s="170">
        <v>0</v>
      </c>
      <c r="N288" s="171">
        <v>93783</v>
      </c>
    </row>
    <row r="289" spans="1:14">
      <c r="A289" s="150" t="s">
        <v>4104</v>
      </c>
      <c r="B289" s="148" t="s">
        <v>4117</v>
      </c>
      <c r="C289" s="148" t="s">
        <v>76</v>
      </c>
      <c r="D289" s="148" t="s">
        <v>17</v>
      </c>
      <c r="E289" s="148">
        <v>30500053522</v>
      </c>
      <c r="F289" s="172">
        <v>9090.9</v>
      </c>
      <c r="G289" s="172">
        <v>0</v>
      </c>
      <c r="H289" s="172">
        <v>0</v>
      </c>
      <c r="I289" s="172">
        <v>0</v>
      </c>
      <c r="J289" s="172">
        <v>0</v>
      </c>
      <c r="K289" s="172">
        <v>1909.09</v>
      </c>
      <c r="L289" s="172">
        <v>0</v>
      </c>
      <c r="M289" s="172">
        <v>0</v>
      </c>
      <c r="N289" s="173">
        <v>10999.99</v>
      </c>
    </row>
    <row r="290" spans="1:14">
      <c r="A290" s="149" t="s">
        <v>4104</v>
      </c>
      <c r="B290" s="147" t="s">
        <v>4118</v>
      </c>
      <c r="C290" s="147" t="s">
        <v>76</v>
      </c>
      <c r="D290" s="147" t="s">
        <v>17</v>
      </c>
      <c r="E290" s="147">
        <v>30500053522</v>
      </c>
      <c r="F290" s="170">
        <v>12562</v>
      </c>
      <c r="G290" s="170">
        <v>0</v>
      </c>
      <c r="H290" s="170">
        <v>0</v>
      </c>
      <c r="I290" s="170">
        <v>0</v>
      </c>
      <c r="J290" s="170">
        <v>0</v>
      </c>
      <c r="K290" s="170">
        <v>2638.02</v>
      </c>
      <c r="L290" s="170">
        <v>0</v>
      </c>
      <c r="M290" s="170">
        <v>0</v>
      </c>
      <c r="N290" s="171">
        <v>15200.02</v>
      </c>
    </row>
    <row r="291" spans="1:14">
      <c r="A291" s="150" t="s">
        <v>4119</v>
      </c>
      <c r="B291" s="148" t="s">
        <v>4127</v>
      </c>
      <c r="C291" s="148" t="s">
        <v>16</v>
      </c>
      <c r="D291" s="148" t="s">
        <v>17</v>
      </c>
      <c r="E291" s="148">
        <v>30522428163</v>
      </c>
      <c r="F291" s="172">
        <v>56570.25</v>
      </c>
      <c r="G291" s="172">
        <v>0</v>
      </c>
      <c r="H291" s="172">
        <v>0</v>
      </c>
      <c r="I291" s="172">
        <v>0</v>
      </c>
      <c r="J291" s="172">
        <v>0</v>
      </c>
      <c r="K291" s="172">
        <v>11879.75</v>
      </c>
      <c r="L291" s="172">
        <v>0</v>
      </c>
      <c r="M291" s="172">
        <v>0</v>
      </c>
      <c r="N291" s="173">
        <v>68450</v>
      </c>
    </row>
    <row r="292" spans="1:14">
      <c r="A292" s="149" t="s">
        <v>4147</v>
      </c>
      <c r="B292" s="147" t="s">
        <v>4155</v>
      </c>
      <c r="C292" s="147" t="s">
        <v>16</v>
      </c>
      <c r="D292" s="147" t="s">
        <v>17</v>
      </c>
      <c r="E292" s="147">
        <v>30522428163</v>
      </c>
      <c r="F292" s="170">
        <v>319008.26</v>
      </c>
      <c r="G292" s="170">
        <v>0</v>
      </c>
      <c r="H292" s="170">
        <v>0</v>
      </c>
      <c r="I292" s="170">
        <v>0</v>
      </c>
      <c r="J292" s="170">
        <v>0</v>
      </c>
      <c r="K292" s="170">
        <v>66991.73</v>
      </c>
      <c r="L292" s="170">
        <v>0</v>
      </c>
      <c r="M292" s="170">
        <v>0</v>
      </c>
      <c r="N292" s="171">
        <v>385999.99</v>
      </c>
    </row>
    <row r="293" spans="1:14">
      <c r="A293" s="150" t="s">
        <v>4175</v>
      </c>
      <c r="B293" s="148" t="s">
        <v>4184</v>
      </c>
      <c r="C293" s="148" t="s">
        <v>16</v>
      </c>
      <c r="D293" s="148" t="s">
        <v>17</v>
      </c>
      <c r="E293" s="148">
        <v>30522428163</v>
      </c>
      <c r="F293" s="172">
        <v>59930.92</v>
      </c>
      <c r="G293" s="172">
        <v>0</v>
      </c>
      <c r="H293" s="172">
        <v>0</v>
      </c>
      <c r="I293" s="172">
        <v>0</v>
      </c>
      <c r="J293" s="172">
        <v>0</v>
      </c>
      <c r="K293" s="172">
        <v>12585.49</v>
      </c>
      <c r="L293" s="172">
        <v>0</v>
      </c>
      <c r="M293" s="172">
        <v>0</v>
      </c>
      <c r="N293" s="173">
        <v>72516.41</v>
      </c>
    </row>
    <row r="294" spans="1:14" ht="15.75" thickBot="1">
      <c r="A294" s="149" t="s">
        <v>4186</v>
      </c>
      <c r="B294" s="147" t="s">
        <v>4200</v>
      </c>
      <c r="C294" s="147" t="s">
        <v>16</v>
      </c>
      <c r="D294" s="147" t="s">
        <v>17</v>
      </c>
      <c r="E294" s="147">
        <v>30522428163</v>
      </c>
      <c r="F294" s="170">
        <v>108133.2</v>
      </c>
      <c r="G294" s="170">
        <v>0</v>
      </c>
      <c r="H294" s="170">
        <v>0</v>
      </c>
      <c r="I294" s="170">
        <v>0</v>
      </c>
      <c r="J294" s="170">
        <v>0</v>
      </c>
      <c r="K294" s="170">
        <v>22707.97</v>
      </c>
      <c r="L294" s="170">
        <v>0</v>
      </c>
      <c r="M294" s="170">
        <v>0</v>
      </c>
      <c r="N294" s="171">
        <v>130841.17</v>
      </c>
    </row>
    <row r="295" spans="1:14" ht="15.75" thickTop="1">
      <c r="A295" s="153"/>
      <c r="B295" s="154"/>
      <c r="C295" s="154"/>
      <c r="D295" s="154"/>
      <c r="E295" s="154"/>
      <c r="F295" s="174">
        <v>40701402.840000011</v>
      </c>
      <c r="G295" s="174">
        <v>0</v>
      </c>
      <c r="H295" s="174">
        <v>0</v>
      </c>
      <c r="I295" s="174"/>
      <c r="J295" s="174"/>
      <c r="K295" s="174">
        <v>8547294.5700000003</v>
      </c>
      <c r="L295" s="174"/>
      <c r="M295" s="174"/>
      <c r="N295" s="175">
        <v>49248697.410000026</v>
      </c>
    </row>
    <row r="299" spans="1:14">
      <c r="H299" s="176" t="s">
        <v>3077</v>
      </c>
      <c r="I299" s="123">
        <f>42739141.4-2037738.51</f>
        <v>40701402.890000001</v>
      </c>
      <c r="J299" s="123">
        <f>8975219.66-427925.09</f>
        <v>8547294.5700000003</v>
      </c>
      <c r="K299" s="123">
        <f>51714361.01-2465663.6</f>
        <v>49248697.409999996</v>
      </c>
    </row>
    <row r="300" spans="1:14">
      <c r="H300" s="176" t="s">
        <v>3078</v>
      </c>
      <c r="I300" s="123">
        <f>5632332.95-16853.13</f>
        <v>5615479.8200000003</v>
      </c>
      <c r="J300" s="123">
        <f>1182789.96-3539.16</f>
        <v>1179250.8</v>
      </c>
      <c r="K300" s="123">
        <f>6815122.91-20392.29</f>
        <v>6794730.6200000001</v>
      </c>
    </row>
    <row r="301" spans="1:14">
      <c r="H301" s="177" t="s">
        <v>3079</v>
      </c>
      <c r="I301" s="145">
        <f>SUM(I299:I300)</f>
        <v>46316882.710000001</v>
      </c>
      <c r="J301" s="145">
        <f>SUM(J299:J300)</f>
        <v>9726545.370000001</v>
      </c>
      <c r="K301" s="145">
        <f>SUM(K299:K300)</f>
        <v>56043428.029999994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01-23</vt:lpstr>
      <vt:lpstr>03-23</vt:lpstr>
      <vt:lpstr>04-23</vt:lpstr>
      <vt:lpstr>05-23</vt:lpstr>
      <vt:lpstr>06-23</vt:lpstr>
      <vt:lpstr>07-23</vt:lpstr>
      <vt:lpstr>08-23</vt:lpstr>
      <vt:lpstr>09-23</vt:lpstr>
      <vt:lpstr>10-23</vt:lpstr>
      <vt:lpstr>11-23</vt:lpstr>
      <vt:lpstr>12-23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2024-01-18T18:27:34Z</dcterms:modified>
</cp:coreProperties>
</file>